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E:\DATA PENGAJARAN\TP 2026-2027\Kumpulan Data Siswa\"/>
    </mc:Choice>
  </mc:AlternateContent>
  <xr:revisionPtr revIDLastSave="0" documentId="13_ncr:1_{40299EFC-6F26-492D-8144-E3E66B6011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IO DATA" sheetId="4" r:id="rId1"/>
    <sheet name="PERKELAS" sheetId="2" r:id="rId2"/>
    <sheet name="DATA PERKELAS" sheetId="3" r:id="rId3"/>
  </sheets>
  <definedNames>
    <definedName name="_xlnm._FilterDatabase" localSheetId="0" hidden="1">'BIO DATA'!$A$1:$AX$202</definedName>
    <definedName name="_xlnm.Print_Area" localSheetId="2">'DATA PERKELAS'!$B$1:$Q$439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32" i="3" l="1"/>
  <c r="D432" i="3"/>
  <c r="E432" i="3"/>
  <c r="F432" i="3"/>
  <c r="G432" i="3"/>
  <c r="H432" i="3"/>
  <c r="I432" i="3"/>
  <c r="J432" i="3"/>
  <c r="K432" i="3"/>
  <c r="L432" i="3"/>
  <c r="M432" i="3"/>
  <c r="N432" i="3"/>
  <c r="O432" i="3"/>
  <c r="P432" i="3"/>
  <c r="Q432" i="3"/>
  <c r="C433" i="3"/>
  <c r="D433" i="3"/>
  <c r="E433" i="3"/>
  <c r="F433" i="3"/>
  <c r="G433" i="3"/>
  <c r="H433" i="3"/>
  <c r="I433" i="3"/>
  <c r="J433" i="3"/>
  <c r="K433" i="3"/>
  <c r="L433" i="3"/>
  <c r="M433" i="3"/>
  <c r="N433" i="3"/>
  <c r="O433" i="3"/>
  <c r="P433" i="3"/>
  <c r="Q433" i="3"/>
  <c r="C434" i="3"/>
  <c r="D434" i="3"/>
  <c r="E434" i="3"/>
  <c r="F434" i="3"/>
  <c r="G434" i="3"/>
  <c r="H434" i="3"/>
  <c r="I434" i="3"/>
  <c r="J434" i="3"/>
  <c r="K434" i="3"/>
  <c r="L434" i="3"/>
  <c r="M434" i="3"/>
  <c r="N434" i="3"/>
  <c r="O434" i="3"/>
  <c r="P434" i="3"/>
  <c r="Q434" i="3"/>
  <c r="C435" i="3"/>
  <c r="D435" i="3"/>
  <c r="E435" i="3"/>
  <c r="F435" i="3"/>
  <c r="G435" i="3"/>
  <c r="H435" i="3"/>
  <c r="I435" i="3"/>
  <c r="J435" i="3"/>
  <c r="K435" i="3"/>
  <c r="L435" i="3"/>
  <c r="M435" i="3"/>
  <c r="N435" i="3"/>
  <c r="O435" i="3"/>
  <c r="P435" i="3"/>
  <c r="Q435" i="3"/>
  <c r="C436" i="3"/>
  <c r="D436" i="3"/>
  <c r="E436" i="3"/>
  <c r="F436" i="3"/>
  <c r="G436" i="3"/>
  <c r="H436" i="3"/>
  <c r="I436" i="3"/>
  <c r="J436" i="3"/>
  <c r="K436" i="3"/>
  <c r="L436" i="3"/>
  <c r="M436" i="3"/>
  <c r="N436" i="3"/>
  <c r="O436" i="3"/>
  <c r="P436" i="3"/>
  <c r="Q436" i="3"/>
  <c r="C437" i="3"/>
  <c r="D437" i="3"/>
  <c r="E437" i="3"/>
  <c r="F437" i="3"/>
  <c r="G437" i="3"/>
  <c r="H437" i="3"/>
  <c r="I437" i="3"/>
  <c r="J437" i="3"/>
  <c r="K437" i="3"/>
  <c r="L437" i="3"/>
  <c r="M437" i="3"/>
  <c r="N437" i="3"/>
  <c r="O437" i="3"/>
  <c r="P437" i="3"/>
  <c r="Q437" i="3"/>
  <c r="C438" i="3"/>
  <c r="D438" i="3"/>
  <c r="E438" i="3"/>
  <c r="F438" i="3"/>
  <c r="G438" i="3"/>
  <c r="H438" i="3"/>
  <c r="I438" i="3"/>
  <c r="J438" i="3"/>
  <c r="K438" i="3"/>
  <c r="L438" i="3"/>
  <c r="M438" i="3"/>
  <c r="N438" i="3"/>
  <c r="O438" i="3"/>
  <c r="P438" i="3"/>
  <c r="Q438" i="3"/>
  <c r="C439" i="3"/>
  <c r="D439" i="3"/>
  <c r="E439" i="3"/>
  <c r="F439" i="3"/>
  <c r="G439" i="3"/>
  <c r="H439" i="3"/>
  <c r="I439" i="3"/>
  <c r="J439" i="3"/>
  <c r="K439" i="3"/>
  <c r="L439" i="3"/>
  <c r="M439" i="3"/>
  <c r="N439" i="3"/>
  <c r="O439" i="3"/>
  <c r="P439" i="3"/>
  <c r="Q439" i="3"/>
  <c r="C431" i="3"/>
  <c r="D431" i="3"/>
  <c r="E431" i="3"/>
  <c r="F431" i="3"/>
  <c r="G431" i="3"/>
  <c r="H431" i="3"/>
  <c r="I431" i="3"/>
  <c r="J431" i="3"/>
  <c r="K431" i="3"/>
  <c r="L431" i="3"/>
  <c r="M431" i="3"/>
  <c r="N431" i="3"/>
  <c r="O431" i="3"/>
  <c r="P431" i="3"/>
  <c r="Q431" i="3"/>
  <c r="C402" i="3"/>
  <c r="D402" i="3"/>
  <c r="E402" i="3"/>
  <c r="F402" i="3"/>
  <c r="G402" i="3"/>
  <c r="H402" i="3"/>
  <c r="I402" i="3"/>
  <c r="J402" i="3"/>
  <c r="K402" i="3"/>
  <c r="L402" i="3"/>
  <c r="M402" i="3"/>
  <c r="N402" i="3"/>
  <c r="O402" i="3"/>
  <c r="P402" i="3"/>
  <c r="Q402" i="3"/>
  <c r="C403" i="3"/>
  <c r="D403" i="3"/>
  <c r="E403" i="3"/>
  <c r="F403" i="3"/>
  <c r="G403" i="3"/>
  <c r="H403" i="3"/>
  <c r="I403" i="3"/>
  <c r="J403" i="3"/>
  <c r="K403" i="3"/>
  <c r="L403" i="3"/>
  <c r="M403" i="3"/>
  <c r="N403" i="3"/>
  <c r="O403" i="3"/>
  <c r="P403" i="3"/>
  <c r="Q403" i="3"/>
  <c r="C404" i="3"/>
  <c r="D404" i="3"/>
  <c r="E404" i="3"/>
  <c r="F404" i="3"/>
  <c r="G404" i="3"/>
  <c r="H404" i="3"/>
  <c r="I404" i="3"/>
  <c r="J404" i="3"/>
  <c r="K404" i="3"/>
  <c r="L404" i="3"/>
  <c r="M404" i="3"/>
  <c r="N404" i="3"/>
  <c r="O404" i="3"/>
  <c r="P404" i="3"/>
  <c r="Q404" i="3"/>
  <c r="C405" i="3"/>
  <c r="D405" i="3"/>
  <c r="E405" i="3"/>
  <c r="F405" i="3"/>
  <c r="G405" i="3"/>
  <c r="H405" i="3"/>
  <c r="I405" i="3"/>
  <c r="J405" i="3"/>
  <c r="K405" i="3"/>
  <c r="L405" i="3"/>
  <c r="M405" i="3"/>
  <c r="N405" i="3"/>
  <c r="O405" i="3"/>
  <c r="P405" i="3"/>
  <c r="Q405" i="3"/>
  <c r="C406" i="3"/>
  <c r="D406" i="3"/>
  <c r="E406" i="3"/>
  <c r="F406" i="3"/>
  <c r="G406" i="3"/>
  <c r="H406" i="3"/>
  <c r="I406" i="3"/>
  <c r="J406" i="3"/>
  <c r="K406" i="3"/>
  <c r="L406" i="3"/>
  <c r="M406" i="3"/>
  <c r="N406" i="3"/>
  <c r="O406" i="3"/>
  <c r="P406" i="3"/>
  <c r="Q406" i="3"/>
  <c r="C407" i="3"/>
  <c r="D407" i="3"/>
  <c r="E407" i="3"/>
  <c r="F407" i="3"/>
  <c r="G407" i="3"/>
  <c r="H407" i="3"/>
  <c r="I407" i="3"/>
  <c r="J407" i="3"/>
  <c r="K407" i="3"/>
  <c r="L407" i="3"/>
  <c r="M407" i="3"/>
  <c r="N407" i="3"/>
  <c r="O407" i="3"/>
  <c r="P407" i="3"/>
  <c r="Q407" i="3"/>
  <c r="C408" i="3"/>
  <c r="D408" i="3"/>
  <c r="E408" i="3"/>
  <c r="F408" i="3"/>
  <c r="G408" i="3"/>
  <c r="H408" i="3"/>
  <c r="I408" i="3"/>
  <c r="J408" i="3"/>
  <c r="K408" i="3"/>
  <c r="L408" i="3"/>
  <c r="M408" i="3"/>
  <c r="N408" i="3"/>
  <c r="O408" i="3"/>
  <c r="P408" i="3"/>
  <c r="Q408" i="3"/>
  <c r="C409" i="3"/>
  <c r="D409" i="3"/>
  <c r="E409" i="3"/>
  <c r="F409" i="3"/>
  <c r="G409" i="3"/>
  <c r="H409" i="3"/>
  <c r="I409" i="3"/>
  <c r="J409" i="3"/>
  <c r="K409" i="3"/>
  <c r="L409" i="3"/>
  <c r="M409" i="3"/>
  <c r="N409" i="3"/>
  <c r="O409" i="3"/>
  <c r="P409" i="3"/>
  <c r="Q409" i="3"/>
  <c r="C410" i="3"/>
  <c r="D410" i="3"/>
  <c r="E410" i="3"/>
  <c r="F410" i="3"/>
  <c r="G410" i="3"/>
  <c r="H410" i="3"/>
  <c r="I410" i="3"/>
  <c r="J410" i="3"/>
  <c r="K410" i="3"/>
  <c r="L410" i="3"/>
  <c r="M410" i="3"/>
  <c r="N410" i="3"/>
  <c r="O410" i="3"/>
  <c r="P410" i="3"/>
  <c r="Q410" i="3"/>
  <c r="C411" i="3"/>
  <c r="D411" i="3"/>
  <c r="E411" i="3"/>
  <c r="F411" i="3"/>
  <c r="G411" i="3"/>
  <c r="H411" i="3"/>
  <c r="I411" i="3"/>
  <c r="J411" i="3"/>
  <c r="K411" i="3"/>
  <c r="L411" i="3"/>
  <c r="M411" i="3"/>
  <c r="N411" i="3"/>
  <c r="O411" i="3"/>
  <c r="P411" i="3"/>
  <c r="Q411" i="3"/>
  <c r="C412" i="3"/>
  <c r="D412" i="3"/>
  <c r="E412" i="3"/>
  <c r="F412" i="3"/>
  <c r="G412" i="3"/>
  <c r="H412" i="3"/>
  <c r="I412" i="3"/>
  <c r="J412" i="3"/>
  <c r="K412" i="3"/>
  <c r="L412" i="3"/>
  <c r="M412" i="3"/>
  <c r="N412" i="3"/>
  <c r="O412" i="3"/>
  <c r="P412" i="3"/>
  <c r="Q412" i="3"/>
  <c r="C413" i="3"/>
  <c r="D413" i="3"/>
  <c r="E413" i="3"/>
  <c r="F413" i="3"/>
  <c r="G413" i="3"/>
  <c r="H413" i="3"/>
  <c r="I413" i="3"/>
  <c r="J413" i="3"/>
  <c r="K413" i="3"/>
  <c r="L413" i="3"/>
  <c r="M413" i="3"/>
  <c r="N413" i="3"/>
  <c r="O413" i="3"/>
  <c r="P413" i="3"/>
  <c r="Q413" i="3"/>
  <c r="C401" i="3"/>
  <c r="D401" i="3"/>
  <c r="E401" i="3"/>
  <c r="F401" i="3"/>
  <c r="G401" i="3"/>
  <c r="H401" i="3"/>
  <c r="I401" i="3"/>
  <c r="J401" i="3"/>
  <c r="K401" i="3"/>
  <c r="L401" i="3"/>
  <c r="M401" i="3"/>
  <c r="N401" i="3"/>
  <c r="O401" i="3"/>
  <c r="P401" i="3"/>
  <c r="Q401" i="3"/>
  <c r="C376" i="3"/>
  <c r="D376" i="3"/>
  <c r="E376" i="3"/>
  <c r="F376" i="3"/>
  <c r="G376" i="3"/>
  <c r="H376" i="3"/>
  <c r="I376" i="3"/>
  <c r="J376" i="3"/>
  <c r="K376" i="3"/>
  <c r="L376" i="3"/>
  <c r="M376" i="3"/>
  <c r="N376" i="3"/>
  <c r="O376" i="3"/>
  <c r="P376" i="3"/>
  <c r="Q376" i="3"/>
  <c r="C377" i="3"/>
  <c r="D377" i="3"/>
  <c r="E377" i="3"/>
  <c r="F377" i="3"/>
  <c r="G377" i="3"/>
  <c r="H377" i="3"/>
  <c r="I377" i="3"/>
  <c r="J377" i="3"/>
  <c r="K377" i="3"/>
  <c r="L377" i="3"/>
  <c r="M377" i="3"/>
  <c r="N377" i="3"/>
  <c r="O377" i="3"/>
  <c r="P377" i="3"/>
  <c r="Q377" i="3"/>
  <c r="C378" i="3"/>
  <c r="D378" i="3"/>
  <c r="E378" i="3"/>
  <c r="F378" i="3"/>
  <c r="G378" i="3"/>
  <c r="H378" i="3"/>
  <c r="I378" i="3"/>
  <c r="J378" i="3"/>
  <c r="K378" i="3"/>
  <c r="L378" i="3"/>
  <c r="M378" i="3"/>
  <c r="N378" i="3"/>
  <c r="O378" i="3"/>
  <c r="P378" i="3"/>
  <c r="Q378" i="3"/>
  <c r="C379" i="3"/>
  <c r="D379" i="3"/>
  <c r="E379" i="3"/>
  <c r="F379" i="3"/>
  <c r="G379" i="3"/>
  <c r="H379" i="3"/>
  <c r="I379" i="3"/>
  <c r="J379" i="3"/>
  <c r="K379" i="3"/>
  <c r="L379" i="3"/>
  <c r="M379" i="3"/>
  <c r="N379" i="3"/>
  <c r="O379" i="3"/>
  <c r="P379" i="3"/>
  <c r="Q379" i="3"/>
  <c r="C380" i="3"/>
  <c r="D380" i="3"/>
  <c r="E380" i="3"/>
  <c r="F380" i="3"/>
  <c r="G380" i="3"/>
  <c r="H380" i="3"/>
  <c r="I380" i="3"/>
  <c r="J380" i="3"/>
  <c r="K380" i="3"/>
  <c r="L380" i="3"/>
  <c r="M380" i="3"/>
  <c r="N380" i="3"/>
  <c r="O380" i="3"/>
  <c r="P380" i="3"/>
  <c r="Q380" i="3"/>
  <c r="C381" i="3"/>
  <c r="D381" i="3"/>
  <c r="E381" i="3"/>
  <c r="F381" i="3"/>
  <c r="G381" i="3"/>
  <c r="H381" i="3"/>
  <c r="I381" i="3"/>
  <c r="J381" i="3"/>
  <c r="K381" i="3"/>
  <c r="L381" i="3"/>
  <c r="M381" i="3"/>
  <c r="N381" i="3"/>
  <c r="O381" i="3"/>
  <c r="P381" i="3"/>
  <c r="Q381" i="3"/>
  <c r="C382" i="3"/>
  <c r="D382" i="3"/>
  <c r="E382" i="3"/>
  <c r="F382" i="3"/>
  <c r="G382" i="3"/>
  <c r="H382" i="3"/>
  <c r="I382" i="3"/>
  <c r="J382" i="3"/>
  <c r="K382" i="3"/>
  <c r="L382" i="3"/>
  <c r="M382" i="3"/>
  <c r="N382" i="3"/>
  <c r="O382" i="3"/>
  <c r="P382" i="3"/>
  <c r="Q382" i="3"/>
  <c r="C383" i="3"/>
  <c r="D383" i="3"/>
  <c r="E383" i="3"/>
  <c r="F383" i="3"/>
  <c r="G383" i="3"/>
  <c r="H383" i="3"/>
  <c r="I383" i="3"/>
  <c r="J383" i="3"/>
  <c r="K383" i="3"/>
  <c r="L383" i="3"/>
  <c r="M383" i="3"/>
  <c r="N383" i="3"/>
  <c r="O383" i="3"/>
  <c r="P383" i="3"/>
  <c r="Q383" i="3"/>
  <c r="C384" i="3"/>
  <c r="D384" i="3"/>
  <c r="E384" i="3"/>
  <c r="F384" i="3"/>
  <c r="G384" i="3"/>
  <c r="H384" i="3"/>
  <c r="I384" i="3"/>
  <c r="J384" i="3"/>
  <c r="K384" i="3"/>
  <c r="L384" i="3"/>
  <c r="M384" i="3"/>
  <c r="N384" i="3"/>
  <c r="O384" i="3"/>
  <c r="P384" i="3"/>
  <c r="Q384" i="3"/>
  <c r="C385" i="3"/>
  <c r="D385" i="3"/>
  <c r="E385" i="3"/>
  <c r="F385" i="3"/>
  <c r="G385" i="3"/>
  <c r="H385" i="3"/>
  <c r="I385" i="3"/>
  <c r="J385" i="3"/>
  <c r="K385" i="3"/>
  <c r="L385" i="3"/>
  <c r="M385" i="3"/>
  <c r="N385" i="3"/>
  <c r="O385" i="3"/>
  <c r="P385" i="3"/>
  <c r="Q385" i="3"/>
  <c r="C386" i="3"/>
  <c r="D386" i="3"/>
  <c r="E386" i="3"/>
  <c r="F386" i="3"/>
  <c r="G386" i="3"/>
  <c r="H386" i="3"/>
  <c r="I386" i="3"/>
  <c r="J386" i="3"/>
  <c r="K386" i="3"/>
  <c r="L386" i="3"/>
  <c r="M386" i="3"/>
  <c r="N386" i="3"/>
  <c r="O386" i="3"/>
  <c r="P386" i="3"/>
  <c r="Q386" i="3"/>
  <c r="C387" i="3"/>
  <c r="D387" i="3"/>
  <c r="E387" i="3"/>
  <c r="F387" i="3"/>
  <c r="G387" i="3"/>
  <c r="H387" i="3"/>
  <c r="I387" i="3"/>
  <c r="J387" i="3"/>
  <c r="K387" i="3"/>
  <c r="L387" i="3"/>
  <c r="M387" i="3"/>
  <c r="N387" i="3"/>
  <c r="O387" i="3"/>
  <c r="P387" i="3"/>
  <c r="Q387" i="3"/>
  <c r="C388" i="3"/>
  <c r="D388" i="3"/>
  <c r="E388" i="3"/>
  <c r="F388" i="3"/>
  <c r="G388" i="3"/>
  <c r="H388" i="3"/>
  <c r="I388" i="3"/>
  <c r="J388" i="3"/>
  <c r="K388" i="3"/>
  <c r="L388" i="3"/>
  <c r="M388" i="3"/>
  <c r="N388" i="3"/>
  <c r="O388" i="3"/>
  <c r="P388" i="3"/>
  <c r="Q388" i="3"/>
  <c r="C389" i="3"/>
  <c r="D389" i="3"/>
  <c r="E389" i="3"/>
  <c r="F389" i="3"/>
  <c r="G389" i="3"/>
  <c r="H389" i="3"/>
  <c r="I389" i="3"/>
  <c r="J389" i="3"/>
  <c r="K389" i="3"/>
  <c r="L389" i="3"/>
  <c r="M389" i="3"/>
  <c r="N389" i="3"/>
  <c r="O389" i="3"/>
  <c r="P389" i="3"/>
  <c r="Q389" i="3"/>
  <c r="C390" i="3"/>
  <c r="D390" i="3"/>
  <c r="E390" i="3"/>
  <c r="F390" i="3"/>
  <c r="G390" i="3"/>
  <c r="H390" i="3"/>
  <c r="I390" i="3"/>
  <c r="J390" i="3"/>
  <c r="K390" i="3"/>
  <c r="L390" i="3"/>
  <c r="M390" i="3"/>
  <c r="N390" i="3"/>
  <c r="O390" i="3"/>
  <c r="P390" i="3"/>
  <c r="Q390" i="3"/>
  <c r="C391" i="3"/>
  <c r="D391" i="3"/>
  <c r="E391" i="3"/>
  <c r="F391" i="3"/>
  <c r="G391" i="3"/>
  <c r="H391" i="3"/>
  <c r="I391" i="3"/>
  <c r="J391" i="3"/>
  <c r="K391" i="3"/>
  <c r="L391" i="3"/>
  <c r="M391" i="3"/>
  <c r="N391" i="3"/>
  <c r="O391" i="3"/>
  <c r="P391" i="3"/>
  <c r="Q391" i="3"/>
  <c r="C253" i="3"/>
  <c r="D253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C258" i="3"/>
  <c r="D258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C259" i="3"/>
  <c r="D259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C260" i="3"/>
  <c r="D260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C261" i="3"/>
  <c r="D261" i="3"/>
  <c r="E261" i="3"/>
  <c r="F261" i="3"/>
  <c r="G261" i="3"/>
  <c r="H261" i="3"/>
  <c r="I261" i="3"/>
  <c r="J261" i="3"/>
  <c r="K261" i="3"/>
  <c r="L261" i="3"/>
  <c r="M261" i="3"/>
  <c r="N261" i="3"/>
  <c r="O261" i="3"/>
  <c r="P261" i="3"/>
  <c r="Q261" i="3"/>
  <c r="C262" i="3"/>
  <c r="D262" i="3"/>
  <c r="E262" i="3"/>
  <c r="F262" i="3"/>
  <c r="G262" i="3"/>
  <c r="H262" i="3"/>
  <c r="I262" i="3"/>
  <c r="J262" i="3"/>
  <c r="K262" i="3"/>
  <c r="L262" i="3"/>
  <c r="M262" i="3"/>
  <c r="N262" i="3"/>
  <c r="O262" i="3"/>
  <c r="P262" i="3"/>
  <c r="Q262" i="3"/>
  <c r="C252" i="3"/>
  <c r="D252" i="3"/>
  <c r="E252" i="3"/>
  <c r="F252" i="3"/>
  <c r="G252" i="3"/>
  <c r="H252" i="3"/>
  <c r="I252" i="3"/>
  <c r="J252" i="3"/>
  <c r="K252" i="3"/>
  <c r="L252" i="3"/>
  <c r="M252" i="3"/>
  <c r="N252" i="3"/>
  <c r="O252" i="3"/>
  <c r="P252" i="3"/>
  <c r="Q252" i="3"/>
  <c r="C237" i="3"/>
  <c r="D237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C238" i="3"/>
  <c r="D238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C239" i="3"/>
  <c r="D239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C240" i="3"/>
  <c r="D240" i="3"/>
  <c r="E240" i="3"/>
  <c r="F240" i="3"/>
  <c r="G240" i="3"/>
  <c r="H240" i="3"/>
  <c r="I240" i="3"/>
  <c r="J240" i="3"/>
  <c r="K240" i="3"/>
  <c r="L240" i="3"/>
  <c r="M240" i="3"/>
  <c r="N240" i="3"/>
  <c r="O240" i="3"/>
  <c r="P240" i="3"/>
  <c r="Q240" i="3"/>
  <c r="C241" i="3"/>
  <c r="D241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C242" i="3"/>
  <c r="D242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C243" i="3"/>
  <c r="D243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C244" i="3"/>
  <c r="D244" i="3"/>
  <c r="E244" i="3"/>
  <c r="F244" i="3"/>
  <c r="G244" i="3"/>
  <c r="H244" i="3"/>
  <c r="I244" i="3"/>
  <c r="J244" i="3"/>
  <c r="K244" i="3"/>
  <c r="L244" i="3"/>
  <c r="M244" i="3"/>
  <c r="N244" i="3"/>
  <c r="O244" i="3"/>
  <c r="P244" i="3"/>
  <c r="Q244" i="3"/>
  <c r="C245" i="3"/>
  <c r="D245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C246" i="3"/>
  <c r="D246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C247" i="3"/>
  <c r="D247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C248" i="3"/>
  <c r="D248" i="3"/>
  <c r="E248" i="3"/>
  <c r="F248" i="3"/>
  <c r="G248" i="3"/>
  <c r="H248" i="3"/>
  <c r="I248" i="3"/>
  <c r="J248" i="3"/>
  <c r="K248" i="3"/>
  <c r="L248" i="3"/>
  <c r="M248" i="3"/>
  <c r="N248" i="3"/>
  <c r="O248" i="3"/>
  <c r="P248" i="3"/>
  <c r="Q248" i="3"/>
  <c r="C249" i="3"/>
  <c r="D249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C250" i="3"/>
  <c r="D250" i="3"/>
  <c r="E250" i="3"/>
  <c r="F250" i="3"/>
  <c r="G250" i="3"/>
  <c r="H250" i="3"/>
  <c r="I250" i="3"/>
  <c r="J250" i="3"/>
  <c r="K250" i="3"/>
  <c r="L250" i="3"/>
  <c r="M250" i="3"/>
  <c r="N250" i="3"/>
  <c r="O250" i="3"/>
  <c r="P250" i="3"/>
  <c r="Q250" i="3"/>
  <c r="C251" i="3"/>
  <c r="D251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C126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C130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C131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C132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C133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C134" i="3"/>
  <c r="D134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Q134" i="3"/>
  <c r="C135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C136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C137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C138" i="3"/>
  <c r="D138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Q138" i="3"/>
  <c r="C139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C94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C102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C103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C104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C105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C106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O212" i="4"/>
  <c r="O211" i="4"/>
  <c r="O210" i="4"/>
  <c r="O209" i="4"/>
  <c r="O208" i="4"/>
  <c r="O207" i="4"/>
  <c r="O206" i="4"/>
  <c r="O205" i="4"/>
  <c r="O204" i="4"/>
  <c r="O203" i="4" l="1"/>
  <c r="O202" i="4"/>
  <c r="O201" i="4"/>
  <c r="O200" i="4"/>
  <c r="O199" i="4"/>
  <c r="O198" i="4"/>
  <c r="O197" i="4"/>
  <c r="O196" i="4"/>
  <c r="O195" i="4"/>
  <c r="O194" i="4"/>
  <c r="O193" i="4"/>
  <c r="O192" i="4"/>
  <c r="O191" i="4"/>
  <c r="O190" i="4"/>
  <c r="O189" i="4"/>
  <c r="O188" i="4"/>
  <c r="O187" i="4"/>
  <c r="O186" i="4"/>
  <c r="O185" i="4"/>
  <c r="O184" i="4"/>
  <c r="O183" i="4"/>
  <c r="O182" i="4"/>
  <c r="O181" i="4"/>
  <c r="O177" i="4"/>
  <c r="O176" i="4"/>
  <c r="O175" i="4"/>
  <c r="AA3" i="2"/>
  <c r="AB3" i="2"/>
  <c r="AC3" i="2"/>
  <c r="AD3" i="2"/>
  <c r="AE3" i="2"/>
  <c r="AA4" i="2"/>
  <c r="AB4" i="2"/>
  <c r="AC4" i="2"/>
  <c r="AD4" i="2"/>
  <c r="AE4" i="2"/>
  <c r="AA5" i="2"/>
  <c r="AB5" i="2"/>
  <c r="AC5" i="2"/>
  <c r="AD5" i="2"/>
  <c r="AE5" i="2"/>
  <c r="AA6" i="2"/>
  <c r="AB6" i="2"/>
  <c r="AC6" i="2"/>
  <c r="AD6" i="2"/>
  <c r="AE6" i="2"/>
  <c r="AA7" i="2"/>
  <c r="AB7" i="2"/>
  <c r="AC7" i="2"/>
  <c r="AD7" i="2"/>
  <c r="AE7" i="2"/>
  <c r="AA8" i="2"/>
  <c r="AB8" i="2"/>
  <c r="AC8" i="2"/>
  <c r="AD8" i="2"/>
  <c r="AE8" i="2"/>
  <c r="AA9" i="2"/>
  <c r="AB9" i="2"/>
  <c r="AC9" i="2"/>
  <c r="AD9" i="2"/>
  <c r="AE9" i="2"/>
  <c r="AA10" i="2"/>
  <c r="AB10" i="2"/>
  <c r="AC10" i="2"/>
  <c r="AD10" i="2"/>
  <c r="AE10" i="2"/>
  <c r="AA11" i="2"/>
  <c r="AB11" i="2"/>
  <c r="AC11" i="2"/>
  <c r="AD11" i="2"/>
  <c r="AE11" i="2"/>
  <c r="AA12" i="2"/>
  <c r="AB12" i="2"/>
  <c r="AC12" i="2"/>
  <c r="AD12" i="2"/>
  <c r="AE12" i="2"/>
  <c r="AA13" i="2"/>
  <c r="AB13" i="2"/>
  <c r="AC13" i="2"/>
  <c r="AD13" i="2"/>
  <c r="AE13" i="2"/>
  <c r="AA14" i="2"/>
  <c r="AB14" i="2"/>
  <c r="AC14" i="2"/>
  <c r="AD14" i="2"/>
  <c r="AE14" i="2"/>
  <c r="AA15" i="2"/>
  <c r="AB15" i="2"/>
  <c r="AC15" i="2"/>
  <c r="AD15" i="2"/>
  <c r="AE15" i="2"/>
  <c r="AA16" i="2"/>
  <c r="AB16" i="2"/>
  <c r="AC16" i="2"/>
  <c r="AD16" i="2"/>
  <c r="AE16" i="2"/>
  <c r="AA17" i="2"/>
  <c r="AB17" i="2"/>
  <c r="AC17" i="2"/>
  <c r="AD17" i="2"/>
  <c r="AE17" i="2"/>
  <c r="AA18" i="2"/>
  <c r="AB18" i="2"/>
  <c r="AC18" i="2"/>
  <c r="AD18" i="2"/>
  <c r="AE18" i="2"/>
  <c r="AA19" i="2"/>
  <c r="AB19" i="2"/>
  <c r="AC19" i="2"/>
  <c r="AD19" i="2"/>
  <c r="AE19" i="2"/>
  <c r="AA20" i="2"/>
  <c r="AB20" i="2"/>
  <c r="AC20" i="2"/>
  <c r="AD20" i="2"/>
  <c r="AE20" i="2"/>
  <c r="AA21" i="2"/>
  <c r="AB21" i="2"/>
  <c r="AC21" i="2"/>
  <c r="AD21" i="2"/>
  <c r="AE21" i="2"/>
  <c r="AA22" i="2"/>
  <c r="AB22" i="2"/>
  <c r="AC22" i="2"/>
  <c r="AD22" i="2"/>
  <c r="AE22" i="2"/>
  <c r="AA23" i="2"/>
  <c r="AB23" i="2"/>
  <c r="AC23" i="2"/>
  <c r="AD23" i="2"/>
  <c r="AE23" i="2"/>
  <c r="AA24" i="2"/>
  <c r="AB24" i="2"/>
  <c r="AC24" i="2"/>
  <c r="AD24" i="2"/>
  <c r="AE24" i="2"/>
  <c r="AA25" i="2"/>
  <c r="AB25" i="2"/>
  <c r="AC25" i="2"/>
  <c r="AD25" i="2"/>
  <c r="AE25" i="2"/>
  <c r="AA26" i="2"/>
  <c r="AB26" i="2"/>
  <c r="AC26" i="2"/>
  <c r="AD26" i="2"/>
  <c r="AE26" i="2"/>
  <c r="AA27" i="2"/>
  <c r="AB27" i="2"/>
  <c r="AC27" i="2"/>
  <c r="AD27" i="2"/>
  <c r="AE27" i="2"/>
  <c r="AA28" i="2"/>
  <c r="AB28" i="2"/>
  <c r="AC28" i="2"/>
  <c r="AD28" i="2"/>
  <c r="AE28" i="2"/>
  <c r="AA29" i="2"/>
  <c r="AB29" i="2"/>
  <c r="AC29" i="2"/>
  <c r="AD29" i="2"/>
  <c r="AE29" i="2"/>
  <c r="AA30" i="2"/>
  <c r="AB30" i="2"/>
  <c r="AC30" i="2"/>
  <c r="AD30" i="2"/>
  <c r="AE30" i="2"/>
  <c r="AA31" i="2"/>
  <c r="AB31" i="2"/>
  <c r="AC31" i="2"/>
  <c r="AD31" i="2"/>
  <c r="AE31" i="2"/>
  <c r="AA32" i="2"/>
  <c r="AB32" i="2"/>
  <c r="AC32" i="2"/>
  <c r="AD32" i="2"/>
  <c r="AE32" i="2"/>
  <c r="AA33" i="2"/>
  <c r="AB33" i="2"/>
  <c r="AC33" i="2"/>
  <c r="AD33" i="2"/>
  <c r="AE33" i="2"/>
  <c r="AA34" i="2"/>
  <c r="AB34" i="2"/>
  <c r="AC34" i="2"/>
  <c r="AD34" i="2"/>
  <c r="AE34" i="2"/>
  <c r="AA35" i="2"/>
  <c r="AB35" i="2"/>
  <c r="AC35" i="2"/>
  <c r="AD35" i="2"/>
  <c r="AE35" i="2"/>
  <c r="AA36" i="2"/>
  <c r="AB36" i="2"/>
  <c r="AC36" i="2"/>
  <c r="AD36" i="2"/>
  <c r="AE36" i="2"/>
  <c r="AA37" i="2"/>
  <c r="AB37" i="2"/>
  <c r="AC37" i="2"/>
  <c r="AD37" i="2"/>
  <c r="AE37" i="2"/>
  <c r="AA38" i="2"/>
  <c r="AB38" i="2"/>
  <c r="AC38" i="2"/>
  <c r="AD38" i="2"/>
  <c r="AE38" i="2"/>
  <c r="AA39" i="2"/>
  <c r="AB39" i="2"/>
  <c r="AC39" i="2"/>
  <c r="AD39" i="2"/>
  <c r="AE39" i="2"/>
  <c r="AA40" i="2"/>
  <c r="AB40" i="2"/>
  <c r="AC40" i="2"/>
  <c r="AD40" i="2"/>
  <c r="AE40" i="2"/>
  <c r="AA41" i="2"/>
  <c r="AB41" i="2"/>
  <c r="AC41" i="2"/>
  <c r="AD41" i="2"/>
  <c r="AE41" i="2"/>
  <c r="AA42" i="2"/>
  <c r="AB42" i="2"/>
  <c r="AC42" i="2"/>
  <c r="AD42" i="2"/>
  <c r="AE42" i="2"/>
  <c r="AA43" i="2"/>
  <c r="AB43" i="2"/>
  <c r="AC43" i="2"/>
  <c r="AD43" i="2"/>
  <c r="AE43" i="2"/>
  <c r="AA44" i="2"/>
  <c r="AB44" i="2"/>
  <c r="AC44" i="2"/>
  <c r="AD44" i="2"/>
  <c r="AE44" i="2"/>
  <c r="AA45" i="2"/>
  <c r="AB45" i="2"/>
  <c r="AC45" i="2"/>
  <c r="AD45" i="2"/>
  <c r="AE45" i="2"/>
  <c r="AA46" i="2"/>
  <c r="AB46" i="2"/>
  <c r="AC46" i="2"/>
  <c r="AD46" i="2"/>
  <c r="AE46" i="2"/>
  <c r="AA47" i="2"/>
  <c r="AB47" i="2"/>
  <c r="AC47" i="2"/>
  <c r="AD47" i="2"/>
  <c r="AE47" i="2"/>
  <c r="AA48" i="2"/>
  <c r="AB48" i="2"/>
  <c r="AC48" i="2"/>
  <c r="AD48" i="2"/>
  <c r="AE48" i="2"/>
  <c r="AA49" i="2"/>
  <c r="AB49" i="2"/>
  <c r="AC49" i="2"/>
  <c r="AD49" i="2"/>
  <c r="AE49" i="2"/>
  <c r="AA50" i="2"/>
  <c r="AB50" i="2"/>
  <c r="AC50" i="2"/>
  <c r="AD50" i="2"/>
  <c r="AE50" i="2"/>
  <c r="AA51" i="2"/>
  <c r="AB51" i="2"/>
  <c r="AC51" i="2"/>
  <c r="AD51" i="2"/>
  <c r="AE51" i="2"/>
  <c r="AA52" i="2"/>
  <c r="AB52" i="2"/>
  <c r="AC52" i="2"/>
  <c r="AD52" i="2"/>
  <c r="AE52" i="2"/>
  <c r="AA53" i="2"/>
  <c r="AB53" i="2"/>
  <c r="AC53" i="2"/>
  <c r="AD53" i="2"/>
  <c r="AE53" i="2"/>
  <c r="AA54" i="2"/>
  <c r="AB54" i="2"/>
  <c r="AC54" i="2"/>
  <c r="AD54" i="2"/>
  <c r="AE54" i="2"/>
  <c r="AA55" i="2"/>
  <c r="AB55" i="2"/>
  <c r="AC55" i="2"/>
  <c r="AD55" i="2"/>
  <c r="AE55" i="2"/>
  <c r="AA56" i="2"/>
  <c r="AB56" i="2"/>
  <c r="AC56" i="2"/>
  <c r="AD56" i="2"/>
  <c r="AE56" i="2"/>
  <c r="AA57" i="2"/>
  <c r="AB57" i="2"/>
  <c r="AC57" i="2"/>
  <c r="AD57" i="2"/>
  <c r="AE57" i="2"/>
  <c r="AA58" i="2"/>
  <c r="AB58" i="2"/>
  <c r="AC58" i="2"/>
  <c r="AD58" i="2"/>
  <c r="AE58" i="2"/>
  <c r="AA59" i="2"/>
  <c r="AB59" i="2"/>
  <c r="AC59" i="2"/>
  <c r="AD59" i="2"/>
  <c r="AE59" i="2"/>
  <c r="AA60" i="2"/>
  <c r="AB60" i="2"/>
  <c r="AC60" i="2"/>
  <c r="AD60" i="2"/>
  <c r="AE60" i="2"/>
  <c r="AA61" i="2"/>
  <c r="AB61" i="2"/>
  <c r="AC61" i="2"/>
  <c r="AD61" i="2"/>
  <c r="AE61" i="2"/>
  <c r="AA62" i="2"/>
  <c r="AB62" i="2"/>
  <c r="AC62" i="2"/>
  <c r="AD62" i="2"/>
  <c r="AE62" i="2"/>
  <c r="AA63" i="2"/>
  <c r="AB63" i="2"/>
  <c r="AC63" i="2"/>
  <c r="AD63" i="2"/>
  <c r="AE63" i="2"/>
  <c r="AA64" i="2"/>
  <c r="AB64" i="2"/>
  <c r="AC64" i="2"/>
  <c r="AD64" i="2"/>
  <c r="AE64" i="2"/>
  <c r="AA65" i="2"/>
  <c r="AB65" i="2"/>
  <c r="AC65" i="2"/>
  <c r="AD65" i="2"/>
  <c r="AE65" i="2"/>
  <c r="AA66" i="2"/>
  <c r="AB66" i="2"/>
  <c r="AC66" i="2"/>
  <c r="AD66" i="2"/>
  <c r="AE66" i="2"/>
  <c r="AA67" i="2"/>
  <c r="AB67" i="2"/>
  <c r="AC67" i="2"/>
  <c r="AD67" i="2"/>
  <c r="AE67" i="2"/>
  <c r="AA68" i="2"/>
  <c r="AB68" i="2"/>
  <c r="AC68" i="2"/>
  <c r="AD68" i="2"/>
  <c r="AE68" i="2"/>
  <c r="AA69" i="2"/>
  <c r="AB69" i="2"/>
  <c r="AC69" i="2"/>
  <c r="AD69" i="2"/>
  <c r="AE69" i="2"/>
  <c r="AA70" i="2"/>
  <c r="AB70" i="2"/>
  <c r="AC70" i="2"/>
  <c r="AD70" i="2"/>
  <c r="AE70" i="2"/>
  <c r="AA71" i="2"/>
  <c r="AB71" i="2"/>
  <c r="AC71" i="2"/>
  <c r="AD71" i="2"/>
  <c r="AE71" i="2"/>
  <c r="AA72" i="2"/>
  <c r="AB72" i="2"/>
  <c r="AC72" i="2"/>
  <c r="AD72" i="2"/>
  <c r="AE72" i="2"/>
  <c r="AA73" i="2"/>
  <c r="AB73" i="2"/>
  <c r="AC73" i="2"/>
  <c r="AD73" i="2"/>
  <c r="AE73" i="2"/>
  <c r="AA74" i="2"/>
  <c r="AB74" i="2"/>
  <c r="AC74" i="2"/>
  <c r="AD74" i="2"/>
  <c r="AE74" i="2"/>
  <c r="AA75" i="2"/>
  <c r="AB75" i="2"/>
  <c r="AC75" i="2"/>
  <c r="AD75" i="2"/>
  <c r="AE75" i="2"/>
  <c r="AA76" i="2"/>
  <c r="AB76" i="2"/>
  <c r="AC76" i="2"/>
  <c r="AD76" i="2"/>
  <c r="AE76" i="2"/>
  <c r="AA77" i="2"/>
  <c r="AB77" i="2"/>
  <c r="AC77" i="2"/>
  <c r="AD77" i="2"/>
  <c r="AE77" i="2"/>
  <c r="AA78" i="2"/>
  <c r="AB78" i="2"/>
  <c r="AC78" i="2"/>
  <c r="AD78" i="2"/>
  <c r="AE78" i="2"/>
  <c r="AA79" i="2"/>
  <c r="AB79" i="2"/>
  <c r="AC79" i="2"/>
  <c r="AD79" i="2"/>
  <c r="AE79" i="2"/>
  <c r="AA80" i="2"/>
  <c r="AB80" i="2"/>
  <c r="AC80" i="2"/>
  <c r="AD80" i="2"/>
  <c r="AE80" i="2"/>
  <c r="AA81" i="2"/>
  <c r="AB81" i="2"/>
  <c r="AC81" i="2"/>
  <c r="AD81" i="2"/>
  <c r="AE81" i="2"/>
  <c r="AA82" i="2"/>
  <c r="AB82" i="2"/>
  <c r="AC82" i="2"/>
  <c r="AD82" i="2"/>
  <c r="AE82" i="2"/>
  <c r="AA83" i="2"/>
  <c r="AB83" i="2"/>
  <c r="AC83" i="2"/>
  <c r="AD83" i="2"/>
  <c r="AE83" i="2"/>
  <c r="AA84" i="2"/>
  <c r="AB84" i="2"/>
  <c r="AC84" i="2"/>
  <c r="AD84" i="2"/>
  <c r="AE84" i="2"/>
  <c r="AA85" i="2"/>
  <c r="AB85" i="2"/>
  <c r="AC85" i="2"/>
  <c r="AD85" i="2"/>
  <c r="AE85" i="2"/>
  <c r="AA86" i="2"/>
  <c r="AB86" i="2"/>
  <c r="AC86" i="2"/>
  <c r="AD86" i="2"/>
  <c r="AE86" i="2"/>
  <c r="AA87" i="2"/>
  <c r="AB87" i="2"/>
  <c r="AC87" i="2"/>
  <c r="AD87" i="2"/>
  <c r="AE87" i="2"/>
  <c r="AA88" i="2"/>
  <c r="AB88" i="2"/>
  <c r="AC88" i="2"/>
  <c r="AD88" i="2"/>
  <c r="AE88" i="2"/>
  <c r="AA89" i="2"/>
  <c r="AB89" i="2"/>
  <c r="AC89" i="2"/>
  <c r="AD89" i="2"/>
  <c r="AE89" i="2"/>
  <c r="AA90" i="2"/>
  <c r="AB90" i="2"/>
  <c r="AC90" i="2"/>
  <c r="AD90" i="2"/>
  <c r="AE90" i="2"/>
  <c r="AA91" i="2"/>
  <c r="AB91" i="2"/>
  <c r="AC91" i="2"/>
  <c r="AD91" i="2"/>
  <c r="AE91" i="2"/>
  <c r="AA92" i="2"/>
  <c r="AB92" i="2"/>
  <c r="AC92" i="2"/>
  <c r="AD92" i="2"/>
  <c r="AE92" i="2"/>
  <c r="AA93" i="2"/>
  <c r="AB93" i="2"/>
  <c r="AC93" i="2"/>
  <c r="AD93" i="2"/>
  <c r="AE93" i="2"/>
  <c r="AA94" i="2"/>
  <c r="AB94" i="2"/>
  <c r="AC94" i="2"/>
  <c r="AD94" i="2"/>
  <c r="AE94" i="2"/>
  <c r="AA95" i="2"/>
  <c r="AB95" i="2"/>
  <c r="AC95" i="2"/>
  <c r="AD95" i="2"/>
  <c r="AE95" i="2"/>
  <c r="AA96" i="2"/>
  <c r="AB96" i="2"/>
  <c r="AC96" i="2"/>
  <c r="AD96" i="2"/>
  <c r="AE96" i="2"/>
  <c r="AA97" i="2"/>
  <c r="AB97" i="2"/>
  <c r="AC97" i="2"/>
  <c r="AD97" i="2"/>
  <c r="AE97" i="2"/>
  <c r="AA98" i="2"/>
  <c r="AB98" i="2"/>
  <c r="AC98" i="2"/>
  <c r="AD98" i="2"/>
  <c r="AE98" i="2"/>
  <c r="AA99" i="2"/>
  <c r="AB99" i="2"/>
  <c r="AC99" i="2"/>
  <c r="AD99" i="2"/>
  <c r="AE99" i="2"/>
  <c r="AA100" i="2"/>
  <c r="AB100" i="2"/>
  <c r="AC100" i="2"/>
  <c r="AD100" i="2"/>
  <c r="AE100" i="2"/>
  <c r="AA101" i="2"/>
  <c r="AB101" i="2"/>
  <c r="AC101" i="2"/>
  <c r="AD101" i="2"/>
  <c r="AE101" i="2"/>
  <c r="AA102" i="2"/>
  <c r="AB102" i="2"/>
  <c r="AC102" i="2"/>
  <c r="AD102" i="2"/>
  <c r="AE102" i="2"/>
  <c r="AA103" i="2"/>
  <c r="AB103" i="2"/>
  <c r="AC103" i="2"/>
  <c r="AD103" i="2"/>
  <c r="AE103" i="2"/>
  <c r="AA104" i="2"/>
  <c r="AB104" i="2"/>
  <c r="AC104" i="2"/>
  <c r="AD104" i="2"/>
  <c r="AE104" i="2"/>
  <c r="AA105" i="2"/>
  <c r="AB105" i="2"/>
  <c r="AC105" i="2"/>
  <c r="AD105" i="2"/>
  <c r="AE105" i="2"/>
  <c r="AA106" i="2"/>
  <c r="AB106" i="2"/>
  <c r="AC106" i="2"/>
  <c r="AD106" i="2"/>
  <c r="AE106" i="2"/>
  <c r="AA107" i="2"/>
  <c r="AB107" i="2"/>
  <c r="AC107" i="2"/>
  <c r="AD107" i="2"/>
  <c r="AE107" i="2"/>
  <c r="AA108" i="2"/>
  <c r="AB108" i="2"/>
  <c r="AC108" i="2"/>
  <c r="AD108" i="2"/>
  <c r="AE108" i="2"/>
  <c r="AA109" i="2"/>
  <c r="AB109" i="2"/>
  <c r="AC109" i="2"/>
  <c r="AD109" i="2"/>
  <c r="AE109" i="2"/>
  <c r="AA110" i="2"/>
  <c r="AB110" i="2"/>
  <c r="AC110" i="2"/>
  <c r="AD110" i="2"/>
  <c r="AE110" i="2"/>
  <c r="AA111" i="2"/>
  <c r="AB111" i="2"/>
  <c r="AC111" i="2"/>
  <c r="AD111" i="2"/>
  <c r="AE111" i="2"/>
  <c r="AA112" i="2"/>
  <c r="AB112" i="2"/>
  <c r="AC112" i="2"/>
  <c r="AD112" i="2"/>
  <c r="AE112" i="2"/>
  <c r="AA113" i="2"/>
  <c r="AB113" i="2"/>
  <c r="AC113" i="2"/>
  <c r="AD113" i="2"/>
  <c r="AE113" i="2"/>
  <c r="AA114" i="2"/>
  <c r="AB114" i="2"/>
  <c r="AC114" i="2"/>
  <c r="AD114" i="2"/>
  <c r="AE114" i="2"/>
  <c r="AA115" i="2"/>
  <c r="AB115" i="2"/>
  <c r="AC115" i="2"/>
  <c r="AD115" i="2"/>
  <c r="AE115" i="2"/>
  <c r="AA116" i="2"/>
  <c r="AB116" i="2"/>
  <c r="AC116" i="2"/>
  <c r="AD116" i="2"/>
  <c r="AE116" i="2"/>
  <c r="AA117" i="2"/>
  <c r="AB117" i="2"/>
  <c r="AC117" i="2"/>
  <c r="AD117" i="2"/>
  <c r="AE117" i="2"/>
  <c r="AA118" i="2"/>
  <c r="AB118" i="2"/>
  <c r="AC118" i="2"/>
  <c r="AD118" i="2"/>
  <c r="AE118" i="2"/>
  <c r="AA119" i="2"/>
  <c r="AB119" i="2"/>
  <c r="AC119" i="2"/>
  <c r="AD119" i="2"/>
  <c r="AE119" i="2"/>
  <c r="AA120" i="2"/>
  <c r="AB120" i="2"/>
  <c r="AC120" i="2"/>
  <c r="AD120" i="2"/>
  <c r="AE120" i="2"/>
  <c r="AA121" i="2"/>
  <c r="AB121" i="2"/>
  <c r="AC121" i="2"/>
  <c r="AD121" i="2"/>
  <c r="AE121" i="2"/>
  <c r="AA122" i="2"/>
  <c r="AB122" i="2"/>
  <c r="AC122" i="2"/>
  <c r="AD122" i="2"/>
  <c r="AE122" i="2"/>
  <c r="AA123" i="2"/>
  <c r="AB123" i="2"/>
  <c r="AC123" i="2"/>
  <c r="AD123" i="2"/>
  <c r="AE123" i="2"/>
  <c r="AA124" i="2"/>
  <c r="AB124" i="2"/>
  <c r="AC124" i="2"/>
  <c r="AD124" i="2"/>
  <c r="AE124" i="2"/>
  <c r="AA125" i="2"/>
  <c r="AB125" i="2"/>
  <c r="AC125" i="2"/>
  <c r="AD125" i="2"/>
  <c r="AE125" i="2"/>
  <c r="AA126" i="2"/>
  <c r="AB126" i="2"/>
  <c r="AC126" i="2"/>
  <c r="AD126" i="2"/>
  <c r="AE126" i="2"/>
  <c r="AA127" i="2"/>
  <c r="AB127" i="2"/>
  <c r="AC127" i="2"/>
  <c r="AD127" i="2"/>
  <c r="AE127" i="2"/>
  <c r="AA128" i="2"/>
  <c r="AB128" i="2"/>
  <c r="AC128" i="2"/>
  <c r="AD128" i="2"/>
  <c r="AE128" i="2"/>
  <c r="AA129" i="2"/>
  <c r="AB129" i="2"/>
  <c r="AC129" i="2"/>
  <c r="AD129" i="2"/>
  <c r="AE129" i="2"/>
  <c r="AA130" i="2"/>
  <c r="AB130" i="2"/>
  <c r="AC130" i="2"/>
  <c r="AD130" i="2"/>
  <c r="AE130" i="2"/>
  <c r="AA131" i="2"/>
  <c r="AB131" i="2"/>
  <c r="AC131" i="2"/>
  <c r="AD131" i="2"/>
  <c r="AE131" i="2"/>
  <c r="AA132" i="2"/>
  <c r="AB132" i="2"/>
  <c r="AC132" i="2"/>
  <c r="AD132" i="2"/>
  <c r="AE132" i="2"/>
  <c r="AA133" i="2"/>
  <c r="AB133" i="2"/>
  <c r="AC133" i="2"/>
  <c r="AD133" i="2"/>
  <c r="AE133" i="2"/>
  <c r="AA134" i="2"/>
  <c r="AB134" i="2"/>
  <c r="AC134" i="2"/>
  <c r="AD134" i="2"/>
  <c r="AE134" i="2"/>
  <c r="AA135" i="2"/>
  <c r="AB135" i="2"/>
  <c r="AC135" i="2"/>
  <c r="AD135" i="2"/>
  <c r="AE135" i="2"/>
  <c r="AA136" i="2"/>
  <c r="AB136" i="2"/>
  <c r="AC136" i="2"/>
  <c r="AD136" i="2"/>
  <c r="AE136" i="2"/>
  <c r="AA137" i="2"/>
  <c r="AB137" i="2"/>
  <c r="AC137" i="2"/>
  <c r="AD137" i="2"/>
  <c r="AE137" i="2"/>
  <c r="AA138" i="2"/>
  <c r="AB138" i="2"/>
  <c r="AC138" i="2"/>
  <c r="AD138" i="2"/>
  <c r="AE138" i="2"/>
  <c r="AA139" i="2"/>
  <c r="AB139" i="2"/>
  <c r="AC139" i="2"/>
  <c r="AD139" i="2"/>
  <c r="AE139" i="2"/>
  <c r="AA140" i="2"/>
  <c r="AB140" i="2"/>
  <c r="AC140" i="2"/>
  <c r="AD140" i="2"/>
  <c r="AE140" i="2"/>
  <c r="AA141" i="2"/>
  <c r="AB141" i="2"/>
  <c r="AC141" i="2"/>
  <c r="AD141" i="2"/>
  <c r="AE141" i="2"/>
  <c r="AA142" i="2"/>
  <c r="AB142" i="2"/>
  <c r="AC142" i="2"/>
  <c r="AD142" i="2"/>
  <c r="AE142" i="2"/>
  <c r="AA143" i="2"/>
  <c r="AB143" i="2"/>
  <c r="AC143" i="2"/>
  <c r="AD143" i="2"/>
  <c r="AE143" i="2"/>
  <c r="AA144" i="2"/>
  <c r="AB144" i="2"/>
  <c r="AC144" i="2"/>
  <c r="AD144" i="2"/>
  <c r="AE144" i="2"/>
  <c r="AA145" i="2"/>
  <c r="AB145" i="2"/>
  <c r="AC145" i="2"/>
  <c r="AD145" i="2"/>
  <c r="AE145" i="2"/>
  <c r="AA146" i="2"/>
  <c r="AB146" i="2"/>
  <c r="AC146" i="2"/>
  <c r="AD146" i="2"/>
  <c r="AE146" i="2"/>
  <c r="AA147" i="2"/>
  <c r="AB147" i="2"/>
  <c r="AC147" i="2"/>
  <c r="AD147" i="2"/>
  <c r="AE147" i="2"/>
  <c r="AA148" i="2"/>
  <c r="AB148" i="2"/>
  <c r="AC148" i="2"/>
  <c r="AD148" i="2"/>
  <c r="AE148" i="2"/>
  <c r="AA149" i="2"/>
  <c r="AB149" i="2"/>
  <c r="AC149" i="2"/>
  <c r="AD149" i="2"/>
  <c r="AE149" i="2"/>
  <c r="AA150" i="2"/>
  <c r="AB150" i="2"/>
  <c r="AC150" i="2"/>
  <c r="AD150" i="2"/>
  <c r="AE150" i="2"/>
  <c r="AA151" i="2"/>
  <c r="AB151" i="2"/>
  <c r="AC151" i="2"/>
  <c r="AD151" i="2"/>
  <c r="AE151" i="2"/>
  <c r="AA152" i="2"/>
  <c r="AB152" i="2"/>
  <c r="AC152" i="2"/>
  <c r="AD152" i="2"/>
  <c r="AE152" i="2"/>
  <c r="AA153" i="2"/>
  <c r="AB153" i="2"/>
  <c r="AC153" i="2"/>
  <c r="AD153" i="2"/>
  <c r="AE153" i="2"/>
  <c r="AA154" i="2"/>
  <c r="AB154" i="2"/>
  <c r="AC154" i="2"/>
  <c r="AD154" i="2"/>
  <c r="AE154" i="2"/>
  <c r="AA155" i="2"/>
  <c r="AB155" i="2"/>
  <c r="AC155" i="2"/>
  <c r="AD155" i="2"/>
  <c r="AE155" i="2"/>
  <c r="AA156" i="2"/>
  <c r="AB156" i="2"/>
  <c r="AC156" i="2"/>
  <c r="AD156" i="2"/>
  <c r="AE156" i="2"/>
  <c r="AA157" i="2"/>
  <c r="AB157" i="2"/>
  <c r="AC157" i="2"/>
  <c r="AD157" i="2"/>
  <c r="AE157" i="2"/>
  <c r="AA158" i="2"/>
  <c r="AB158" i="2"/>
  <c r="AC158" i="2"/>
  <c r="AD158" i="2"/>
  <c r="AE158" i="2"/>
  <c r="AA159" i="2"/>
  <c r="AB159" i="2"/>
  <c r="AC159" i="2"/>
  <c r="AD159" i="2"/>
  <c r="AE159" i="2"/>
  <c r="AA160" i="2"/>
  <c r="AB160" i="2"/>
  <c r="AC160" i="2"/>
  <c r="AD160" i="2"/>
  <c r="AE160" i="2"/>
  <c r="AA161" i="2"/>
  <c r="AB161" i="2"/>
  <c r="AC161" i="2"/>
  <c r="AD161" i="2"/>
  <c r="AE161" i="2"/>
  <c r="AA162" i="2"/>
  <c r="AB162" i="2"/>
  <c r="AC162" i="2"/>
  <c r="AD162" i="2"/>
  <c r="AE162" i="2"/>
  <c r="AA163" i="2"/>
  <c r="AB163" i="2"/>
  <c r="AC163" i="2"/>
  <c r="AD163" i="2"/>
  <c r="AE163" i="2"/>
  <c r="AA164" i="2"/>
  <c r="AB164" i="2"/>
  <c r="AC164" i="2"/>
  <c r="AD164" i="2"/>
  <c r="AE164" i="2"/>
  <c r="AA165" i="2"/>
  <c r="AB165" i="2"/>
  <c r="AC165" i="2"/>
  <c r="AD165" i="2"/>
  <c r="AE165" i="2"/>
  <c r="AA166" i="2"/>
  <c r="AB166" i="2"/>
  <c r="AC166" i="2"/>
  <c r="AD166" i="2"/>
  <c r="AE166" i="2"/>
  <c r="AA167" i="2"/>
  <c r="AB167" i="2"/>
  <c r="AC167" i="2"/>
  <c r="AD167" i="2"/>
  <c r="AE167" i="2"/>
  <c r="AA168" i="2"/>
  <c r="AB168" i="2"/>
  <c r="AC168" i="2"/>
  <c r="AD168" i="2"/>
  <c r="AE168" i="2"/>
  <c r="AA169" i="2"/>
  <c r="AB169" i="2"/>
  <c r="AC169" i="2"/>
  <c r="AD169" i="2"/>
  <c r="AE169" i="2"/>
  <c r="AA170" i="2"/>
  <c r="AB170" i="2"/>
  <c r="AC170" i="2"/>
  <c r="AD170" i="2"/>
  <c r="AE170" i="2"/>
  <c r="AA171" i="2"/>
  <c r="AB171" i="2"/>
  <c r="AC171" i="2"/>
  <c r="AD171" i="2"/>
  <c r="AE171" i="2"/>
  <c r="AA172" i="2"/>
  <c r="AB172" i="2"/>
  <c r="AC172" i="2"/>
  <c r="AD172" i="2"/>
  <c r="AE172" i="2"/>
  <c r="AA173" i="2"/>
  <c r="AB173" i="2"/>
  <c r="AC173" i="2"/>
  <c r="AD173" i="2"/>
  <c r="AE173" i="2"/>
  <c r="AA174" i="2"/>
  <c r="AB174" i="2"/>
  <c r="AC174" i="2"/>
  <c r="AD174" i="2"/>
  <c r="AE174" i="2"/>
  <c r="AA175" i="2"/>
  <c r="AB175" i="2"/>
  <c r="AC175" i="2"/>
  <c r="AD175" i="2"/>
  <c r="AE175" i="2"/>
  <c r="AA176" i="2"/>
  <c r="AB176" i="2"/>
  <c r="AC176" i="2"/>
  <c r="AD176" i="2"/>
  <c r="AE176" i="2"/>
  <c r="AA177" i="2"/>
  <c r="AB177" i="2"/>
  <c r="AC177" i="2"/>
  <c r="AD177" i="2"/>
  <c r="AE177" i="2"/>
  <c r="AA178" i="2"/>
  <c r="AB178" i="2"/>
  <c r="AC178" i="2"/>
  <c r="AD178" i="2"/>
  <c r="AE178" i="2"/>
  <c r="AA179" i="2"/>
  <c r="AB179" i="2"/>
  <c r="AC179" i="2"/>
  <c r="AD179" i="2"/>
  <c r="AE179" i="2"/>
  <c r="AA180" i="2"/>
  <c r="AB180" i="2"/>
  <c r="AC180" i="2"/>
  <c r="AD180" i="2"/>
  <c r="AE180" i="2"/>
  <c r="AA181" i="2"/>
  <c r="AB181" i="2"/>
  <c r="AC181" i="2"/>
  <c r="AD181" i="2"/>
  <c r="AE181" i="2"/>
  <c r="AA182" i="2"/>
  <c r="AB182" i="2"/>
  <c r="AC182" i="2"/>
  <c r="AD182" i="2"/>
  <c r="AE182" i="2"/>
  <c r="AA183" i="2"/>
  <c r="AB183" i="2"/>
  <c r="AC183" i="2"/>
  <c r="AD183" i="2"/>
  <c r="AE183" i="2"/>
  <c r="AA184" i="2"/>
  <c r="AB184" i="2"/>
  <c r="AC184" i="2"/>
  <c r="AD184" i="2"/>
  <c r="AE184" i="2"/>
  <c r="AA185" i="2"/>
  <c r="AB185" i="2"/>
  <c r="AC185" i="2"/>
  <c r="AD185" i="2"/>
  <c r="AE185" i="2"/>
  <c r="AA186" i="2"/>
  <c r="AB186" i="2"/>
  <c r="AC186" i="2"/>
  <c r="AD186" i="2"/>
  <c r="AE186" i="2"/>
  <c r="AA187" i="2"/>
  <c r="AB187" i="2"/>
  <c r="AC187" i="2"/>
  <c r="AD187" i="2"/>
  <c r="AE187" i="2"/>
  <c r="AA188" i="2"/>
  <c r="AB188" i="2"/>
  <c r="AC188" i="2"/>
  <c r="AD188" i="2"/>
  <c r="AE188" i="2"/>
  <c r="AA189" i="2"/>
  <c r="AB189" i="2"/>
  <c r="AC189" i="2"/>
  <c r="AD189" i="2"/>
  <c r="AE189" i="2"/>
  <c r="AA190" i="2"/>
  <c r="AB190" i="2"/>
  <c r="AC190" i="2"/>
  <c r="AD190" i="2"/>
  <c r="AE190" i="2"/>
  <c r="AA191" i="2"/>
  <c r="AB191" i="2"/>
  <c r="AC191" i="2"/>
  <c r="AD191" i="2"/>
  <c r="AE191" i="2"/>
  <c r="AA192" i="2"/>
  <c r="AB192" i="2"/>
  <c r="AC192" i="2"/>
  <c r="AD192" i="2"/>
  <c r="AE192" i="2"/>
  <c r="AA193" i="2"/>
  <c r="AB193" i="2"/>
  <c r="AC193" i="2"/>
  <c r="AD193" i="2"/>
  <c r="AE193" i="2"/>
  <c r="AA194" i="2"/>
  <c r="AB194" i="2"/>
  <c r="AC194" i="2"/>
  <c r="AD194" i="2"/>
  <c r="AE194" i="2"/>
  <c r="AA195" i="2"/>
  <c r="AB195" i="2"/>
  <c r="AC195" i="2"/>
  <c r="AD195" i="2"/>
  <c r="AE195" i="2"/>
  <c r="AA196" i="2"/>
  <c r="AB196" i="2"/>
  <c r="AC196" i="2"/>
  <c r="AD196" i="2"/>
  <c r="AE196" i="2"/>
  <c r="AA197" i="2"/>
  <c r="AB197" i="2"/>
  <c r="AC197" i="2"/>
  <c r="AD197" i="2"/>
  <c r="AE197" i="2"/>
  <c r="AA198" i="2"/>
  <c r="AB198" i="2"/>
  <c r="AC198" i="2"/>
  <c r="AD198" i="2"/>
  <c r="AE198" i="2"/>
  <c r="AA199" i="2"/>
  <c r="AB199" i="2"/>
  <c r="AC199" i="2"/>
  <c r="AD199" i="2"/>
  <c r="AE199" i="2"/>
  <c r="AA200" i="2"/>
  <c r="AB200" i="2"/>
  <c r="AC200" i="2"/>
  <c r="AD200" i="2"/>
  <c r="AE200" i="2"/>
  <c r="AA201" i="2"/>
  <c r="AB201" i="2"/>
  <c r="AC201" i="2"/>
  <c r="AD201" i="2"/>
  <c r="AE201" i="2"/>
  <c r="AA202" i="2"/>
  <c r="AB202" i="2"/>
  <c r="AC202" i="2"/>
  <c r="AD202" i="2"/>
  <c r="AE202" i="2"/>
  <c r="AA203" i="2"/>
  <c r="AB203" i="2"/>
  <c r="AC203" i="2"/>
  <c r="AD203" i="2"/>
  <c r="AE203" i="2"/>
  <c r="AA204" i="2"/>
  <c r="AB204" i="2"/>
  <c r="AC204" i="2"/>
  <c r="AD204" i="2"/>
  <c r="AE204" i="2"/>
  <c r="AA205" i="2"/>
  <c r="AB205" i="2"/>
  <c r="AC205" i="2"/>
  <c r="AD205" i="2"/>
  <c r="AE205" i="2"/>
  <c r="AA206" i="2"/>
  <c r="AB206" i="2"/>
  <c r="AC206" i="2"/>
  <c r="AD206" i="2"/>
  <c r="AE206" i="2"/>
  <c r="AA207" i="2"/>
  <c r="AB207" i="2"/>
  <c r="AC207" i="2"/>
  <c r="AD207" i="2"/>
  <c r="AE207" i="2"/>
  <c r="AA208" i="2"/>
  <c r="AB208" i="2"/>
  <c r="AC208" i="2"/>
  <c r="AD208" i="2"/>
  <c r="AE208" i="2"/>
  <c r="AA209" i="2"/>
  <c r="AB209" i="2"/>
  <c r="AC209" i="2"/>
  <c r="AD209" i="2"/>
  <c r="AE209" i="2"/>
  <c r="AA210" i="2"/>
  <c r="AB210" i="2"/>
  <c r="AC210" i="2"/>
  <c r="AD210" i="2"/>
  <c r="AE210" i="2"/>
  <c r="AA211" i="2"/>
  <c r="AB211" i="2"/>
  <c r="AC211" i="2"/>
  <c r="AD211" i="2"/>
  <c r="AE211" i="2"/>
  <c r="AA212" i="2"/>
  <c r="AB212" i="2"/>
  <c r="AC212" i="2"/>
  <c r="AD212" i="2"/>
  <c r="AE212" i="2"/>
  <c r="AA213" i="2"/>
  <c r="AB213" i="2"/>
  <c r="AC213" i="2"/>
  <c r="AD213" i="2"/>
  <c r="AE213" i="2"/>
  <c r="AA214" i="2"/>
  <c r="AB214" i="2"/>
  <c r="AC214" i="2"/>
  <c r="AD214" i="2"/>
  <c r="AE214" i="2"/>
  <c r="AA215" i="2"/>
  <c r="AB215" i="2"/>
  <c r="AC215" i="2"/>
  <c r="AD215" i="2"/>
  <c r="AE215" i="2"/>
  <c r="AA216" i="2"/>
  <c r="AB216" i="2"/>
  <c r="AC216" i="2"/>
  <c r="AD216" i="2"/>
  <c r="AE216" i="2"/>
  <c r="AA217" i="2"/>
  <c r="AB217" i="2"/>
  <c r="AC217" i="2"/>
  <c r="AD217" i="2"/>
  <c r="AE217" i="2"/>
  <c r="AA218" i="2"/>
  <c r="AB218" i="2"/>
  <c r="AC218" i="2"/>
  <c r="AD218" i="2"/>
  <c r="AE218" i="2"/>
  <c r="AA219" i="2"/>
  <c r="AB219" i="2"/>
  <c r="AC219" i="2"/>
  <c r="AD219" i="2"/>
  <c r="AE219" i="2"/>
  <c r="X3" i="2"/>
  <c r="Z3" i="2"/>
  <c r="X4" i="2"/>
  <c r="Z4" i="2"/>
  <c r="X5" i="2"/>
  <c r="Z5" i="2"/>
  <c r="X6" i="2"/>
  <c r="Z6" i="2"/>
  <c r="X7" i="2"/>
  <c r="Z7" i="2"/>
  <c r="X8" i="2"/>
  <c r="Z8" i="2"/>
  <c r="X9" i="2"/>
  <c r="Z9" i="2"/>
  <c r="X10" i="2"/>
  <c r="Z10" i="2"/>
  <c r="X11" i="2"/>
  <c r="Z11" i="2"/>
  <c r="X12" i="2"/>
  <c r="Z12" i="2"/>
  <c r="X13" i="2"/>
  <c r="Z13" i="2"/>
  <c r="X14" i="2"/>
  <c r="Z14" i="2"/>
  <c r="X15" i="2"/>
  <c r="Z15" i="2"/>
  <c r="X16" i="2"/>
  <c r="Z16" i="2"/>
  <c r="X17" i="2"/>
  <c r="Z17" i="2"/>
  <c r="X18" i="2"/>
  <c r="Z18" i="2"/>
  <c r="X19" i="2"/>
  <c r="Z19" i="2"/>
  <c r="X20" i="2"/>
  <c r="Z20" i="2"/>
  <c r="X21" i="2"/>
  <c r="Z21" i="2"/>
  <c r="X22" i="2"/>
  <c r="Z22" i="2"/>
  <c r="X23" i="2"/>
  <c r="Z23" i="2"/>
  <c r="X24" i="2"/>
  <c r="Z24" i="2"/>
  <c r="X25" i="2"/>
  <c r="Z25" i="2"/>
  <c r="X26" i="2"/>
  <c r="Z26" i="2"/>
  <c r="X27" i="2"/>
  <c r="Z27" i="2"/>
  <c r="X28" i="2"/>
  <c r="Z28" i="2"/>
  <c r="X29" i="2"/>
  <c r="Z29" i="2"/>
  <c r="X30" i="2"/>
  <c r="Z30" i="2"/>
  <c r="X31" i="2"/>
  <c r="Z31" i="2"/>
  <c r="X32" i="2"/>
  <c r="Z32" i="2"/>
  <c r="X33" i="2"/>
  <c r="Z33" i="2"/>
  <c r="X34" i="2"/>
  <c r="Z34" i="2"/>
  <c r="X35" i="2"/>
  <c r="Z35" i="2"/>
  <c r="X36" i="2"/>
  <c r="Z36" i="2"/>
  <c r="X37" i="2"/>
  <c r="Z37" i="2"/>
  <c r="X38" i="2"/>
  <c r="Z38" i="2"/>
  <c r="X39" i="2"/>
  <c r="Z39" i="2"/>
  <c r="X40" i="2"/>
  <c r="Z40" i="2"/>
  <c r="X41" i="2"/>
  <c r="Z41" i="2"/>
  <c r="X42" i="2"/>
  <c r="Z42" i="2"/>
  <c r="X43" i="2"/>
  <c r="Z43" i="2"/>
  <c r="X44" i="2"/>
  <c r="Z44" i="2"/>
  <c r="X45" i="2"/>
  <c r="Z45" i="2"/>
  <c r="X46" i="2"/>
  <c r="Z46" i="2"/>
  <c r="X47" i="2"/>
  <c r="Z47" i="2"/>
  <c r="X48" i="2"/>
  <c r="Z48" i="2"/>
  <c r="X49" i="2"/>
  <c r="Z49" i="2"/>
  <c r="X50" i="2"/>
  <c r="Z50" i="2"/>
  <c r="X51" i="2"/>
  <c r="Z51" i="2"/>
  <c r="X52" i="2"/>
  <c r="Z52" i="2"/>
  <c r="X53" i="2"/>
  <c r="Z53" i="2"/>
  <c r="X54" i="2"/>
  <c r="Z54" i="2"/>
  <c r="X55" i="2"/>
  <c r="Z55" i="2"/>
  <c r="X56" i="2"/>
  <c r="Z56" i="2"/>
  <c r="X57" i="2"/>
  <c r="Z57" i="2"/>
  <c r="X58" i="2"/>
  <c r="Z58" i="2"/>
  <c r="X59" i="2"/>
  <c r="Z59" i="2"/>
  <c r="X60" i="2"/>
  <c r="Z60" i="2"/>
  <c r="X61" i="2"/>
  <c r="Z61" i="2"/>
  <c r="X62" i="2"/>
  <c r="Z62" i="2"/>
  <c r="X63" i="2"/>
  <c r="Z63" i="2"/>
  <c r="X64" i="2"/>
  <c r="Z64" i="2"/>
  <c r="X65" i="2"/>
  <c r="Z65" i="2"/>
  <c r="X66" i="2"/>
  <c r="Z66" i="2"/>
  <c r="X67" i="2"/>
  <c r="Z67" i="2"/>
  <c r="X68" i="2"/>
  <c r="Z68" i="2"/>
  <c r="X69" i="2"/>
  <c r="Z69" i="2"/>
  <c r="X70" i="2"/>
  <c r="Z70" i="2"/>
  <c r="X71" i="2"/>
  <c r="Z71" i="2"/>
  <c r="X72" i="2"/>
  <c r="Z72" i="2"/>
  <c r="X73" i="2"/>
  <c r="Z73" i="2"/>
  <c r="X74" i="2"/>
  <c r="Z74" i="2"/>
  <c r="X75" i="2"/>
  <c r="Z75" i="2"/>
  <c r="X76" i="2"/>
  <c r="Z76" i="2"/>
  <c r="X77" i="2"/>
  <c r="Z77" i="2"/>
  <c r="X78" i="2"/>
  <c r="Z78" i="2"/>
  <c r="X79" i="2"/>
  <c r="Z79" i="2"/>
  <c r="X80" i="2"/>
  <c r="Z80" i="2"/>
  <c r="X81" i="2"/>
  <c r="Z81" i="2"/>
  <c r="X82" i="2"/>
  <c r="Z82" i="2"/>
  <c r="X83" i="2"/>
  <c r="Z83" i="2"/>
  <c r="X84" i="2"/>
  <c r="Z84" i="2"/>
  <c r="X85" i="2"/>
  <c r="Z85" i="2"/>
  <c r="X86" i="2"/>
  <c r="Z86" i="2"/>
  <c r="X87" i="2"/>
  <c r="Z87" i="2"/>
  <c r="X88" i="2"/>
  <c r="Z88" i="2"/>
  <c r="X89" i="2"/>
  <c r="Z89" i="2"/>
  <c r="X90" i="2"/>
  <c r="Z90" i="2"/>
  <c r="X91" i="2"/>
  <c r="Z91" i="2"/>
  <c r="X92" i="2"/>
  <c r="Z92" i="2"/>
  <c r="X93" i="2"/>
  <c r="Z93" i="2"/>
  <c r="X94" i="2"/>
  <c r="Z94" i="2"/>
  <c r="X95" i="2"/>
  <c r="Z95" i="2"/>
  <c r="X96" i="2"/>
  <c r="Z96" i="2"/>
  <c r="X97" i="2"/>
  <c r="Z97" i="2"/>
  <c r="X98" i="2"/>
  <c r="Z98" i="2"/>
  <c r="X99" i="2"/>
  <c r="Z99" i="2"/>
  <c r="X100" i="2"/>
  <c r="Z100" i="2"/>
  <c r="X101" i="2"/>
  <c r="Z101" i="2"/>
  <c r="X102" i="2"/>
  <c r="Z102" i="2"/>
  <c r="X103" i="2"/>
  <c r="Z103" i="2"/>
  <c r="X104" i="2"/>
  <c r="Z104" i="2"/>
  <c r="X105" i="2"/>
  <c r="Z105" i="2"/>
  <c r="X106" i="2"/>
  <c r="Z106" i="2"/>
  <c r="X107" i="2"/>
  <c r="Z107" i="2"/>
  <c r="X108" i="2"/>
  <c r="Z108" i="2"/>
  <c r="X109" i="2"/>
  <c r="Z109" i="2"/>
  <c r="X110" i="2"/>
  <c r="Z110" i="2"/>
  <c r="X111" i="2"/>
  <c r="Z111" i="2"/>
  <c r="X112" i="2"/>
  <c r="Z112" i="2"/>
  <c r="X113" i="2"/>
  <c r="Z113" i="2"/>
  <c r="X114" i="2"/>
  <c r="Z114" i="2"/>
  <c r="X115" i="2"/>
  <c r="Z115" i="2"/>
  <c r="X116" i="2"/>
  <c r="Z116" i="2"/>
  <c r="X117" i="2"/>
  <c r="Z117" i="2"/>
  <c r="X118" i="2"/>
  <c r="Z118" i="2"/>
  <c r="X119" i="2"/>
  <c r="Z119" i="2"/>
  <c r="X120" i="2"/>
  <c r="Z120" i="2"/>
  <c r="X121" i="2"/>
  <c r="Z121" i="2"/>
  <c r="X122" i="2"/>
  <c r="Z122" i="2"/>
  <c r="X123" i="2"/>
  <c r="Z123" i="2"/>
  <c r="X124" i="2"/>
  <c r="Z124" i="2"/>
  <c r="X125" i="2"/>
  <c r="Z125" i="2"/>
  <c r="X126" i="2"/>
  <c r="Z126" i="2"/>
  <c r="X127" i="2"/>
  <c r="Z127" i="2"/>
  <c r="X128" i="2"/>
  <c r="Z128" i="2"/>
  <c r="X129" i="2"/>
  <c r="Z129" i="2"/>
  <c r="X130" i="2"/>
  <c r="Z130" i="2"/>
  <c r="X131" i="2"/>
  <c r="Z131" i="2"/>
  <c r="X132" i="2"/>
  <c r="Z132" i="2"/>
  <c r="X133" i="2"/>
  <c r="Z133" i="2"/>
  <c r="X134" i="2"/>
  <c r="Z134" i="2"/>
  <c r="X135" i="2"/>
  <c r="Z135" i="2"/>
  <c r="X136" i="2"/>
  <c r="Z136" i="2"/>
  <c r="X137" i="2"/>
  <c r="Z137" i="2"/>
  <c r="X138" i="2"/>
  <c r="Z138" i="2"/>
  <c r="X139" i="2"/>
  <c r="Z139" i="2"/>
  <c r="X140" i="2"/>
  <c r="Z140" i="2"/>
  <c r="X141" i="2"/>
  <c r="Z141" i="2"/>
  <c r="X142" i="2"/>
  <c r="Z142" i="2"/>
  <c r="X143" i="2"/>
  <c r="Z143" i="2"/>
  <c r="X144" i="2"/>
  <c r="Z144" i="2"/>
  <c r="X145" i="2"/>
  <c r="Z145" i="2"/>
  <c r="X146" i="2"/>
  <c r="Z146" i="2"/>
  <c r="X147" i="2"/>
  <c r="Z147" i="2"/>
  <c r="X148" i="2"/>
  <c r="Z148" i="2"/>
  <c r="X149" i="2"/>
  <c r="Z149" i="2"/>
  <c r="X150" i="2"/>
  <c r="Z150" i="2"/>
  <c r="X151" i="2"/>
  <c r="Z151" i="2"/>
  <c r="X152" i="2"/>
  <c r="Z152" i="2"/>
  <c r="X153" i="2"/>
  <c r="Z153" i="2"/>
  <c r="X154" i="2"/>
  <c r="Z154" i="2"/>
  <c r="X155" i="2"/>
  <c r="Z155" i="2"/>
  <c r="X156" i="2"/>
  <c r="Z156" i="2"/>
  <c r="X157" i="2"/>
  <c r="Z157" i="2"/>
  <c r="X158" i="2"/>
  <c r="Z158" i="2"/>
  <c r="X159" i="2"/>
  <c r="Z159" i="2"/>
  <c r="X160" i="2"/>
  <c r="Z160" i="2"/>
  <c r="X161" i="2"/>
  <c r="Z161" i="2"/>
  <c r="X162" i="2"/>
  <c r="Z162" i="2"/>
  <c r="X163" i="2"/>
  <c r="Z163" i="2"/>
  <c r="X164" i="2"/>
  <c r="Z164" i="2"/>
  <c r="X165" i="2"/>
  <c r="Z165" i="2"/>
  <c r="X166" i="2"/>
  <c r="Z166" i="2"/>
  <c r="X167" i="2"/>
  <c r="Z167" i="2"/>
  <c r="X168" i="2"/>
  <c r="Z168" i="2"/>
  <c r="X169" i="2"/>
  <c r="Z169" i="2"/>
  <c r="X170" i="2"/>
  <c r="Z170" i="2"/>
  <c r="X171" i="2"/>
  <c r="Z171" i="2"/>
  <c r="X172" i="2"/>
  <c r="Z172" i="2"/>
  <c r="X173" i="2"/>
  <c r="Z173" i="2"/>
  <c r="X174" i="2"/>
  <c r="Z174" i="2"/>
  <c r="X175" i="2"/>
  <c r="Z175" i="2"/>
  <c r="X176" i="2"/>
  <c r="Z176" i="2"/>
  <c r="X177" i="2"/>
  <c r="Z177" i="2"/>
  <c r="X178" i="2"/>
  <c r="Z178" i="2"/>
  <c r="X179" i="2"/>
  <c r="Z179" i="2"/>
  <c r="X180" i="2"/>
  <c r="Z180" i="2"/>
  <c r="X181" i="2"/>
  <c r="Z181" i="2"/>
  <c r="X182" i="2"/>
  <c r="Z182" i="2"/>
  <c r="X183" i="2"/>
  <c r="Z183" i="2"/>
  <c r="X184" i="2"/>
  <c r="Z184" i="2"/>
  <c r="X185" i="2"/>
  <c r="Z185" i="2"/>
  <c r="X186" i="2"/>
  <c r="Z186" i="2"/>
  <c r="X187" i="2"/>
  <c r="Z187" i="2"/>
  <c r="X188" i="2"/>
  <c r="Z188" i="2"/>
  <c r="X189" i="2"/>
  <c r="Z189" i="2"/>
  <c r="X190" i="2"/>
  <c r="Z190" i="2"/>
  <c r="X191" i="2"/>
  <c r="Z191" i="2"/>
  <c r="X192" i="2"/>
  <c r="Z192" i="2"/>
  <c r="X193" i="2"/>
  <c r="Z193" i="2"/>
  <c r="X194" i="2"/>
  <c r="Z194" i="2"/>
  <c r="X195" i="2"/>
  <c r="Z195" i="2"/>
  <c r="X196" i="2"/>
  <c r="Z196" i="2"/>
  <c r="X197" i="2"/>
  <c r="Z197" i="2"/>
  <c r="X198" i="2"/>
  <c r="Z198" i="2"/>
  <c r="X199" i="2"/>
  <c r="Z199" i="2"/>
  <c r="X200" i="2"/>
  <c r="Z200" i="2"/>
  <c r="X201" i="2"/>
  <c r="Z201" i="2"/>
  <c r="X202" i="2"/>
  <c r="Z202" i="2"/>
  <c r="X203" i="2"/>
  <c r="Z203" i="2"/>
  <c r="X204" i="2"/>
  <c r="Z204" i="2"/>
  <c r="X205" i="2"/>
  <c r="Z205" i="2"/>
  <c r="X206" i="2"/>
  <c r="Z206" i="2"/>
  <c r="X207" i="2"/>
  <c r="Z207" i="2"/>
  <c r="X208" i="2"/>
  <c r="Z208" i="2"/>
  <c r="X209" i="2"/>
  <c r="Z209" i="2"/>
  <c r="X210" i="2"/>
  <c r="Z210" i="2"/>
  <c r="X211" i="2"/>
  <c r="Z211" i="2"/>
  <c r="X212" i="2"/>
  <c r="Z212" i="2"/>
  <c r="X213" i="2"/>
  <c r="Z213" i="2"/>
  <c r="X214" i="2"/>
  <c r="Z214" i="2"/>
  <c r="X215" i="2"/>
  <c r="Z215" i="2"/>
  <c r="X216" i="2"/>
  <c r="Z216" i="2"/>
  <c r="X217" i="2"/>
  <c r="Z217" i="2"/>
  <c r="X218" i="2"/>
  <c r="Z218" i="2"/>
  <c r="X219" i="2"/>
  <c r="Z219" i="2"/>
  <c r="U3" i="2"/>
  <c r="V3" i="2"/>
  <c r="W3" i="2"/>
  <c r="U4" i="2"/>
  <c r="V4" i="2"/>
  <c r="W4" i="2"/>
  <c r="U5" i="2"/>
  <c r="V5" i="2"/>
  <c r="W5" i="2"/>
  <c r="U6" i="2"/>
  <c r="V6" i="2"/>
  <c r="W6" i="2"/>
  <c r="U7" i="2"/>
  <c r="V7" i="2"/>
  <c r="W7" i="2"/>
  <c r="U8" i="2"/>
  <c r="V8" i="2"/>
  <c r="W8" i="2"/>
  <c r="U9" i="2"/>
  <c r="V9" i="2"/>
  <c r="W9" i="2"/>
  <c r="U10" i="2"/>
  <c r="V10" i="2"/>
  <c r="W10" i="2"/>
  <c r="U11" i="2"/>
  <c r="V11" i="2"/>
  <c r="W11" i="2"/>
  <c r="U12" i="2"/>
  <c r="V12" i="2"/>
  <c r="W12" i="2"/>
  <c r="U13" i="2"/>
  <c r="V13" i="2"/>
  <c r="W13" i="2"/>
  <c r="U14" i="2"/>
  <c r="V14" i="2"/>
  <c r="W14" i="2"/>
  <c r="U15" i="2"/>
  <c r="V15" i="2"/>
  <c r="W15" i="2"/>
  <c r="U16" i="2"/>
  <c r="V16" i="2"/>
  <c r="W16" i="2"/>
  <c r="U17" i="2"/>
  <c r="V17" i="2"/>
  <c r="W17" i="2"/>
  <c r="U18" i="2"/>
  <c r="V18" i="2"/>
  <c r="W18" i="2"/>
  <c r="U19" i="2"/>
  <c r="V19" i="2"/>
  <c r="W19" i="2"/>
  <c r="U20" i="2"/>
  <c r="V20" i="2"/>
  <c r="W20" i="2"/>
  <c r="U21" i="2"/>
  <c r="V21" i="2"/>
  <c r="W21" i="2"/>
  <c r="U22" i="2"/>
  <c r="V22" i="2"/>
  <c r="W22" i="2"/>
  <c r="U23" i="2"/>
  <c r="V23" i="2"/>
  <c r="W23" i="2"/>
  <c r="U24" i="2"/>
  <c r="V24" i="2"/>
  <c r="W24" i="2"/>
  <c r="U25" i="2"/>
  <c r="V25" i="2"/>
  <c r="W25" i="2"/>
  <c r="U26" i="2"/>
  <c r="V26" i="2"/>
  <c r="W26" i="2"/>
  <c r="U27" i="2"/>
  <c r="V27" i="2"/>
  <c r="W27" i="2"/>
  <c r="U28" i="2"/>
  <c r="V28" i="2"/>
  <c r="W28" i="2"/>
  <c r="U29" i="2"/>
  <c r="V29" i="2"/>
  <c r="W29" i="2"/>
  <c r="U30" i="2"/>
  <c r="V30" i="2"/>
  <c r="W30" i="2"/>
  <c r="U31" i="2"/>
  <c r="V31" i="2"/>
  <c r="W31" i="2"/>
  <c r="U32" i="2"/>
  <c r="V32" i="2"/>
  <c r="W32" i="2"/>
  <c r="U33" i="2"/>
  <c r="V33" i="2"/>
  <c r="W33" i="2"/>
  <c r="U34" i="2"/>
  <c r="V34" i="2"/>
  <c r="W34" i="2"/>
  <c r="U35" i="2"/>
  <c r="V35" i="2"/>
  <c r="W35" i="2"/>
  <c r="U36" i="2"/>
  <c r="V36" i="2"/>
  <c r="W36" i="2"/>
  <c r="U37" i="2"/>
  <c r="V37" i="2"/>
  <c r="W37" i="2"/>
  <c r="U38" i="2"/>
  <c r="V38" i="2"/>
  <c r="W38" i="2"/>
  <c r="U39" i="2"/>
  <c r="V39" i="2"/>
  <c r="W39" i="2"/>
  <c r="U40" i="2"/>
  <c r="V40" i="2"/>
  <c r="W40" i="2"/>
  <c r="U41" i="2"/>
  <c r="V41" i="2"/>
  <c r="W41" i="2"/>
  <c r="U42" i="2"/>
  <c r="V42" i="2"/>
  <c r="W42" i="2"/>
  <c r="U43" i="2"/>
  <c r="V43" i="2"/>
  <c r="W43" i="2"/>
  <c r="U44" i="2"/>
  <c r="V44" i="2"/>
  <c r="W44" i="2"/>
  <c r="U45" i="2"/>
  <c r="V45" i="2"/>
  <c r="W45" i="2"/>
  <c r="U46" i="2"/>
  <c r="V46" i="2"/>
  <c r="W46" i="2"/>
  <c r="U47" i="2"/>
  <c r="V47" i="2"/>
  <c r="W47" i="2"/>
  <c r="U48" i="2"/>
  <c r="V48" i="2"/>
  <c r="W48" i="2"/>
  <c r="U49" i="2"/>
  <c r="V49" i="2"/>
  <c r="W49" i="2"/>
  <c r="U50" i="2"/>
  <c r="V50" i="2"/>
  <c r="W50" i="2"/>
  <c r="U51" i="2"/>
  <c r="V51" i="2"/>
  <c r="W51" i="2"/>
  <c r="U52" i="2"/>
  <c r="V52" i="2"/>
  <c r="W52" i="2"/>
  <c r="U53" i="2"/>
  <c r="V53" i="2"/>
  <c r="W53" i="2"/>
  <c r="U54" i="2"/>
  <c r="V54" i="2"/>
  <c r="W54" i="2"/>
  <c r="U55" i="2"/>
  <c r="V55" i="2"/>
  <c r="W55" i="2"/>
  <c r="U56" i="2"/>
  <c r="V56" i="2"/>
  <c r="W56" i="2"/>
  <c r="U57" i="2"/>
  <c r="V57" i="2"/>
  <c r="W57" i="2"/>
  <c r="U58" i="2"/>
  <c r="V58" i="2"/>
  <c r="W58" i="2"/>
  <c r="U59" i="2"/>
  <c r="V59" i="2"/>
  <c r="W59" i="2"/>
  <c r="U60" i="2"/>
  <c r="V60" i="2"/>
  <c r="W60" i="2"/>
  <c r="U61" i="2"/>
  <c r="V61" i="2"/>
  <c r="W61" i="2"/>
  <c r="U62" i="2"/>
  <c r="V62" i="2"/>
  <c r="W62" i="2"/>
  <c r="U63" i="2"/>
  <c r="V63" i="2"/>
  <c r="W63" i="2"/>
  <c r="U64" i="2"/>
  <c r="V64" i="2"/>
  <c r="W64" i="2"/>
  <c r="U65" i="2"/>
  <c r="V65" i="2"/>
  <c r="W65" i="2"/>
  <c r="U66" i="2"/>
  <c r="V66" i="2"/>
  <c r="W66" i="2"/>
  <c r="U67" i="2"/>
  <c r="V67" i="2"/>
  <c r="W67" i="2"/>
  <c r="U68" i="2"/>
  <c r="V68" i="2"/>
  <c r="W68" i="2"/>
  <c r="U69" i="2"/>
  <c r="V69" i="2"/>
  <c r="W69" i="2"/>
  <c r="U70" i="2"/>
  <c r="V70" i="2"/>
  <c r="W70" i="2"/>
  <c r="U71" i="2"/>
  <c r="V71" i="2"/>
  <c r="W71" i="2"/>
  <c r="U72" i="2"/>
  <c r="V72" i="2"/>
  <c r="W72" i="2"/>
  <c r="U73" i="2"/>
  <c r="V73" i="2"/>
  <c r="W73" i="2"/>
  <c r="U74" i="2"/>
  <c r="V74" i="2"/>
  <c r="W74" i="2"/>
  <c r="U75" i="2"/>
  <c r="V75" i="2"/>
  <c r="W75" i="2"/>
  <c r="U76" i="2"/>
  <c r="V76" i="2"/>
  <c r="W76" i="2"/>
  <c r="U77" i="2"/>
  <c r="V77" i="2"/>
  <c r="W77" i="2"/>
  <c r="U78" i="2"/>
  <c r="V78" i="2"/>
  <c r="W78" i="2"/>
  <c r="U79" i="2"/>
  <c r="V79" i="2"/>
  <c r="W79" i="2"/>
  <c r="U80" i="2"/>
  <c r="V80" i="2"/>
  <c r="W80" i="2"/>
  <c r="U81" i="2"/>
  <c r="V81" i="2"/>
  <c r="W81" i="2"/>
  <c r="U82" i="2"/>
  <c r="V82" i="2"/>
  <c r="W82" i="2"/>
  <c r="U83" i="2"/>
  <c r="V83" i="2"/>
  <c r="W83" i="2"/>
  <c r="U84" i="2"/>
  <c r="V84" i="2"/>
  <c r="W84" i="2"/>
  <c r="U85" i="2"/>
  <c r="V85" i="2"/>
  <c r="W85" i="2"/>
  <c r="U86" i="2"/>
  <c r="V86" i="2"/>
  <c r="W86" i="2"/>
  <c r="U87" i="2"/>
  <c r="V87" i="2"/>
  <c r="W87" i="2"/>
  <c r="U88" i="2"/>
  <c r="V88" i="2"/>
  <c r="W88" i="2"/>
  <c r="U89" i="2"/>
  <c r="V89" i="2"/>
  <c r="W89" i="2"/>
  <c r="U90" i="2"/>
  <c r="V90" i="2"/>
  <c r="W90" i="2"/>
  <c r="U91" i="2"/>
  <c r="V91" i="2"/>
  <c r="W91" i="2"/>
  <c r="U92" i="2"/>
  <c r="V92" i="2"/>
  <c r="W92" i="2"/>
  <c r="U93" i="2"/>
  <c r="V93" i="2"/>
  <c r="W93" i="2"/>
  <c r="U94" i="2"/>
  <c r="V94" i="2"/>
  <c r="W94" i="2"/>
  <c r="U95" i="2"/>
  <c r="V95" i="2"/>
  <c r="W95" i="2"/>
  <c r="U96" i="2"/>
  <c r="V96" i="2"/>
  <c r="W96" i="2"/>
  <c r="U97" i="2"/>
  <c r="V97" i="2"/>
  <c r="W97" i="2"/>
  <c r="U98" i="2"/>
  <c r="V98" i="2"/>
  <c r="W98" i="2"/>
  <c r="U99" i="2"/>
  <c r="V99" i="2"/>
  <c r="W99" i="2"/>
  <c r="U100" i="2"/>
  <c r="V100" i="2"/>
  <c r="W100" i="2"/>
  <c r="U101" i="2"/>
  <c r="V101" i="2"/>
  <c r="W101" i="2"/>
  <c r="U102" i="2"/>
  <c r="V102" i="2"/>
  <c r="W102" i="2"/>
  <c r="U103" i="2"/>
  <c r="V103" i="2"/>
  <c r="W103" i="2"/>
  <c r="U104" i="2"/>
  <c r="V104" i="2"/>
  <c r="W104" i="2"/>
  <c r="U105" i="2"/>
  <c r="V105" i="2"/>
  <c r="W105" i="2"/>
  <c r="U106" i="2"/>
  <c r="V106" i="2"/>
  <c r="W106" i="2"/>
  <c r="U107" i="2"/>
  <c r="V107" i="2"/>
  <c r="W107" i="2"/>
  <c r="U108" i="2"/>
  <c r="V108" i="2"/>
  <c r="W108" i="2"/>
  <c r="U109" i="2"/>
  <c r="V109" i="2"/>
  <c r="W109" i="2"/>
  <c r="U110" i="2"/>
  <c r="V110" i="2"/>
  <c r="W110" i="2"/>
  <c r="U111" i="2"/>
  <c r="V111" i="2"/>
  <c r="W111" i="2"/>
  <c r="U112" i="2"/>
  <c r="V112" i="2"/>
  <c r="W112" i="2"/>
  <c r="U113" i="2"/>
  <c r="V113" i="2"/>
  <c r="W113" i="2"/>
  <c r="U114" i="2"/>
  <c r="V114" i="2"/>
  <c r="W114" i="2"/>
  <c r="U115" i="2"/>
  <c r="V115" i="2"/>
  <c r="W115" i="2"/>
  <c r="U116" i="2"/>
  <c r="V116" i="2"/>
  <c r="W116" i="2"/>
  <c r="U117" i="2"/>
  <c r="V117" i="2"/>
  <c r="W117" i="2"/>
  <c r="U118" i="2"/>
  <c r="V118" i="2"/>
  <c r="W118" i="2"/>
  <c r="U119" i="2"/>
  <c r="V119" i="2"/>
  <c r="W119" i="2"/>
  <c r="U120" i="2"/>
  <c r="V120" i="2"/>
  <c r="W120" i="2"/>
  <c r="U121" i="2"/>
  <c r="V121" i="2"/>
  <c r="W121" i="2"/>
  <c r="U122" i="2"/>
  <c r="V122" i="2"/>
  <c r="W122" i="2"/>
  <c r="U123" i="2"/>
  <c r="V123" i="2"/>
  <c r="W123" i="2"/>
  <c r="U124" i="2"/>
  <c r="V124" i="2"/>
  <c r="W124" i="2"/>
  <c r="U125" i="2"/>
  <c r="V125" i="2"/>
  <c r="W125" i="2"/>
  <c r="U126" i="2"/>
  <c r="V126" i="2"/>
  <c r="W126" i="2"/>
  <c r="U127" i="2"/>
  <c r="V127" i="2"/>
  <c r="W127" i="2"/>
  <c r="U128" i="2"/>
  <c r="V128" i="2"/>
  <c r="W128" i="2"/>
  <c r="U129" i="2"/>
  <c r="V129" i="2"/>
  <c r="W129" i="2"/>
  <c r="U130" i="2"/>
  <c r="V130" i="2"/>
  <c r="W130" i="2"/>
  <c r="U131" i="2"/>
  <c r="V131" i="2"/>
  <c r="W131" i="2"/>
  <c r="U132" i="2"/>
  <c r="V132" i="2"/>
  <c r="W132" i="2"/>
  <c r="U133" i="2"/>
  <c r="V133" i="2"/>
  <c r="W133" i="2"/>
  <c r="U134" i="2"/>
  <c r="V134" i="2"/>
  <c r="W134" i="2"/>
  <c r="U135" i="2"/>
  <c r="V135" i="2"/>
  <c r="W135" i="2"/>
  <c r="U136" i="2"/>
  <c r="V136" i="2"/>
  <c r="W136" i="2"/>
  <c r="U137" i="2"/>
  <c r="V137" i="2"/>
  <c r="W137" i="2"/>
  <c r="U138" i="2"/>
  <c r="V138" i="2"/>
  <c r="W138" i="2"/>
  <c r="U139" i="2"/>
  <c r="V139" i="2"/>
  <c r="W139" i="2"/>
  <c r="U140" i="2"/>
  <c r="V140" i="2"/>
  <c r="W140" i="2"/>
  <c r="U141" i="2"/>
  <c r="V141" i="2"/>
  <c r="W141" i="2"/>
  <c r="U142" i="2"/>
  <c r="V142" i="2"/>
  <c r="W142" i="2"/>
  <c r="U143" i="2"/>
  <c r="V143" i="2"/>
  <c r="W143" i="2"/>
  <c r="U144" i="2"/>
  <c r="V144" i="2"/>
  <c r="W144" i="2"/>
  <c r="U145" i="2"/>
  <c r="V145" i="2"/>
  <c r="W145" i="2"/>
  <c r="U146" i="2"/>
  <c r="V146" i="2"/>
  <c r="W146" i="2"/>
  <c r="U147" i="2"/>
  <c r="V147" i="2"/>
  <c r="W147" i="2"/>
  <c r="U148" i="2"/>
  <c r="V148" i="2"/>
  <c r="W148" i="2"/>
  <c r="U149" i="2"/>
  <c r="V149" i="2"/>
  <c r="W149" i="2"/>
  <c r="U150" i="2"/>
  <c r="V150" i="2"/>
  <c r="W150" i="2"/>
  <c r="U151" i="2"/>
  <c r="V151" i="2"/>
  <c r="W151" i="2"/>
  <c r="U152" i="2"/>
  <c r="V152" i="2"/>
  <c r="W152" i="2"/>
  <c r="U153" i="2"/>
  <c r="V153" i="2"/>
  <c r="W153" i="2"/>
  <c r="U154" i="2"/>
  <c r="V154" i="2"/>
  <c r="W154" i="2"/>
  <c r="U155" i="2"/>
  <c r="V155" i="2"/>
  <c r="W155" i="2"/>
  <c r="U156" i="2"/>
  <c r="V156" i="2"/>
  <c r="W156" i="2"/>
  <c r="U157" i="2"/>
  <c r="V157" i="2"/>
  <c r="W157" i="2"/>
  <c r="U158" i="2"/>
  <c r="V158" i="2"/>
  <c r="W158" i="2"/>
  <c r="U159" i="2"/>
  <c r="V159" i="2"/>
  <c r="W159" i="2"/>
  <c r="U160" i="2"/>
  <c r="V160" i="2"/>
  <c r="W160" i="2"/>
  <c r="U161" i="2"/>
  <c r="V161" i="2"/>
  <c r="W161" i="2"/>
  <c r="U162" i="2"/>
  <c r="V162" i="2"/>
  <c r="W162" i="2"/>
  <c r="U163" i="2"/>
  <c r="V163" i="2"/>
  <c r="W163" i="2"/>
  <c r="U164" i="2"/>
  <c r="V164" i="2"/>
  <c r="W164" i="2"/>
  <c r="U165" i="2"/>
  <c r="V165" i="2"/>
  <c r="W165" i="2"/>
  <c r="U166" i="2"/>
  <c r="V166" i="2"/>
  <c r="W166" i="2"/>
  <c r="U167" i="2"/>
  <c r="V167" i="2"/>
  <c r="W167" i="2"/>
  <c r="U168" i="2"/>
  <c r="V168" i="2"/>
  <c r="W168" i="2"/>
  <c r="U169" i="2"/>
  <c r="V169" i="2"/>
  <c r="W169" i="2"/>
  <c r="U170" i="2"/>
  <c r="V170" i="2"/>
  <c r="W170" i="2"/>
  <c r="U171" i="2"/>
  <c r="V171" i="2"/>
  <c r="W171" i="2"/>
  <c r="U172" i="2"/>
  <c r="V172" i="2"/>
  <c r="W172" i="2"/>
  <c r="U173" i="2"/>
  <c r="V173" i="2"/>
  <c r="W173" i="2"/>
  <c r="U174" i="2"/>
  <c r="V174" i="2"/>
  <c r="W174" i="2"/>
  <c r="U175" i="2"/>
  <c r="V175" i="2"/>
  <c r="W175" i="2"/>
  <c r="U176" i="2"/>
  <c r="V176" i="2"/>
  <c r="W176" i="2"/>
  <c r="U177" i="2"/>
  <c r="V177" i="2"/>
  <c r="W177" i="2"/>
  <c r="U178" i="2"/>
  <c r="V178" i="2"/>
  <c r="W178" i="2"/>
  <c r="U179" i="2"/>
  <c r="V179" i="2"/>
  <c r="W179" i="2"/>
  <c r="U180" i="2"/>
  <c r="V180" i="2"/>
  <c r="W180" i="2"/>
  <c r="U181" i="2"/>
  <c r="V181" i="2"/>
  <c r="W181" i="2"/>
  <c r="U182" i="2"/>
  <c r="V182" i="2"/>
  <c r="W182" i="2"/>
  <c r="U183" i="2"/>
  <c r="V183" i="2"/>
  <c r="W183" i="2"/>
  <c r="U184" i="2"/>
  <c r="V184" i="2"/>
  <c r="W184" i="2"/>
  <c r="U185" i="2"/>
  <c r="V185" i="2"/>
  <c r="W185" i="2"/>
  <c r="U186" i="2"/>
  <c r="V186" i="2"/>
  <c r="W186" i="2"/>
  <c r="U187" i="2"/>
  <c r="V187" i="2"/>
  <c r="W187" i="2"/>
  <c r="U188" i="2"/>
  <c r="V188" i="2"/>
  <c r="W188" i="2"/>
  <c r="U189" i="2"/>
  <c r="V189" i="2"/>
  <c r="W189" i="2"/>
  <c r="U190" i="2"/>
  <c r="V190" i="2"/>
  <c r="W190" i="2"/>
  <c r="U191" i="2"/>
  <c r="V191" i="2"/>
  <c r="W191" i="2"/>
  <c r="U192" i="2"/>
  <c r="V192" i="2"/>
  <c r="W192" i="2"/>
  <c r="U193" i="2"/>
  <c r="V193" i="2"/>
  <c r="W193" i="2"/>
  <c r="U194" i="2"/>
  <c r="V194" i="2"/>
  <c r="W194" i="2"/>
  <c r="U195" i="2"/>
  <c r="V195" i="2"/>
  <c r="W195" i="2"/>
  <c r="U196" i="2"/>
  <c r="V196" i="2"/>
  <c r="W196" i="2"/>
  <c r="U197" i="2"/>
  <c r="V197" i="2"/>
  <c r="W197" i="2"/>
  <c r="U198" i="2"/>
  <c r="V198" i="2"/>
  <c r="W198" i="2"/>
  <c r="U199" i="2"/>
  <c r="V199" i="2"/>
  <c r="W199" i="2"/>
  <c r="U200" i="2"/>
  <c r="V200" i="2"/>
  <c r="W200" i="2"/>
  <c r="U201" i="2"/>
  <c r="V201" i="2"/>
  <c r="W201" i="2"/>
  <c r="U202" i="2"/>
  <c r="V202" i="2"/>
  <c r="W202" i="2"/>
  <c r="U203" i="2"/>
  <c r="V203" i="2"/>
  <c r="W203" i="2"/>
  <c r="U204" i="2"/>
  <c r="V204" i="2"/>
  <c r="W204" i="2"/>
  <c r="U205" i="2"/>
  <c r="V205" i="2"/>
  <c r="W205" i="2"/>
  <c r="U206" i="2"/>
  <c r="V206" i="2"/>
  <c r="W206" i="2"/>
  <c r="U207" i="2"/>
  <c r="V207" i="2"/>
  <c r="W207" i="2"/>
  <c r="U208" i="2"/>
  <c r="V208" i="2"/>
  <c r="W208" i="2"/>
  <c r="U209" i="2"/>
  <c r="V209" i="2"/>
  <c r="W209" i="2"/>
  <c r="U210" i="2"/>
  <c r="V210" i="2"/>
  <c r="W210" i="2"/>
  <c r="U211" i="2"/>
  <c r="V211" i="2"/>
  <c r="W211" i="2"/>
  <c r="U212" i="2"/>
  <c r="V212" i="2"/>
  <c r="W212" i="2"/>
  <c r="U213" i="2"/>
  <c r="V213" i="2"/>
  <c r="W213" i="2"/>
  <c r="U214" i="2"/>
  <c r="V214" i="2"/>
  <c r="W214" i="2"/>
  <c r="U215" i="2"/>
  <c r="V215" i="2"/>
  <c r="W215" i="2"/>
  <c r="U216" i="2"/>
  <c r="V216" i="2"/>
  <c r="W216" i="2"/>
  <c r="U217" i="2"/>
  <c r="V217" i="2"/>
  <c r="W217" i="2"/>
  <c r="U218" i="2"/>
  <c r="V218" i="2"/>
  <c r="W218" i="2"/>
  <c r="U219" i="2"/>
  <c r="V219" i="2"/>
  <c r="W219" i="2"/>
  <c r="S3" i="2"/>
  <c r="T3" i="2"/>
  <c r="S4" i="2"/>
  <c r="T4" i="2"/>
  <c r="S5" i="2"/>
  <c r="T5" i="2"/>
  <c r="S6" i="2"/>
  <c r="T6" i="2"/>
  <c r="S7" i="2"/>
  <c r="T7" i="2"/>
  <c r="S8" i="2"/>
  <c r="T8" i="2"/>
  <c r="S9" i="2"/>
  <c r="T9" i="2"/>
  <c r="S10" i="2"/>
  <c r="T10" i="2"/>
  <c r="S11" i="2"/>
  <c r="T11" i="2"/>
  <c r="S12" i="2"/>
  <c r="T12" i="2"/>
  <c r="S13" i="2"/>
  <c r="T13" i="2"/>
  <c r="S14" i="2"/>
  <c r="T14" i="2"/>
  <c r="S15" i="2"/>
  <c r="T15" i="2"/>
  <c r="S16" i="2"/>
  <c r="T16" i="2"/>
  <c r="S17" i="2"/>
  <c r="T17" i="2"/>
  <c r="S18" i="2"/>
  <c r="T18" i="2"/>
  <c r="S19" i="2"/>
  <c r="T19" i="2"/>
  <c r="S20" i="2"/>
  <c r="T20" i="2"/>
  <c r="S21" i="2"/>
  <c r="T21" i="2"/>
  <c r="S22" i="2"/>
  <c r="T22" i="2"/>
  <c r="S23" i="2"/>
  <c r="T23" i="2"/>
  <c r="S24" i="2"/>
  <c r="T24" i="2"/>
  <c r="S25" i="2"/>
  <c r="T25" i="2"/>
  <c r="S26" i="2"/>
  <c r="T26" i="2"/>
  <c r="S27" i="2"/>
  <c r="T27" i="2"/>
  <c r="S28" i="2"/>
  <c r="T28" i="2"/>
  <c r="S29" i="2"/>
  <c r="T29" i="2"/>
  <c r="S30" i="2"/>
  <c r="T30" i="2"/>
  <c r="S31" i="2"/>
  <c r="T31" i="2"/>
  <c r="S32" i="2"/>
  <c r="T32" i="2"/>
  <c r="S33" i="2"/>
  <c r="T33" i="2"/>
  <c r="S34" i="2"/>
  <c r="T34" i="2"/>
  <c r="S35" i="2"/>
  <c r="T35" i="2"/>
  <c r="S36" i="2"/>
  <c r="T36" i="2"/>
  <c r="S37" i="2"/>
  <c r="T37" i="2"/>
  <c r="S38" i="2"/>
  <c r="T38" i="2"/>
  <c r="S39" i="2"/>
  <c r="T39" i="2"/>
  <c r="S40" i="2"/>
  <c r="T40" i="2"/>
  <c r="S41" i="2"/>
  <c r="T41" i="2"/>
  <c r="S42" i="2"/>
  <c r="T42" i="2"/>
  <c r="S43" i="2"/>
  <c r="T43" i="2"/>
  <c r="S44" i="2"/>
  <c r="T44" i="2"/>
  <c r="S45" i="2"/>
  <c r="T45" i="2"/>
  <c r="S46" i="2"/>
  <c r="T46" i="2"/>
  <c r="S47" i="2"/>
  <c r="T47" i="2"/>
  <c r="S48" i="2"/>
  <c r="T48" i="2"/>
  <c r="S49" i="2"/>
  <c r="T49" i="2"/>
  <c r="S50" i="2"/>
  <c r="T50" i="2"/>
  <c r="S51" i="2"/>
  <c r="T51" i="2"/>
  <c r="S52" i="2"/>
  <c r="T52" i="2"/>
  <c r="S53" i="2"/>
  <c r="T53" i="2"/>
  <c r="S54" i="2"/>
  <c r="T54" i="2"/>
  <c r="S55" i="2"/>
  <c r="T55" i="2"/>
  <c r="S56" i="2"/>
  <c r="T56" i="2"/>
  <c r="S57" i="2"/>
  <c r="T57" i="2"/>
  <c r="S58" i="2"/>
  <c r="T58" i="2"/>
  <c r="S59" i="2"/>
  <c r="T59" i="2"/>
  <c r="S60" i="2"/>
  <c r="T60" i="2"/>
  <c r="S61" i="2"/>
  <c r="T61" i="2"/>
  <c r="S62" i="2"/>
  <c r="T62" i="2"/>
  <c r="S63" i="2"/>
  <c r="T63" i="2"/>
  <c r="S64" i="2"/>
  <c r="T64" i="2"/>
  <c r="S65" i="2"/>
  <c r="T65" i="2"/>
  <c r="S66" i="2"/>
  <c r="T66" i="2"/>
  <c r="S67" i="2"/>
  <c r="T67" i="2"/>
  <c r="S68" i="2"/>
  <c r="T68" i="2"/>
  <c r="S69" i="2"/>
  <c r="T69" i="2"/>
  <c r="S70" i="2"/>
  <c r="T70" i="2"/>
  <c r="S71" i="2"/>
  <c r="T71" i="2"/>
  <c r="S72" i="2"/>
  <c r="T72" i="2"/>
  <c r="S73" i="2"/>
  <c r="T73" i="2"/>
  <c r="S74" i="2"/>
  <c r="T74" i="2"/>
  <c r="S75" i="2"/>
  <c r="T75" i="2"/>
  <c r="S76" i="2"/>
  <c r="T76" i="2"/>
  <c r="S77" i="2"/>
  <c r="T77" i="2"/>
  <c r="S78" i="2"/>
  <c r="T78" i="2"/>
  <c r="S79" i="2"/>
  <c r="T79" i="2"/>
  <c r="S80" i="2"/>
  <c r="T80" i="2"/>
  <c r="S81" i="2"/>
  <c r="T81" i="2"/>
  <c r="S82" i="2"/>
  <c r="T82" i="2"/>
  <c r="S83" i="2"/>
  <c r="T83" i="2"/>
  <c r="S84" i="2"/>
  <c r="T84" i="2"/>
  <c r="S85" i="2"/>
  <c r="T85" i="2"/>
  <c r="S86" i="2"/>
  <c r="T86" i="2"/>
  <c r="S87" i="2"/>
  <c r="T87" i="2"/>
  <c r="S88" i="2"/>
  <c r="T88" i="2"/>
  <c r="S89" i="2"/>
  <c r="T89" i="2"/>
  <c r="S90" i="2"/>
  <c r="T90" i="2"/>
  <c r="S91" i="2"/>
  <c r="T91" i="2"/>
  <c r="S92" i="2"/>
  <c r="T92" i="2"/>
  <c r="S93" i="2"/>
  <c r="T93" i="2"/>
  <c r="S94" i="2"/>
  <c r="T94" i="2"/>
  <c r="S95" i="2"/>
  <c r="T95" i="2"/>
  <c r="S96" i="2"/>
  <c r="T96" i="2"/>
  <c r="S97" i="2"/>
  <c r="T97" i="2"/>
  <c r="S98" i="2"/>
  <c r="T98" i="2"/>
  <c r="S99" i="2"/>
  <c r="T99" i="2"/>
  <c r="S100" i="2"/>
  <c r="T100" i="2"/>
  <c r="S101" i="2"/>
  <c r="T101" i="2"/>
  <c r="S102" i="2"/>
  <c r="T102" i="2"/>
  <c r="S103" i="2"/>
  <c r="T103" i="2"/>
  <c r="S104" i="2"/>
  <c r="T104" i="2"/>
  <c r="S105" i="2"/>
  <c r="T105" i="2"/>
  <c r="S106" i="2"/>
  <c r="T106" i="2"/>
  <c r="S107" i="2"/>
  <c r="T107" i="2"/>
  <c r="S108" i="2"/>
  <c r="T108" i="2"/>
  <c r="S109" i="2"/>
  <c r="T109" i="2"/>
  <c r="S110" i="2"/>
  <c r="T110" i="2"/>
  <c r="S111" i="2"/>
  <c r="T111" i="2"/>
  <c r="S112" i="2"/>
  <c r="T112" i="2"/>
  <c r="S113" i="2"/>
  <c r="T113" i="2"/>
  <c r="S114" i="2"/>
  <c r="T114" i="2"/>
  <c r="S115" i="2"/>
  <c r="T115" i="2"/>
  <c r="S116" i="2"/>
  <c r="T116" i="2"/>
  <c r="S117" i="2"/>
  <c r="T117" i="2"/>
  <c r="S118" i="2"/>
  <c r="T118" i="2"/>
  <c r="S119" i="2"/>
  <c r="T119" i="2"/>
  <c r="S120" i="2"/>
  <c r="T120" i="2"/>
  <c r="S121" i="2"/>
  <c r="T121" i="2"/>
  <c r="S122" i="2"/>
  <c r="T122" i="2"/>
  <c r="S123" i="2"/>
  <c r="T123" i="2"/>
  <c r="S124" i="2"/>
  <c r="T124" i="2"/>
  <c r="S125" i="2"/>
  <c r="T125" i="2"/>
  <c r="S126" i="2"/>
  <c r="T126" i="2"/>
  <c r="S127" i="2"/>
  <c r="T127" i="2"/>
  <c r="S128" i="2"/>
  <c r="T128" i="2"/>
  <c r="S129" i="2"/>
  <c r="T129" i="2"/>
  <c r="S130" i="2"/>
  <c r="T130" i="2"/>
  <c r="S131" i="2"/>
  <c r="T131" i="2"/>
  <c r="S132" i="2"/>
  <c r="T132" i="2"/>
  <c r="S133" i="2"/>
  <c r="T133" i="2"/>
  <c r="S134" i="2"/>
  <c r="T134" i="2"/>
  <c r="S135" i="2"/>
  <c r="T135" i="2"/>
  <c r="S136" i="2"/>
  <c r="T136" i="2"/>
  <c r="S137" i="2"/>
  <c r="T137" i="2"/>
  <c r="S138" i="2"/>
  <c r="T138" i="2"/>
  <c r="S139" i="2"/>
  <c r="T139" i="2"/>
  <c r="S140" i="2"/>
  <c r="T140" i="2"/>
  <c r="S141" i="2"/>
  <c r="T141" i="2"/>
  <c r="S142" i="2"/>
  <c r="T142" i="2"/>
  <c r="S143" i="2"/>
  <c r="T143" i="2"/>
  <c r="S144" i="2"/>
  <c r="T144" i="2"/>
  <c r="S145" i="2"/>
  <c r="T145" i="2"/>
  <c r="S146" i="2"/>
  <c r="T146" i="2"/>
  <c r="S147" i="2"/>
  <c r="T147" i="2"/>
  <c r="S148" i="2"/>
  <c r="T148" i="2"/>
  <c r="S149" i="2"/>
  <c r="T149" i="2"/>
  <c r="S150" i="2"/>
  <c r="T150" i="2"/>
  <c r="S151" i="2"/>
  <c r="T151" i="2"/>
  <c r="S152" i="2"/>
  <c r="T152" i="2"/>
  <c r="S153" i="2"/>
  <c r="T153" i="2"/>
  <c r="S154" i="2"/>
  <c r="T154" i="2"/>
  <c r="S155" i="2"/>
  <c r="T155" i="2"/>
  <c r="S156" i="2"/>
  <c r="T156" i="2"/>
  <c r="S157" i="2"/>
  <c r="T157" i="2"/>
  <c r="S158" i="2"/>
  <c r="T158" i="2"/>
  <c r="S159" i="2"/>
  <c r="T159" i="2"/>
  <c r="S160" i="2"/>
  <c r="T160" i="2"/>
  <c r="S161" i="2"/>
  <c r="T161" i="2"/>
  <c r="S162" i="2"/>
  <c r="T162" i="2"/>
  <c r="S163" i="2"/>
  <c r="T163" i="2"/>
  <c r="S164" i="2"/>
  <c r="T164" i="2"/>
  <c r="S165" i="2"/>
  <c r="T165" i="2"/>
  <c r="S166" i="2"/>
  <c r="T166" i="2"/>
  <c r="S167" i="2"/>
  <c r="T167" i="2"/>
  <c r="S168" i="2"/>
  <c r="T168" i="2"/>
  <c r="S169" i="2"/>
  <c r="T169" i="2"/>
  <c r="S170" i="2"/>
  <c r="T170" i="2"/>
  <c r="S171" i="2"/>
  <c r="T171" i="2"/>
  <c r="S172" i="2"/>
  <c r="T172" i="2"/>
  <c r="S173" i="2"/>
  <c r="T173" i="2"/>
  <c r="S174" i="2"/>
  <c r="T174" i="2"/>
  <c r="S175" i="2"/>
  <c r="T175" i="2"/>
  <c r="S176" i="2"/>
  <c r="T176" i="2"/>
  <c r="S177" i="2"/>
  <c r="T177" i="2"/>
  <c r="S178" i="2"/>
  <c r="T178" i="2"/>
  <c r="S179" i="2"/>
  <c r="T179" i="2"/>
  <c r="S180" i="2"/>
  <c r="T180" i="2"/>
  <c r="S181" i="2"/>
  <c r="T181" i="2"/>
  <c r="S182" i="2"/>
  <c r="T182" i="2"/>
  <c r="S183" i="2"/>
  <c r="T183" i="2"/>
  <c r="S184" i="2"/>
  <c r="T184" i="2"/>
  <c r="S185" i="2"/>
  <c r="T185" i="2"/>
  <c r="S186" i="2"/>
  <c r="T186" i="2"/>
  <c r="S187" i="2"/>
  <c r="T187" i="2"/>
  <c r="S188" i="2"/>
  <c r="T188" i="2"/>
  <c r="S189" i="2"/>
  <c r="T189" i="2"/>
  <c r="S190" i="2"/>
  <c r="T190" i="2"/>
  <c r="S191" i="2"/>
  <c r="T191" i="2"/>
  <c r="S192" i="2"/>
  <c r="T192" i="2"/>
  <c r="S193" i="2"/>
  <c r="T193" i="2"/>
  <c r="S194" i="2"/>
  <c r="T194" i="2"/>
  <c r="S195" i="2"/>
  <c r="T195" i="2"/>
  <c r="S196" i="2"/>
  <c r="T196" i="2"/>
  <c r="S197" i="2"/>
  <c r="T197" i="2"/>
  <c r="S198" i="2"/>
  <c r="T198" i="2"/>
  <c r="S199" i="2"/>
  <c r="T199" i="2"/>
  <c r="S200" i="2"/>
  <c r="T200" i="2"/>
  <c r="S201" i="2"/>
  <c r="T201" i="2"/>
  <c r="S202" i="2"/>
  <c r="T202" i="2"/>
  <c r="S203" i="2"/>
  <c r="T203" i="2"/>
  <c r="S204" i="2"/>
  <c r="T204" i="2"/>
  <c r="S205" i="2"/>
  <c r="T205" i="2"/>
  <c r="S206" i="2"/>
  <c r="T206" i="2"/>
  <c r="S207" i="2"/>
  <c r="T207" i="2"/>
  <c r="S208" i="2"/>
  <c r="T208" i="2"/>
  <c r="S209" i="2"/>
  <c r="T209" i="2"/>
  <c r="S210" i="2"/>
  <c r="T210" i="2"/>
  <c r="S211" i="2"/>
  <c r="T211" i="2"/>
  <c r="S212" i="2"/>
  <c r="T212" i="2"/>
  <c r="S213" i="2"/>
  <c r="T213" i="2"/>
  <c r="S214" i="2"/>
  <c r="T214" i="2"/>
  <c r="S215" i="2"/>
  <c r="T215" i="2"/>
  <c r="S216" i="2"/>
  <c r="T216" i="2"/>
  <c r="S217" i="2"/>
  <c r="T217" i="2"/>
  <c r="S218" i="2"/>
  <c r="T218" i="2"/>
  <c r="S219" i="2"/>
  <c r="T219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O3" i="2"/>
  <c r="P3" i="2"/>
  <c r="O4" i="2"/>
  <c r="P4" i="2"/>
  <c r="O5" i="2"/>
  <c r="P5" i="2"/>
  <c r="O6" i="2"/>
  <c r="P6" i="2"/>
  <c r="O7" i="2"/>
  <c r="P7" i="2"/>
  <c r="O8" i="2"/>
  <c r="P8" i="2"/>
  <c r="O9" i="2"/>
  <c r="P9" i="2"/>
  <c r="O10" i="2"/>
  <c r="P10" i="2"/>
  <c r="O11" i="2"/>
  <c r="P11" i="2"/>
  <c r="O12" i="2"/>
  <c r="P12" i="2"/>
  <c r="O13" i="2"/>
  <c r="P13" i="2"/>
  <c r="O14" i="2"/>
  <c r="P14" i="2"/>
  <c r="O15" i="2"/>
  <c r="P15" i="2"/>
  <c r="O16" i="2"/>
  <c r="P16" i="2"/>
  <c r="O17" i="2"/>
  <c r="P17" i="2"/>
  <c r="O18" i="2"/>
  <c r="P18" i="2"/>
  <c r="O19" i="2"/>
  <c r="P19" i="2"/>
  <c r="O20" i="2"/>
  <c r="P20" i="2"/>
  <c r="O21" i="2"/>
  <c r="P21" i="2"/>
  <c r="O22" i="2"/>
  <c r="P22" i="2"/>
  <c r="O23" i="2"/>
  <c r="P23" i="2"/>
  <c r="O24" i="2"/>
  <c r="P24" i="2"/>
  <c r="O25" i="2"/>
  <c r="P25" i="2"/>
  <c r="O26" i="2"/>
  <c r="P26" i="2"/>
  <c r="O27" i="2"/>
  <c r="P27" i="2"/>
  <c r="O28" i="2"/>
  <c r="P28" i="2"/>
  <c r="O29" i="2"/>
  <c r="P29" i="2"/>
  <c r="O30" i="2"/>
  <c r="P30" i="2"/>
  <c r="O31" i="2"/>
  <c r="P31" i="2"/>
  <c r="O32" i="2"/>
  <c r="P32" i="2"/>
  <c r="O33" i="2"/>
  <c r="P33" i="2"/>
  <c r="O34" i="2"/>
  <c r="P34" i="2"/>
  <c r="O35" i="2"/>
  <c r="P35" i="2"/>
  <c r="O36" i="2"/>
  <c r="P36" i="2"/>
  <c r="O37" i="2"/>
  <c r="P37" i="2"/>
  <c r="O38" i="2"/>
  <c r="P38" i="2"/>
  <c r="O39" i="2"/>
  <c r="P39" i="2"/>
  <c r="O40" i="2"/>
  <c r="P40" i="2"/>
  <c r="O41" i="2"/>
  <c r="P41" i="2"/>
  <c r="O42" i="2"/>
  <c r="P42" i="2"/>
  <c r="O43" i="2"/>
  <c r="P43" i="2"/>
  <c r="O44" i="2"/>
  <c r="P44" i="2"/>
  <c r="O45" i="2"/>
  <c r="P45" i="2"/>
  <c r="O46" i="2"/>
  <c r="P46" i="2"/>
  <c r="O47" i="2"/>
  <c r="P47" i="2"/>
  <c r="O48" i="2"/>
  <c r="P48" i="2"/>
  <c r="O49" i="2"/>
  <c r="P49" i="2"/>
  <c r="O50" i="2"/>
  <c r="P50" i="2"/>
  <c r="O51" i="2"/>
  <c r="P51" i="2"/>
  <c r="O52" i="2"/>
  <c r="P52" i="2"/>
  <c r="O53" i="2"/>
  <c r="P53" i="2"/>
  <c r="O54" i="2"/>
  <c r="P54" i="2"/>
  <c r="O55" i="2"/>
  <c r="P55" i="2"/>
  <c r="O56" i="2"/>
  <c r="P56" i="2"/>
  <c r="O57" i="2"/>
  <c r="P57" i="2"/>
  <c r="O58" i="2"/>
  <c r="P58" i="2"/>
  <c r="O59" i="2"/>
  <c r="P59" i="2"/>
  <c r="O60" i="2"/>
  <c r="P60" i="2"/>
  <c r="O61" i="2"/>
  <c r="P61" i="2"/>
  <c r="O62" i="2"/>
  <c r="P62" i="2"/>
  <c r="O63" i="2"/>
  <c r="P63" i="2"/>
  <c r="O64" i="2"/>
  <c r="P64" i="2"/>
  <c r="O65" i="2"/>
  <c r="P65" i="2"/>
  <c r="O66" i="2"/>
  <c r="P66" i="2"/>
  <c r="O67" i="2"/>
  <c r="P67" i="2"/>
  <c r="O68" i="2"/>
  <c r="P68" i="2"/>
  <c r="O69" i="2"/>
  <c r="P69" i="2"/>
  <c r="O70" i="2"/>
  <c r="P70" i="2"/>
  <c r="O71" i="2"/>
  <c r="P71" i="2"/>
  <c r="O72" i="2"/>
  <c r="P72" i="2"/>
  <c r="O73" i="2"/>
  <c r="P73" i="2"/>
  <c r="O74" i="2"/>
  <c r="P74" i="2"/>
  <c r="O75" i="2"/>
  <c r="P75" i="2"/>
  <c r="O76" i="2"/>
  <c r="P76" i="2"/>
  <c r="O77" i="2"/>
  <c r="P77" i="2"/>
  <c r="O78" i="2"/>
  <c r="P78" i="2"/>
  <c r="O79" i="2"/>
  <c r="P79" i="2"/>
  <c r="O80" i="2"/>
  <c r="P80" i="2"/>
  <c r="O81" i="2"/>
  <c r="P81" i="2"/>
  <c r="O82" i="2"/>
  <c r="P82" i="2"/>
  <c r="O83" i="2"/>
  <c r="P83" i="2"/>
  <c r="O84" i="2"/>
  <c r="P84" i="2"/>
  <c r="O85" i="2"/>
  <c r="P85" i="2"/>
  <c r="O86" i="2"/>
  <c r="P86" i="2"/>
  <c r="O87" i="2"/>
  <c r="P87" i="2"/>
  <c r="O88" i="2"/>
  <c r="P88" i="2"/>
  <c r="O89" i="2"/>
  <c r="P89" i="2"/>
  <c r="O90" i="2"/>
  <c r="P90" i="2"/>
  <c r="O91" i="2"/>
  <c r="P91" i="2"/>
  <c r="O92" i="2"/>
  <c r="P92" i="2"/>
  <c r="O93" i="2"/>
  <c r="P93" i="2"/>
  <c r="O94" i="2"/>
  <c r="P94" i="2"/>
  <c r="O95" i="2"/>
  <c r="P95" i="2"/>
  <c r="O96" i="2"/>
  <c r="P96" i="2"/>
  <c r="O97" i="2"/>
  <c r="P97" i="2"/>
  <c r="O98" i="2"/>
  <c r="P98" i="2"/>
  <c r="O99" i="2"/>
  <c r="P99" i="2"/>
  <c r="O100" i="2"/>
  <c r="P100" i="2"/>
  <c r="O101" i="2"/>
  <c r="P101" i="2"/>
  <c r="O102" i="2"/>
  <c r="P102" i="2"/>
  <c r="O103" i="2"/>
  <c r="P103" i="2"/>
  <c r="O104" i="2"/>
  <c r="P104" i="2"/>
  <c r="O105" i="2"/>
  <c r="P105" i="2"/>
  <c r="O106" i="2"/>
  <c r="P106" i="2"/>
  <c r="O107" i="2"/>
  <c r="P107" i="2"/>
  <c r="O108" i="2"/>
  <c r="P108" i="2"/>
  <c r="O109" i="2"/>
  <c r="P109" i="2"/>
  <c r="O110" i="2"/>
  <c r="P110" i="2"/>
  <c r="O111" i="2"/>
  <c r="P111" i="2"/>
  <c r="O112" i="2"/>
  <c r="P112" i="2"/>
  <c r="O113" i="2"/>
  <c r="P113" i="2"/>
  <c r="O114" i="2"/>
  <c r="P114" i="2"/>
  <c r="O115" i="2"/>
  <c r="P115" i="2"/>
  <c r="O116" i="2"/>
  <c r="P116" i="2"/>
  <c r="O117" i="2"/>
  <c r="P117" i="2"/>
  <c r="O118" i="2"/>
  <c r="P118" i="2"/>
  <c r="O119" i="2"/>
  <c r="P119" i="2"/>
  <c r="O120" i="2"/>
  <c r="P120" i="2"/>
  <c r="O121" i="2"/>
  <c r="P121" i="2"/>
  <c r="O122" i="2"/>
  <c r="P122" i="2"/>
  <c r="O123" i="2"/>
  <c r="P123" i="2"/>
  <c r="O124" i="2"/>
  <c r="P124" i="2"/>
  <c r="O125" i="2"/>
  <c r="P125" i="2"/>
  <c r="O126" i="2"/>
  <c r="P126" i="2"/>
  <c r="O127" i="2"/>
  <c r="P127" i="2"/>
  <c r="O128" i="2"/>
  <c r="P128" i="2"/>
  <c r="O129" i="2"/>
  <c r="P129" i="2"/>
  <c r="O130" i="2"/>
  <c r="P130" i="2"/>
  <c r="O131" i="2"/>
  <c r="P131" i="2"/>
  <c r="O132" i="2"/>
  <c r="P132" i="2"/>
  <c r="O133" i="2"/>
  <c r="P133" i="2"/>
  <c r="O134" i="2"/>
  <c r="P134" i="2"/>
  <c r="O135" i="2"/>
  <c r="P135" i="2"/>
  <c r="O136" i="2"/>
  <c r="P136" i="2"/>
  <c r="O137" i="2"/>
  <c r="P137" i="2"/>
  <c r="O138" i="2"/>
  <c r="P138" i="2"/>
  <c r="O139" i="2"/>
  <c r="P139" i="2"/>
  <c r="O140" i="2"/>
  <c r="P140" i="2"/>
  <c r="O141" i="2"/>
  <c r="P141" i="2"/>
  <c r="O142" i="2"/>
  <c r="P142" i="2"/>
  <c r="O143" i="2"/>
  <c r="P143" i="2"/>
  <c r="O144" i="2"/>
  <c r="P144" i="2"/>
  <c r="O145" i="2"/>
  <c r="P145" i="2"/>
  <c r="O146" i="2"/>
  <c r="P146" i="2"/>
  <c r="O147" i="2"/>
  <c r="P147" i="2"/>
  <c r="O148" i="2"/>
  <c r="P148" i="2"/>
  <c r="O149" i="2"/>
  <c r="P149" i="2"/>
  <c r="O150" i="2"/>
  <c r="P150" i="2"/>
  <c r="O151" i="2"/>
  <c r="P151" i="2"/>
  <c r="O152" i="2"/>
  <c r="P152" i="2"/>
  <c r="O153" i="2"/>
  <c r="P153" i="2"/>
  <c r="O154" i="2"/>
  <c r="P154" i="2"/>
  <c r="O155" i="2"/>
  <c r="P155" i="2"/>
  <c r="O156" i="2"/>
  <c r="P156" i="2"/>
  <c r="O157" i="2"/>
  <c r="P157" i="2"/>
  <c r="O158" i="2"/>
  <c r="P158" i="2"/>
  <c r="O159" i="2"/>
  <c r="P159" i="2"/>
  <c r="O160" i="2"/>
  <c r="P160" i="2"/>
  <c r="O161" i="2"/>
  <c r="P161" i="2"/>
  <c r="O162" i="2"/>
  <c r="P162" i="2"/>
  <c r="O163" i="2"/>
  <c r="P163" i="2"/>
  <c r="O164" i="2"/>
  <c r="P164" i="2"/>
  <c r="O165" i="2"/>
  <c r="P165" i="2"/>
  <c r="O166" i="2"/>
  <c r="P166" i="2"/>
  <c r="O167" i="2"/>
  <c r="P167" i="2"/>
  <c r="O168" i="2"/>
  <c r="P168" i="2"/>
  <c r="O169" i="2"/>
  <c r="P169" i="2"/>
  <c r="O170" i="2"/>
  <c r="P170" i="2"/>
  <c r="O171" i="2"/>
  <c r="P171" i="2"/>
  <c r="O172" i="2"/>
  <c r="P172" i="2"/>
  <c r="O173" i="2"/>
  <c r="P173" i="2"/>
  <c r="O174" i="2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98" i="2"/>
  <c r="P198" i="2"/>
  <c r="O199" i="2"/>
  <c r="P199" i="2"/>
  <c r="O200" i="2"/>
  <c r="P200" i="2"/>
  <c r="O201" i="2"/>
  <c r="P201" i="2"/>
  <c r="O202" i="2"/>
  <c r="P202" i="2"/>
  <c r="O203" i="2"/>
  <c r="P203" i="2"/>
  <c r="O204" i="2"/>
  <c r="P204" i="2"/>
  <c r="O205" i="2"/>
  <c r="P205" i="2"/>
  <c r="O206" i="2"/>
  <c r="P206" i="2"/>
  <c r="O207" i="2"/>
  <c r="P207" i="2"/>
  <c r="O208" i="2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M3" i="2"/>
  <c r="N3" i="2"/>
  <c r="M4" i="2"/>
  <c r="N4" i="2"/>
  <c r="M5" i="2"/>
  <c r="N5" i="2"/>
  <c r="M6" i="2"/>
  <c r="N6" i="2"/>
  <c r="M7" i="2"/>
  <c r="N7" i="2"/>
  <c r="M8" i="2"/>
  <c r="N8" i="2"/>
  <c r="M9" i="2"/>
  <c r="N9" i="2"/>
  <c r="M10" i="2"/>
  <c r="N10" i="2"/>
  <c r="M11" i="2"/>
  <c r="N11" i="2"/>
  <c r="M12" i="2"/>
  <c r="N12" i="2"/>
  <c r="M13" i="2"/>
  <c r="N13" i="2"/>
  <c r="M14" i="2"/>
  <c r="N14" i="2"/>
  <c r="M15" i="2"/>
  <c r="N15" i="2"/>
  <c r="M16" i="2"/>
  <c r="N16" i="2"/>
  <c r="M17" i="2"/>
  <c r="N17" i="2"/>
  <c r="M18" i="2"/>
  <c r="N18" i="2"/>
  <c r="M19" i="2"/>
  <c r="N19" i="2"/>
  <c r="M20" i="2"/>
  <c r="N20" i="2"/>
  <c r="M21" i="2"/>
  <c r="N21" i="2"/>
  <c r="M22" i="2"/>
  <c r="N22" i="2"/>
  <c r="M23" i="2"/>
  <c r="N23" i="2"/>
  <c r="M24" i="2"/>
  <c r="N24" i="2"/>
  <c r="M25" i="2"/>
  <c r="N25" i="2"/>
  <c r="M26" i="2"/>
  <c r="N26" i="2"/>
  <c r="M27" i="2"/>
  <c r="N27" i="2"/>
  <c r="M28" i="2"/>
  <c r="N28" i="2"/>
  <c r="M29" i="2"/>
  <c r="N29" i="2"/>
  <c r="M30" i="2"/>
  <c r="N30" i="2"/>
  <c r="M31" i="2"/>
  <c r="N31" i="2"/>
  <c r="M32" i="2"/>
  <c r="N32" i="2"/>
  <c r="M33" i="2"/>
  <c r="N33" i="2"/>
  <c r="M34" i="2"/>
  <c r="N34" i="2"/>
  <c r="M35" i="2"/>
  <c r="N35" i="2"/>
  <c r="M36" i="2"/>
  <c r="N36" i="2"/>
  <c r="M37" i="2"/>
  <c r="N37" i="2"/>
  <c r="M38" i="2"/>
  <c r="N38" i="2"/>
  <c r="M39" i="2"/>
  <c r="N39" i="2"/>
  <c r="M40" i="2"/>
  <c r="N40" i="2"/>
  <c r="M41" i="2"/>
  <c r="N41" i="2"/>
  <c r="M42" i="2"/>
  <c r="N42" i="2"/>
  <c r="M43" i="2"/>
  <c r="N43" i="2"/>
  <c r="M44" i="2"/>
  <c r="N44" i="2"/>
  <c r="M45" i="2"/>
  <c r="N45" i="2"/>
  <c r="M46" i="2"/>
  <c r="N46" i="2"/>
  <c r="M47" i="2"/>
  <c r="N47" i="2"/>
  <c r="M48" i="2"/>
  <c r="N48" i="2"/>
  <c r="M49" i="2"/>
  <c r="N49" i="2"/>
  <c r="M50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M61" i="2"/>
  <c r="N61" i="2"/>
  <c r="M62" i="2"/>
  <c r="N62" i="2"/>
  <c r="M63" i="2"/>
  <c r="N63" i="2"/>
  <c r="M64" i="2"/>
  <c r="N64" i="2"/>
  <c r="M65" i="2"/>
  <c r="N65" i="2"/>
  <c r="M66" i="2"/>
  <c r="N66" i="2"/>
  <c r="M67" i="2"/>
  <c r="N67" i="2"/>
  <c r="M68" i="2"/>
  <c r="N68" i="2"/>
  <c r="M69" i="2"/>
  <c r="N69" i="2"/>
  <c r="M70" i="2"/>
  <c r="N70" i="2"/>
  <c r="M71" i="2"/>
  <c r="N71" i="2"/>
  <c r="M72" i="2"/>
  <c r="N72" i="2"/>
  <c r="M73" i="2"/>
  <c r="N73" i="2"/>
  <c r="M74" i="2"/>
  <c r="N74" i="2"/>
  <c r="M75" i="2"/>
  <c r="N75" i="2"/>
  <c r="M76" i="2"/>
  <c r="N76" i="2"/>
  <c r="M77" i="2"/>
  <c r="N77" i="2"/>
  <c r="M78" i="2"/>
  <c r="N78" i="2"/>
  <c r="M79" i="2"/>
  <c r="N79" i="2"/>
  <c r="M80" i="2"/>
  <c r="N80" i="2"/>
  <c r="M81" i="2"/>
  <c r="N81" i="2"/>
  <c r="M82" i="2"/>
  <c r="N82" i="2"/>
  <c r="M83" i="2"/>
  <c r="N83" i="2"/>
  <c r="M84" i="2"/>
  <c r="N84" i="2"/>
  <c r="M85" i="2"/>
  <c r="N85" i="2"/>
  <c r="M86" i="2"/>
  <c r="N86" i="2"/>
  <c r="M87" i="2"/>
  <c r="N87" i="2"/>
  <c r="M88" i="2"/>
  <c r="N88" i="2"/>
  <c r="M89" i="2"/>
  <c r="N89" i="2"/>
  <c r="M90" i="2"/>
  <c r="N90" i="2"/>
  <c r="M91" i="2"/>
  <c r="N91" i="2"/>
  <c r="M92" i="2"/>
  <c r="N92" i="2"/>
  <c r="M93" i="2"/>
  <c r="N93" i="2"/>
  <c r="M94" i="2"/>
  <c r="N94" i="2"/>
  <c r="M95" i="2"/>
  <c r="N95" i="2"/>
  <c r="M96" i="2"/>
  <c r="N96" i="2"/>
  <c r="M97" i="2"/>
  <c r="N97" i="2"/>
  <c r="M98" i="2"/>
  <c r="N98" i="2"/>
  <c r="M99" i="2"/>
  <c r="N99" i="2"/>
  <c r="M100" i="2"/>
  <c r="N100" i="2"/>
  <c r="M101" i="2"/>
  <c r="N101" i="2"/>
  <c r="M102" i="2"/>
  <c r="N102" i="2"/>
  <c r="M103" i="2"/>
  <c r="N103" i="2"/>
  <c r="M104" i="2"/>
  <c r="N104" i="2"/>
  <c r="M105" i="2"/>
  <c r="N105" i="2"/>
  <c r="M106" i="2"/>
  <c r="N106" i="2"/>
  <c r="M107" i="2"/>
  <c r="N107" i="2"/>
  <c r="M108" i="2"/>
  <c r="N108" i="2"/>
  <c r="M109" i="2"/>
  <c r="N109" i="2"/>
  <c r="M110" i="2"/>
  <c r="N110" i="2"/>
  <c r="M111" i="2"/>
  <c r="N111" i="2"/>
  <c r="M112" i="2"/>
  <c r="N112" i="2"/>
  <c r="M113" i="2"/>
  <c r="N113" i="2"/>
  <c r="M114" i="2"/>
  <c r="N114" i="2"/>
  <c r="M115" i="2"/>
  <c r="N115" i="2"/>
  <c r="M116" i="2"/>
  <c r="N116" i="2"/>
  <c r="M117" i="2"/>
  <c r="N117" i="2"/>
  <c r="M118" i="2"/>
  <c r="N118" i="2"/>
  <c r="M119" i="2"/>
  <c r="N119" i="2"/>
  <c r="M120" i="2"/>
  <c r="N120" i="2"/>
  <c r="M121" i="2"/>
  <c r="N121" i="2"/>
  <c r="M122" i="2"/>
  <c r="N122" i="2"/>
  <c r="M123" i="2"/>
  <c r="N123" i="2"/>
  <c r="M124" i="2"/>
  <c r="N124" i="2"/>
  <c r="M125" i="2"/>
  <c r="N125" i="2"/>
  <c r="M126" i="2"/>
  <c r="N126" i="2"/>
  <c r="M127" i="2"/>
  <c r="N127" i="2"/>
  <c r="M128" i="2"/>
  <c r="N128" i="2"/>
  <c r="M129" i="2"/>
  <c r="N129" i="2"/>
  <c r="M130" i="2"/>
  <c r="N130" i="2"/>
  <c r="M131" i="2"/>
  <c r="N131" i="2"/>
  <c r="M132" i="2"/>
  <c r="N132" i="2"/>
  <c r="M133" i="2"/>
  <c r="N133" i="2"/>
  <c r="M134" i="2"/>
  <c r="N134" i="2"/>
  <c r="M135" i="2"/>
  <c r="N135" i="2"/>
  <c r="M136" i="2"/>
  <c r="N136" i="2"/>
  <c r="M137" i="2"/>
  <c r="N137" i="2"/>
  <c r="M138" i="2"/>
  <c r="N138" i="2"/>
  <c r="M139" i="2"/>
  <c r="N139" i="2"/>
  <c r="M140" i="2"/>
  <c r="N140" i="2"/>
  <c r="M141" i="2"/>
  <c r="N141" i="2"/>
  <c r="M142" i="2"/>
  <c r="N142" i="2"/>
  <c r="M143" i="2"/>
  <c r="N143" i="2"/>
  <c r="M144" i="2"/>
  <c r="N144" i="2"/>
  <c r="M145" i="2"/>
  <c r="N145" i="2"/>
  <c r="M146" i="2"/>
  <c r="N146" i="2"/>
  <c r="M147" i="2"/>
  <c r="N147" i="2"/>
  <c r="M148" i="2"/>
  <c r="N148" i="2"/>
  <c r="M149" i="2"/>
  <c r="N149" i="2"/>
  <c r="M150" i="2"/>
  <c r="N150" i="2"/>
  <c r="M151" i="2"/>
  <c r="N151" i="2"/>
  <c r="M152" i="2"/>
  <c r="N152" i="2"/>
  <c r="M153" i="2"/>
  <c r="N153" i="2"/>
  <c r="M154" i="2"/>
  <c r="N154" i="2"/>
  <c r="M155" i="2"/>
  <c r="N155" i="2"/>
  <c r="M156" i="2"/>
  <c r="N156" i="2"/>
  <c r="M157" i="2"/>
  <c r="N157" i="2"/>
  <c r="M158" i="2"/>
  <c r="N158" i="2"/>
  <c r="M159" i="2"/>
  <c r="N159" i="2"/>
  <c r="M160" i="2"/>
  <c r="N160" i="2"/>
  <c r="M161" i="2"/>
  <c r="N161" i="2"/>
  <c r="M162" i="2"/>
  <c r="N162" i="2"/>
  <c r="M163" i="2"/>
  <c r="N163" i="2"/>
  <c r="M164" i="2"/>
  <c r="N164" i="2"/>
  <c r="M165" i="2"/>
  <c r="N165" i="2"/>
  <c r="M166" i="2"/>
  <c r="N166" i="2"/>
  <c r="M167" i="2"/>
  <c r="N167" i="2"/>
  <c r="M168" i="2"/>
  <c r="N168" i="2"/>
  <c r="M169" i="2"/>
  <c r="N169" i="2"/>
  <c r="M170" i="2"/>
  <c r="N170" i="2"/>
  <c r="M171" i="2"/>
  <c r="N171" i="2"/>
  <c r="M172" i="2"/>
  <c r="N172" i="2"/>
  <c r="M173" i="2"/>
  <c r="N173" i="2"/>
  <c r="M174" i="2"/>
  <c r="N174" i="2"/>
  <c r="M175" i="2"/>
  <c r="N175" i="2"/>
  <c r="M176" i="2"/>
  <c r="N176" i="2"/>
  <c r="M177" i="2"/>
  <c r="N177" i="2"/>
  <c r="M178" i="2"/>
  <c r="N178" i="2"/>
  <c r="M179" i="2"/>
  <c r="N179" i="2"/>
  <c r="M180" i="2"/>
  <c r="N180" i="2"/>
  <c r="M181" i="2"/>
  <c r="N181" i="2"/>
  <c r="M182" i="2"/>
  <c r="N182" i="2"/>
  <c r="M183" i="2"/>
  <c r="N183" i="2"/>
  <c r="M184" i="2"/>
  <c r="N184" i="2"/>
  <c r="M185" i="2"/>
  <c r="N185" i="2"/>
  <c r="M186" i="2"/>
  <c r="N186" i="2"/>
  <c r="M187" i="2"/>
  <c r="N187" i="2"/>
  <c r="M188" i="2"/>
  <c r="N188" i="2"/>
  <c r="M189" i="2"/>
  <c r="N189" i="2"/>
  <c r="M190" i="2"/>
  <c r="N190" i="2"/>
  <c r="M191" i="2"/>
  <c r="N191" i="2"/>
  <c r="M192" i="2"/>
  <c r="N192" i="2"/>
  <c r="M193" i="2"/>
  <c r="N193" i="2"/>
  <c r="M194" i="2"/>
  <c r="N194" i="2"/>
  <c r="M195" i="2"/>
  <c r="N195" i="2"/>
  <c r="M196" i="2"/>
  <c r="N196" i="2"/>
  <c r="M197" i="2"/>
  <c r="N197" i="2"/>
  <c r="M198" i="2"/>
  <c r="N198" i="2"/>
  <c r="M199" i="2"/>
  <c r="N199" i="2"/>
  <c r="M200" i="2"/>
  <c r="N200" i="2"/>
  <c r="M201" i="2"/>
  <c r="N201" i="2"/>
  <c r="M202" i="2"/>
  <c r="N202" i="2"/>
  <c r="M203" i="2"/>
  <c r="N203" i="2"/>
  <c r="M204" i="2"/>
  <c r="N204" i="2"/>
  <c r="M205" i="2"/>
  <c r="N205" i="2"/>
  <c r="M206" i="2"/>
  <c r="N206" i="2"/>
  <c r="M207" i="2"/>
  <c r="N207" i="2"/>
  <c r="M208" i="2"/>
  <c r="N208" i="2"/>
  <c r="M209" i="2"/>
  <c r="N209" i="2"/>
  <c r="M210" i="2"/>
  <c r="N210" i="2"/>
  <c r="M211" i="2"/>
  <c r="N211" i="2"/>
  <c r="M212" i="2"/>
  <c r="N212" i="2"/>
  <c r="M213" i="2"/>
  <c r="N213" i="2"/>
  <c r="M214" i="2"/>
  <c r="N214" i="2"/>
  <c r="M215" i="2"/>
  <c r="N215" i="2"/>
  <c r="M216" i="2"/>
  <c r="N216" i="2"/>
  <c r="M217" i="2"/>
  <c r="N217" i="2"/>
  <c r="M218" i="2"/>
  <c r="N218" i="2"/>
  <c r="M219" i="2"/>
  <c r="N219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4" i="2"/>
  <c r="J3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" i="2"/>
  <c r="F218" i="2"/>
  <c r="F219" i="2"/>
  <c r="C218" i="2"/>
  <c r="C219" i="2"/>
  <c r="E218" i="2"/>
  <c r="E219" i="2"/>
  <c r="D219" i="2"/>
  <c r="D21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AG3" i="2"/>
  <c r="AH3" i="2"/>
  <c r="AI3" i="2"/>
  <c r="AJ3" i="2"/>
  <c r="AK3" i="2"/>
  <c r="AL3" i="2"/>
  <c r="AM3" i="2"/>
  <c r="AN3" i="2"/>
  <c r="AO3" i="2"/>
  <c r="AG4" i="2"/>
  <c r="AH4" i="2"/>
  <c r="AI4" i="2"/>
  <c r="AJ4" i="2"/>
  <c r="AK4" i="2"/>
  <c r="AL4" i="2"/>
  <c r="AM4" i="2"/>
  <c r="AN4" i="2"/>
  <c r="AO4" i="2"/>
  <c r="AG5" i="2"/>
  <c r="AH5" i="2"/>
  <c r="AI5" i="2"/>
  <c r="AJ5" i="2"/>
  <c r="AK5" i="2"/>
  <c r="AL5" i="2"/>
  <c r="AM5" i="2"/>
  <c r="AN5" i="2"/>
  <c r="AO5" i="2"/>
  <c r="AG6" i="2"/>
  <c r="AH6" i="2"/>
  <c r="AI6" i="2"/>
  <c r="AJ6" i="2"/>
  <c r="AK6" i="2"/>
  <c r="AL6" i="2"/>
  <c r="AM6" i="2"/>
  <c r="AN6" i="2"/>
  <c r="AO6" i="2"/>
  <c r="AG7" i="2"/>
  <c r="AH7" i="2"/>
  <c r="AI7" i="2"/>
  <c r="AJ7" i="2"/>
  <c r="AK7" i="2"/>
  <c r="AL7" i="2"/>
  <c r="AM7" i="2"/>
  <c r="AN7" i="2"/>
  <c r="AO7" i="2"/>
  <c r="AG8" i="2"/>
  <c r="AH8" i="2"/>
  <c r="AI8" i="2"/>
  <c r="AJ8" i="2"/>
  <c r="AK8" i="2"/>
  <c r="AL8" i="2"/>
  <c r="AM8" i="2"/>
  <c r="AN8" i="2"/>
  <c r="AO8" i="2"/>
  <c r="AG9" i="2"/>
  <c r="AH9" i="2"/>
  <c r="AI9" i="2"/>
  <c r="AJ9" i="2"/>
  <c r="AK9" i="2"/>
  <c r="AL9" i="2"/>
  <c r="AM9" i="2"/>
  <c r="AN9" i="2"/>
  <c r="AO9" i="2"/>
  <c r="AG10" i="2"/>
  <c r="AH10" i="2"/>
  <c r="AI10" i="2"/>
  <c r="AJ10" i="2"/>
  <c r="AK10" i="2"/>
  <c r="AL10" i="2"/>
  <c r="AM10" i="2"/>
  <c r="AN10" i="2"/>
  <c r="AO10" i="2"/>
  <c r="AG11" i="2"/>
  <c r="AH11" i="2"/>
  <c r="AI11" i="2"/>
  <c r="AJ11" i="2"/>
  <c r="AK11" i="2"/>
  <c r="AL11" i="2"/>
  <c r="AM11" i="2"/>
  <c r="AN11" i="2"/>
  <c r="AO11" i="2"/>
  <c r="AG12" i="2"/>
  <c r="AH12" i="2"/>
  <c r="AI12" i="2"/>
  <c r="AJ12" i="2"/>
  <c r="AK12" i="2"/>
  <c r="AL12" i="2"/>
  <c r="AM12" i="2"/>
  <c r="AN12" i="2"/>
  <c r="AO12" i="2"/>
  <c r="AG13" i="2"/>
  <c r="AH13" i="2"/>
  <c r="AI13" i="2"/>
  <c r="AJ13" i="2"/>
  <c r="AK13" i="2"/>
  <c r="AL13" i="2"/>
  <c r="AM13" i="2"/>
  <c r="AN13" i="2"/>
  <c r="AO13" i="2"/>
  <c r="AG14" i="2"/>
  <c r="AH14" i="2"/>
  <c r="AI14" i="2"/>
  <c r="AJ14" i="2"/>
  <c r="AK14" i="2"/>
  <c r="AL14" i="2"/>
  <c r="AM14" i="2"/>
  <c r="AN14" i="2"/>
  <c r="AO14" i="2"/>
  <c r="AG15" i="2"/>
  <c r="AH15" i="2"/>
  <c r="AI15" i="2"/>
  <c r="AJ15" i="2"/>
  <c r="AK15" i="2"/>
  <c r="AL15" i="2"/>
  <c r="AM15" i="2"/>
  <c r="AN15" i="2"/>
  <c r="AO15" i="2"/>
  <c r="AG16" i="2"/>
  <c r="AH16" i="2"/>
  <c r="AI16" i="2"/>
  <c r="AJ16" i="2"/>
  <c r="AK16" i="2"/>
  <c r="AL16" i="2"/>
  <c r="AM16" i="2"/>
  <c r="AN16" i="2"/>
  <c r="AO16" i="2"/>
  <c r="AG17" i="2"/>
  <c r="AH17" i="2"/>
  <c r="AI17" i="2"/>
  <c r="AJ17" i="2"/>
  <c r="AK17" i="2"/>
  <c r="AL17" i="2"/>
  <c r="AM17" i="2"/>
  <c r="AN17" i="2"/>
  <c r="AO17" i="2"/>
  <c r="AG18" i="2"/>
  <c r="AH18" i="2"/>
  <c r="AI18" i="2"/>
  <c r="AJ18" i="2"/>
  <c r="AK18" i="2"/>
  <c r="AL18" i="2"/>
  <c r="AM18" i="2"/>
  <c r="AN18" i="2"/>
  <c r="AO18" i="2"/>
  <c r="AG19" i="2"/>
  <c r="AH19" i="2"/>
  <c r="AI19" i="2"/>
  <c r="AJ19" i="2"/>
  <c r="AK19" i="2"/>
  <c r="AL19" i="2"/>
  <c r="AM19" i="2"/>
  <c r="AN19" i="2"/>
  <c r="AO19" i="2"/>
  <c r="AG20" i="2"/>
  <c r="AH20" i="2"/>
  <c r="AI20" i="2"/>
  <c r="AJ20" i="2"/>
  <c r="AK20" i="2"/>
  <c r="AL20" i="2"/>
  <c r="AM20" i="2"/>
  <c r="AN20" i="2"/>
  <c r="AO20" i="2"/>
  <c r="AG21" i="2"/>
  <c r="AH21" i="2"/>
  <c r="AI21" i="2"/>
  <c r="AJ21" i="2"/>
  <c r="AK21" i="2"/>
  <c r="AL21" i="2"/>
  <c r="AM21" i="2"/>
  <c r="AN21" i="2"/>
  <c r="AO21" i="2"/>
  <c r="AG22" i="2"/>
  <c r="AH22" i="2"/>
  <c r="AI22" i="2"/>
  <c r="AJ22" i="2"/>
  <c r="AK22" i="2"/>
  <c r="AL22" i="2"/>
  <c r="AM22" i="2"/>
  <c r="AN22" i="2"/>
  <c r="AO22" i="2"/>
  <c r="AG23" i="2"/>
  <c r="AH23" i="2"/>
  <c r="AI23" i="2"/>
  <c r="AJ23" i="2"/>
  <c r="AK23" i="2"/>
  <c r="AL23" i="2"/>
  <c r="AM23" i="2"/>
  <c r="AN23" i="2"/>
  <c r="AO23" i="2"/>
  <c r="AG24" i="2"/>
  <c r="AH24" i="2"/>
  <c r="AI24" i="2"/>
  <c r="AJ24" i="2"/>
  <c r="AK24" i="2"/>
  <c r="AL24" i="2"/>
  <c r="AM24" i="2"/>
  <c r="AN24" i="2"/>
  <c r="AO24" i="2"/>
  <c r="AG25" i="2"/>
  <c r="AH25" i="2"/>
  <c r="AI25" i="2"/>
  <c r="AJ25" i="2"/>
  <c r="AK25" i="2"/>
  <c r="AL25" i="2"/>
  <c r="AM25" i="2"/>
  <c r="AN25" i="2"/>
  <c r="AO25" i="2"/>
  <c r="AG26" i="2"/>
  <c r="AH26" i="2"/>
  <c r="AI26" i="2"/>
  <c r="AJ26" i="2"/>
  <c r="AK26" i="2"/>
  <c r="AL26" i="2"/>
  <c r="AM26" i="2"/>
  <c r="AN26" i="2"/>
  <c r="AO26" i="2"/>
  <c r="AG27" i="2"/>
  <c r="AH27" i="2"/>
  <c r="AI27" i="2"/>
  <c r="AJ27" i="2"/>
  <c r="AK27" i="2"/>
  <c r="AL27" i="2"/>
  <c r="AM27" i="2"/>
  <c r="AN27" i="2"/>
  <c r="AO27" i="2"/>
  <c r="AG28" i="2"/>
  <c r="AH28" i="2"/>
  <c r="AI28" i="2"/>
  <c r="AJ28" i="2"/>
  <c r="AK28" i="2"/>
  <c r="AL28" i="2"/>
  <c r="AM28" i="2"/>
  <c r="AN28" i="2"/>
  <c r="AO28" i="2"/>
  <c r="AG29" i="2"/>
  <c r="AH29" i="2"/>
  <c r="AI29" i="2"/>
  <c r="AJ29" i="2"/>
  <c r="AK29" i="2"/>
  <c r="AL29" i="2"/>
  <c r="AM29" i="2"/>
  <c r="AN29" i="2"/>
  <c r="AO29" i="2"/>
  <c r="AG30" i="2"/>
  <c r="AH30" i="2"/>
  <c r="AI30" i="2"/>
  <c r="AJ30" i="2"/>
  <c r="AK30" i="2"/>
  <c r="AL30" i="2"/>
  <c r="AM30" i="2"/>
  <c r="AN30" i="2"/>
  <c r="AO30" i="2"/>
  <c r="AG31" i="2"/>
  <c r="AH31" i="2"/>
  <c r="AI31" i="2"/>
  <c r="AJ31" i="2"/>
  <c r="AK31" i="2"/>
  <c r="AL31" i="2"/>
  <c r="AM31" i="2"/>
  <c r="AN31" i="2"/>
  <c r="AO31" i="2"/>
  <c r="AG32" i="2"/>
  <c r="AH32" i="2"/>
  <c r="AI32" i="2"/>
  <c r="AJ32" i="2"/>
  <c r="AK32" i="2"/>
  <c r="AL32" i="2"/>
  <c r="AM32" i="2"/>
  <c r="AN32" i="2"/>
  <c r="AO32" i="2"/>
  <c r="AG33" i="2"/>
  <c r="AH33" i="2"/>
  <c r="AI33" i="2"/>
  <c r="AJ33" i="2"/>
  <c r="AK33" i="2"/>
  <c r="AL33" i="2"/>
  <c r="AM33" i="2"/>
  <c r="AN33" i="2"/>
  <c r="AO33" i="2"/>
  <c r="AG34" i="2"/>
  <c r="AH34" i="2"/>
  <c r="AI34" i="2"/>
  <c r="AJ34" i="2"/>
  <c r="AK34" i="2"/>
  <c r="AL34" i="2"/>
  <c r="AM34" i="2"/>
  <c r="AN34" i="2"/>
  <c r="AO34" i="2"/>
  <c r="AG35" i="2"/>
  <c r="AH35" i="2"/>
  <c r="AI35" i="2"/>
  <c r="AJ35" i="2"/>
  <c r="AK35" i="2"/>
  <c r="AL35" i="2"/>
  <c r="AM35" i="2"/>
  <c r="AN35" i="2"/>
  <c r="AO35" i="2"/>
  <c r="AG36" i="2"/>
  <c r="AH36" i="2"/>
  <c r="AI36" i="2"/>
  <c r="AJ36" i="2"/>
  <c r="AK36" i="2"/>
  <c r="AL36" i="2"/>
  <c r="AM36" i="2"/>
  <c r="AN36" i="2"/>
  <c r="AO36" i="2"/>
  <c r="AG37" i="2"/>
  <c r="AH37" i="2"/>
  <c r="AI37" i="2"/>
  <c r="AJ37" i="2"/>
  <c r="AK37" i="2"/>
  <c r="AL37" i="2"/>
  <c r="AM37" i="2"/>
  <c r="AN37" i="2"/>
  <c r="AO37" i="2"/>
  <c r="AG38" i="2"/>
  <c r="AH38" i="2"/>
  <c r="AI38" i="2"/>
  <c r="AJ38" i="2"/>
  <c r="AK38" i="2"/>
  <c r="AL38" i="2"/>
  <c r="AM38" i="2"/>
  <c r="AN38" i="2"/>
  <c r="AO38" i="2"/>
  <c r="AG39" i="2"/>
  <c r="AH39" i="2"/>
  <c r="AI39" i="2"/>
  <c r="AJ39" i="2"/>
  <c r="AK39" i="2"/>
  <c r="AL39" i="2"/>
  <c r="AM39" i="2"/>
  <c r="AN39" i="2"/>
  <c r="AO39" i="2"/>
  <c r="AG40" i="2"/>
  <c r="AH40" i="2"/>
  <c r="AI40" i="2"/>
  <c r="AJ40" i="2"/>
  <c r="AK40" i="2"/>
  <c r="AL40" i="2"/>
  <c r="AM40" i="2"/>
  <c r="AN40" i="2"/>
  <c r="AO40" i="2"/>
  <c r="AG41" i="2"/>
  <c r="AH41" i="2"/>
  <c r="AI41" i="2"/>
  <c r="AJ41" i="2"/>
  <c r="AK41" i="2"/>
  <c r="AL41" i="2"/>
  <c r="AM41" i="2"/>
  <c r="AN41" i="2"/>
  <c r="AO41" i="2"/>
  <c r="AG42" i="2"/>
  <c r="AH42" i="2"/>
  <c r="AI42" i="2"/>
  <c r="AJ42" i="2"/>
  <c r="AK42" i="2"/>
  <c r="AL42" i="2"/>
  <c r="AM42" i="2"/>
  <c r="AN42" i="2"/>
  <c r="AO42" i="2"/>
  <c r="AG43" i="2"/>
  <c r="AH43" i="2"/>
  <c r="AI43" i="2"/>
  <c r="AJ43" i="2"/>
  <c r="AK43" i="2"/>
  <c r="AL43" i="2"/>
  <c r="AM43" i="2"/>
  <c r="AN43" i="2"/>
  <c r="AO43" i="2"/>
  <c r="AG44" i="2"/>
  <c r="AH44" i="2"/>
  <c r="AI44" i="2"/>
  <c r="AJ44" i="2"/>
  <c r="AK44" i="2"/>
  <c r="AL44" i="2"/>
  <c r="AM44" i="2"/>
  <c r="AN44" i="2"/>
  <c r="AO44" i="2"/>
  <c r="AG45" i="2"/>
  <c r="AH45" i="2"/>
  <c r="AI45" i="2"/>
  <c r="AJ45" i="2"/>
  <c r="AK45" i="2"/>
  <c r="AL45" i="2"/>
  <c r="AM45" i="2"/>
  <c r="AN45" i="2"/>
  <c r="AO45" i="2"/>
  <c r="AG46" i="2"/>
  <c r="AH46" i="2"/>
  <c r="AI46" i="2"/>
  <c r="AJ46" i="2"/>
  <c r="AK46" i="2"/>
  <c r="AL46" i="2"/>
  <c r="AM46" i="2"/>
  <c r="AN46" i="2"/>
  <c r="AO46" i="2"/>
  <c r="AG47" i="2"/>
  <c r="AH47" i="2"/>
  <c r="AI47" i="2"/>
  <c r="AJ47" i="2"/>
  <c r="AK47" i="2"/>
  <c r="AL47" i="2"/>
  <c r="AM47" i="2"/>
  <c r="AN47" i="2"/>
  <c r="AO47" i="2"/>
  <c r="AG48" i="2"/>
  <c r="AH48" i="2"/>
  <c r="AI48" i="2"/>
  <c r="AJ48" i="2"/>
  <c r="AK48" i="2"/>
  <c r="AL48" i="2"/>
  <c r="AM48" i="2"/>
  <c r="AN48" i="2"/>
  <c r="AO48" i="2"/>
  <c r="AG49" i="2"/>
  <c r="AH49" i="2"/>
  <c r="AI49" i="2"/>
  <c r="AJ49" i="2"/>
  <c r="AK49" i="2"/>
  <c r="AL49" i="2"/>
  <c r="AM49" i="2"/>
  <c r="AN49" i="2"/>
  <c r="AO49" i="2"/>
  <c r="AG50" i="2"/>
  <c r="AH50" i="2"/>
  <c r="AI50" i="2"/>
  <c r="AJ50" i="2"/>
  <c r="AK50" i="2"/>
  <c r="AL50" i="2"/>
  <c r="AM50" i="2"/>
  <c r="AN50" i="2"/>
  <c r="AO50" i="2"/>
  <c r="AG51" i="2"/>
  <c r="AH51" i="2"/>
  <c r="AI51" i="2"/>
  <c r="AJ51" i="2"/>
  <c r="AK51" i="2"/>
  <c r="AL51" i="2"/>
  <c r="AM51" i="2"/>
  <c r="AN51" i="2"/>
  <c r="AO51" i="2"/>
  <c r="AG52" i="2"/>
  <c r="AH52" i="2"/>
  <c r="AI52" i="2"/>
  <c r="AJ52" i="2"/>
  <c r="AK52" i="2"/>
  <c r="AL52" i="2"/>
  <c r="AM52" i="2"/>
  <c r="AN52" i="2"/>
  <c r="AO52" i="2"/>
  <c r="AG53" i="2"/>
  <c r="AH53" i="2"/>
  <c r="AI53" i="2"/>
  <c r="AJ53" i="2"/>
  <c r="AK53" i="2"/>
  <c r="AL53" i="2"/>
  <c r="AM53" i="2"/>
  <c r="AN53" i="2"/>
  <c r="AO53" i="2"/>
  <c r="AG54" i="2"/>
  <c r="AH54" i="2"/>
  <c r="AI54" i="2"/>
  <c r="AJ54" i="2"/>
  <c r="AK54" i="2"/>
  <c r="AL54" i="2"/>
  <c r="AM54" i="2"/>
  <c r="AN54" i="2"/>
  <c r="AO54" i="2"/>
  <c r="AG55" i="2"/>
  <c r="AH55" i="2"/>
  <c r="AI55" i="2"/>
  <c r="AJ55" i="2"/>
  <c r="AK55" i="2"/>
  <c r="AL55" i="2"/>
  <c r="AM55" i="2"/>
  <c r="AN55" i="2"/>
  <c r="AO55" i="2"/>
  <c r="AG56" i="2"/>
  <c r="AH56" i="2"/>
  <c r="AI56" i="2"/>
  <c r="AJ56" i="2"/>
  <c r="AK56" i="2"/>
  <c r="AL56" i="2"/>
  <c r="AM56" i="2"/>
  <c r="AN56" i="2"/>
  <c r="AO56" i="2"/>
  <c r="AG57" i="2"/>
  <c r="AH57" i="2"/>
  <c r="AI57" i="2"/>
  <c r="AJ57" i="2"/>
  <c r="AK57" i="2"/>
  <c r="AL57" i="2"/>
  <c r="AM57" i="2"/>
  <c r="AN57" i="2"/>
  <c r="AO57" i="2"/>
  <c r="AG58" i="2"/>
  <c r="AH58" i="2"/>
  <c r="AI58" i="2"/>
  <c r="AJ58" i="2"/>
  <c r="AK58" i="2"/>
  <c r="AL58" i="2"/>
  <c r="AM58" i="2"/>
  <c r="AN58" i="2"/>
  <c r="AO58" i="2"/>
  <c r="AG59" i="2"/>
  <c r="AH59" i="2"/>
  <c r="AI59" i="2"/>
  <c r="AJ59" i="2"/>
  <c r="AK59" i="2"/>
  <c r="AL59" i="2"/>
  <c r="AM59" i="2"/>
  <c r="AN59" i="2"/>
  <c r="AO59" i="2"/>
  <c r="AG60" i="2"/>
  <c r="AH60" i="2"/>
  <c r="AI60" i="2"/>
  <c r="AJ60" i="2"/>
  <c r="AK60" i="2"/>
  <c r="AL60" i="2"/>
  <c r="AM60" i="2"/>
  <c r="AN60" i="2"/>
  <c r="AO60" i="2"/>
  <c r="AG61" i="2"/>
  <c r="AH61" i="2"/>
  <c r="AI61" i="2"/>
  <c r="AJ61" i="2"/>
  <c r="AK61" i="2"/>
  <c r="AL61" i="2"/>
  <c r="AM61" i="2"/>
  <c r="AN61" i="2"/>
  <c r="AO61" i="2"/>
  <c r="AG62" i="2"/>
  <c r="AH62" i="2"/>
  <c r="AI62" i="2"/>
  <c r="AJ62" i="2"/>
  <c r="AK62" i="2"/>
  <c r="AL62" i="2"/>
  <c r="AM62" i="2"/>
  <c r="AN62" i="2"/>
  <c r="AO62" i="2"/>
  <c r="AG63" i="2"/>
  <c r="AH63" i="2"/>
  <c r="AI63" i="2"/>
  <c r="AJ63" i="2"/>
  <c r="AK63" i="2"/>
  <c r="AL63" i="2"/>
  <c r="AM63" i="2"/>
  <c r="AN63" i="2"/>
  <c r="AO63" i="2"/>
  <c r="AG64" i="2"/>
  <c r="AH64" i="2"/>
  <c r="AI64" i="2"/>
  <c r="AJ64" i="2"/>
  <c r="AK64" i="2"/>
  <c r="AL64" i="2"/>
  <c r="AM64" i="2"/>
  <c r="AN64" i="2"/>
  <c r="AO64" i="2"/>
  <c r="AG65" i="2"/>
  <c r="AH65" i="2"/>
  <c r="AI65" i="2"/>
  <c r="AJ65" i="2"/>
  <c r="AK65" i="2"/>
  <c r="AL65" i="2"/>
  <c r="AM65" i="2"/>
  <c r="AN65" i="2"/>
  <c r="AO65" i="2"/>
  <c r="AG66" i="2"/>
  <c r="AH66" i="2"/>
  <c r="AI66" i="2"/>
  <c r="AJ66" i="2"/>
  <c r="AK66" i="2"/>
  <c r="AL66" i="2"/>
  <c r="AM66" i="2"/>
  <c r="AN66" i="2"/>
  <c r="AO66" i="2"/>
  <c r="AG67" i="2"/>
  <c r="AH67" i="2"/>
  <c r="AI67" i="2"/>
  <c r="AJ67" i="2"/>
  <c r="AK67" i="2"/>
  <c r="AL67" i="2"/>
  <c r="AM67" i="2"/>
  <c r="AN67" i="2"/>
  <c r="AO67" i="2"/>
  <c r="AG68" i="2"/>
  <c r="AH68" i="2"/>
  <c r="AI68" i="2"/>
  <c r="AJ68" i="2"/>
  <c r="AK68" i="2"/>
  <c r="AL68" i="2"/>
  <c r="AM68" i="2"/>
  <c r="AN68" i="2"/>
  <c r="AO68" i="2"/>
  <c r="AG69" i="2"/>
  <c r="AH69" i="2"/>
  <c r="AI69" i="2"/>
  <c r="AJ69" i="2"/>
  <c r="AK69" i="2"/>
  <c r="AL69" i="2"/>
  <c r="AM69" i="2"/>
  <c r="AN69" i="2"/>
  <c r="AO69" i="2"/>
  <c r="AG70" i="2"/>
  <c r="AH70" i="2"/>
  <c r="AI70" i="2"/>
  <c r="AJ70" i="2"/>
  <c r="AK70" i="2"/>
  <c r="AL70" i="2"/>
  <c r="AM70" i="2"/>
  <c r="AN70" i="2"/>
  <c r="AO70" i="2"/>
  <c r="AG71" i="2"/>
  <c r="AH71" i="2"/>
  <c r="AI71" i="2"/>
  <c r="AJ71" i="2"/>
  <c r="AK71" i="2"/>
  <c r="AL71" i="2"/>
  <c r="AM71" i="2"/>
  <c r="AN71" i="2"/>
  <c r="AO71" i="2"/>
  <c r="AG72" i="2"/>
  <c r="AH72" i="2"/>
  <c r="AI72" i="2"/>
  <c r="AJ72" i="2"/>
  <c r="AK72" i="2"/>
  <c r="AL72" i="2"/>
  <c r="AM72" i="2"/>
  <c r="AN72" i="2"/>
  <c r="AO72" i="2"/>
  <c r="AG73" i="2"/>
  <c r="AH73" i="2"/>
  <c r="AI73" i="2"/>
  <c r="AJ73" i="2"/>
  <c r="AK73" i="2"/>
  <c r="AL73" i="2"/>
  <c r="AM73" i="2"/>
  <c r="AN73" i="2"/>
  <c r="AO73" i="2"/>
  <c r="AG74" i="2"/>
  <c r="AH74" i="2"/>
  <c r="AI74" i="2"/>
  <c r="AJ74" i="2"/>
  <c r="AK74" i="2"/>
  <c r="AL74" i="2"/>
  <c r="AM74" i="2"/>
  <c r="AN74" i="2"/>
  <c r="AO74" i="2"/>
  <c r="AG75" i="2"/>
  <c r="AH75" i="2"/>
  <c r="AI75" i="2"/>
  <c r="AJ75" i="2"/>
  <c r="AK75" i="2"/>
  <c r="AL75" i="2"/>
  <c r="AM75" i="2"/>
  <c r="AN75" i="2"/>
  <c r="AO75" i="2"/>
  <c r="AG76" i="2"/>
  <c r="AH76" i="2"/>
  <c r="AI76" i="2"/>
  <c r="AJ76" i="2"/>
  <c r="AK76" i="2"/>
  <c r="AL76" i="2"/>
  <c r="AM76" i="2"/>
  <c r="AN76" i="2"/>
  <c r="AO76" i="2"/>
  <c r="AG77" i="2"/>
  <c r="AH77" i="2"/>
  <c r="AI77" i="2"/>
  <c r="AJ77" i="2"/>
  <c r="AK77" i="2"/>
  <c r="AL77" i="2"/>
  <c r="AM77" i="2"/>
  <c r="AN77" i="2"/>
  <c r="AO77" i="2"/>
  <c r="AG78" i="2"/>
  <c r="AH78" i="2"/>
  <c r="AI78" i="2"/>
  <c r="AJ78" i="2"/>
  <c r="AK78" i="2"/>
  <c r="AL78" i="2"/>
  <c r="AM78" i="2"/>
  <c r="AN78" i="2"/>
  <c r="AO78" i="2"/>
  <c r="AG79" i="2"/>
  <c r="AH79" i="2"/>
  <c r="AI79" i="2"/>
  <c r="AJ79" i="2"/>
  <c r="AK79" i="2"/>
  <c r="AL79" i="2"/>
  <c r="AM79" i="2"/>
  <c r="AN79" i="2"/>
  <c r="AO79" i="2"/>
  <c r="AG80" i="2"/>
  <c r="AH80" i="2"/>
  <c r="AI80" i="2"/>
  <c r="AJ80" i="2"/>
  <c r="AK80" i="2"/>
  <c r="AL80" i="2"/>
  <c r="AM80" i="2"/>
  <c r="AN80" i="2"/>
  <c r="AO80" i="2"/>
  <c r="AG81" i="2"/>
  <c r="AH81" i="2"/>
  <c r="AI81" i="2"/>
  <c r="AJ81" i="2"/>
  <c r="AK81" i="2"/>
  <c r="AL81" i="2"/>
  <c r="AM81" i="2"/>
  <c r="AN81" i="2"/>
  <c r="AO81" i="2"/>
  <c r="AG82" i="2"/>
  <c r="AH82" i="2"/>
  <c r="AI82" i="2"/>
  <c r="AJ82" i="2"/>
  <c r="AK82" i="2"/>
  <c r="AL82" i="2"/>
  <c r="AM82" i="2"/>
  <c r="AN82" i="2"/>
  <c r="AO82" i="2"/>
  <c r="AG83" i="2"/>
  <c r="AH83" i="2"/>
  <c r="AI83" i="2"/>
  <c r="AJ83" i="2"/>
  <c r="AK83" i="2"/>
  <c r="AL83" i="2"/>
  <c r="AM83" i="2"/>
  <c r="AN83" i="2"/>
  <c r="AO83" i="2"/>
  <c r="AG84" i="2"/>
  <c r="AH84" i="2"/>
  <c r="AI84" i="2"/>
  <c r="AJ84" i="2"/>
  <c r="AK84" i="2"/>
  <c r="AL84" i="2"/>
  <c r="AM84" i="2"/>
  <c r="AN84" i="2"/>
  <c r="AO84" i="2"/>
  <c r="AG85" i="2"/>
  <c r="AH85" i="2"/>
  <c r="AI85" i="2"/>
  <c r="AJ85" i="2"/>
  <c r="AK85" i="2"/>
  <c r="AL85" i="2"/>
  <c r="AM85" i="2"/>
  <c r="AN85" i="2"/>
  <c r="AO85" i="2"/>
  <c r="AG86" i="2"/>
  <c r="AH86" i="2"/>
  <c r="AI86" i="2"/>
  <c r="AJ86" i="2"/>
  <c r="AK86" i="2"/>
  <c r="AL86" i="2"/>
  <c r="AM86" i="2"/>
  <c r="AN86" i="2"/>
  <c r="AO86" i="2"/>
  <c r="AG87" i="2"/>
  <c r="AH87" i="2"/>
  <c r="AI87" i="2"/>
  <c r="AJ87" i="2"/>
  <c r="AK87" i="2"/>
  <c r="AL87" i="2"/>
  <c r="AM87" i="2"/>
  <c r="AN87" i="2"/>
  <c r="AO87" i="2"/>
  <c r="AG88" i="2"/>
  <c r="AH88" i="2"/>
  <c r="AI88" i="2"/>
  <c r="AJ88" i="2"/>
  <c r="AK88" i="2"/>
  <c r="AL88" i="2"/>
  <c r="AM88" i="2"/>
  <c r="AN88" i="2"/>
  <c r="AO88" i="2"/>
  <c r="AG89" i="2"/>
  <c r="AH89" i="2"/>
  <c r="AI89" i="2"/>
  <c r="AJ89" i="2"/>
  <c r="AK89" i="2"/>
  <c r="AL89" i="2"/>
  <c r="AM89" i="2"/>
  <c r="AN89" i="2"/>
  <c r="AO89" i="2"/>
  <c r="AG90" i="2"/>
  <c r="AH90" i="2"/>
  <c r="AI90" i="2"/>
  <c r="AJ90" i="2"/>
  <c r="AK90" i="2"/>
  <c r="AL90" i="2"/>
  <c r="AM90" i="2"/>
  <c r="AN90" i="2"/>
  <c r="AO90" i="2"/>
  <c r="AG91" i="2"/>
  <c r="AH91" i="2"/>
  <c r="AI91" i="2"/>
  <c r="AJ91" i="2"/>
  <c r="AK91" i="2"/>
  <c r="AL91" i="2"/>
  <c r="AM91" i="2"/>
  <c r="AN91" i="2"/>
  <c r="AO91" i="2"/>
  <c r="AG92" i="2"/>
  <c r="AH92" i="2"/>
  <c r="AI92" i="2"/>
  <c r="AJ92" i="2"/>
  <c r="AK92" i="2"/>
  <c r="AL92" i="2"/>
  <c r="AM92" i="2"/>
  <c r="AN92" i="2"/>
  <c r="AO92" i="2"/>
  <c r="AG93" i="2"/>
  <c r="AH93" i="2"/>
  <c r="AI93" i="2"/>
  <c r="AJ93" i="2"/>
  <c r="AK93" i="2"/>
  <c r="AL93" i="2"/>
  <c r="AM93" i="2"/>
  <c r="AN93" i="2"/>
  <c r="AO93" i="2"/>
  <c r="AG94" i="2"/>
  <c r="AH94" i="2"/>
  <c r="AI94" i="2"/>
  <c r="AJ94" i="2"/>
  <c r="AK94" i="2"/>
  <c r="AL94" i="2"/>
  <c r="AM94" i="2"/>
  <c r="AN94" i="2"/>
  <c r="AO94" i="2"/>
  <c r="AG95" i="2"/>
  <c r="AH95" i="2"/>
  <c r="AI95" i="2"/>
  <c r="AJ95" i="2"/>
  <c r="AK95" i="2"/>
  <c r="AL95" i="2"/>
  <c r="AM95" i="2"/>
  <c r="AN95" i="2"/>
  <c r="AO95" i="2"/>
  <c r="AG96" i="2"/>
  <c r="AH96" i="2"/>
  <c r="AI96" i="2"/>
  <c r="AJ96" i="2"/>
  <c r="AK96" i="2"/>
  <c r="AL96" i="2"/>
  <c r="AM96" i="2"/>
  <c r="AN96" i="2"/>
  <c r="AO96" i="2"/>
  <c r="AG97" i="2"/>
  <c r="AH97" i="2"/>
  <c r="AI97" i="2"/>
  <c r="AJ97" i="2"/>
  <c r="AK97" i="2"/>
  <c r="AL97" i="2"/>
  <c r="AM97" i="2"/>
  <c r="AN97" i="2"/>
  <c r="AO97" i="2"/>
  <c r="AG98" i="2"/>
  <c r="AH98" i="2"/>
  <c r="AI98" i="2"/>
  <c r="AJ98" i="2"/>
  <c r="AK98" i="2"/>
  <c r="AL98" i="2"/>
  <c r="AM98" i="2"/>
  <c r="AN98" i="2"/>
  <c r="AO98" i="2"/>
  <c r="AG99" i="2"/>
  <c r="AH99" i="2"/>
  <c r="AI99" i="2"/>
  <c r="AJ99" i="2"/>
  <c r="AK99" i="2"/>
  <c r="AL99" i="2"/>
  <c r="AM99" i="2"/>
  <c r="AN99" i="2"/>
  <c r="AO99" i="2"/>
  <c r="AG100" i="2"/>
  <c r="AH100" i="2"/>
  <c r="AI100" i="2"/>
  <c r="AJ100" i="2"/>
  <c r="AK100" i="2"/>
  <c r="AL100" i="2"/>
  <c r="AM100" i="2"/>
  <c r="AN100" i="2"/>
  <c r="AO100" i="2"/>
  <c r="AG101" i="2"/>
  <c r="AH101" i="2"/>
  <c r="AI101" i="2"/>
  <c r="AJ101" i="2"/>
  <c r="AK101" i="2"/>
  <c r="AL101" i="2"/>
  <c r="AM101" i="2"/>
  <c r="AN101" i="2"/>
  <c r="AO101" i="2"/>
  <c r="AG102" i="2"/>
  <c r="AH102" i="2"/>
  <c r="AI102" i="2"/>
  <c r="AJ102" i="2"/>
  <c r="AK102" i="2"/>
  <c r="AL102" i="2"/>
  <c r="AM102" i="2"/>
  <c r="AN102" i="2"/>
  <c r="AO102" i="2"/>
  <c r="AG103" i="2"/>
  <c r="AH103" i="2"/>
  <c r="AI103" i="2"/>
  <c r="AJ103" i="2"/>
  <c r="AK103" i="2"/>
  <c r="AL103" i="2"/>
  <c r="AM103" i="2"/>
  <c r="AN103" i="2"/>
  <c r="AO103" i="2"/>
  <c r="AG104" i="2"/>
  <c r="AH104" i="2"/>
  <c r="AI104" i="2"/>
  <c r="AJ104" i="2"/>
  <c r="AK104" i="2"/>
  <c r="AL104" i="2"/>
  <c r="AM104" i="2"/>
  <c r="AN104" i="2"/>
  <c r="AO104" i="2"/>
  <c r="AG105" i="2"/>
  <c r="AH105" i="2"/>
  <c r="AI105" i="2"/>
  <c r="AJ105" i="2"/>
  <c r="AK105" i="2"/>
  <c r="AL105" i="2"/>
  <c r="AM105" i="2"/>
  <c r="AN105" i="2"/>
  <c r="AO105" i="2"/>
  <c r="AG106" i="2"/>
  <c r="AH106" i="2"/>
  <c r="AI106" i="2"/>
  <c r="AJ106" i="2"/>
  <c r="AK106" i="2"/>
  <c r="AL106" i="2"/>
  <c r="AM106" i="2"/>
  <c r="AN106" i="2"/>
  <c r="AO106" i="2"/>
  <c r="AG107" i="2"/>
  <c r="AH107" i="2"/>
  <c r="AI107" i="2"/>
  <c r="AJ107" i="2"/>
  <c r="AK107" i="2"/>
  <c r="AL107" i="2"/>
  <c r="AM107" i="2"/>
  <c r="AN107" i="2"/>
  <c r="AO107" i="2"/>
  <c r="AG108" i="2"/>
  <c r="AH108" i="2"/>
  <c r="AI108" i="2"/>
  <c r="AJ108" i="2"/>
  <c r="AK108" i="2"/>
  <c r="AL108" i="2"/>
  <c r="AM108" i="2"/>
  <c r="AN108" i="2"/>
  <c r="AO108" i="2"/>
  <c r="AG109" i="2"/>
  <c r="AH109" i="2"/>
  <c r="AI109" i="2"/>
  <c r="AJ109" i="2"/>
  <c r="AK109" i="2"/>
  <c r="AL109" i="2"/>
  <c r="AM109" i="2"/>
  <c r="AN109" i="2"/>
  <c r="AO109" i="2"/>
  <c r="AG110" i="2"/>
  <c r="AH110" i="2"/>
  <c r="AI110" i="2"/>
  <c r="AJ110" i="2"/>
  <c r="AK110" i="2"/>
  <c r="AL110" i="2"/>
  <c r="AM110" i="2"/>
  <c r="AN110" i="2"/>
  <c r="AO110" i="2"/>
  <c r="AG111" i="2"/>
  <c r="AH111" i="2"/>
  <c r="AI111" i="2"/>
  <c r="AJ111" i="2"/>
  <c r="AK111" i="2"/>
  <c r="AL111" i="2"/>
  <c r="AM111" i="2"/>
  <c r="AN111" i="2"/>
  <c r="AO111" i="2"/>
  <c r="AG112" i="2"/>
  <c r="AH112" i="2"/>
  <c r="AI112" i="2"/>
  <c r="AJ112" i="2"/>
  <c r="AK112" i="2"/>
  <c r="AL112" i="2"/>
  <c r="AM112" i="2"/>
  <c r="AN112" i="2"/>
  <c r="AO112" i="2"/>
  <c r="AG113" i="2"/>
  <c r="AH113" i="2"/>
  <c r="AI113" i="2"/>
  <c r="AJ113" i="2"/>
  <c r="AK113" i="2"/>
  <c r="AL113" i="2"/>
  <c r="AM113" i="2"/>
  <c r="AN113" i="2"/>
  <c r="AO113" i="2"/>
  <c r="AG114" i="2"/>
  <c r="AH114" i="2"/>
  <c r="AI114" i="2"/>
  <c r="AJ114" i="2"/>
  <c r="AK114" i="2"/>
  <c r="AL114" i="2"/>
  <c r="AM114" i="2"/>
  <c r="AN114" i="2"/>
  <c r="AO114" i="2"/>
  <c r="AG115" i="2"/>
  <c r="AH115" i="2"/>
  <c r="AI115" i="2"/>
  <c r="AJ115" i="2"/>
  <c r="AK115" i="2"/>
  <c r="AL115" i="2"/>
  <c r="AM115" i="2"/>
  <c r="AN115" i="2"/>
  <c r="AO115" i="2"/>
  <c r="AG116" i="2"/>
  <c r="AH116" i="2"/>
  <c r="AI116" i="2"/>
  <c r="AJ116" i="2"/>
  <c r="AK116" i="2"/>
  <c r="AL116" i="2"/>
  <c r="AM116" i="2"/>
  <c r="AN116" i="2"/>
  <c r="AO116" i="2"/>
  <c r="AG117" i="2"/>
  <c r="AH117" i="2"/>
  <c r="AI117" i="2"/>
  <c r="AJ117" i="2"/>
  <c r="AK117" i="2"/>
  <c r="AL117" i="2"/>
  <c r="AM117" i="2"/>
  <c r="AN117" i="2"/>
  <c r="AO117" i="2"/>
  <c r="AG118" i="2"/>
  <c r="AH118" i="2"/>
  <c r="AI118" i="2"/>
  <c r="AJ118" i="2"/>
  <c r="AK118" i="2"/>
  <c r="AL118" i="2"/>
  <c r="AM118" i="2"/>
  <c r="AN118" i="2"/>
  <c r="AO118" i="2"/>
  <c r="AG119" i="2"/>
  <c r="AH119" i="2"/>
  <c r="AI119" i="2"/>
  <c r="AJ119" i="2"/>
  <c r="AK119" i="2"/>
  <c r="AL119" i="2"/>
  <c r="AM119" i="2"/>
  <c r="AN119" i="2"/>
  <c r="AO119" i="2"/>
  <c r="AG120" i="2"/>
  <c r="AH120" i="2"/>
  <c r="AI120" i="2"/>
  <c r="AJ120" i="2"/>
  <c r="AK120" i="2"/>
  <c r="AL120" i="2"/>
  <c r="AM120" i="2"/>
  <c r="AN120" i="2"/>
  <c r="AO120" i="2"/>
  <c r="AG121" i="2"/>
  <c r="AH121" i="2"/>
  <c r="AI121" i="2"/>
  <c r="AJ121" i="2"/>
  <c r="AK121" i="2"/>
  <c r="AL121" i="2"/>
  <c r="AM121" i="2"/>
  <c r="AN121" i="2"/>
  <c r="AO121" i="2"/>
  <c r="AG122" i="2"/>
  <c r="AH122" i="2"/>
  <c r="AI122" i="2"/>
  <c r="AJ122" i="2"/>
  <c r="AK122" i="2"/>
  <c r="AL122" i="2"/>
  <c r="AM122" i="2"/>
  <c r="AN122" i="2"/>
  <c r="AO122" i="2"/>
  <c r="AG123" i="2"/>
  <c r="AH123" i="2"/>
  <c r="AI123" i="2"/>
  <c r="AJ123" i="2"/>
  <c r="AK123" i="2"/>
  <c r="AL123" i="2"/>
  <c r="AM123" i="2"/>
  <c r="AN123" i="2"/>
  <c r="AO123" i="2"/>
  <c r="AG124" i="2"/>
  <c r="AH124" i="2"/>
  <c r="AI124" i="2"/>
  <c r="AJ124" i="2"/>
  <c r="AK124" i="2"/>
  <c r="AL124" i="2"/>
  <c r="AM124" i="2"/>
  <c r="AN124" i="2"/>
  <c r="AO124" i="2"/>
  <c r="AG125" i="2"/>
  <c r="AH125" i="2"/>
  <c r="AI125" i="2"/>
  <c r="AJ125" i="2"/>
  <c r="AK125" i="2"/>
  <c r="AL125" i="2"/>
  <c r="AM125" i="2"/>
  <c r="AN125" i="2"/>
  <c r="AO125" i="2"/>
  <c r="AG126" i="2"/>
  <c r="AH126" i="2"/>
  <c r="AI126" i="2"/>
  <c r="AJ126" i="2"/>
  <c r="AK126" i="2"/>
  <c r="AL126" i="2"/>
  <c r="AM126" i="2"/>
  <c r="AN126" i="2"/>
  <c r="AO126" i="2"/>
  <c r="AG127" i="2"/>
  <c r="AH127" i="2"/>
  <c r="AI127" i="2"/>
  <c r="AJ127" i="2"/>
  <c r="AK127" i="2"/>
  <c r="AL127" i="2"/>
  <c r="AM127" i="2"/>
  <c r="AN127" i="2"/>
  <c r="AO127" i="2"/>
  <c r="AG128" i="2"/>
  <c r="AH128" i="2"/>
  <c r="AI128" i="2"/>
  <c r="AJ128" i="2"/>
  <c r="AK128" i="2"/>
  <c r="AL128" i="2"/>
  <c r="AM128" i="2"/>
  <c r="AN128" i="2"/>
  <c r="AO128" i="2"/>
  <c r="AG129" i="2"/>
  <c r="AH129" i="2"/>
  <c r="AI129" i="2"/>
  <c r="AJ129" i="2"/>
  <c r="AK129" i="2"/>
  <c r="AL129" i="2"/>
  <c r="AM129" i="2"/>
  <c r="AN129" i="2"/>
  <c r="AO129" i="2"/>
  <c r="AG130" i="2"/>
  <c r="AH130" i="2"/>
  <c r="AI130" i="2"/>
  <c r="AJ130" i="2"/>
  <c r="AK130" i="2"/>
  <c r="AL130" i="2"/>
  <c r="AM130" i="2"/>
  <c r="AN130" i="2"/>
  <c r="AO130" i="2"/>
  <c r="AG131" i="2"/>
  <c r="AH131" i="2"/>
  <c r="AI131" i="2"/>
  <c r="AJ131" i="2"/>
  <c r="AK131" i="2"/>
  <c r="AL131" i="2"/>
  <c r="AM131" i="2"/>
  <c r="AN131" i="2"/>
  <c r="AO131" i="2"/>
  <c r="AG132" i="2"/>
  <c r="AH132" i="2"/>
  <c r="AI132" i="2"/>
  <c r="AJ132" i="2"/>
  <c r="AK132" i="2"/>
  <c r="AL132" i="2"/>
  <c r="AM132" i="2"/>
  <c r="AN132" i="2"/>
  <c r="AO132" i="2"/>
  <c r="AG133" i="2"/>
  <c r="AH133" i="2"/>
  <c r="AI133" i="2"/>
  <c r="AJ133" i="2"/>
  <c r="AK133" i="2"/>
  <c r="AL133" i="2"/>
  <c r="AM133" i="2"/>
  <c r="AN133" i="2"/>
  <c r="AO133" i="2"/>
  <c r="AG134" i="2"/>
  <c r="AH134" i="2"/>
  <c r="AI134" i="2"/>
  <c r="AJ134" i="2"/>
  <c r="AK134" i="2"/>
  <c r="AL134" i="2"/>
  <c r="AM134" i="2"/>
  <c r="AN134" i="2"/>
  <c r="AO134" i="2"/>
  <c r="AG135" i="2"/>
  <c r="AH135" i="2"/>
  <c r="AI135" i="2"/>
  <c r="AJ135" i="2"/>
  <c r="AK135" i="2"/>
  <c r="AL135" i="2"/>
  <c r="AM135" i="2"/>
  <c r="AN135" i="2"/>
  <c r="AO135" i="2"/>
  <c r="AG136" i="2"/>
  <c r="AH136" i="2"/>
  <c r="AI136" i="2"/>
  <c r="AJ136" i="2"/>
  <c r="AK136" i="2"/>
  <c r="AL136" i="2"/>
  <c r="AM136" i="2"/>
  <c r="AN136" i="2"/>
  <c r="AO136" i="2"/>
  <c r="AG137" i="2"/>
  <c r="AH137" i="2"/>
  <c r="AI137" i="2"/>
  <c r="AJ137" i="2"/>
  <c r="AK137" i="2"/>
  <c r="AL137" i="2"/>
  <c r="AM137" i="2"/>
  <c r="AN137" i="2"/>
  <c r="AO137" i="2"/>
  <c r="AG138" i="2"/>
  <c r="AH138" i="2"/>
  <c r="AI138" i="2"/>
  <c r="AJ138" i="2"/>
  <c r="AK138" i="2"/>
  <c r="AL138" i="2"/>
  <c r="AM138" i="2"/>
  <c r="AN138" i="2"/>
  <c r="AO138" i="2"/>
  <c r="AG139" i="2"/>
  <c r="AH139" i="2"/>
  <c r="AI139" i="2"/>
  <c r="AJ139" i="2"/>
  <c r="AK139" i="2"/>
  <c r="AL139" i="2"/>
  <c r="AM139" i="2"/>
  <c r="AN139" i="2"/>
  <c r="AO139" i="2"/>
  <c r="AG140" i="2"/>
  <c r="AH140" i="2"/>
  <c r="AI140" i="2"/>
  <c r="AJ140" i="2"/>
  <c r="AK140" i="2"/>
  <c r="AL140" i="2"/>
  <c r="AM140" i="2"/>
  <c r="AN140" i="2"/>
  <c r="AO140" i="2"/>
  <c r="AG141" i="2"/>
  <c r="AH141" i="2"/>
  <c r="AI141" i="2"/>
  <c r="AJ141" i="2"/>
  <c r="AK141" i="2"/>
  <c r="AL141" i="2"/>
  <c r="AM141" i="2"/>
  <c r="AN141" i="2"/>
  <c r="AO141" i="2"/>
  <c r="AG142" i="2"/>
  <c r="AH142" i="2"/>
  <c r="AI142" i="2"/>
  <c r="AJ142" i="2"/>
  <c r="AK142" i="2"/>
  <c r="AL142" i="2"/>
  <c r="AM142" i="2"/>
  <c r="AN142" i="2"/>
  <c r="AO142" i="2"/>
  <c r="AG143" i="2"/>
  <c r="AH143" i="2"/>
  <c r="AI143" i="2"/>
  <c r="AJ143" i="2"/>
  <c r="AK143" i="2"/>
  <c r="AL143" i="2"/>
  <c r="AM143" i="2"/>
  <c r="AN143" i="2"/>
  <c r="AO143" i="2"/>
  <c r="AG144" i="2"/>
  <c r="AH144" i="2"/>
  <c r="AI144" i="2"/>
  <c r="AJ144" i="2"/>
  <c r="AK144" i="2"/>
  <c r="AL144" i="2"/>
  <c r="AM144" i="2"/>
  <c r="AN144" i="2"/>
  <c r="AO144" i="2"/>
  <c r="AG145" i="2"/>
  <c r="AH145" i="2"/>
  <c r="AI145" i="2"/>
  <c r="AJ145" i="2"/>
  <c r="AK145" i="2"/>
  <c r="AL145" i="2"/>
  <c r="AM145" i="2"/>
  <c r="AN145" i="2"/>
  <c r="AO145" i="2"/>
  <c r="AG146" i="2"/>
  <c r="AH146" i="2"/>
  <c r="AI146" i="2"/>
  <c r="AJ146" i="2"/>
  <c r="AK146" i="2"/>
  <c r="AL146" i="2"/>
  <c r="AM146" i="2"/>
  <c r="AN146" i="2"/>
  <c r="AO146" i="2"/>
  <c r="AG147" i="2"/>
  <c r="AH147" i="2"/>
  <c r="AI147" i="2"/>
  <c r="AJ147" i="2"/>
  <c r="AK147" i="2"/>
  <c r="AL147" i="2"/>
  <c r="AM147" i="2"/>
  <c r="AN147" i="2"/>
  <c r="AO147" i="2"/>
  <c r="AG148" i="2"/>
  <c r="AH148" i="2"/>
  <c r="AI148" i="2"/>
  <c r="AJ148" i="2"/>
  <c r="AK148" i="2"/>
  <c r="AL148" i="2"/>
  <c r="AM148" i="2"/>
  <c r="AN148" i="2"/>
  <c r="AO148" i="2"/>
  <c r="AG149" i="2"/>
  <c r="AH149" i="2"/>
  <c r="AI149" i="2"/>
  <c r="AJ149" i="2"/>
  <c r="AK149" i="2"/>
  <c r="AL149" i="2"/>
  <c r="AM149" i="2"/>
  <c r="AN149" i="2"/>
  <c r="AO149" i="2"/>
  <c r="AG150" i="2"/>
  <c r="AH150" i="2"/>
  <c r="AI150" i="2"/>
  <c r="AJ150" i="2"/>
  <c r="AK150" i="2"/>
  <c r="AL150" i="2"/>
  <c r="AM150" i="2"/>
  <c r="AN150" i="2"/>
  <c r="AO150" i="2"/>
  <c r="AG151" i="2"/>
  <c r="AH151" i="2"/>
  <c r="AI151" i="2"/>
  <c r="AJ151" i="2"/>
  <c r="AK151" i="2"/>
  <c r="AL151" i="2"/>
  <c r="AM151" i="2"/>
  <c r="AN151" i="2"/>
  <c r="AO151" i="2"/>
  <c r="AG152" i="2"/>
  <c r="AH152" i="2"/>
  <c r="AI152" i="2"/>
  <c r="AJ152" i="2"/>
  <c r="AK152" i="2"/>
  <c r="AL152" i="2"/>
  <c r="AM152" i="2"/>
  <c r="AN152" i="2"/>
  <c r="AO152" i="2"/>
  <c r="AG153" i="2"/>
  <c r="AH153" i="2"/>
  <c r="AI153" i="2"/>
  <c r="AJ153" i="2"/>
  <c r="AK153" i="2"/>
  <c r="AL153" i="2"/>
  <c r="AM153" i="2"/>
  <c r="AN153" i="2"/>
  <c r="AO153" i="2"/>
  <c r="AG154" i="2"/>
  <c r="AH154" i="2"/>
  <c r="AI154" i="2"/>
  <c r="AJ154" i="2"/>
  <c r="AK154" i="2"/>
  <c r="AL154" i="2"/>
  <c r="AM154" i="2"/>
  <c r="AN154" i="2"/>
  <c r="AO154" i="2"/>
  <c r="AG155" i="2"/>
  <c r="AH155" i="2"/>
  <c r="AI155" i="2"/>
  <c r="AJ155" i="2"/>
  <c r="AK155" i="2"/>
  <c r="AL155" i="2"/>
  <c r="AM155" i="2"/>
  <c r="AN155" i="2"/>
  <c r="AO155" i="2"/>
  <c r="AG156" i="2"/>
  <c r="AH156" i="2"/>
  <c r="AI156" i="2"/>
  <c r="AJ156" i="2"/>
  <c r="AK156" i="2"/>
  <c r="AL156" i="2"/>
  <c r="AM156" i="2"/>
  <c r="AN156" i="2"/>
  <c r="AO156" i="2"/>
  <c r="AG157" i="2"/>
  <c r="AH157" i="2"/>
  <c r="AI157" i="2"/>
  <c r="AJ157" i="2"/>
  <c r="AK157" i="2"/>
  <c r="AL157" i="2"/>
  <c r="AM157" i="2"/>
  <c r="AN157" i="2"/>
  <c r="AO157" i="2"/>
  <c r="AG158" i="2"/>
  <c r="AH158" i="2"/>
  <c r="AI158" i="2"/>
  <c r="AJ158" i="2"/>
  <c r="AK158" i="2"/>
  <c r="AL158" i="2"/>
  <c r="AM158" i="2"/>
  <c r="AN158" i="2"/>
  <c r="AO158" i="2"/>
  <c r="AG159" i="2"/>
  <c r="AH159" i="2"/>
  <c r="AI159" i="2"/>
  <c r="AJ159" i="2"/>
  <c r="AK159" i="2"/>
  <c r="AL159" i="2"/>
  <c r="AM159" i="2"/>
  <c r="AN159" i="2"/>
  <c r="AO159" i="2"/>
  <c r="AG160" i="2"/>
  <c r="AH160" i="2"/>
  <c r="AI160" i="2"/>
  <c r="AJ160" i="2"/>
  <c r="AK160" i="2"/>
  <c r="AL160" i="2"/>
  <c r="AM160" i="2"/>
  <c r="AN160" i="2"/>
  <c r="AO160" i="2"/>
  <c r="AG161" i="2"/>
  <c r="AH161" i="2"/>
  <c r="AI161" i="2"/>
  <c r="AJ161" i="2"/>
  <c r="AK161" i="2"/>
  <c r="AL161" i="2"/>
  <c r="AM161" i="2"/>
  <c r="AN161" i="2"/>
  <c r="AO161" i="2"/>
  <c r="AG162" i="2"/>
  <c r="AH162" i="2"/>
  <c r="AI162" i="2"/>
  <c r="AJ162" i="2"/>
  <c r="AK162" i="2"/>
  <c r="AL162" i="2"/>
  <c r="AM162" i="2"/>
  <c r="AN162" i="2"/>
  <c r="AO162" i="2"/>
  <c r="AG163" i="2"/>
  <c r="AH163" i="2"/>
  <c r="AI163" i="2"/>
  <c r="AJ163" i="2"/>
  <c r="AK163" i="2"/>
  <c r="AL163" i="2"/>
  <c r="AM163" i="2"/>
  <c r="AN163" i="2"/>
  <c r="AO163" i="2"/>
  <c r="AG164" i="2"/>
  <c r="AH164" i="2"/>
  <c r="AI164" i="2"/>
  <c r="AJ164" i="2"/>
  <c r="AK164" i="2"/>
  <c r="AL164" i="2"/>
  <c r="AM164" i="2"/>
  <c r="AN164" i="2"/>
  <c r="AO164" i="2"/>
  <c r="AG165" i="2"/>
  <c r="AH165" i="2"/>
  <c r="AI165" i="2"/>
  <c r="AJ165" i="2"/>
  <c r="AK165" i="2"/>
  <c r="AL165" i="2"/>
  <c r="AM165" i="2"/>
  <c r="AN165" i="2"/>
  <c r="AO165" i="2"/>
  <c r="AG166" i="2"/>
  <c r="AH166" i="2"/>
  <c r="AI166" i="2"/>
  <c r="AJ166" i="2"/>
  <c r="AK166" i="2"/>
  <c r="AL166" i="2"/>
  <c r="AM166" i="2"/>
  <c r="AN166" i="2"/>
  <c r="AO166" i="2"/>
  <c r="AG167" i="2"/>
  <c r="AH167" i="2"/>
  <c r="AI167" i="2"/>
  <c r="AJ167" i="2"/>
  <c r="AK167" i="2"/>
  <c r="AL167" i="2"/>
  <c r="AM167" i="2"/>
  <c r="AN167" i="2"/>
  <c r="AO167" i="2"/>
  <c r="AG168" i="2"/>
  <c r="AH168" i="2"/>
  <c r="AI168" i="2"/>
  <c r="AJ168" i="2"/>
  <c r="AK168" i="2"/>
  <c r="AL168" i="2"/>
  <c r="AM168" i="2"/>
  <c r="AN168" i="2"/>
  <c r="AO168" i="2"/>
  <c r="AG169" i="2"/>
  <c r="AH169" i="2"/>
  <c r="AI169" i="2"/>
  <c r="AJ169" i="2"/>
  <c r="AK169" i="2"/>
  <c r="AL169" i="2"/>
  <c r="AM169" i="2"/>
  <c r="AN169" i="2"/>
  <c r="AO169" i="2"/>
  <c r="AG170" i="2"/>
  <c r="AH170" i="2"/>
  <c r="AI170" i="2"/>
  <c r="AJ170" i="2"/>
  <c r="AK170" i="2"/>
  <c r="AL170" i="2"/>
  <c r="AM170" i="2"/>
  <c r="AN170" i="2"/>
  <c r="AO170" i="2"/>
  <c r="AG171" i="2"/>
  <c r="AH171" i="2"/>
  <c r="AI171" i="2"/>
  <c r="AJ171" i="2"/>
  <c r="AK171" i="2"/>
  <c r="AL171" i="2"/>
  <c r="AM171" i="2"/>
  <c r="AN171" i="2"/>
  <c r="AO171" i="2"/>
  <c r="AG172" i="2"/>
  <c r="AH172" i="2"/>
  <c r="AI172" i="2"/>
  <c r="AJ172" i="2"/>
  <c r="AK172" i="2"/>
  <c r="AL172" i="2"/>
  <c r="AM172" i="2"/>
  <c r="AN172" i="2"/>
  <c r="AO172" i="2"/>
  <c r="AG173" i="2"/>
  <c r="AH173" i="2"/>
  <c r="AI173" i="2"/>
  <c r="AJ173" i="2"/>
  <c r="AK173" i="2"/>
  <c r="AL173" i="2"/>
  <c r="AM173" i="2"/>
  <c r="AN173" i="2"/>
  <c r="AO173" i="2"/>
  <c r="AG174" i="2"/>
  <c r="AH174" i="2"/>
  <c r="AI174" i="2"/>
  <c r="AJ174" i="2"/>
  <c r="AK174" i="2"/>
  <c r="AL174" i="2"/>
  <c r="AM174" i="2"/>
  <c r="AN174" i="2"/>
  <c r="AO174" i="2"/>
  <c r="AG175" i="2"/>
  <c r="AH175" i="2"/>
  <c r="AI175" i="2"/>
  <c r="AJ175" i="2"/>
  <c r="AK175" i="2"/>
  <c r="AL175" i="2"/>
  <c r="AM175" i="2"/>
  <c r="AN175" i="2"/>
  <c r="AO175" i="2"/>
  <c r="AG176" i="2"/>
  <c r="AH176" i="2"/>
  <c r="AI176" i="2"/>
  <c r="AJ176" i="2"/>
  <c r="AK176" i="2"/>
  <c r="AL176" i="2"/>
  <c r="AM176" i="2"/>
  <c r="AN176" i="2"/>
  <c r="AO176" i="2"/>
  <c r="AG177" i="2"/>
  <c r="AH177" i="2"/>
  <c r="AI177" i="2"/>
  <c r="AJ177" i="2"/>
  <c r="AK177" i="2"/>
  <c r="AL177" i="2"/>
  <c r="AM177" i="2"/>
  <c r="AN177" i="2"/>
  <c r="AO177" i="2"/>
  <c r="AG178" i="2"/>
  <c r="AH178" i="2"/>
  <c r="AI178" i="2"/>
  <c r="AJ178" i="2"/>
  <c r="AK178" i="2"/>
  <c r="AL178" i="2"/>
  <c r="AM178" i="2"/>
  <c r="AN178" i="2"/>
  <c r="AO178" i="2"/>
  <c r="AG179" i="2"/>
  <c r="AH179" i="2"/>
  <c r="AI179" i="2"/>
  <c r="AJ179" i="2"/>
  <c r="AK179" i="2"/>
  <c r="AL179" i="2"/>
  <c r="AM179" i="2"/>
  <c r="AN179" i="2"/>
  <c r="AO179" i="2"/>
  <c r="AG180" i="2"/>
  <c r="AH180" i="2"/>
  <c r="AI180" i="2"/>
  <c r="AJ180" i="2"/>
  <c r="AK180" i="2"/>
  <c r="AL180" i="2"/>
  <c r="AM180" i="2"/>
  <c r="AN180" i="2"/>
  <c r="AO180" i="2"/>
  <c r="AG181" i="2"/>
  <c r="AH181" i="2"/>
  <c r="AI181" i="2"/>
  <c r="AJ181" i="2"/>
  <c r="AK181" i="2"/>
  <c r="AL181" i="2"/>
  <c r="AM181" i="2"/>
  <c r="AN181" i="2"/>
  <c r="AO181" i="2"/>
  <c r="AG182" i="2"/>
  <c r="AH182" i="2"/>
  <c r="AI182" i="2"/>
  <c r="AJ182" i="2"/>
  <c r="AK182" i="2"/>
  <c r="AL182" i="2"/>
  <c r="AM182" i="2"/>
  <c r="AN182" i="2"/>
  <c r="AO182" i="2"/>
  <c r="AG183" i="2"/>
  <c r="AH183" i="2"/>
  <c r="AI183" i="2"/>
  <c r="AJ183" i="2"/>
  <c r="AK183" i="2"/>
  <c r="AL183" i="2"/>
  <c r="AM183" i="2"/>
  <c r="AN183" i="2"/>
  <c r="AO183" i="2"/>
  <c r="AG184" i="2"/>
  <c r="AH184" i="2"/>
  <c r="AI184" i="2"/>
  <c r="AJ184" i="2"/>
  <c r="AK184" i="2"/>
  <c r="AL184" i="2"/>
  <c r="AM184" i="2"/>
  <c r="AN184" i="2"/>
  <c r="AO184" i="2"/>
  <c r="AG185" i="2"/>
  <c r="AH185" i="2"/>
  <c r="AI185" i="2"/>
  <c r="AJ185" i="2"/>
  <c r="AK185" i="2"/>
  <c r="AL185" i="2"/>
  <c r="AM185" i="2"/>
  <c r="AN185" i="2"/>
  <c r="AO185" i="2"/>
  <c r="AG186" i="2"/>
  <c r="AH186" i="2"/>
  <c r="AI186" i="2"/>
  <c r="AJ186" i="2"/>
  <c r="AK186" i="2"/>
  <c r="AL186" i="2"/>
  <c r="AM186" i="2"/>
  <c r="AN186" i="2"/>
  <c r="AO186" i="2"/>
  <c r="AG187" i="2"/>
  <c r="AH187" i="2"/>
  <c r="AI187" i="2"/>
  <c r="AJ187" i="2"/>
  <c r="AK187" i="2"/>
  <c r="AL187" i="2"/>
  <c r="AM187" i="2"/>
  <c r="AN187" i="2"/>
  <c r="AO187" i="2"/>
  <c r="AG188" i="2"/>
  <c r="AH188" i="2"/>
  <c r="AI188" i="2"/>
  <c r="AJ188" i="2"/>
  <c r="AK188" i="2"/>
  <c r="AL188" i="2"/>
  <c r="AM188" i="2"/>
  <c r="AN188" i="2"/>
  <c r="AO188" i="2"/>
  <c r="AG189" i="2"/>
  <c r="AH189" i="2"/>
  <c r="AI189" i="2"/>
  <c r="AJ189" i="2"/>
  <c r="AK189" i="2"/>
  <c r="AL189" i="2"/>
  <c r="AM189" i="2"/>
  <c r="AN189" i="2"/>
  <c r="AO189" i="2"/>
  <c r="AG190" i="2"/>
  <c r="AH190" i="2"/>
  <c r="AI190" i="2"/>
  <c r="AJ190" i="2"/>
  <c r="AK190" i="2"/>
  <c r="AL190" i="2"/>
  <c r="AM190" i="2"/>
  <c r="AN190" i="2"/>
  <c r="AO190" i="2"/>
  <c r="AG191" i="2"/>
  <c r="AH191" i="2"/>
  <c r="AI191" i="2"/>
  <c r="AJ191" i="2"/>
  <c r="AK191" i="2"/>
  <c r="AL191" i="2"/>
  <c r="AM191" i="2"/>
  <c r="AN191" i="2"/>
  <c r="AO191" i="2"/>
  <c r="AG192" i="2"/>
  <c r="AH192" i="2"/>
  <c r="AI192" i="2"/>
  <c r="AJ192" i="2"/>
  <c r="AK192" i="2"/>
  <c r="AL192" i="2"/>
  <c r="AM192" i="2"/>
  <c r="AN192" i="2"/>
  <c r="AO192" i="2"/>
  <c r="AG193" i="2"/>
  <c r="AH193" i="2"/>
  <c r="AI193" i="2"/>
  <c r="AJ193" i="2"/>
  <c r="AK193" i="2"/>
  <c r="AL193" i="2"/>
  <c r="AM193" i="2"/>
  <c r="AN193" i="2"/>
  <c r="AO193" i="2"/>
  <c r="AG194" i="2"/>
  <c r="AH194" i="2"/>
  <c r="AI194" i="2"/>
  <c r="AJ194" i="2"/>
  <c r="AK194" i="2"/>
  <c r="AL194" i="2"/>
  <c r="AM194" i="2"/>
  <c r="AN194" i="2"/>
  <c r="AO194" i="2"/>
  <c r="AG195" i="2"/>
  <c r="AH195" i="2"/>
  <c r="AI195" i="2"/>
  <c r="AJ195" i="2"/>
  <c r="AK195" i="2"/>
  <c r="AL195" i="2"/>
  <c r="AM195" i="2"/>
  <c r="AN195" i="2"/>
  <c r="AO195" i="2"/>
  <c r="AG196" i="2"/>
  <c r="AH196" i="2"/>
  <c r="AI196" i="2"/>
  <c r="AJ196" i="2"/>
  <c r="AK196" i="2"/>
  <c r="AL196" i="2"/>
  <c r="AM196" i="2"/>
  <c r="AN196" i="2"/>
  <c r="AO196" i="2"/>
  <c r="AG197" i="2"/>
  <c r="AH197" i="2"/>
  <c r="AI197" i="2"/>
  <c r="AJ197" i="2"/>
  <c r="AK197" i="2"/>
  <c r="AL197" i="2"/>
  <c r="AM197" i="2"/>
  <c r="AN197" i="2"/>
  <c r="AO197" i="2"/>
  <c r="AG198" i="2"/>
  <c r="AH198" i="2"/>
  <c r="AI198" i="2"/>
  <c r="AJ198" i="2"/>
  <c r="AK198" i="2"/>
  <c r="AL198" i="2"/>
  <c r="AM198" i="2"/>
  <c r="AN198" i="2"/>
  <c r="AO198" i="2"/>
  <c r="AG199" i="2"/>
  <c r="AH199" i="2"/>
  <c r="AI199" i="2"/>
  <c r="AJ199" i="2"/>
  <c r="AK199" i="2"/>
  <c r="AL199" i="2"/>
  <c r="AM199" i="2"/>
  <c r="AN199" i="2"/>
  <c r="AO199" i="2"/>
  <c r="AG200" i="2"/>
  <c r="AH200" i="2"/>
  <c r="AI200" i="2"/>
  <c r="AJ200" i="2"/>
  <c r="AK200" i="2"/>
  <c r="AL200" i="2"/>
  <c r="AM200" i="2"/>
  <c r="AN200" i="2"/>
  <c r="AO200" i="2"/>
  <c r="AG201" i="2"/>
  <c r="AH201" i="2"/>
  <c r="AI201" i="2"/>
  <c r="AJ201" i="2"/>
  <c r="AK201" i="2"/>
  <c r="AL201" i="2"/>
  <c r="AM201" i="2"/>
  <c r="AN201" i="2"/>
  <c r="AO201" i="2"/>
  <c r="AG202" i="2"/>
  <c r="AH202" i="2"/>
  <c r="AI202" i="2"/>
  <c r="AJ202" i="2"/>
  <c r="AK202" i="2"/>
  <c r="AL202" i="2"/>
  <c r="AM202" i="2"/>
  <c r="AN202" i="2"/>
  <c r="AO202" i="2"/>
  <c r="AG203" i="2"/>
  <c r="AH203" i="2"/>
  <c r="AI203" i="2"/>
  <c r="AJ203" i="2"/>
  <c r="AK203" i="2"/>
  <c r="AL203" i="2"/>
  <c r="AM203" i="2"/>
  <c r="AN203" i="2"/>
  <c r="AO203" i="2"/>
  <c r="AG204" i="2"/>
  <c r="AH204" i="2"/>
  <c r="AI204" i="2"/>
  <c r="AJ204" i="2"/>
  <c r="AK204" i="2"/>
  <c r="AL204" i="2"/>
  <c r="AM204" i="2"/>
  <c r="AN204" i="2"/>
  <c r="AO204" i="2"/>
  <c r="AG205" i="2"/>
  <c r="AH205" i="2"/>
  <c r="AI205" i="2"/>
  <c r="AJ205" i="2"/>
  <c r="AK205" i="2"/>
  <c r="AL205" i="2"/>
  <c r="AM205" i="2"/>
  <c r="AN205" i="2"/>
  <c r="AO205" i="2"/>
  <c r="AG206" i="2"/>
  <c r="AH206" i="2"/>
  <c r="AI206" i="2"/>
  <c r="AJ206" i="2"/>
  <c r="AK206" i="2"/>
  <c r="AL206" i="2"/>
  <c r="AM206" i="2"/>
  <c r="AN206" i="2"/>
  <c r="AO206" i="2"/>
  <c r="AG207" i="2"/>
  <c r="AH207" i="2"/>
  <c r="AI207" i="2"/>
  <c r="AJ207" i="2"/>
  <c r="AK207" i="2"/>
  <c r="AL207" i="2"/>
  <c r="AM207" i="2"/>
  <c r="AN207" i="2"/>
  <c r="AO207" i="2"/>
  <c r="AG208" i="2"/>
  <c r="AH208" i="2"/>
  <c r="AI208" i="2"/>
  <c r="AJ208" i="2"/>
  <c r="AK208" i="2"/>
  <c r="AL208" i="2"/>
  <c r="AM208" i="2"/>
  <c r="AN208" i="2"/>
  <c r="AO208" i="2"/>
  <c r="AG209" i="2"/>
  <c r="AH209" i="2"/>
  <c r="AI209" i="2"/>
  <c r="AJ209" i="2"/>
  <c r="AK209" i="2"/>
  <c r="AL209" i="2"/>
  <c r="AM209" i="2"/>
  <c r="AN209" i="2"/>
  <c r="AO209" i="2"/>
  <c r="AG210" i="2"/>
  <c r="AH210" i="2"/>
  <c r="AI210" i="2"/>
  <c r="AJ210" i="2"/>
  <c r="AK210" i="2"/>
  <c r="AL210" i="2"/>
  <c r="AM210" i="2"/>
  <c r="AN210" i="2"/>
  <c r="AO210" i="2"/>
  <c r="AG211" i="2"/>
  <c r="AH211" i="2"/>
  <c r="AI211" i="2"/>
  <c r="AJ211" i="2"/>
  <c r="AK211" i="2"/>
  <c r="AL211" i="2"/>
  <c r="AM211" i="2"/>
  <c r="AN211" i="2"/>
  <c r="AO211" i="2"/>
  <c r="AG212" i="2"/>
  <c r="AH212" i="2"/>
  <c r="AI212" i="2"/>
  <c r="AJ212" i="2"/>
  <c r="AK212" i="2"/>
  <c r="AL212" i="2"/>
  <c r="AM212" i="2"/>
  <c r="AN212" i="2"/>
  <c r="AO212" i="2"/>
  <c r="AG213" i="2"/>
  <c r="AH213" i="2"/>
  <c r="AI213" i="2"/>
  <c r="AJ213" i="2"/>
  <c r="AK213" i="2"/>
  <c r="AL213" i="2"/>
  <c r="AM213" i="2"/>
  <c r="AN213" i="2"/>
  <c r="AO213" i="2"/>
  <c r="AG214" i="2"/>
  <c r="AH214" i="2"/>
  <c r="AI214" i="2"/>
  <c r="AJ214" i="2"/>
  <c r="AK214" i="2"/>
  <c r="AL214" i="2"/>
  <c r="AM214" i="2"/>
  <c r="AN214" i="2"/>
  <c r="AO214" i="2"/>
  <c r="AG215" i="2"/>
  <c r="AH215" i="2"/>
  <c r="AI215" i="2"/>
  <c r="AJ215" i="2"/>
  <c r="AK215" i="2"/>
  <c r="AL215" i="2"/>
  <c r="AM215" i="2"/>
  <c r="AN215" i="2"/>
  <c r="AO215" i="2"/>
  <c r="AG216" i="2"/>
  <c r="AH216" i="2"/>
  <c r="AI216" i="2"/>
  <c r="AJ216" i="2"/>
  <c r="AK216" i="2"/>
  <c r="AL216" i="2"/>
  <c r="AM216" i="2"/>
  <c r="AN216" i="2"/>
  <c r="AO216" i="2"/>
  <c r="AG217" i="2"/>
  <c r="AH217" i="2"/>
  <c r="AI217" i="2"/>
  <c r="AJ217" i="2"/>
  <c r="AK217" i="2"/>
  <c r="AL217" i="2"/>
  <c r="AM217" i="2"/>
  <c r="AN217" i="2"/>
  <c r="AO217" i="2"/>
  <c r="C330" i="3"/>
  <c r="D330" i="3"/>
  <c r="E330" i="3"/>
  <c r="F330" i="3"/>
  <c r="G330" i="3"/>
  <c r="H330" i="3"/>
  <c r="I330" i="3"/>
  <c r="J330" i="3"/>
  <c r="K330" i="3"/>
  <c r="L330" i="3"/>
  <c r="M330" i="3"/>
  <c r="N330" i="3"/>
  <c r="O330" i="3"/>
  <c r="P330" i="3"/>
  <c r="Q330" i="3"/>
  <c r="C331" i="3"/>
  <c r="D331" i="3"/>
  <c r="E331" i="3"/>
  <c r="F331" i="3"/>
  <c r="G331" i="3"/>
  <c r="H331" i="3"/>
  <c r="I331" i="3"/>
  <c r="J331" i="3"/>
  <c r="K331" i="3"/>
  <c r="L331" i="3"/>
  <c r="M331" i="3"/>
  <c r="N331" i="3"/>
  <c r="O331" i="3"/>
  <c r="P331" i="3"/>
  <c r="Q331" i="3"/>
  <c r="C332" i="3"/>
  <c r="D332" i="3"/>
  <c r="E332" i="3"/>
  <c r="F332" i="3"/>
  <c r="G332" i="3"/>
  <c r="H332" i="3"/>
  <c r="I332" i="3"/>
  <c r="J332" i="3"/>
  <c r="K332" i="3"/>
  <c r="L332" i="3"/>
  <c r="M332" i="3"/>
  <c r="N332" i="3"/>
  <c r="O332" i="3"/>
  <c r="P332" i="3"/>
  <c r="Q332" i="3"/>
  <c r="C333" i="3"/>
  <c r="D333" i="3"/>
  <c r="E333" i="3"/>
  <c r="F333" i="3"/>
  <c r="G333" i="3"/>
  <c r="H333" i="3"/>
  <c r="I333" i="3"/>
  <c r="J333" i="3"/>
  <c r="K333" i="3"/>
  <c r="L333" i="3"/>
  <c r="M333" i="3"/>
  <c r="N333" i="3"/>
  <c r="O333" i="3"/>
  <c r="P333" i="3"/>
  <c r="Q333" i="3"/>
  <c r="C334" i="3"/>
  <c r="D334" i="3"/>
  <c r="E334" i="3"/>
  <c r="F334" i="3"/>
  <c r="G334" i="3"/>
  <c r="H334" i="3"/>
  <c r="I334" i="3"/>
  <c r="J334" i="3"/>
  <c r="K334" i="3"/>
  <c r="L334" i="3"/>
  <c r="M334" i="3"/>
  <c r="N334" i="3"/>
  <c r="O334" i="3"/>
  <c r="P334" i="3"/>
  <c r="Q334" i="3"/>
  <c r="C335" i="3"/>
  <c r="D335" i="3"/>
  <c r="E335" i="3"/>
  <c r="F335" i="3"/>
  <c r="G335" i="3"/>
  <c r="H335" i="3"/>
  <c r="I335" i="3"/>
  <c r="J335" i="3"/>
  <c r="K335" i="3"/>
  <c r="L335" i="3"/>
  <c r="M335" i="3"/>
  <c r="N335" i="3"/>
  <c r="O335" i="3"/>
  <c r="P335" i="3"/>
  <c r="Q335" i="3"/>
  <c r="C336" i="3"/>
  <c r="D336" i="3"/>
  <c r="E336" i="3"/>
  <c r="F336" i="3"/>
  <c r="G336" i="3"/>
  <c r="H336" i="3"/>
  <c r="I336" i="3"/>
  <c r="J336" i="3"/>
  <c r="K336" i="3"/>
  <c r="L336" i="3"/>
  <c r="M336" i="3"/>
  <c r="N336" i="3"/>
  <c r="O336" i="3"/>
  <c r="P336" i="3"/>
  <c r="Q336" i="3"/>
  <c r="C337" i="3"/>
  <c r="D337" i="3"/>
  <c r="E337" i="3"/>
  <c r="F337" i="3"/>
  <c r="G337" i="3"/>
  <c r="H337" i="3"/>
  <c r="I337" i="3"/>
  <c r="J337" i="3"/>
  <c r="K337" i="3"/>
  <c r="L337" i="3"/>
  <c r="M337" i="3"/>
  <c r="N337" i="3"/>
  <c r="O337" i="3"/>
  <c r="P337" i="3"/>
  <c r="Q337" i="3"/>
  <c r="C310" i="3"/>
  <c r="D310" i="3"/>
  <c r="E310" i="3"/>
  <c r="F310" i="3"/>
  <c r="G310" i="3"/>
  <c r="H310" i="3"/>
  <c r="I310" i="3"/>
  <c r="J310" i="3"/>
  <c r="K310" i="3"/>
  <c r="L310" i="3"/>
  <c r="M310" i="3"/>
  <c r="N310" i="3"/>
  <c r="O310" i="3"/>
  <c r="P310" i="3"/>
  <c r="Q310" i="3"/>
  <c r="C311" i="3"/>
  <c r="D311" i="3"/>
  <c r="E311" i="3"/>
  <c r="F311" i="3"/>
  <c r="G311" i="3"/>
  <c r="H311" i="3"/>
  <c r="I311" i="3"/>
  <c r="J311" i="3"/>
  <c r="K311" i="3"/>
  <c r="L311" i="3"/>
  <c r="M311" i="3"/>
  <c r="N311" i="3"/>
  <c r="O311" i="3"/>
  <c r="P311" i="3"/>
  <c r="Q311" i="3"/>
  <c r="C312" i="3"/>
  <c r="D312" i="3"/>
  <c r="E312" i="3"/>
  <c r="F312" i="3"/>
  <c r="G312" i="3"/>
  <c r="H312" i="3"/>
  <c r="I312" i="3"/>
  <c r="J312" i="3"/>
  <c r="K312" i="3"/>
  <c r="L312" i="3"/>
  <c r="M312" i="3"/>
  <c r="N312" i="3"/>
  <c r="O312" i="3"/>
  <c r="P312" i="3"/>
  <c r="Q312" i="3"/>
  <c r="C313" i="3"/>
  <c r="D313" i="3"/>
  <c r="E313" i="3"/>
  <c r="F313" i="3"/>
  <c r="G313" i="3"/>
  <c r="H313" i="3"/>
  <c r="I313" i="3"/>
  <c r="J313" i="3"/>
  <c r="K313" i="3"/>
  <c r="L313" i="3"/>
  <c r="M313" i="3"/>
  <c r="N313" i="3"/>
  <c r="O313" i="3"/>
  <c r="P313" i="3"/>
  <c r="Q313" i="3"/>
  <c r="C314" i="3"/>
  <c r="D314" i="3"/>
  <c r="E314" i="3"/>
  <c r="F314" i="3"/>
  <c r="G314" i="3"/>
  <c r="H314" i="3"/>
  <c r="I314" i="3"/>
  <c r="J314" i="3"/>
  <c r="K314" i="3"/>
  <c r="L314" i="3"/>
  <c r="M314" i="3"/>
  <c r="N314" i="3"/>
  <c r="O314" i="3"/>
  <c r="P314" i="3"/>
  <c r="Q314" i="3"/>
  <c r="C315" i="3"/>
  <c r="D315" i="3"/>
  <c r="E315" i="3"/>
  <c r="F315" i="3"/>
  <c r="G315" i="3"/>
  <c r="H315" i="3"/>
  <c r="I315" i="3"/>
  <c r="J315" i="3"/>
  <c r="K315" i="3"/>
  <c r="L315" i="3"/>
  <c r="M315" i="3"/>
  <c r="N315" i="3"/>
  <c r="O315" i="3"/>
  <c r="P315" i="3"/>
  <c r="Q315" i="3"/>
  <c r="C316" i="3"/>
  <c r="D316" i="3"/>
  <c r="E316" i="3"/>
  <c r="F316" i="3"/>
  <c r="G316" i="3"/>
  <c r="H316" i="3"/>
  <c r="I316" i="3"/>
  <c r="J316" i="3"/>
  <c r="K316" i="3"/>
  <c r="L316" i="3"/>
  <c r="M316" i="3"/>
  <c r="N316" i="3"/>
  <c r="O316" i="3"/>
  <c r="P316" i="3"/>
  <c r="Q316" i="3"/>
  <c r="C317" i="3"/>
  <c r="D317" i="3"/>
  <c r="E317" i="3"/>
  <c r="F317" i="3"/>
  <c r="G317" i="3"/>
  <c r="H317" i="3"/>
  <c r="I317" i="3"/>
  <c r="J317" i="3"/>
  <c r="K317" i="3"/>
  <c r="L317" i="3"/>
  <c r="M317" i="3"/>
  <c r="N317" i="3"/>
  <c r="O317" i="3"/>
  <c r="P317" i="3"/>
  <c r="Q317" i="3"/>
  <c r="C318" i="3"/>
  <c r="D318" i="3"/>
  <c r="E318" i="3"/>
  <c r="F318" i="3"/>
  <c r="G318" i="3"/>
  <c r="H318" i="3"/>
  <c r="I318" i="3"/>
  <c r="J318" i="3"/>
  <c r="K318" i="3"/>
  <c r="L318" i="3"/>
  <c r="M318" i="3"/>
  <c r="N318" i="3"/>
  <c r="O318" i="3"/>
  <c r="P318" i="3"/>
  <c r="Q318" i="3"/>
  <c r="C319" i="3"/>
  <c r="D319" i="3"/>
  <c r="E319" i="3"/>
  <c r="F319" i="3"/>
  <c r="G319" i="3"/>
  <c r="H319" i="3"/>
  <c r="I319" i="3"/>
  <c r="J319" i="3"/>
  <c r="K319" i="3"/>
  <c r="L319" i="3"/>
  <c r="M319" i="3"/>
  <c r="N319" i="3"/>
  <c r="O319" i="3"/>
  <c r="P319" i="3"/>
  <c r="Q319" i="3"/>
  <c r="C320" i="3"/>
  <c r="D320" i="3"/>
  <c r="E320" i="3"/>
  <c r="F320" i="3"/>
  <c r="G320" i="3"/>
  <c r="H320" i="3"/>
  <c r="I320" i="3"/>
  <c r="J320" i="3"/>
  <c r="K320" i="3"/>
  <c r="L320" i="3"/>
  <c r="M320" i="3"/>
  <c r="N320" i="3"/>
  <c r="O320" i="3"/>
  <c r="P320" i="3"/>
  <c r="Q320" i="3"/>
  <c r="C321" i="3"/>
  <c r="D321" i="3"/>
  <c r="E321" i="3"/>
  <c r="F321" i="3"/>
  <c r="G321" i="3"/>
  <c r="H321" i="3"/>
  <c r="I321" i="3"/>
  <c r="J321" i="3"/>
  <c r="K321" i="3"/>
  <c r="L321" i="3"/>
  <c r="M321" i="3"/>
  <c r="N321" i="3"/>
  <c r="O321" i="3"/>
  <c r="P321" i="3"/>
  <c r="Q321" i="3"/>
  <c r="C322" i="3"/>
  <c r="D322" i="3"/>
  <c r="E322" i="3"/>
  <c r="F322" i="3"/>
  <c r="G322" i="3"/>
  <c r="H322" i="3"/>
  <c r="I322" i="3"/>
  <c r="J322" i="3"/>
  <c r="K322" i="3"/>
  <c r="L322" i="3"/>
  <c r="M322" i="3"/>
  <c r="N322" i="3"/>
  <c r="O322" i="3"/>
  <c r="P322" i="3"/>
  <c r="Q322" i="3"/>
  <c r="C323" i="3"/>
  <c r="D323" i="3"/>
  <c r="E323" i="3"/>
  <c r="F323" i="3"/>
  <c r="G323" i="3"/>
  <c r="H323" i="3"/>
  <c r="I323" i="3"/>
  <c r="J323" i="3"/>
  <c r="K323" i="3"/>
  <c r="L323" i="3"/>
  <c r="M323" i="3"/>
  <c r="N323" i="3"/>
  <c r="O323" i="3"/>
  <c r="P323" i="3"/>
  <c r="Q323" i="3"/>
  <c r="C324" i="3"/>
  <c r="D324" i="3"/>
  <c r="E324" i="3"/>
  <c r="F324" i="3"/>
  <c r="G324" i="3"/>
  <c r="H324" i="3"/>
  <c r="I324" i="3"/>
  <c r="J324" i="3"/>
  <c r="K324" i="3"/>
  <c r="L324" i="3"/>
  <c r="M324" i="3"/>
  <c r="N324" i="3"/>
  <c r="O324" i="3"/>
  <c r="P324" i="3"/>
  <c r="Q324" i="3"/>
  <c r="C325" i="3"/>
  <c r="D325" i="3"/>
  <c r="E325" i="3"/>
  <c r="F325" i="3"/>
  <c r="G325" i="3"/>
  <c r="H325" i="3"/>
  <c r="I325" i="3"/>
  <c r="J325" i="3"/>
  <c r="K325" i="3"/>
  <c r="L325" i="3"/>
  <c r="M325" i="3"/>
  <c r="N325" i="3"/>
  <c r="O325" i="3"/>
  <c r="P325" i="3"/>
  <c r="Q325" i="3"/>
  <c r="C204" i="3"/>
  <c r="D204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C205" i="3"/>
  <c r="D205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C206" i="3"/>
  <c r="D206" i="3"/>
  <c r="E206" i="3"/>
  <c r="F206" i="3"/>
  <c r="G206" i="3"/>
  <c r="H206" i="3"/>
  <c r="I206" i="3"/>
  <c r="J206" i="3"/>
  <c r="K206" i="3"/>
  <c r="L206" i="3"/>
  <c r="M206" i="3"/>
  <c r="N206" i="3"/>
  <c r="O206" i="3"/>
  <c r="P206" i="3"/>
  <c r="Q206" i="3"/>
  <c r="C207" i="3"/>
  <c r="D207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C208" i="3"/>
  <c r="D208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C209" i="3"/>
  <c r="D209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C210" i="3"/>
  <c r="D210" i="3"/>
  <c r="E210" i="3"/>
  <c r="F210" i="3"/>
  <c r="G210" i="3"/>
  <c r="H210" i="3"/>
  <c r="I210" i="3"/>
  <c r="J210" i="3"/>
  <c r="K210" i="3"/>
  <c r="L210" i="3"/>
  <c r="M210" i="3"/>
  <c r="N210" i="3"/>
  <c r="O210" i="3"/>
  <c r="P210" i="3"/>
  <c r="Q210" i="3"/>
  <c r="C211" i="3"/>
  <c r="D211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C212" i="3"/>
  <c r="D212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C213" i="3"/>
  <c r="D213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C214" i="3"/>
  <c r="D214" i="3"/>
  <c r="E214" i="3"/>
  <c r="F214" i="3"/>
  <c r="G214" i="3"/>
  <c r="H214" i="3"/>
  <c r="I214" i="3"/>
  <c r="J214" i="3"/>
  <c r="K214" i="3"/>
  <c r="L214" i="3"/>
  <c r="M214" i="3"/>
  <c r="N214" i="3"/>
  <c r="O214" i="3"/>
  <c r="P214" i="3"/>
  <c r="Q214" i="3"/>
  <c r="C215" i="3"/>
  <c r="D215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C216" i="3"/>
  <c r="D216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C217" i="3"/>
  <c r="D217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C218" i="3"/>
  <c r="D218" i="3"/>
  <c r="E218" i="3"/>
  <c r="F218" i="3"/>
  <c r="G218" i="3"/>
  <c r="H218" i="3"/>
  <c r="I218" i="3"/>
  <c r="J218" i="3"/>
  <c r="K218" i="3"/>
  <c r="L218" i="3"/>
  <c r="M218" i="3"/>
  <c r="N218" i="3"/>
  <c r="O218" i="3"/>
  <c r="P218" i="3"/>
  <c r="Q218" i="3"/>
  <c r="C184" i="3"/>
  <c r="D184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C185" i="3"/>
  <c r="D185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C186" i="3"/>
  <c r="D186" i="3"/>
  <c r="E186" i="3"/>
  <c r="F186" i="3"/>
  <c r="G186" i="3"/>
  <c r="H186" i="3"/>
  <c r="I186" i="3"/>
  <c r="J186" i="3"/>
  <c r="K186" i="3"/>
  <c r="L186" i="3"/>
  <c r="M186" i="3"/>
  <c r="N186" i="3"/>
  <c r="O186" i="3"/>
  <c r="P186" i="3"/>
  <c r="Q186" i="3"/>
  <c r="C187" i="3"/>
  <c r="D187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C188" i="3"/>
  <c r="D188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C189" i="3"/>
  <c r="D189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C190" i="3"/>
  <c r="D190" i="3"/>
  <c r="E190" i="3"/>
  <c r="F190" i="3"/>
  <c r="G190" i="3"/>
  <c r="H190" i="3"/>
  <c r="I190" i="3"/>
  <c r="J190" i="3"/>
  <c r="K190" i="3"/>
  <c r="L190" i="3"/>
  <c r="M190" i="3"/>
  <c r="N190" i="3"/>
  <c r="O190" i="3"/>
  <c r="P190" i="3"/>
  <c r="Q190" i="3"/>
  <c r="C191" i="3"/>
  <c r="D191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C192" i="3"/>
  <c r="D192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C193" i="3"/>
  <c r="D193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C194" i="3"/>
  <c r="D194" i="3"/>
  <c r="E194" i="3"/>
  <c r="F194" i="3"/>
  <c r="G194" i="3"/>
  <c r="H194" i="3"/>
  <c r="I194" i="3"/>
  <c r="J194" i="3"/>
  <c r="K194" i="3"/>
  <c r="L194" i="3"/>
  <c r="M194" i="3"/>
  <c r="N194" i="3"/>
  <c r="O194" i="3"/>
  <c r="P194" i="3"/>
  <c r="Q194" i="3"/>
  <c r="C195" i="3"/>
  <c r="D195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C196" i="3"/>
  <c r="D196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C197" i="3"/>
  <c r="D197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C198" i="3"/>
  <c r="D198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Q198" i="3"/>
  <c r="C141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C146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C147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C148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C149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C150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C151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C153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C154" i="3"/>
  <c r="D154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Q154" i="3"/>
  <c r="C155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C156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C157" i="3"/>
  <c r="D157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C158" i="3"/>
  <c r="D158" i="3"/>
  <c r="E158" i="3"/>
  <c r="F158" i="3"/>
  <c r="G158" i="3"/>
  <c r="H158" i="3"/>
  <c r="I158" i="3"/>
  <c r="J158" i="3"/>
  <c r="K158" i="3"/>
  <c r="L158" i="3"/>
  <c r="M158" i="3"/>
  <c r="N158" i="3"/>
  <c r="O158" i="3"/>
  <c r="P158" i="3"/>
  <c r="Q158" i="3"/>
  <c r="O180" i="4"/>
  <c r="O179" i="4"/>
  <c r="O178" i="4"/>
  <c r="O174" i="4"/>
  <c r="O173" i="4"/>
  <c r="O165" i="4"/>
  <c r="O164" i="4"/>
  <c r="O141" i="4"/>
  <c r="O133" i="4"/>
  <c r="O132" i="4"/>
  <c r="O131" i="4"/>
  <c r="O129" i="4"/>
  <c r="O127" i="4"/>
  <c r="O126" i="4"/>
  <c r="O112" i="4"/>
  <c r="O107" i="4"/>
  <c r="O91" i="4"/>
  <c r="O81" i="4"/>
  <c r="O74" i="4"/>
  <c r="O66" i="4"/>
  <c r="O37" i="4"/>
  <c r="O33" i="4"/>
  <c r="O32" i="4"/>
  <c r="O18" i="4"/>
  <c r="O14" i="4"/>
  <c r="O13" i="4"/>
  <c r="Q375" i="3" l="1"/>
  <c r="Q326" i="3"/>
  <c r="Q309" i="3"/>
  <c r="Q236" i="3"/>
  <c r="Q199" i="3"/>
  <c r="Q183" i="3"/>
  <c r="Q140" i="3"/>
  <c r="Q123" i="3"/>
  <c r="Q73" i="3"/>
  <c r="Q6" i="3"/>
  <c r="C326" i="3"/>
  <c r="D326" i="3"/>
  <c r="E326" i="3"/>
  <c r="F326" i="3"/>
  <c r="G326" i="3"/>
  <c r="H326" i="3"/>
  <c r="I326" i="3"/>
  <c r="J326" i="3"/>
  <c r="K326" i="3"/>
  <c r="L326" i="3"/>
  <c r="M326" i="3"/>
  <c r="N326" i="3"/>
  <c r="O326" i="3"/>
  <c r="P326" i="3"/>
  <c r="P236" i="3"/>
  <c r="O236" i="3"/>
  <c r="N236" i="3"/>
  <c r="M236" i="3"/>
  <c r="L236" i="3"/>
  <c r="K236" i="3"/>
  <c r="J236" i="3"/>
  <c r="I236" i="3"/>
  <c r="H236" i="3"/>
  <c r="G236" i="3"/>
  <c r="F236" i="3"/>
  <c r="E236" i="3"/>
  <c r="D236" i="3"/>
  <c r="C236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P309" i="3" l="1"/>
  <c r="O309" i="3"/>
  <c r="N309" i="3"/>
  <c r="M309" i="3"/>
  <c r="L309" i="3"/>
  <c r="K309" i="3"/>
  <c r="J309" i="3"/>
  <c r="I309" i="3"/>
  <c r="H309" i="3"/>
  <c r="G309" i="3"/>
  <c r="F309" i="3"/>
  <c r="E309" i="3"/>
  <c r="D309" i="3"/>
  <c r="C309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C73" i="3" l="1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N6" i="3" l="1"/>
  <c r="N375" i="3"/>
  <c r="J375" i="3"/>
  <c r="G375" i="3"/>
  <c r="AE2" i="2" l="1"/>
  <c r="AD2" i="2"/>
  <c r="AC2" i="2"/>
  <c r="Z2" i="2"/>
  <c r="AA2" i="2"/>
  <c r="X2" i="2"/>
  <c r="V2" i="2"/>
  <c r="W2" i="2"/>
  <c r="T2" i="2"/>
  <c r="S2" i="2"/>
  <c r="R2" i="2"/>
  <c r="Q2" i="2"/>
  <c r="P2" i="2"/>
  <c r="O2" i="2"/>
  <c r="N2" i="2"/>
  <c r="M2" i="2"/>
  <c r="L2" i="2"/>
  <c r="K2" i="2"/>
  <c r="J2" i="2"/>
  <c r="G2" i="2"/>
  <c r="I375" i="3"/>
  <c r="I6" i="3"/>
  <c r="C6" i="3" l="1"/>
  <c r="E2" i="2"/>
  <c r="D2" i="2"/>
  <c r="C2" i="2"/>
  <c r="H6" i="3" l="1"/>
  <c r="E375" i="3"/>
  <c r="AL2" i="2" l="1"/>
  <c r="AM2" i="2"/>
  <c r="AN2" i="2"/>
  <c r="AO2" i="2"/>
  <c r="D375" i="3" l="1"/>
  <c r="D6" i="3"/>
  <c r="C375" i="3"/>
  <c r="F375" i="3"/>
  <c r="H375" i="3"/>
  <c r="K375" i="3"/>
  <c r="L375" i="3"/>
  <c r="M375" i="3"/>
  <c r="O375" i="3"/>
  <c r="P375" i="3"/>
  <c r="P6" i="3"/>
  <c r="O6" i="3"/>
  <c r="M6" i="3"/>
  <c r="L6" i="3"/>
  <c r="K6" i="3"/>
  <c r="J6" i="3"/>
  <c r="G6" i="3"/>
  <c r="F6" i="3"/>
  <c r="E6" i="3"/>
  <c r="I2" i="2"/>
  <c r="F2" i="2"/>
  <c r="U2" i="2"/>
  <c r="AB2" i="2"/>
  <c r="AI2" i="2"/>
  <c r="AK2" i="2"/>
  <c r="AJ2" i="2"/>
  <c r="AH2" i="2"/>
  <c r="AG2" i="2"/>
</calcChain>
</file>

<file path=xl/sharedStrings.xml><?xml version="1.0" encoding="utf-8"?>
<sst xmlns="http://schemas.openxmlformats.org/spreadsheetml/2006/main" count="8736" uniqueCount="3312">
  <si>
    <t>No</t>
  </si>
  <si>
    <t>Nomor Pendaftaran</t>
  </si>
  <si>
    <t>NISN</t>
  </si>
  <si>
    <t>Nama</t>
  </si>
  <si>
    <t>Jenis Kelamin</t>
  </si>
  <si>
    <t>Agama</t>
  </si>
  <si>
    <t>Alamat</t>
  </si>
  <si>
    <t>Provinsi</t>
  </si>
  <si>
    <t>Asal Sekolah</t>
  </si>
  <si>
    <t>Alamat Sekolah</t>
  </si>
  <si>
    <t>Prestasi</t>
  </si>
  <si>
    <t>Nama Ayah</t>
  </si>
  <si>
    <t>Pendidikan</t>
  </si>
  <si>
    <t>Pekerjaan</t>
  </si>
  <si>
    <t>Penghasilan</t>
  </si>
  <si>
    <t>Telp</t>
  </si>
  <si>
    <t>Email</t>
  </si>
  <si>
    <t>Nama Ibu</t>
  </si>
  <si>
    <t>Nama Wali</t>
  </si>
  <si>
    <t>Bantul</t>
  </si>
  <si>
    <t>DI Yogyakarta</t>
  </si>
  <si>
    <t>S1</t>
  </si>
  <si>
    <t>PNS</t>
  </si>
  <si>
    <t>Yogyakarta</t>
  </si>
  <si>
    <t>SMA</t>
  </si>
  <si>
    <t>TNI / POLRI</t>
  </si>
  <si>
    <t>Jakarta</t>
  </si>
  <si>
    <t>Brebes</t>
  </si>
  <si>
    <t>Jawa Tengah</t>
  </si>
  <si>
    <t>SMP</t>
  </si>
  <si>
    <t>S2</t>
  </si>
  <si>
    <t>Pekalongan</t>
  </si>
  <si>
    <t>Tanah Grogot</t>
  </si>
  <si>
    <t>Kalimantan Timur</t>
  </si>
  <si>
    <t>Balikpapan</t>
  </si>
  <si>
    <t>Samarinda</t>
  </si>
  <si>
    <t>SD Muhammadiyah 1 Samarinda</t>
  </si>
  <si>
    <t>Blitar</t>
  </si>
  <si>
    <t>Jawa Timur</t>
  </si>
  <si>
    <t>Jawa Barat</t>
  </si>
  <si>
    <t>Semarang</t>
  </si>
  <si>
    <t>Tangerang</t>
  </si>
  <si>
    <t>Banten</t>
  </si>
  <si>
    <t>Mubaher Sidiq</t>
  </si>
  <si>
    <t>Kalimantan Tengah</t>
  </si>
  <si>
    <t>SD</t>
  </si>
  <si>
    <t>Surabaya</t>
  </si>
  <si>
    <t>Bandung</t>
  </si>
  <si>
    <t>Banjarmasin</t>
  </si>
  <si>
    <t>Kalimantan Selatan</t>
  </si>
  <si>
    <t>Gresik</t>
  </si>
  <si>
    <t>Pangkal Pinang</t>
  </si>
  <si>
    <t>Sleman</t>
  </si>
  <si>
    <t>Kulon Progo</t>
  </si>
  <si>
    <t>Wonosobo</t>
  </si>
  <si>
    <t>Banyuwangi</t>
  </si>
  <si>
    <t>Kebumen</t>
  </si>
  <si>
    <t>Sumatera Barat</t>
  </si>
  <si>
    <t>Banjarnegara</t>
  </si>
  <si>
    <t>DKI Jakarta</t>
  </si>
  <si>
    <t>Cilacap</t>
  </si>
  <si>
    <t>Kalimantan Barat</t>
  </si>
  <si>
    <t>Sumatera Selatan</t>
  </si>
  <si>
    <t>Bengkulu</t>
  </si>
  <si>
    <t>Batang</t>
  </si>
  <si>
    <t>Bekasi</t>
  </si>
  <si>
    <t>Sidoarjo</t>
  </si>
  <si>
    <t>S3</t>
  </si>
  <si>
    <t>Magelang</t>
  </si>
  <si>
    <t>Kauman</t>
  </si>
  <si>
    <t>Tarakan</t>
  </si>
  <si>
    <t>Kalimantan Utara</t>
  </si>
  <si>
    <t>Jember</t>
  </si>
  <si>
    <t>Riau</t>
  </si>
  <si>
    <t>Bogor</t>
  </si>
  <si>
    <t>Sukabumi</t>
  </si>
  <si>
    <t>Ponorogo</t>
  </si>
  <si>
    <t>D</t>
  </si>
  <si>
    <t>Lampung</t>
  </si>
  <si>
    <t>Sukoharjo</t>
  </si>
  <si>
    <t>Supriyadi</t>
  </si>
  <si>
    <t>Bojonegoro</t>
  </si>
  <si>
    <t>Klaten</t>
  </si>
  <si>
    <t>Tegal</t>
  </si>
  <si>
    <t>Magetan</t>
  </si>
  <si>
    <t>Banyumas</t>
  </si>
  <si>
    <t>Sragen</t>
  </si>
  <si>
    <t>Pontianak</t>
  </si>
  <si>
    <t>Bima</t>
  </si>
  <si>
    <t>Papua</t>
  </si>
  <si>
    <t>Pekanbaru</t>
  </si>
  <si>
    <t>Papua Barat</t>
  </si>
  <si>
    <t>Ngawi</t>
  </si>
  <si>
    <t>Purbalingga</t>
  </si>
  <si>
    <t>Purworejo</t>
  </si>
  <si>
    <t>Lamongan</t>
  </si>
  <si>
    <t>Purwokerto</t>
  </si>
  <si>
    <t>Makassar</t>
  </si>
  <si>
    <t>Sulawesi Selatan</t>
  </si>
  <si>
    <t>Palembang</t>
  </si>
  <si>
    <t>Karanganyar</t>
  </si>
  <si>
    <t>Pati</t>
  </si>
  <si>
    <t>Boyolali</t>
  </si>
  <si>
    <t>Temanggung</t>
  </si>
  <si>
    <t>Jl. Semeru No.22, RT.13/RW.IV, Sawah Lebar, Kec. Ratu Agung, Kota Bengkulu, Bengkulu 38222</t>
  </si>
  <si>
    <t>Tulungagung</t>
  </si>
  <si>
    <t>Mohyidi Akbar</t>
  </si>
  <si>
    <t>Ulfah Khoiriyah</t>
  </si>
  <si>
    <t>Jl. Tosari No.9, Wonosobo Timur, Wonosobo Tim., Kec. Wonosobo, Kabupaten Wonosobo, Jawa Tengah 56311</t>
  </si>
  <si>
    <t>Kendal</t>
  </si>
  <si>
    <t>Pemalang</t>
  </si>
  <si>
    <t>Malang</t>
  </si>
  <si>
    <t>Ambon</t>
  </si>
  <si>
    <t>Maluku</t>
  </si>
  <si>
    <t>Salatiga</t>
  </si>
  <si>
    <t>Jl. Masjid Besar No.23, Jatinom, Kec. Jatinom, Kabupaten Klaten, Jawa Tengah 57481</t>
  </si>
  <si>
    <t>Blora</t>
  </si>
  <si>
    <t>Nur Hidayati</t>
  </si>
  <si>
    <t>Padang</t>
  </si>
  <si>
    <t>Tangerang Selatan</t>
  </si>
  <si>
    <t>Garut</t>
  </si>
  <si>
    <t>Tenggarong</t>
  </si>
  <si>
    <t>NIS</t>
  </si>
  <si>
    <t>PARALEL</t>
  </si>
  <si>
    <t>INDUK</t>
  </si>
  <si>
    <t>NAMA SISWA</t>
  </si>
  <si>
    <t>H</t>
  </si>
  <si>
    <t>F</t>
  </si>
  <si>
    <t>A</t>
  </si>
  <si>
    <t>G</t>
  </si>
  <si>
    <t>E</t>
  </si>
  <si>
    <t>C</t>
  </si>
  <si>
    <t>B</t>
  </si>
  <si>
    <t>MADRASAH MU'ALLIMIN MUH. YOGYAKARTA</t>
  </si>
  <si>
    <t xml:space="preserve">N I S </t>
  </si>
  <si>
    <t>Anak Ke</t>
  </si>
  <si>
    <t>KELAHIRAN</t>
  </si>
  <si>
    <t>NAMA ORANG TUA DAN NO TELP./HP</t>
  </si>
  <si>
    <t>PEKERJAAN</t>
  </si>
  <si>
    <t>NO. IJZH</t>
  </si>
  <si>
    <t>Tempat</t>
  </si>
  <si>
    <t>Tanggal</t>
  </si>
  <si>
    <t>Ayah</t>
  </si>
  <si>
    <t>Ibu</t>
  </si>
  <si>
    <t>HP Ibu</t>
  </si>
  <si>
    <t xml:space="preserve"> Ayah</t>
  </si>
  <si>
    <t xml:space="preserve"> Ibu</t>
  </si>
  <si>
    <t>Cirebon</t>
  </si>
  <si>
    <t>Jepara</t>
  </si>
  <si>
    <t>Kab. Semarang</t>
  </si>
  <si>
    <t>Sampit</t>
  </si>
  <si>
    <t>Ujung Pandang</t>
  </si>
  <si>
    <t>Ariyanto</t>
  </si>
  <si>
    <t>Lainnya</t>
  </si>
  <si>
    <t>Wiraswasta</t>
  </si>
  <si>
    <t>Guru</t>
  </si>
  <si>
    <t>Petani</t>
  </si>
  <si>
    <t>Dokter</t>
  </si>
  <si>
    <t>Dosen</t>
  </si>
  <si>
    <t>KET/NO. IJZH</t>
  </si>
  <si>
    <t>081325692177</t>
  </si>
  <si>
    <t>NO</t>
  </si>
  <si>
    <t>TEMPAT LAHIR</t>
  </si>
  <si>
    <t>TANGGAL LAHIR</t>
  </si>
  <si>
    <t>KELURAHAN</t>
  </si>
  <si>
    <t>KECAMATAN</t>
  </si>
  <si>
    <t>Kabupaten/kota</t>
  </si>
  <si>
    <t>Nama WK</t>
  </si>
  <si>
    <t>Yohan Yulianto, S.Pd.</t>
  </si>
  <si>
    <t>H. Imam Rosyidi, S.Ag.</t>
  </si>
  <si>
    <t>Yudhi Wiyoko, S.Si.</t>
  </si>
  <si>
    <t>Banar Widayat, S.Pd.</t>
  </si>
  <si>
    <t>Jml Saudara</t>
  </si>
  <si>
    <t>KODE POS</t>
  </si>
  <si>
    <t>ALAMAT</t>
  </si>
  <si>
    <t>Agama Wali</t>
  </si>
  <si>
    <t>Agama Ibu</t>
  </si>
  <si>
    <t>Agama Ayah</t>
  </si>
  <si>
    <t>Nama Direktur</t>
  </si>
  <si>
    <t>NBM/NIP.</t>
  </si>
  <si>
    <t>TGL MASUK</t>
  </si>
  <si>
    <t>TAHUN IJAZAH</t>
  </si>
  <si>
    <t>NO IJAZAH</t>
  </si>
  <si>
    <t>Alamat Tempat Tinggal</t>
  </si>
  <si>
    <t>Alamat Wali</t>
  </si>
  <si>
    <t>KK</t>
  </si>
  <si>
    <t>TEMPAT LAHIR IBU</t>
  </si>
  <si>
    <t>TGL LAHIR IBU</t>
  </si>
  <si>
    <t>TGL LAHIR AYAH</t>
  </si>
  <si>
    <t>TEMPAT LAHIR AYAH</t>
  </si>
  <si>
    <t>NIK ANAK</t>
  </si>
  <si>
    <t>NIK AYAH</t>
  </si>
  <si>
    <t>NIK IBU</t>
  </si>
  <si>
    <t>TANGGAL LAHIR1</t>
  </si>
  <si>
    <t>NBM WK</t>
  </si>
  <si>
    <t>Lilik Wijayanto, S.Pd.</t>
  </si>
  <si>
    <t>H. Agus Widodo, S.Pd.</t>
  </si>
  <si>
    <t>Solehuddin, S.Pd.I., M.Pd.I.</t>
  </si>
  <si>
    <t>Muhammad Ahnaf Lubab, S.Sos.</t>
  </si>
  <si>
    <t>Fitrofa,S.Pd.</t>
  </si>
  <si>
    <t>Laki-laki</t>
  </si>
  <si>
    <t>Islam</t>
  </si>
  <si>
    <t>Galang Thariq Nurmuhammad</t>
  </si>
  <si>
    <t>Akbar Izzatu Zikri</t>
  </si>
  <si>
    <t>Abiyyi Al Hakim Assyauqi</t>
  </si>
  <si>
    <t>Ageng Narayana Wijaya Santosa</t>
  </si>
  <si>
    <t>Ananda Faiq Ibrahim</t>
  </si>
  <si>
    <t>Gibran Husein Afdhalla</t>
  </si>
  <si>
    <t>Isa Azatta Fadhlan Faiq</t>
  </si>
  <si>
    <t>Ahmad Labib Affany</t>
  </si>
  <si>
    <t>Atiyan Ali Da'i</t>
  </si>
  <si>
    <t>Ahmad Yuda Satria</t>
  </si>
  <si>
    <t>Al Fatih Ghaffar Irsyad</t>
  </si>
  <si>
    <t>Fachri Rabbani Nurrahman</t>
  </si>
  <si>
    <t>Haidar Anwari</t>
  </si>
  <si>
    <t>Humam Zaid Zidan</t>
  </si>
  <si>
    <t>M. Adnan Kamil Syairozi</t>
  </si>
  <si>
    <t>08123261617</t>
  </si>
  <si>
    <t>Muntilan</t>
  </si>
  <si>
    <t>08816740343</t>
  </si>
  <si>
    <t>Diploma</t>
  </si>
  <si>
    <t>085249022807</t>
  </si>
  <si>
    <t>089636914248</t>
  </si>
  <si>
    <t>085329676034</t>
  </si>
  <si>
    <t>081320659144</t>
  </si>
  <si>
    <t>08122935492</t>
  </si>
  <si>
    <t>Demak</t>
  </si>
  <si>
    <t>08156454543</t>
  </si>
  <si>
    <t>082197539168</t>
  </si>
  <si>
    <t>085643932939</t>
  </si>
  <si>
    <t>08157727540</t>
  </si>
  <si>
    <t>081542958024</t>
  </si>
  <si>
    <t>081349757172</t>
  </si>
  <si>
    <t>08565586394</t>
  </si>
  <si>
    <t>081227923006</t>
  </si>
  <si>
    <t>082225293755</t>
  </si>
  <si>
    <t>087830108068</t>
  </si>
  <si>
    <t>085849259760</t>
  </si>
  <si>
    <t>087773960004</t>
  </si>
  <si>
    <t>081349070707</t>
  </si>
  <si>
    <t>085643988222</t>
  </si>
  <si>
    <t>085200170691</t>
  </si>
  <si>
    <t>081331383505</t>
  </si>
  <si>
    <t>087802017041</t>
  </si>
  <si>
    <t>081329666677</t>
  </si>
  <si>
    <t>08156939956</t>
  </si>
  <si>
    <t>Surakarta</t>
  </si>
  <si>
    <t>081382166309</t>
  </si>
  <si>
    <t>Kotagede</t>
  </si>
  <si>
    <t>081802765693</t>
  </si>
  <si>
    <t>08814308301</t>
  </si>
  <si>
    <t>081393012121</t>
  </si>
  <si>
    <t>082136536621</t>
  </si>
  <si>
    <t>085742807672</t>
  </si>
  <si>
    <t>081548828911</t>
  </si>
  <si>
    <t>082339061226</t>
  </si>
  <si>
    <t>081807787897</t>
  </si>
  <si>
    <t>085105016021</t>
  </si>
  <si>
    <t>081578644351</t>
  </si>
  <si>
    <t>08122672380</t>
  </si>
  <si>
    <t>085815948000</t>
  </si>
  <si>
    <t>085228056868</t>
  </si>
  <si>
    <t>085228379639</t>
  </si>
  <si>
    <t>081243504970</t>
  </si>
  <si>
    <t>085230237391</t>
  </si>
  <si>
    <t>087739158724</t>
  </si>
  <si>
    <t>082225354448</t>
  </si>
  <si>
    <t>081252897300</t>
  </si>
  <si>
    <t>081328094970</t>
  </si>
  <si>
    <t>081367028248</t>
  </si>
  <si>
    <t>08124984044</t>
  </si>
  <si>
    <t>082326628368</t>
  </si>
  <si>
    <t>081329563885</t>
  </si>
  <si>
    <t>083840509930</t>
  </si>
  <si>
    <t xml:space="preserve">Jl. Nangka 1 RT 12 Kampung Empat, Tarakan Timur, Kota Tarakan, Kalimantan Utara </t>
  </si>
  <si>
    <t>08115373456</t>
  </si>
  <si>
    <t>Karyawan Swasta</t>
  </si>
  <si>
    <t>08179969040</t>
  </si>
  <si>
    <t>Prenggan</t>
  </si>
  <si>
    <t>Kota Yogyakarta</t>
  </si>
  <si>
    <t>0811255392</t>
  </si>
  <si>
    <t>081227090101</t>
  </si>
  <si>
    <t>081229515444</t>
  </si>
  <si>
    <t>08111260226</t>
  </si>
  <si>
    <t>081232435005</t>
  </si>
  <si>
    <t>0811815084</t>
  </si>
  <si>
    <t>081215968157</t>
  </si>
  <si>
    <t>081326599370</t>
  </si>
  <si>
    <t>081380861981</t>
  </si>
  <si>
    <t>089609991602</t>
  </si>
  <si>
    <t>081394733366</t>
  </si>
  <si>
    <t>087876215434</t>
  </si>
  <si>
    <t>089671720421</t>
  </si>
  <si>
    <t>085314120942</t>
  </si>
  <si>
    <t>0092085668</t>
  </si>
  <si>
    <t>081313919109</t>
  </si>
  <si>
    <t>082195895525</t>
  </si>
  <si>
    <t>08170405031</t>
  </si>
  <si>
    <t>0102809234</t>
  </si>
  <si>
    <t>Bandongan RT 01 RW 05 Gondosuli, Muntilan, Magelang</t>
  </si>
  <si>
    <t>Gondosuli</t>
  </si>
  <si>
    <t>Kanthi Pamungkas Sari</t>
  </si>
  <si>
    <t>08156644448</t>
  </si>
  <si>
    <t>081228638928</t>
  </si>
  <si>
    <t>083875633393</t>
  </si>
  <si>
    <t>Jakarta Timur</t>
  </si>
  <si>
    <t>085232200809</t>
  </si>
  <si>
    <t>0101900997</t>
  </si>
  <si>
    <t>Praya</t>
  </si>
  <si>
    <t>Puyung</t>
  </si>
  <si>
    <t>Jonggat</t>
  </si>
  <si>
    <t>Lombok Tengah</t>
  </si>
  <si>
    <t>081904112440</t>
  </si>
  <si>
    <t>Atu Ibrahim, S.E</t>
  </si>
  <si>
    <t>082221349984</t>
  </si>
  <si>
    <t>0092933365</t>
  </si>
  <si>
    <t>081228393927</t>
  </si>
  <si>
    <t>Zain Arrifa'i</t>
  </si>
  <si>
    <t>081328769882</t>
  </si>
  <si>
    <t>081330258061</t>
  </si>
  <si>
    <t>087833367810</t>
  </si>
  <si>
    <t>085394506792</t>
  </si>
  <si>
    <t>085249241044</t>
  </si>
  <si>
    <t>Gang Kedawung II Rt. 01 Rw.08 No.45 Patemon Gunungpati Semarang Jawa Tengah 50229</t>
  </si>
  <si>
    <t>Patemon</t>
  </si>
  <si>
    <t>Gunungpati</t>
  </si>
  <si>
    <t>Harianingsih</t>
  </si>
  <si>
    <t>08156656854</t>
  </si>
  <si>
    <t>0107726015</t>
  </si>
  <si>
    <t>081393980816</t>
  </si>
  <si>
    <t>081232454688</t>
  </si>
  <si>
    <t>0101481195</t>
  </si>
  <si>
    <t>Kayu Manis</t>
  </si>
  <si>
    <t>Matraman</t>
  </si>
  <si>
    <t>Afdal Zikri</t>
  </si>
  <si>
    <t>085813687817</t>
  </si>
  <si>
    <t>0113015237</t>
  </si>
  <si>
    <t>Petarukan</t>
  </si>
  <si>
    <t>085228816865</t>
  </si>
  <si>
    <t>081382660069</t>
  </si>
  <si>
    <t>085328942836</t>
  </si>
  <si>
    <t>08113523710</t>
  </si>
  <si>
    <t>08123362637</t>
  </si>
  <si>
    <t>08125821199</t>
  </si>
  <si>
    <t>081328071650</t>
  </si>
  <si>
    <t>085800637846</t>
  </si>
  <si>
    <t>085947294996</t>
  </si>
  <si>
    <t>081392897074</t>
  </si>
  <si>
    <t>087738555544</t>
  </si>
  <si>
    <t>082226448436</t>
  </si>
  <si>
    <t>082224124418</t>
  </si>
  <si>
    <t>081328067695</t>
  </si>
  <si>
    <t>08122899753</t>
  </si>
  <si>
    <t>0102449757</t>
  </si>
  <si>
    <t>0125377818</t>
  </si>
  <si>
    <t>0104810202</t>
  </si>
  <si>
    <t>0097947581</t>
  </si>
  <si>
    <t>0089767974</t>
  </si>
  <si>
    <t>0094471248</t>
  </si>
  <si>
    <t>0094957046</t>
  </si>
  <si>
    <t>0106383983</t>
  </si>
  <si>
    <t>Nanga Pinoh</t>
  </si>
  <si>
    <t>Musi Banyuasin</t>
  </si>
  <si>
    <t>Notoprajan NG II/783, DI Yogyakarta, 55262</t>
  </si>
  <si>
    <t>Jl. Patih Singoranu No. 55, Nitikan RT 47 RW 12 Kel. Sorosutan Kec. Umbulharjo, Yogyakarta, DI Yogyakarta, 55162</t>
  </si>
  <si>
    <t>Dotakan RT.06 / RW.03 Kel. Candiroto Kec. Candiroto Kab. Temanggung, Jawa Tengah, 56257</t>
  </si>
  <si>
    <t>Jln. Suronatan 51-53, Suronatan, Notoprajan, Ngampilan Yogyakarta, DI Yogyakarta, 55262</t>
  </si>
  <si>
    <t>Hanifan Al Qodri</t>
  </si>
  <si>
    <t>Ahmad Furqon</t>
  </si>
  <si>
    <t>Alen Wibowo</t>
  </si>
  <si>
    <t>Syarif Hudoyo</t>
  </si>
  <si>
    <t>Suroto</t>
  </si>
  <si>
    <t>Muhammad Fitri Nurrahman</t>
  </si>
  <si>
    <t>Nurkhoirudin</t>
  </si>
  <si>
    <t>Yusuf Salim</t>
  </si>
  <si>
    <t>085647117220</t>
  </si>
  <si>
    <t>082245474550</t>
  </si>
  <si>
    <t>085640384995</t>
  </si>
  <si>
    <t>081227625610</t>
  </si>
  <si>
    <t>085290287753</t>
  </si>
  <si>
    <t>085701709710</t>
  </si>
  <si>
    <t>081349775319</t>
  </si>
  <si>
    <t>087838605662</t>
  </si>
  <si>
    <t>081381706001</t>
  </si>
  <si>
    <t>085277118182</t>
  </si>
  <si>
    <t>081567631444</t>
  </si>
  <si>
    <t>082335069090</t>
  </si>
  <si>
    <t>08121570562</t>
  </si>
  <si>
    <t>08562777213</t>
  </si>
  <si>
    <t>082138319093</t>
  </si>
  <si>
    <t>0811338815</t>
  </si>
  <si>
    <t>0818277560</t>
  </si>
  <si>
    <t>081311050151</t>
  </si>
  <si>
    <t>0817532381</t>
  </si>
  <si>
    <t>087880990112</t>
  </si>
  <si>
    <t>08118681983</t>
  </si>
  <si>
    <t>085200396888</t>
  </si>
  <si>
    <t>08122798055</t>
  </si>
  <si>
    <t>081281918184</t>
  </si>
  <si>
    <t>08818779235</t>
  </si>
  <si>
    <t>081370235076</t>
  </si>
  <si>
    <t>082136218557</t>
  </si>
  <si>
    <t>081230401975</t>
  </si>
  <si>
    <t>089604000965</t>
  </si>
  <si>
    <t>081802797910</t>
  </si>
  <si>
    <t>082211425713</t>
  </si>
  <si>
    <t>085641632838</t>
  </si>
  <si>
    <t>081326529138</t>
  </si>
  <si>
    <t>08122780949</t>
  </si>
  <si>
    <t>085787520650</t>
  </si>
  <si>
    <t>0816206486</t>
  </si>
  <si>
    <t>08127819170</t>
  </si>
  <si>
    <t>0895322757413</t>
  </si>
  <si>
    <t>081251050025</t>
  </si>
  <si>
    <t>085228077753</t>
  </si>
  <si>
    <t>08159336503</t>
  </si>
  <si>
    <t>081808870545</t>
  </si>
  <si>
    <t>085267222660</t>
  </si>
  <si>
    <t>085273134766</t>
  </si>
  <si>
    <t>082133113286</t>
  </si>
  <si>
    <t>085643300743</t>
  </si>
  <si>
    <t>082235065094</t>
  </si>
  <si>
    <t>085840319781</t>
  </si>
  <si>
    <t>081355003003</t>
  </si>
  <si>
    <t>081379634364</t>
  </si>
  <si>
    <t>081218233743</t>
  </si>
  <si>
    <t>081953103362</t>
  </si>
  <si>
    <t>087816705577</t>
  </si>
  <si>
    <t>0895417267050</t>
  </si>
  <si>
    <t>08122797105</t>
  </si>
  <si>
    <t>081995361433</t>
  </si>
  <si>
    <t>08124261797</t>
  </si>
  <si>
    <t>081346590826</t>
  </si>
  <si>
    <t>082135364338</t>
  </si>
  <si>
    <t>082137158706</t>
  </si>
  <si>
    <t>081347077771</t>
  </si>
  <si>
    <t>082118222543</t>
  </si>
  <si>
    <t>085799417775</t>
  </si>
  <si>
    <t>08122735111</t>
  </si>
  <si>
    <t>08176019887</t>
  </si>
  <si>
    <t>081271271270</t>
  </si>
  <si>
    <t>085216190660</t>
  </si>
  <si>
    <t>085246978882</t>
  </si>
  <si>
    <t>601111710641</t>
  </si>
  <si>
    <t>08129949439</t>
  </si>
  <si>
    <t>081291189623</t>
  </si>
  <si>
    <t>089670180058</t>
  </si>
  <si>
    <t>08122951747</t>
  </si>
  <si>
    <t>081225784569</t>
  </si>
  <si>
    <t>081931735805</t>
  </si>
  <si>
    <t>087839727282</t>
  </si>
  <si>
    <t>081231908776</t>
  </si>
  <si>
    <t>081345043583</t>
  </si>
  <si>
    <t>08123026031</t>
  </si>
  <si>
    <t>089633968524</t>
  </si>
  <si>
    <t>08119191257</t>
  </si>
  <si>
    <t>085640285123</t>
  </si>
  <si>
    <t>081351094789</t>
  </si>
  <si>
    <t>081287778700</t>
  </si>
  <si>
    <t>085291911995</t>
  </si>
  <si>
    <t>081319384949</t>
  </si>
  <si>
    <t>081328374640</t>
  </si>
  <si>
    <t>081230203230</t>
  </si>
  <si>
    <t>08112596762</t>
  </si>
  <si>
    <t>081391676329</t>
  </si>
  <si>
    <t>085222334555</t>
  </si>
  <si>
    <t>081363445172</t>
  </si>
  <si>
    <t>085867144300</t>
  </si>
  <si>
    <t>Notoprajan</t>
  </si>
  <si>
    <t>Purwoyoso</t>
  </si>
  <si>
    <t>Ngampilan</t>
  </si>
  <si>
    <t>Ngaliyan</t>
  </si>
  <si>
    <t>Tengah</t>
  </si>
  <si>
    <t>Melawi</t>
  </si>
  <si>
    <t>Pedagangan</t>
  </si>
  <si>
    <t>Dukuhwaru</t>
  </si>
  <si>
    <t>Umbulharjo</t>
  </si>
  <si>
    <t>Sorosutan</t>
  </si>
  <si>
    <t>Sukmajaya</t>
  </si>
  <si>
    <t>Kota Depok</t>
  </si>
  <si>
    <t>Baktijaya</t>
  </si>
  <si>
    <t>Seyegan</t>
  </si>
  <si>
    <t>Margokaton</t>
  </si>
  <si>
    <t>Paal</t>
  </si>
  <si>
    <t>081232231155</t>
  </si>
  <si>
    <t>Dusun Keduwul Desa Menongo RT. 003 RW. 002 Kec. Sukodadi Kab. Lamongan, Jawa Timur, 62253</t>
  </si>
  <si>
    <t>Singosaren RT.01 RW.01 No.4 Wukirsari Imogiri Bantul, DI Yogyakarta, 55782</t>
  </si>
  <si>
    <t>Imam Nur Hakim</t>
  </si>
  <si>
    <t>081578545789</t>
  </si>
  <si>
    <t>Antara Rp    500.000,00 s.d. Rp 1.000,000,00</t>
  </si>
  <si>
    <t>Ibu Rumah Tangga</t>
  </si>
  <si>
    <t>Wiwik Dwi Haryono</t>
  </si>
  <si>
    <t>Perawat</t>
  </si>
  <si>
    <t>Upik Rahmawati</t>
  </si>
  <si>
    <t>085227076888</t>
  </si>
  <si>
    <t>Romistiyani Khasanah</t>
  </si>
  <si>
    <t>Sukito</t>
  </si>
  <si>
    <t>Pensiunan</t>
  </si>
  <si>
    <t>Titik Pratiwi</t>
  </si>
  <si>
    <t>Yunita Dewi Septiana</t>
  </si>
  <si>
    <t>Nurul 'Aini</t>
  </si>
  <si>
    <t>Tatik Sri Rahayu</t>
  </si>
  <si>
    <t>Dhian Navitri</t>
  </si>
  <si>
    <t>Nita Yulianti</t>
  </si>
  <si>
    <t>Karmila</t>
  </si>
  <si>
    <t>087839924040</t>
  </si>
  <si>
    <t>5202023112800363</t>
  </si>
  <si>
    <t>Loteng</t>
  </si>
  <si>
    <t>5202022409100001</t>
  </si>
  <si>
    <t>3374131301110006</t>
  </si>
  <si>
    <t>3371131812100002</t>
  </si>
  <si>
    <t>3374132811800007</t>
  </si>
  <si>
    <t>3374136311810001</t>
  </si>
  <si>
    <t>3175011903101004</t>
  </si>
  <si>
    <t>3175011008110005</t>
  </si>
  <si>
    <t>3175012510790005</t>
  </si>
  <si>
    <t>Saniing Bakar</t>
  </si>
  <si>
    <t>3175014708780016</t>
  </si>
  <si>
    <t>3327101901110006</t>
  </si>
  <si>
    <t>3327102305110038</t>
  </si>
  <si>
    <t>3327100812780004</t>
  </si>
  <si>
    <t>3327105806830004</t>
  </si>
  <si>
    <t>3404020512090001</t>
  </si>
  <si>
    <t>3404010511150001</t>
  </si>
  <si>
    <t>3404024906840003</t>
  </si>
  <si>
    <t>3308081206100001</t>
  </si>
  <si>
    <t>3308082502077155</t>
  </si>
  <si>
    <t>3308081902580001</t>
  </si>
  <si>
    <t>3308086604690002</t>
  </si>
  <si>
    <t>3401021604090002</t>
  </si>
  <si>
    <t>3401020509080002</t>
  </si>
  <si>
    <t>5202020402100003</t>
  </si>
  <si>
    <t>5202025406820009</t>
  </si>
  <si>
    <t>3401021908770021</t>
  </si>
  <si>
    <t>3374152403160012</t>
  </si>
  <si>
    <t>3374141507100002</t>
  </si>
  <si>
    <t>3374151812750006</t>
  </si>
  <si>
    <t>Pagaralam</t>
  </si>
  <si>
    <t>3374156708780006</t>
  </si>
  <si>
    <t>3328181201100001</t>
  </si>
  <si>
    <t>3328182312100001</t>
  </si>
  <si>
    <t>3328182001830003</t>
  </si>
  <si>
    <t>3328186001830002</t>
  </si>
  <si>
    <t>3471132403030261</t>
  </si>
  <si>
    <t>3471130407090002</t>
  </si>
  <si>
    <t>3471132709670001</t>
  </si>
  <si>
    <t>3471134909730001</t>
  </si>
  <si>
    <t>3276051612100018</t>
  </si>
  <si>
    <t>3276050807080009</t>
  </si>
  <si>
    <t>3276050309730001</t>
  </si>
  <si>
    <t>3276055807780019</t>
  </si>
  <si>
    <t>3404142810090002</t>
  </si>
  <si>
    <t>3404052812200004</t>
  </si>
  <si>
    <t>3404140401830001</t>
  </si>
  <si>
    <t>3404115311830001</t>
  </si>
  <si>
    <t>6110024707800004</t>
  </si>
  <si>
    <t>6110022708090002</t>
  </si>
  <si>
    <t>6110021709800002</t>
  </si>
  <si>
    <t>1606072507100001</t>
  </si>
  <si>
    <t>1606070403100002</t>
  </si>
  <si>
    <t>1606073004810002</t>
  </si>
  <si>
    <t>1606076201870001</t>
  </si>
  <si>
    <t>Jalan Matoa 2 Nmr 6 Karangasem RT 1 RW 7 Laweyan Surakarta Jawa Tengah, 57145</t>
  </si>
  <si>
    <t>18 Juli 2022</t>
  </si>
  <si>
    <t>&gt; Rp 2.500.000,00</t>
  </si>
  <si>
    <t>Antara Rp 2.000.000,00 s.d. Rp 2.500,000,00</t>
  </si>
  <si>
    <t>Antara Rp 1.500.000,00 s.d. Rp 2.000,000,00</t>
  </si>
  <si>
    <t>3471062504100001</t>
  </si>
  <si>
    <t>3471142912090003</t>
  </si>
  <si>
    <t>Aini Nur Jannah</t>
  </si>
  <si>
    <t>Ririn Ernawati</t>
  </si>
  <si>
    <t xml:space="preserve"> DI Yogyakarta</t>
  </si>
  <si>
    <t>16 Desember 2010</t>
  </si>
  <si>
    <t>19 Maret 2010</t>
  </si>
  <si>
    <t>05 Desember 2009</t>
  </si>
  <si>
    <t>12 Juni 2010</t>
  </si>
  <si>
    <t>25 Juli 2010</t>
  </si>
  <si>
    <t>24 September 2010</t>
  </si>
  <si>
    <t>16 April 2009</t>
  </si>
  <si>
    <t>25 April 2010</t>
  </si>
  <si>
    <t>15 Juli 2010</t>
  </si>
  <si>
    <t>12 Januari 2010</t>
  </si>
  <si>
    <t>04 Juli 2009</t>
  </si>
  <si>
    <t>08 Juli 2008</t>
  </si>
  <si>
    <t>29 Desember 2009</t>
  </si>
  <si>
    <t>28 Oktober 2009</t>
  </si>
  <si>
    <t>09 Juli 2010</t>
  </si>
  <si>
    <t>TANGGAL LAHIR2</t>
  </si>
  <si>
    <t>19 Januari 2011</t>
  </si>
  <si>
    <t>Sanggrahan Lor Rt 11/05 Bendungan Wates Kulon Progo DIY 55651</t>
  </si>
  <si>
    <t>Jl.Amsyar Ahmad RT.10 RW. III Kel. Mendawai , Kec.Sukamara, Kab. Sukamara Kalimantan Barat 74712</t>
  </si>
  <si>
    <t>Jl A Yani Desa Kauman No.243A RT.005 RW.002 Kel. Kauman Kec. Batang Kab. Batang, Jawa Tengah, 51215</t>
  </si>
  <si>
    <t xml:space="preserve"> 081325095545</t>
  </si>
  <si>
    <t>Ahmad Azzam Hilmi Alqodri</t>
  </si>
  <si>
    <t>Sci1</t>
  </si>
  <si>
    <t>Sci2</t>
  </si>
  <si>
    <t>Soc</t>
  </si>
  <si>
    <t>Muhammad Abqari Zakwannur</t>
  </si>
  <si>
    <t>Palangkaraya</t>
  </si>
  <si>
    <t>08 September 2010</t>
  </si>
  <si>
    <t>6271030809100004</t>
  </si>
  <si>
    <t>Rus'ansyah, S. Ag, M. Pd</t>
  </si>
  <si>
    <t>6271032101110011</t>
  </si>
  <si>
    <t>6271030511770004</t>
  </si>
  <si>
    <t>Muara Tupuh</t>
  </si>
  <si>
    <t>6271036408810009</t>
  </si>
  <si>
    <t>Muara Tuhup</t>
  </si>
  <si>
    <t>0107491206</t>
  </si>
  <si>
    <t>Muhammad Fadhil Hanifudin</t>
  </si>
  <si>
    <t>07 Juni 2010</t>
  </si>
  <si>
    <t>3402100706100002</t>
  </si>
  <si>
    <t>Kauman GM/1 262 RT 50 RW 13 Ngupasan, Gondomanan, Yogyakarta, DI Yogyakarta, 55122</t>
  </si>
  <si>
    <t>Imogiri</t>
  </si>
  <si>
    <t>Ngadilan, S.Pd.</t>
  </si>
  <si>
    <t>Rr. Ersi Nurmaeli</t>
  </si>
  <si>
    <t>0099605819</t>
  </si>
  <si>
    <t>Muhammad Faiz Abdullah</t>
  </si>
  <si>
    <t>02 April 2010</t>
  </si>
  <si>
    <t>Betengsari no. 48 RT 02/RW 12 Wonosobo Timur, Wonosobo. Jawa Tengah 56311</t>
  </si>
  <si>
    <t>0099201027</t>
  </si>
  <si>
    <t>Muhammad Faiz Husain</t>
  </si>
  <si>
    <t>17 Desember 2009</t>
  </si>
  <si>
    <t>3402021712090002</t>
  </si>
  <si>
    <t>Jalan Pemuda 3 No. 8 RT 013 RW 002 kel. Rawamangun Kec. Pulogadung Jakarta Timur, DKI Jakarta, 13220</t>
  </si>
  <si>
    <t>Murtigading</t>
  </si>
  <si>
    <t>Sanden</t>
  </si>
  <si>
    <t>Wahid hidayat</t>
  </si>
  <si>
    <t>Endang Sri Sukamti</t>
  </si>
  <si>
    <t>3402022011030096</t>
  </si>
  <si>
    <t>3402020303810001</t>
  </si>
  <si>
    <t>3402026503810001</t>
  </si>
  <si>
    <t>0096636114</t>
  </si>
  <si>
    <t>Muhammad Farel Zafran Adelio</t>
  </si>
  <si>
    <t>27 November 2009</t>
  </si>
  <si>
    <t>3304152711090001</t>
  </si>
  <si>
    <t>Jl. Jambu I Wonosidi Lor RT: 07 RW: 12 Wates, Wates, Kulon Progo, Yogyakarta, DI Yogyakarta, 55651</t>
  </si>
  <si>
    <t>Imam Suwandhono</t>
  </si>
  <si>
    <t>Lusi Yusnita Rofiqoh</t>
  </si>
  <si>
    <t>Perangkat Desa</t>
  </si>
  <si>
    <t>3304150601100022</t>
  </si>
  <si>
    <t>3304152903840004</t>
  </si>
  <si>
    <t>3304155205780007</t>
  </si>
  <si>
    <t>3104773255</t>
  </si>
  <si>
    <t>Muhammad Fattih Kasyfil Ilmi</t>
  </si>
  <si>
    <t>04 Februari 2010</t>
  </si>
  <si>
    <t>33260110402100001</t>
  </si>
  <si>
    <t>Jalan Betet, RT 024 RW 009 Kel. Hadimulyo Timur Kec. Metro Pusat Kota Metro, Lampung, 34114</t>
  </si>
  <si>
    <t>Babalan</t>
  </si>
  <si>
    <t>Bojong</t>
  </si>
  <si>
    <t>Risa Noviyanto</t>
  </si>
  <si>
    <t>Siti Muarofah</t>
  </si>
  <si>
    <t>3326111006090004</t>
  </si>
  <si>
    <t>3326112411810001</t>
  </si>
  <si>
    <t>3326115508860002</t>
  </si>
  <si>
    <t>0091062545</t>
  </si>
  <si>
    <t>Muhammad Ilham</t>
  </si>
  <si>
    <t>3402081308090002</t>
  </si>
  <si>
    <t>Karanggam RT.04, Desa Bantul Kota,Kecamatan Bantul,Kabupaten Bantul, DIY 55571</t>
  </si>
  <si>
    <t>Bantul Kota</t>
  </si>
  <si>
    <t>Tony Mardianto, ST., MT.</t>
  </si>
  <si>
    <t>Kurniati</t>
  </si>
  <si>
    <t>3402081507030492</t>
  </si>
  <si>
    <t>3402082610720002</t>
  </si>
  <si>
    <t>Nganjuk</t>
  </si>
  <si>
    <t>3402085006780001</t>
  </si>
  <si>
    <t>Simpamgkanan</t>
  </si>
  <si>
    <t>0096111120</t>
  </si>
  <si>
    <t>Muhammad Irsyad Dhiyaa'il Haq</t>
  </si>
  <si>
    <t>Pacitan</t>
  </si>
  <si>
    <t>06 September 2009</t>
  </si>
  <si>
    <t>3501050906090001</t>
  </si>
  <si>
    <t>Royal Mansion Banguntapan Blok J No. 1 Jl. Raya Pleret Km. 2.2 Kel. Jambidan Kec. Banguntapan Kab. Bantul, DI Yogyakarta, 55195</t>
  </si>
  <si>
    <t>Purwosari</t>
  </si>
  <si>
    <t>Kebonagung</t>
  </si>
  <si>
    <t>Ahmadi</t>
  </si>
  <si>
    <t>Tri Puji Astuti</t>
  </si>
  <si>
    <t>Muhammad Nafis Yakhsyallah</t>
  </si>
  <si>
    <t>3327132904100002</t>
  </si>
  <si>
    <t>Jl. KH. Saman Hudi No.45.Rt.06/ RW.06 Kelurahan Pasirkratonkramat Kec. Pekalongan Barat Kota Pekalongan Jawa Tengah 51118</t>
  </si>
  <si>
    <t>3100196994</t>
  </si>
  <si>
    <t>Muhammad  Nawaf Dzulfadli Fayyadh</t>
  </si>
  <si>
    <t>Karawang</t>
  </si>
  <si>
    <t>3215250508100003</t>
  </si>
  <si>
    <t>Dusun Kali oyod, RT/RW. 04/03, Desa Wancimekar, Kec. Kota Baru, Kab. Karawang Jawa Barat 41374</t>
  </si>
  <si>
    <t>Wancimekar</t>
  </si>
  <si>
    <t>Kota Baru</t>
  </si>
  <si>
    <t>Eka Prihatna Saputra</t>
  </si>
  <si>
    <t>Ika Rizkiana</t>
  </si>
  <si>
    <t>3215251304100019</t>
  </si>
  <si>
    <t>3215251501850005</t>
  </si>
  <si>
    <t>3215254502880003</t>
  </si>
  <si>
    <t>Muhammad Maulana Ishaq</t>
  </si>
  <si>
    <t>02 Juni 2010</t>
  </si>
  <si>
    <t>3501050206100001</t>
  </si>
  <si>
    <t>JL Ngambar Bambe RT 14 RW 05 No 208 Driyorejo Gresik Jawa Timur 61177</t>
  </si>
  <si>
    <t>Wonocatur</t>
  </si>
  <si>
    <t>Banguntapan</t>
  </si>
  <si>
    <t>Ismail Setia Budi</t>
  </si>
  <si>
    <t>Siti Munawaroh</t>
  </si>
  <si>
    <t>3402120511100010</t>
  </si>
  <si>
    <t>3402121705830006</t>
  </si>
  <si>
    <t>3501054306850001</t>
  </si>
  <si>
    <t>0098116088</t>
  </si>
  <si>
    <t>Muhammad Rafif Farrel</t>
  </si>
  <si>
    <t>21 Maret 2009</t>
  </si>
  <si>
    <t>3302242103090002</t>
  </si>
  <si>
    <t>Gumantar, Tanjung RT/RW 001/003, Juwiring, Klaten, Jawa Tengah, 57472</t>
  </si>
  <si>
    <t>Karangklesem</t>
  </si>
  <si>
    <t>Purwokerto Selatan</t>
  </si>
  <si>
    <t>Didik Sachroni</t>
  </si>
  <si>
    <t>TNI/Polri</t>
  </si>
  <si>
    <t>Wilis Dwi Pangesti</t>
  </si>
  <si>
    <t>Bidan</t>
  </si>
  <si>
    <t>3302241312060002</t>
  </si>
  <si>
    <t>330224270770008</t>
  </si>
  <si>
    <t>3302245107800003</t>
  </si>
  <si>
    <t>22 Maret 2010</t>
  </si>
  <si>
    <t>0107096330</t>
  </si>
  <si>
    <t>Mujahid Zulafan Sabilussalam</t>
  </si>
  <si>
    <t>01 April 2010</t>
  </si>
  <si>
    <t>340308080104100003</t>
  </si>
  <si>
    <t>Perum Bintang Alam Blok E 2 No. 31 RT. 45 RW. 11 Telukjambe Timur Karawang, Jawa Barat, 41361</t>
  </si>
  <si>
    <t>Semanu</t>
  </si>
  <si>
    <t>Budi Santosa</t>
  </si>
  <si>
    <t>Nur Rokhani Tri Utami</t>
  </si>
  <si>
    <t>3403082905100003</t>
  </si>
  <si>
    <t>3403081509740003</t>
  </si>
  <si>
    <t>Gunungkidul</t>
  </si>
  <si>
    <t>3403087103790001</t>
  </si>
  <si>
    <t>0106581806</t>
  </si>
  <si>
    <t>Najib Zaini</t>
  </si>
  <si>
    <t>17 April 2010</t>
  </si>
  <si>
    <t>6371021704100003</t>
  </si>
  <si>
    <t>Khairuzzaini</t>
  </si>
  <si>
    <t>6371020511100022</t>
  </si>
  <si>
    <t>6371051009820007</t>
  </si>
  <si>
    <t>6371024903860006</t>
  </si>
  <si>
    <t>0108709156</t>
  </si>
  <si>
    <t>Padika Rausyanfikr El Mamun</t>
  </si>
  <si>
    <t>22 Februari 2010</t>
  </si>
  <si>
    <t>3204322202100004</t>
  </si>
  <si>
    <t>Baleendah</t>
  </si>
  <si>
    <t>Kab. Bandung</t>
  </si>
  <si>
    <t xml:space="preserve">Yustiar Nurdiansyah </t>
  </si>
  <si>
    <t>Ila Laela Agustini</t>
  </si>
  <si>
    <t>3204321107060050</t>
  </si>
  <si>
    <t>3204322105790015</t>
  </si>
  <si>
    <t>3204326208840014</t>
  </si>
  <si>
    <t>0105638864</t>
  </si>
  <si>
    <t>Adhitama Rasya Anakin</t>
  </si>
  <si>
    <t>20 Juli 2010</t>
  </si>
  <si>
    <t>3404062007100003</t>
  </si>
  <si>
    <t>JL. Telaga Mas XV Blok G4/20 RT015 RW014 Kel. Harapan Baru Kec. Bekasi Utara Bekasi Jawa Barat 17123</t>
  </si>
  <si>
    <t>Asyikin</t>
  </si>
  <si>
    <t>Th Any Indar Kuswati</t>
  </si>
  <si>
    <t>3404062407150007</t>
  </si>
  <si>
    <t>1350072904710006</t>
  </si>
  <si>
    <t>3471034203810001</t>
  </si>
  <si>
    <t>0103200993</t>
  </si>
  <si>
    <t>Adib Jordi</t>
  </si>
  <si>
    <t>03 April 2010</t>
  </si>
  <si>
    <t>6208010304100001</t>
  </si>
  <si>
    <t>Perumahan Wahana Mulia No.1D, Jongke, Sendangadi, Mlati, Sleman, DIY 5552</t>
  </si>
  <si>
    <t>Sukamara</t>
  </si>
  <si>
    <t>Taufiq Ali</t>
  </si>
  <si>
    <t>6208012402090001</t>
  </si>
  <si>
    <t>6208010208790001</t>
  </si>
  <si>
    <t>6208015002790001</t>
  </si>
  <si>
    <t>3094677005</t>
  </si>
  <si>
    <t>Afif Adli Firdaus</t>
  </si>
  <si>
    <t>29 September 2009</t>
  </si>
  <si>
    <t>3402102909090001</t>
  </si>
  <si>
    <t>Sugeng Mulyono</t>
  </si>
  <si>
    <t>Inna Anzalna Noviasti</t>
  </si>
  <si>
    <t>3402102712050005</t>
  </si>
  <si>
    <t>3402102311740003</t>
  </si>
  <si>
    <t>3402104511730001</t>
  </si>
  <si>
    <t>0108401010</t>
  </si>
  <si>
    <t>Akbar Dzulfikar</t>
  </si>
  <si>
    <t>01 Januari 2010</t>
  </si>
  <si>
    <t>3404150101100001</t>
  </si>
  <si>
    <t>Lungguhrejo RT 006 RW 029, Wonokerto, Turi, Sleman DI Yogyakarta 55551</t>
  </si>
  <si>
    <t>Tri Rahmad Subagyo, ST</t>
  </si>
  <si>
    <t>3404151012100002</t>
  </si>
  <si>
    <t>3404150912790001</t>
  </si>
  <si>
    <t>3402086301810002</t>
  </si>
  <si>
    <t>0093053516</t>
  </si>
  <si>
    <t>Akbar Sigit Pramono</t>
  </si>
  <si>
    <t>3671122810090003</t>
  </si>
  <si>
    <t>Jl. Mawar No. 61 Pisangan Ciputat Timur, Ciputat Timur, Tangsel, Banten, 15446</t>
  </si>
  <si>
    <t>Warsini</t>
  </si>
  <si>
    <t>Karywan Swasta</t>
  </si>
  <si>
    <t>3603050203200006</t>
  </si>
  <si>
    <t>3671125905730001</t>
  </si>
  <si>
    <t>0107332075</t>
  </si>
  <si>
    <t>Arafat Krisnantaka Wildamar</t>
  </si>
  <si>
    <t>3318102507100001</t>
  </si>
  <si>
    <t>Wijanarko</t>
  </si>
  <si>
    <t>Eni Tri Martutik</t>
  </si>
  <si>
    <t>3318101905080504</t>
  </si>
  <si>
    <t>3318101009670001</t>
  </si>
  <si>
    <t>3318104103710004</t>
  </si>
  <si>
    <t>0109513453</t>
  </si>
  <si>
    <t>Arya Gerda Bhamakerti</t>
  </si>
  <si>
    <t>16 Juni 2010</t>
  </si>
  <si>
    <t>3325111606100004</t>
  </si>
  <si>
    <t>Jl Sendang sewu , RT / RW 006/001, Desa Sidokerto, Kecamatan Pati, Kabupaten Pati, Jawa Tengah, 59111</t>
  </si>
  <si>
    <t>Arya Fany Yugatama, SH</t>
  </si>
  <si>
    <t>Ratna Fitriana</t>
  </si>
  <si>
    <t>3325110308100006</t>
  </si>
  <si>
    <t>332511210770009</t>
  </si>
  <si>
    <t>3325116809760007</t>
  </si>
  <si>
    <t>0107718597</t>
  </si>
  <si>
    <t>Azka Adiyatma Brahmantya</t>
  </si>
  <si>
    <t>11 Januari 2010</t>
  </si>
  <si>
    <t>3573031607100001</t>
  </si>
  <si>
    <t>Vila Juanda Depok No.1 KP. Bojong Gang Kober Raya RT.007 RW.020 Baktijaya, Sukmajaya, Kota Depok, Jawa Barat 16418</t>
  </si>
  <si>
    <t>Ida Bagus Widhyanthara</t>
  </si>
  <si>
    <t>Kharisma Yustisi Eva</t>
  </si>
  <si>
    <t>Bima Nur Iskandar</t>
  </si>
  <si>
    <t>26 Maret 2010</t>
  </si>
  <si>
    <t>3274032803100001</t>
  </si>
  <si>
    <t>Perumnas Permata Harjamukti Tahap 1, Jl. Akik 1 Blok C2 No.11 RT.001/RW.014, Kel. Kalijaga, Kec. Harjamukti Kota Cirebon, Jawa Barat 45144</t>
  </si>
  <si>
    <t>Suradal</t>
  </si>
  <si>
    <t xml:space="preserve"> &gt; Rp 2.500.000,00</t>
  </si>
  <si>
    <t>Anna Susilowati</t>
  </si>
  <si>
    <t>3274031207070039</t>
  </si>
  <si>
    <t>3274032403710006</t>
  </si>
  <si>
    <t>3274034511730012</t>
  </si>
  <si>
    <t>Rembang</t>
  </si>
  <si>
    <t>0101529422</t>
  </si>
  <si>
    <t>Catur Andika Dermawan Putra</t>
  </si>
  <si>
    <t>18 Februari 2010</t>
  </si>
  <si>
    <t>3201051802100001</t>
  </si>
  <si>
    <t>Jl. Inpres Gang Harmonis No 22 RT 007 RW 002 Kel. Tengah Kec. Kramat Jati Kota Jakarta Timur, DKI Jakarta, 13510</t>
  </si>
  <si>
    <t>Rochmadi</t>
  </si>
  <si>
    <t>Lina Irawati</t>
  </si>
  <si>
    <t>3201052303180010</t>
  </si>
  <si>
    <t>3201054903860004</t>
  </si>
  <si>
    <t>0093040840</t>
  </si>
  <si>
    <t>Daiyan Mahya Athallah</t>
  </si>
  <si>
    <t>16 November 2009</t>
  </si>
  <si>
    <t>3525141611090002</t>
  </si>
  <si>
    <t>JL. Dr. Wahidin Sudirohusodo Gang 24 No. 72 RT 01 RW 03 Randuagung Kebomas Gresik Jawa Timur 61121</t>
  </si>
  <si>
    <t>Kemal Abdi</t>
  </si>
  <si>
    <t>Ririn Aprilianti Astuti</t>
  </si>
  <si>
    <t>3525143003100008</t>
  </si>
  <si>
    <t>3525141010800004</t>
  </si>
  <si>
    <t>3525145704820003</t>
  </si>
  <si>
    <t>0095262572</t>
  </si>
  <si>
    <t>Damario Pramata Rahagi</t>
  </si>
  <si>
    <t>26 November 2009</t>
  </si>
  <si>
    <t>3603282611090002</t>
  </si>
  <si>
    <t>Kebon RT 03 RW 01 Ke. Tamanmartani, Kec. Kalasan, Kab. Sleman, DI Yogyakarta, 55571</t>
  </si>
  <si>
    <t>Irfan Tugiman</t>
  </si>
  <si>
    <t>Septianingsih Anggraeni</t>
  </si>
  <si>
    <t>3603281807110021</t>
  </si>
  <si>
    <t>3603280204830010</t>
  </si>
  <si>
    <t>3603285909880003</t>
  </si>
  <si>
    <t>0091505222</t>
  </si>
  <si>
    <t>Dhi'a Kafka Radiansyach</t>
  </si>
  <si>
    <t>Serui</t>
  </si>
  <si>
    <t>9105010609090001</t>
  </si>
  <si>
    <t>Wahyudi Najamuddin</t>
  </si>
  <si>
    <t>Faradilla Iriani Tarwan</t>
  </si>
  <si>
    <t>9105010412090001</t>
  </si>
  <si>
    <t>9105011408840008</t>
  </si>
  <si>
    <t>9105015701840002</t>
  </si>
  <si>
    <t>0103726728</t>
  </si>
  <si>
    <t>Dida Fazel Zhafranatha</t>
  </si>
  <si>
    <t>23 Juli 2010</t>
  </si>
  <si>
    <t>3320132307100001</t>
  </si>
  <si>
    <t>Purwogondo RT 04 RW 01 Kalinyamatan Jepara Jawa Tengah 59462</t>
  </si>
  <si>
    <t>Diana Evi Erawati</t>
  </si>
  <si>
    <t>3320131110080001</t>
  </si>
  <si>
    <t>3320136306780002</t>
  </si>
  <si>
    <t>0101215352</t>
  </si>
  <si>
    <t>Eprillio Iqbal Rasendria</t>
  </si>
  <si>
    <t>20 April 2010</t>
  </si>
  <si>
    <t>3573052004100003</t>
  </si>
  <si>
    <t>Jln Raya Condet, Gg Remaja 1 No 22 RT 03 RW. 03 Kel. Gedong Kec. Pasar Rebo, Jakarta Timur DKI Jakarta, DKI Jakarta, 13760</t>
  </si>
  <si>
    <t>Yusdi Amrozi</t>
  </si>
  <si>
    <t>Mitha Hapsari</t>
  </si>
  <si>
    <t>3573051805100020</t>
  </si>
  <si>
    <t>3573052003710003</t>
  </si>
  <si>
    <t>3573056067860004</t>
  </si>
  <si>
    <t>0105723225</t>
  </si>
  <si>
    <t>Hammam Naufa Mabrur</t>
  </si>
  <si>
    <t>23 Februari 2010</t>
  </si>
  <si>
    <t>3375014910820008</t>
  </si>
  <si>
    <t>Griya Tirta Indah Gg 12 no 1 Rt 04 Rw 06 Tirta Kecamatan Pekalongan Barat kota Pekalongan Jawa Tengah 51119</t>
  </si>
  <si>
    <t>Titis Amin Mabrur</t>
  </si>
  <si>
    <t>Antara Rp 1.000.000,00 s.d. Rp 1.500,000,00</t>
  </si>
  <si>
    <t>Nur Laelah</t>
  </si>
  <si>
    <t>3375012305120004</t>
  </si>
  <si>
    <t>3375011502810007</t>
  </si>
  <si>
    <t>0096634815</t>
  </si>
  <si>
    <t>Kenzie Muhammad Zahidan Ardhie</t>
  </si>
  <si>
    <t>05 Juni 2009</t>
  </si>
  <si>
    <t>6208010506090001</t>
  </si>
  <si>
    <t>Jl. Tjilik Riwut Rt. 13 Rw. 04, Kelurahan Mendawai, Kecamatan Sukamara, Kabupaten Sukamara Kalimantan Tengah 74712</t>
  </si>
  <si>
    <t>Sunardi</t>
  </si>
  <si>
    <t>Susi Rohmawati</t>
  </si>
  <si>
    <t>6208012611070001</t>
  </si>
  <si>
    <t>6208012703750001</t>
  </si>
  <si>
    <t>620801450783002</t>
  </si>
  <si>
    <t>0093843649</t>
  </si>
  <si>
    <t>Khalaf Kanza Utomo</t>
  </si>
  <si>
    <t>03 November 2009</t>
  </si>
  <si>
    <t>3313120311090001</t>
  </si>
  <si>
    <t>Perum Kopassus RT 001 RW 014 Jl. Melati 4 No. M-3 Bolon Colomadu Karanganyar Jawa Tengah 57178</t>
  </si>
  <si>
    <t>Sugiarto</t>
  </si>
  <si>
    <t>Dwi Yunianti Taurisia</t>
  </si>
  <si>
    <t>3313122905054852</t>
  </si>
  <si>
    <t>3313121706710002</t>
  </si>
  <si>
    <t>3313126605750002</t>
  </si>
  <si>
    <t>0097864718</t>
  </si>
  <si>
    <t>Muhammad Archard Abbasy</t>
  </si>
  <si>
    <t>18 Juni 2009</t>
  </si>
  <si>
    <t>3471141806090001</t>
  </si>
  <si>
    <t>Jalan Retnodumilah 52 c KG Yogyakarta 55171</t>
  </si>
  <si>
    <t>Zaki Himawan</t>
  </si>
  <si>
    <t>Lenny Yanuaningrum</t>
  </si>
  <si>
    <t>3471142701040036</t>
  </si>
  <si>
    <t>3471140510750001</t>
  </si>
  <si>
    <t>3471144101780001</t>
  </si>
  <si>
    <t>0109618634</t>
  </si>
  <si>
    <t>Muhammad Faisal Akbar</t>
  </si>
  <si>
    <t>25 Juni 2010</t>
  </si>
  <si>
    <t>3175022506100002</t>
  </si>
  <si>
    <t>Nurul Haq</t>
  </si>
  <si>
    <t>Noer Hikmah</t>
  </si>
  <si>
    <t>3175020901097212</t>
  </si>
  <si>
    <t>3175022002710010</t>
  </si>
  <si>
    <t>3175025507740017</t>
  </si>
  <si>
    <t>0094745239</t>
  </si>
  <si>
    <t>Muhammad Faiz Sholehuddin</t>
  </si>
  <si>
    <t>16 Desember 2009</t>
  </si>
  <si>
    <t>3516161612090001</t>
  </si>
  <si>
    <t>Perum Puri Mojobaru Blok Aa22, Canggu, Jetis, Mojokerto Jawa Timur 61352</t>
  </si>
  <si>
    <t>Mojokerto</t>
  </si>
  <si>
    <t>3516163110190004</t>
  </si>
  <si>
    <t>3516165201800002</t>
  </si>
  <si>
    <t>0107306414</t>
  </si>
  <si>
    <t>Muh Farrel Rakha Rajendra M</t>
  </si>
  <si>
    <t>13 Agustus 2009</t>
  </si>
  <si>
    <t>3371033905090001</t>
  </si>
  <si>
    <t>Botton 1 No.489 RT 02 RW 05 Kel. Magelang Kec. Magelang Tengah Kota Magelang Jawa Tengah 56111</t>
  </si>
  <si>
    <t>Kota Magelang</t>
  </si>
  <si>
    <t>Nanang Yudo Cahyono</t>
  </si>
  <si>
    <t>3371032412080004</t>
  </si>
  <si>
    <t>3371022606810001</t>
  </si>
  <si>
    <t>3371036706870002</t>
  </si>
  <si>
    <t>0094187060</t>
  </si>
  <si>
    <t>Muhammad Fikri Adnan</t>
  </si>
  <si>
    <t>Wirobrajan WB II/ 335, Wirobrajan, Yogyakarta 55252</t>
  </si>
  <si>
    <t>0103860897</t>
  </si>
  <si>
    <t>Muhammad Nabil Ramadhan</t>
  </si>
  <si>
    <t>31 Agustus 2010</t>
  </si>
  <si>
    <t>3674063108100006</t>
  </si>
  <si>
    <t>Komplek Vila Dago, Blok C 7 No 1, RT 01 RW 20, Kelurahan  Benda Baru, Pamulang, Tangerang Selatan Banten 15418</t>
  </si>
  <si>
    <t>Benda Baru</t>
  </si>
  <si>
    <t>Pamulang</t>
  </si>
  <si>
    <t>Hartono</t>
  </si>
  <si>
    <t>Gafrina Desi</t>
  </si>
  <si>
    <t>3674061602100184</t>
  </si>
  <si>
    <t>3674063105810001</t>
  </si>
  <si>
    <t>Talang</t>
  </si>
  <si>
    <t>3674066505830002</t>
  </si>
  <si>
    <t>Bukit Tinggi</t>
  </si>
  <si>
    <t>0093749124</t>
  </si>
  <si>
    <t>Muhammad Sabiq Alhafidz</t>
  </si>
  <si>
    <t>19 November 2009</t>
  </si>
  <si>
    <t>1771071911090001</t>
  </si>
  <si>
    <t>Ds Beseran 1 RT 01 RW 01 Beseran, Kaliangkrik, Magelang, Jawa Tengah 56153</t>
  </si>
  <si>
    <t>Fakhruddin</t>
  </si>
  <si>
    <t>1771073103100001</t>
  </si>
  <si>
    <t>1771073012770002</t>
  </si>
  <si>
    <t>1771075707790002</t>
  </si>
  <si>
    <t>0099313678</t>
  </si>
  <si>
    <t>Nala Naylan Najahi</t>
  </si>
  <si>
    <t>04 September 2009</t>
  </si>
  <si>
    <t>3509190409090002</t>
  </si>
  <si>
    <t>Jl Soekarno Hatta No.31 RT.005 RW.002, Anggut Atas, Ratu Samban, Kota Bengkulu, Bengkulu 38222</t>
  </si>
  <si>
    <t>Kasman</t>
  </si>
  <si>
    <t>Lilik Umu Hanik</t>
  </si>
  <si>
    <t>3509192909050927</t>
  </si>
  <si>
    <t>3509192604710001</t>
  </si>
  <si>
    <t>3509195404720001</t>
  </si>
  <si>
    <t>0102589279</t>
  </si>
  <si>
    <t>Rayi Pamungkas Yahwidhi</t>
  </si>
  <si>
    <t>6401042203100001</t>
  </si>
  <si>
    <t>Dsn Plumpung RT 02 RW 01 Ds Simo Kec. Slahung Kab. Ponorogo Jawa Timur 63463</t>
  </si>
  <si>
    <t>Subiyanto</t>
  </si>
  <si>
    <t>Supriyani</t>
  </si>
  <si>
    <t>6401040212080013</t>
  </si>
  <si>
    <t>6401042708700003</t>
  </si>
  <si>
    <t>Gunung Kidul</t>
  </si>
  <si>
    <t>6401046308750001</t>
  </si>
  <si>
    <t>0102892618</t>
  </si>
  <si>
    <t>Syafiq Shalahuddin</t>
  </si>
  <si>
    <t>3323030510090001</t>
  </si>
  <si>
    <t>BTN Jone Indah jalan langsat no.52, Tanah Grogot, Kab. Paser Kalimantan Timur 76211</t>
  </si>
  <si>
    <t>Muhammad Bani Sukron</t>
  </si>
  <si>
    <t>Herny Juniasri</t>
  </si>
  <si>
    <t>3323031712059812</t>
  </si>
  <si>
    <t>3323031606670001</t>
  </si>
  <si>
    <t>Indramayu</t>
  </si>
  <si>
    <t>3323036006710005</t>
  </si>
  <si>
    <t>0097111864</t>
  </si>
  <si>
    <t>Zaidan Ahsanu 'Amala</t>
  </si>
  <si>
    <t>24 Desember 2009</t>
  </si>
  <si>
    <t>3402021412090002</t>
  </si>
  <si>
    <t>Arba Riksawan Qomaru</t>
  </si>
  <si>
    <t>Anni Mutmainah</t>
  </si>
  <si>
    <t>3402020410030102</t>
  </si>
  <si>
    <t>3402020607690001</t>
  </si>
  <si>
    <t>3402024303730001</t>
  </si>
  <si>
    <t>0103370253</t>
  </si>
  <si>
    <t>Ahmad Badir Hamam Zadisa</t>
  </si>
  <si>
    <t>6271010104100001</t>
  </si>
  <si>
    <t>Jl. Nusantara 2 No.15 Kel. Langkai Kec. Pahandut Kota Palangka Raya, Kalimantan Tengah, 73111</t>
  </si>
  <si>
    <t>M. Zuhri</t>
  </si>
  <si>
    <t>6271010709090044</t>
  </si>
  <si>
    <t>6271012108640002</t>
  </si>
  <si>
    <t>6271016711720006</t>
  </si>
  <si>
    <t>3103846380</t>
  </si>
  <si>
    <t>Ahmad Maududi Faqih</t>
  </si>
  <si>
    <t>Lebak</t>
  </si>
  <si>
    <t>23 April 2010</t>
  </si>
  <si>
    <t>3602142304100008</t>
  </si>
  <si>
    <t>BTN Ona Blok E1 no 6 RT 004 RW 006 Desa Rangkasbitung Timur Kec. Rangkasbitung Kab. Lebak Banten 42313</t>
  </si>
  <si>
    <t>Rangkasbitung</t>
  </si>
  <si>
    <t>Septty Prasetya</t>
  </si>
  <si>
    <t>36202142510120015</t>
  </si>
  <si>
    <t>3602141902760005</t>
  </si>
  <si>
    <t>3602146305840005</t>
  </si>
  <si>
    <t>0101875277</t>
  </si>
  <si>
    <t>Ahmad Shiddiq Al Kariem</t>
  </si>
  <si>
    <t>10 Maret 2010</t>
  </si>
  <si>
    <t>6208011002100001</t>
  </si>
  <si>
    <t>Jalan Amsyar Ahmad Nomor 163 RT. 10 RW III Kelurahan Mendawai Sukamara Kalimantan Tengah 74712</t>
  </si>
  <si>
    <t>Achmad Faizin, S.Hut., M.P.</t>
  </si>
  <si>
    <t>Tri Anggrayani</t>
  </si>
  <si>
    <t>6208011911070001</t>
  </si>
  <si>
    <t>6208012409760001</t>
  </si>
  <si>
    <t>Kotawaringin Lama</t>
  </si>
  <si>
    <t>6208016510780001</t>
  </si>
  <si>
    <t>0095127392</t>
  </si>
  <si>
    <t>Arroyan Ulya Anwar</t>
  </si>
  <si>
    <t>20 September 2009</t>
  </si>
  <si>
    <t>3402082009090003</t>
  </si>
  <si>
    <t>RT 07 Karang Mandingan Ringinharjo Bantul Yogyakarta 55712</t>
  </si>
  <si>
    <t>Anwar Siswanto</t>
  </si>
  <si>
    <t>Suprih Hidayati</t>
  </si>
  <si>
    <t>3402080805070001</t>
  </si>
  <si>
    <t>3402082504760001</t>
  </si>
  <si>
    <t>3402084703780002</t>
  </si>
  <si>
    <t>0091454908</t>
  </si>
  <si>
    <t>Chalis Zabadi Putra</t>
  </si>
  <si>
    <t>Pangkalpinang</t>
  </si>
  <si>
    <t>23 September 2009</t>
  </si>
  <si>
    <t>1971042309090002</t>
  </si>
  <si>
    <t>Akhmad Sumarwan</t>
  </si>
  <si>
    <t>Bulyani Sari</t>
  </si>
  <si>
    <t>1971040211090001</t>
  </si>
  <si>
    <t>1971042906830002</t>
  </si>
  <si>
    <t>1971046703810005</t>
  </si>
  <si>
    <t>Sangku</t>
  </si>
  <si>
    <t>0109861416</t>
  </si>
  <si>
    <t>Fahri Mirza Hanafi</t>
  </si>
  <si>
    <t>Kediri</t>
  </si>
  <si>
    <t>20 Maret 2010</t>
  </si>
  <si>
    <t>351012003100002</t>
  </si>
  <si>
    <t>Jl. Masjid Besar 905-C RT.45/10 Dalem Purbayan Kotagede Yogyakarta 55173</t>
  </si>
  <si>
    <t>Sardiyanto</t>
  </si>
  <si>
    <t>Endang Sri Wahyuni</t>
  </si>
  <si>
    <t>3510113110070029</t>
  </si>
  <si>
    <t>3510110802720003</t>
  </si>
  <si>
    <t>3510114706730006</t>
  </si>
  <si>
    <t>3108146201</t>
  </si>
  <si>
    <t>Fairuz Dzaki Mulyadi</t>
  </si>
  <si>
    <t>Pandeglang</t>
  </si>
  <si>
    <t>27 Maret 2010</t>
  </si>
  <si>
    <t>3601232703100001</t>
  </si>
  <si>
    <t>Kp. Masjid RT 03 RW. 02 Desa Kondangjaya Kec. Cisata Kab. Pandeglang, Banten 42273</t>
  </si>
  <si>
    <t>Dedi Mulyadi</t>
  </si>
  <si>
    <t>Romlah</t>
  </si>
  <si>
    <t>3601230805150002</t>
  </si>
  <si>
    <t>3601230712810001</t>
  </si>
  <si>
    <t>3601234203840004</t>
  </si>
  <si>
    <t>0109488648</t>
  </si>
  <si>
    <t>Faqih Najwan Madani</t>
  </si>
  <si>
    <t>06 Februari 2010</t>
  </si>
  <si>
    <t>3404020602100002</t>
  </si>
  <si>
    <t>Seno Pitoyo, S. Kep., Ns</t>
  </si>
  <si>
    <t>3404022003060001</t>
  </si>
  <si>
    <t>3404020202740001</t>
  </si>
  <si>
    <t>3404024103750002</t>
  </si>
  <si>
    <t>0092638882</t>
  </si>
  <si>
    <t>Genta Hasyarafi</t>
  </si>
  <si>
    <t>24 Juli 2009</t>
  </si>
  <si>
    <t>3308092407090001</t>
  </si>
  <si>
    <t>Cluster MPR A5NO. 56 RT 01 RW 01, Kel. Cipondoh, Kec. Cipondoh, Kota Tangerang, Banten, 15148</t>
  </si>
  <si>
    <t>Taufiq Kurniawan</t>
  </si>
  <si>
    <t>Sebti Wulandari</t>
  </si>
  <si>
    <t>3308092502070099</t>
  </si>
  <si>
    <t>3308091501760004</t>
  </si>
  <si>
    <t>3308096908840002</t>
  </si>
  <si>
    <t>0094680485</t>
  </si>
  <si>
    <t>Ibad Naufal Uthman</t>
  </si>
  <si>
    <t>25 Maret 2009</t>
  </si>
  <si>
    <t>341022503090001</t>
  </si>
  <si>
    <t>Mujiyana</t>
  </si>
  <si>
    <t>Sri Sugiyarti</t>
  </si>
  <si>
    <t>3401022202070012</t>
  </si>
  <si>
    <t>3401021010700021</t>
  </si>
  <si>
    <t>3401026710700021</t>
  </si>
  <si>
    <t>0098404173</t>
  </si>
  <si>
    <t>Juanda Pranata Ritonga</t>
  </si>
  <si>
    <t>19 Juni 2009</t>
  </si>
  <si>
    <t>1571071906090064</t>
  </si>
  <si>
    <t>Faisal Ritonga</t>
  </si>
  <si>
    <t>Sri Yuriko</t>
  </si>
  <si>
    <t>1277051107080003</t>
  </si>
  <si>
    <t>1277052807760001</t>
  </si>
  <si>
    <t>Manunggang Julu</t>
  </si>
  <si>
    <t>1277054905750001</t>
  </si>
  <si>
    <t>Pangkalan Brandan</t>
  </si>
  <si>
    <t>0107261429</t>
  </si>
  <si>
    <t>M. Rois Achsanul Huda</t>
  </si>
  <si>
    <t>Ogan Komering Ulu</t>
  </si>
  <si>
    <t>06 April 2010</t>
  </si>
  <si>
    <t>160114098790001</t>
  </si>
  <si>
    <t>Ahmad Sugeng Santoso</t>
  </si>
  <si>
    <t>Sri Rahayu</t>
  </si>
  <si>
    <t>1601142606090006</t>
  </si>
  <si>
    <t>1601140908790001</t>
  </si>
  <si>
    <t>Manna</t>
  </si>
  <si>
    <t>1601146703800007</t>
  </si>
  <si>
    <t>Baturaja</t>
  </si>
  <si>
    <t>Kota Bima</t>
  </si>
  <si>
    <t>5272010508090002</t>
  </si>
  <si>
    <t>Jl. KH. Mustofa No. 117  RT/RW. 003/004 Kel. Poris Jaya Kec. Batu Ceper Kota Tangerang Banten 15122</t>
  </si>
  <si>
    <t>Suharman</t>
  </si>
  <si>
    <t>Wahyuningsih</t>
  </si>
  <si>
    <t>5272010906090005</t>
  </si>
  <si>
    <t>5272011407710001</t>
  </si>
  <si>
    <t>5272014205720007</t>
  </si>
  <si>
    <t>0104796123</t>
  </si>
  <si>
    <t>Muhammad Al Fatih</t>
  </si>
  <si>
    <t>3404042703100001</t>
  </si>
  <si>
    <t>G.obos IX. Kel. Menteng. Kec. Jekan Raya. Kota Palangka Raya, Kalimantan Tengah, 73112</t>
  </si>
  <si>
    <t xml:space="preserve">Barid Setiawan </t>
  </si>
  <si>
    <t>Laila Saidah</t>
  </si>
  <si>
    <t>Karyawan Honorer</t>
  </si>
  <si>
    <t>3404040407110001</t>
  </si>
  <si>
    <t>3404043001820001</t>
  </si>
  <si>
    <t>3404046103870003</t>
  </si>
  <si>
    <t>0099862281</t>
  </si>
  <si>
    <t>Muhammad Azam Tawakkal</t>
  </si>
  <si>
    <t>24 November 2009</t>
  </si>
  <si>
    <t>3310082411090002</t>
  </si>
  <si>
    <t>Jl. Telaga Warna RT 4 RW 1 Dieng Wetan Kejajar Wonosobo, Jawa Tengah, 56354</t>
  </si>
  <si>
    <t>Frida Agung Rakhmadi</t>
  </si>
  <si>
    <t>Dian Alimatus Sholikha HS</t>
  </si>
  <si>
    <t>3310080201130002</t>
  </si>
  <si>
    <t>3310081005780007</t>
  </si>
  <si>
    <t>3310085509840005</t>
  </si>
  <si>
    <t>0084963079</t>
  </si>
  <si>
    <t>Muhammad Difa Ahnaf</t>
  </si>
  <si>
    <t>28 Desember 2008</t>
  </si>
  <si>
    <t>340102201280002</t>
  </si>
  <si>
    <t>Jl. Mangga RT 011/004 Kelurahan Mendawai Kecamatan Sukamara Kabupaten Sukamara Kalteng 74712</t>
  </si>
  <si>
    <t>Swastono Sapto Bintoro</t>
  </si>
  <si>
    <t>3401020304090002</t>
  </si>
  <si>
    <t>3401022704760001</t>
  </si>
  <si>
    <t>3401024103770001</t>
  </si>
  <si>
    <t>3098104039</t>
  </si>
  <si>
    <t>Muhammad Fairuz Nafis Azzahir</t>
  </si>
  <si>
    <t>18 Desember 2009</t>
  </si>
  <si>
    <t>3307121812090001</t>
  </si>
  <si>
    <t>Jl Makom Raya no 33 Rt 06 Rt 04 Jatikramat Jatiasih Bekasi 17421</t>
  </si>
  <si>
    <t>Betengsari</t>
  </si>
  <si>
    <t>Wonosobo Timur</t>
  </si>
  <si>
    <t>Anik Khoiriyah</t>
  </si>
  <si>
    <t>3307090610160006</t>
  </si>
  <si>
    <t>3307122812710001</t>
  </si>
  <si>
    <t>3307124511770003</t>
  </si>
  <si>
    <t>0098845120</t>
  </si>
  <si>
    <t>Muhammad Fayyadh Irsyad</t>
  </si>
  <si>
    <t>06 Juni 2010</t>
  </si>
  <si>
    <t>3471070606090002</t>
  </si>
  <si>
    <t>JL. Dr. Sutomo Kedonsari RT 02/RW 11 Penyangkringan Weleri Kendal Jawa Tengah 51355</t>
  </si>
  <si>
    <t>Syamsul Bukhari</t>
  </si>
  <si>
    <t>Yunika Sapta Savanty</t>
  </si>
  <si>
    <t>3471071602040045</t>
  </si>
  <si>
    <t>3471070803770001</t>
  </si>
  <si>
    <t>3471075606770003</t>
  </si>
  <si>
    <t>Tj. Pinang-Kep. Riau</t>
  </si>
  <si>
    <t>0106342851</t>
  </si>
  <si>
    <t>Muhammad Hilmi Rabbani Abdullah</t>
  </si>
  <si>
    <t>15 Januari 2010</t>
  </si>
  <si>
    <t>3322191501100001</t>
  </si>
  <si>
    <t>Dukuh Sidokerti Desa Babalan Lor RT. 11 RW. 03 Kecamatan Bojong Kabupaten Pekalongan Jawa Tengah 51156</t>
  </si>
  <si>
    <t>Nurhaji</t>
  </si>
  <si>
    <t>Rika Mulyani</t>
  </si>
  <si>
    <t>3303060409180002</t>
  </si>
  <si>
    <t>332183101720001</t>
  </si>
  <si>
    <t>3322185408780001</t>
  </si>
  <si>
    <t>0106558326</t>
  </si>
  <si>
    <t>Muhammad Kimi As Shidiqi</t>
  </si>
  <si>
    <t>17 Februari 2010</t>
  </si>
  <si>
    <t>3525151702100002</t>
  </si>
  <si>
    <t>Sugeng Trimawan</t>
  </si>
  <si>
    <t>Amelia Rachman</t>
  </si>
  <si>
    <t>3525152110090007</t>
  </si>
  <si>
    <t>3525150307840002</t>
  </si>
  <si>
    <t>3525158110850004</t>
  </si>
  <si>
    <t>0081876092</t>
  </si>
  <si>
    <t>Muhamad Naufal Farisqi</t>
  </si>
  <si>
    <t>6208012711090002</t>
  </si>
  <si>
    <t>DS. Baturaja No.0020 RT.006 RW.002 Kelurahan Baturaja Lama, Kecamatan Baturaja Timur, Kabupaten Ogan Komering Ulu, Sumatera Selatan, 31114</t>
  </si>
  <si>
    <t>Sumaji</t>
  </si>
  <si>
    <t>Aning Eka Widiarsih</t>
  </si>
  <si>
    <t>6208010811180001</t>
  </si>
  <si>
    <t>3505180102850003</t>
  </si>
  <si>
    <t>6208016309850001</t>
  </si>
  <si>
    <t>Muhammad Noval</t>
  </si>
  <si>
    <t>24 November 2008</t>
  </si>
  <si>
    <t>3471132411080001</t>
  </si>
  <si>
    <t>Jl. Bangau No 570 Wonocatur RT 13 Banguntapan, Banguntapan, Bantul, DIY 55198</t>
  </si>
  <si>
    <t>Ardhika Kurniawan</t>
  </si>
  <si>
    <t>Fajar Dwi Wahyuni</t>
  </si>
  <si>
    <t>3402131611160004</t>
  </si>
  <si>
    <t>3301212812850003</t>
  </si>
  <si>
    <t>3173014406840022</t>
  </si>
  <si>
    <t>0108911535</t>
  </si>
  <si>
    <t>Muhammad Rafha Noorzakki</t>
  </si>
  <si>
    <t>3515120304100001</t>
  </si>
  <si>
    <t>Perumahan Grand Intan Regency 1 Jl. Imogiri Timur KM 9 blok C8, Wonokromo, RT07/RW07, Pleret, Bantul, DIY 55791</t>
  </si>
  <si>
    <t>Anggoro Eko Purwanto</t>
  </si>
  <si>
    <t>3515121612130003</t>
  </si>
  <si>
    <t>3578222106770002</t>
  </si>
  <si>
    <t>3515125202840002</t>
  </si>
  <si>
    <t>0091813956</t>
  </si>
  <si>
    <t>Muhammad Rusyda Aiqona</t>
  </si>
  <si>
    <t>22 Desember 2009</t>
  </si>
  <si>
    <t>3308132212090003</t>
  </si>
  <si>
    <t>RT:09 RW:03 Desa Kedung Sukodani, Kec. Balongbendo, Kab. Sidoarjo Jawa Timur 61263</t>
  </si>
  <si>
    <t xml:space="preserve">Sekti Wibowo </t>
  </si>
  <si>
    <t>Etik Susanti</t>
  </si>
  <si>
    <t>Pedagang</t>
  </si>
  <si>
    <t>3308132709120004</t>
  </si>
  <si>
    <t>3308130110710002</t>
  </si>
  <si>
    <t>3308134210800007</t>
  </si>
  <si>
    <t>0104178458</t>
  </si>
  <si>
    <t>Muhammad Tsaqib Arsalan Zain</t>
  </si>
  <si>
    <t>10 Februari 2010</t>
  </si>
  <si>
    <t>332811102100002</t>
  </si>
  <si>
    <t>Puri Indah Blok C/41 RT 02 RW 11 Karangklesem, Kec. Purwokerto Selatan, Kab. Banyumas, Jawa Tengah , Jawa Tengah, 53144</t>
  </si>
  <si>
    <t>Muhammad Wildan Zain</t>
  </si>
  <si>
    <t>Khasna Adkhalina</t>
  </si>
  <si>
    <t>3328112207130015</t>
  </si>
  <si>
    <t>3328113007850004</t>
  </si>
  <si>
    <t>3328116108850006</t>
  </si>
  <si>
    <t>0095183441</t>
  </si>
  <si>
    <t>Nasywa Tifatur Rasyid</t>
  </si>
  <si>
    <t>13 April 2009</t>
  </si>
  <si>
    <t>34030110304090005</t>
  </si>
  <si>
    <t>Tawarsari, RT 13, RW 19, Wonosari, Wonosari, Gunungkidul, Daerah Istimewa Yogyakarta 55812</t>
  </si>
  <si>
    <t>Setyo Prapto, S.Pd.T.</t>
  </si>
  <si>
    <t>Sri Winartini</t>
  </si>
  <si>
    <t>3403011111090012</t>
  </si>
  <si>
    <t>3403010604700006</t>
  </si>
  <si>
    <t>3403014302770001</t>
  </si>
  <si>
    <t>0106317380</t>
  </si>
  <si>
    <t>Nico Ghulam Mustaqim</t>
  </si>
  <si>
    <t>24 Januari 2010</t>
  </si>
  <si>
    <t>3326132401100001</t>
  </si>
  <si>
    <t>Desa Langkap RT 01 RW 05 Kecamatan Kedungwuni Kab Pekalongan Jawa Tengah 51173</t>
  </si>
  <si>
    <t>Mustakim</t>
  </si>
  <si>
    <t>3326130209090002</t>
  </si>
  <si>
    <t>3326132901800022</t>
  </si>
  <si>
    <t>332613480908860001</t>
  </si>
  <si>
    <t>0098221404</t>
  </si>
  <si>
    <t>Raka Haidar Altaf</t>
  </si>
  <si>
    <t>20 Desember 2009</t>
  </si>
  <si>
    <t>3328072012090001</t>
  </si>
  <si>
    <t>Jl. Lapangan ds. Jatinegara RT 03/03 Kec. Jatinegara Kab. Tegal Jawa Tengah 52473</t>
  </si>
  <si>
    <t>Andri Koesworo</t>
  </si>
  <si>
    <t>Musalamah</t>
  </si>
  <si>
    <t>3328073101110052</t>
  </si>
  <si>
    <t>3328072501820001</t>
  </si>
  <si>
    <t>3328076703760003</t>
  </si>
  <si>
    <t>Shidiq Dwi Nur Rahman</t>
  </si>
  <si>
    <t>Kotawaringin Barat</t>
  </si>
  <si>
    <t>31 Januari 2010</t>
  </si>
  <si>
    <t>620106310100001</t>
  </si>
  <si>
    <t>Jl. Salak, RT 003, RW 001, Desa Karang Mulya, Kec. Pangkalan Banteng, Kab. Kotawaringin Barat. Kalimantan Tengah 74183</t>
  </si>
  <si>
    <t>Juanis</t>
  </si>
  <si>
    <t>62010619080008</t>
  </si>
  <si>
    <t>6201062509690001</t>
  </si>
  <si>
    <t>6201064607730001</t>
  </si>
  <si>
    <t>0097315345</t>
  </si>
  <si>
    <t>Sholih Muhammad Faiq Ali Syahada</t>
  </si>
  <si>
    <t>12 Agustus 2009</t>
  </si>
  <si>
    <t>3402121208090007</t>
  </si>
  <si>
    <t>Setiya</t>
  </si>
  <si>
    <t>Emma Kusumawati</t>
  </si>
  <si>
    <t>3402122610100015</t>
  </si>
  <si>
    <t>3402121001770005</t>
  </si>
  <si>
    <t>3402125402770009</t>
  </si>
  <si>
    <t>0102663397</t>
  </si>
  <si>
    <t>Zhafir Abhinaya Diera Riyadie</t>
  </si>
  <si>
    <t>20 Agustus 2010</t>
  </si>
  <si>
    <t>6473012008100004</t>
  </si>
  <si>
    <t>Sangubanyu RT 04 RW 34 Sumberrahayu Moyudan Sleman Yogyakarta 77124</t>
  </si>
  <si>
    <t>Ir. Aris Ma'mun Riyadie</t>
  </si>
  <si>
    <t>Dian Ning Utami</t>
  </si>
  <si>
    <t>6473011312100005</t>
  </si>
  <si>
    <t>6473011708740020</t>
  </si>
  <si>
    <t>6473015502800004</t>
  </si>
  <si>
    <t>0096995722</t>
  </si>
  <si>
    <t>Abdilla Rousan Fikri Akbar</t>
  </si>
  <si>
    <t>28 Mei 2009</t>
  </si>
  <si>
    <t>3504112805090002</t>
  </si>
  <si>
    <t>RT. 002 RW. 002 Lingkungan 3 Ngunut, Kec. Ngunut, Kab. Tulungagung, Jawa Timur 66292</t>
  </si>
  <si>
    <t>3504112403055444</t>
  </si>
  <si>
    <t>3504110202750002</t>
  </si>
  <si>
    <t>3054114411750003</t>
  </si>
  <si>
    <t>0093875377</t>
  </si>
  <si>
    <t>Abrisam Ahza Saladin Arsyad</t>
  </si>
  <si>
    <t>3372012412090002</t>
  </si>
  <si>
    <t>Muhammad Lutfi Arsyad</t>
  </si>
  <si>
    <t>Ela Fitria Rahma</t>
  </si>
  <si>
    <t>3372011003160001</t>
  </si>
  <si>
    <t>3372011101900001</t>
  </si>
  <si>
    <t>3372016911880001</t>
  </si>
  <si>
    <t>0106069625</t>
  </si>
  <si>
    <t>Aryanur Tegar Pribadi</t>
  </si>
  <si>
    <t>27 Oktober 2010</t>
  </si>
  <si>
    <t>1805272710100001</t>
  </si>
  <si>
    <t>Perum BPI Blok N.11 RT.06 RW.10 Purwoyoso Ngaliyan Semarang, Jawa Tengah, 50184</t>
  </si>
  <si>
    <t>Nur Wakhid</t>
  </si>
  <si>
    <t>Yeni Sri Aryani</t>
  </si>
  <si>
    <t>3324170808080917</t>
  </si>
  <si>
    <t>3324170404780004</t>
  </si>
  <si>
    <t>1805286508880002</t>
  </si>
  <si>
    <t>Makarti Tama</t>
  </si>
  <si>
    <t>0105446619</t>
  </si>
  <si>
    <t>Daffa Rasendriya Firdaus</t>
  </si>
  <si>
    <t>09 April 2010</t>
  </si>
  <si>
    <t>1471120904100003</t>
  </si>
  <si>
    <t>Mejing rt.02, Kalirandu, Bangunjiwo, Kasihan, Bantul, Yogyakarta 55184</t>
  </si>
  <si>
    <t>Dian Wahyudi Firdaus</t>
  </si>
  <si>
    <t>Fitrawati Azwar</t>
  </si>
  <si>
    <t>1471121112070049</t>
  </si>
  <si>
    <t>1471120505800021</t>
  </si>
  <si>
    <t>1471116109790001</t>
  </si>
  <si>
    <t>0105132312</t>
  </si>
  <si>
    <t>Evan Febrian Wahyuriski</t>
  </si>
  <si>
    <t>01 Februari 2010</t>
  </si>
  <si>
    <t>3324070102100002</t>
  </si>
  <si>
    <t>Jl. Patin Raya No. 21 Perumnas Rumbai RT/RW 011/010 Kelurahan LImbungan Baru Kecamatan Rumbai Pesisisr Kota Pekanbaru, Riau, 28269</t>
  </si>
  <si>
    <t>Ismu Wahyudi</t>
  </si>
  <si>
    <t>Catur Widiastuti</t>
  </si>
  <si>
    <t>3324070908082298</t>
  </si>
  <si>
    <t>3324071707800004</t>
  </si>
  <si>
    <t>3324076803770002</t>
  </si>
  <si>
    <t>0097650066</t>
  </si>
  <si>
    <t>Fadhil Muhammad Taqiyulloh</t>
  </si>
  <si>
    <t>3471140311090001</t>
  </si>
  <si>
    <t>Dsn. Bodeh RT 07/ RW 26 Ambarketawang, Gamping, Sleman, Yogyakarta 55294</t>
  </si>
  <si>
    <t>Rasikh Robbani Sigit</t>
  </si>
  <si>
    <t>Sukidah</t>
  </si>
  <si>
    <t>3471141108090310</t>
  </si>
  <si>
    <t>3524050905800002</t>
  </si>
  <si>
    <t>3471146408830003</t>
  </si>
  <si>
    <t>Fakhri Raditya Affandi</t>
  </si>
  <si>
    <t>14 Maret 2009</t>
  </si>
  <si>
    <t>3305191403090001</t>
  </si>
  <si>
    <t>Samhudi, SE</t>
  </si>
  <si>
    <t>3305190610100005</t>
  </si>
  <si>
    <t>3305191507780003</t>
  </si>
  <si>
    <t>3305196706820007</t>
  </si>
  <si>
    <t>0098125156</t>
  </si>
  <si>
    <t>Fathullah Qamarul Adzami Samal</t>
  </si>
  <si>
    <t>8171020509090002</t>
  </si>
  <si>
    <t>Hatiwe Kecil Depan Kantor Agraria Lorong 5 Nomor 2 Kec. Sirimau Kota Ambon 97128</t>
  </si>
  <si>
    <t>Rizal Ardiansyah samal</t>
  </si>
  <si>
    <t>Haryati Mundjid</t>
  </si>
  <si>
    <t>8171021404100022</t>
  </si>
  <si>
    <t>8171021801820007</t>
  </si>
  <si>
    <t>8171025605820006</t>
  </si>
  <si>
    <t>0103219593</t>
  </si>
  <si>
    <t>Fausta Dharu Reginald</t>
  </si>
  <si>
    <t>27 Mei 2010</t>
  </si>
  <si>
    <t>3329092705100001</t>
  </si>
  <si>
    <t>Jl. Pisang No. 39 RT 04/12 Susiloharjo Siswodipuran Boyolali Jawa Tengah 57311</t>
  </si>
  <si>
    <t>Ruly Astuti Hestiningrum</t>
  </si>
  <si>
    <t>3309052301170001</t>
  </si>
  <si>
    <t>3329094812800005</t>
  </si>
  <si>
    <t>0094342740</t>
  </si>
  <si>
    <t>Fathan Abqo Sidiq</t>
  </si>
  <si>
    <t>04 Oktober 2009</t>
  </si>
  <si>
    <t>3671052611070002</t>
  </si>
  <si>
    <t>Jalan Yos Sudarso No. 90 RT 03 RW 03 Desa Wero Kec. Gombong Kab. Kebumen Jawa Tengah 54416</t>
  </si>
  <si>
    <t>Susy'ana Iriani</t>
  </si>
  <si>
    <t>3671051311090013</t>
  </si>
  <si>
    <t>3671050707810005</t>
  </si>
  <si>
    <t>3671056801840008</t>
  </si>
  <si>
    <t>0097956722</t>
  </si>
  <si>
    <t>Gunawan Agung Christianto</t>
  </si>
  <si>
    <t>3301141612090002</t>
  </si>
  <si>
    <t>Jl. Kauman RT 002 RW 011 Jenang, Majenang - Cilacap, Jawa Tengah, 53257</t>
  </si>
  <si>
    <t>Eko Budi Prasetyo</t>
  </si>
  <si>
    <t>Indriyati</t>
  </si>
  <si>
    <t>0093486745</t>
  </si>
  <si>
    <t>Irvin Kalevi El Zurafa</t>
  </si>
  <si>
    <t>17 September 2009</t>
  </si>
  <si>
    <t>3326051709090001</t>
  </si>
  <si>
    <t>Dk Kelinggihan Perum GPI Blok E2 No. 1 RT./RW. : 003/001 Desa Banjarejo Kec. Karanganyar Kab. Pekalongan Jawa Tengah 51182</t>
  </si>
  <si>
    <t>Irwan Susanto</t>
  </si>
  <si>
    <t>Dwi Yuliana</t>
  </si>
  <si>
    <t>3326070707110001</t>
  </si>
  <si>
    <t>3326050909780002</t>
  </si>
  <si>
    <t>3326054207800001</t>
  </si>
  <si>
    <t>0097901144</t>
  </si>
  <si>
    <t>Ilham Risky Saputra</t>
  </si>
  <si>
    <t>Sanggau</t>
  </si>
  <si>
    <t>02 Juni 2009</t>
  </si>
  <si>
    <t>3306030206090002</t>
  </si>
  <si>
    <t>Budi Riyantoko, S.Pd</t>
  </si>
  <si>
    <t>3306031208087787</t>
  </si>
  <si>
    <t>3306031201700001</t>
  </si>
  <si>
    <t>3306035002760003</t>
  </si>
  <si>
    <t>0094701302</t>
  </si>
  <si>
    <t>M. Afuww Galih Jati</t>
  </si>
  <si>
    <t>Kotawaringin Timur</t>
  </si>
  <si>
    <t>02 Oktober 2009</t>
  </si>
  <si>
    <t>6202060210090001</t>
  </si>
  <si>
    <t>JL. Kaca Piring 3, RT. 017 RW. 004, Kel. Ketapang , Kec. Mentawa Baru Ketapang, Kab. Kotawaringin Timur, Kalimantan Tengah 74325</t>
  </si>
  <si>
    <t>Nanang Sri Haryono</t>
  </si>
  <si>
    <t>Rp 2.500.000,00</t>
  </si>
  <si>
    <t>6202061510090007</t>
  </si>
  <si>
    <t>6202062604730002</t>
  </si>
  <si>
    <t>6202066601750002</t>
  </si>
  <si>
    <t>0168884626</t>
  </si>
  <si>
    <t>Muhammad Alzam Pradana</t>
  </si>
  <si>
    <t>3302250106100001</t>
  </si>
  <si>
    <t>Jl. Nyimeleng no.1, RT. 05/03, Arcawinangun, Kec. Purwokerto Timur, Kab. Banyumas, Jawa Tengah 53146</t>
  </si>
  <si>
    <t>Guntur Setiawan</t>
  </si>
  <si>
    <t>3302261906100002</t>
  </si>
  <si>
    <t>330224264760001</t>
  </si>
  <si>
    <t>3302266011880003</t>
  </si>
  <si>
    <t>Muhammad Afkar Raziq</t>
  </si>
  <si>
    <t>10 Desember 2009</t>
  </si>
  <si>
    <t>3471141812090002</t>
  </si>
  <si>
    <t>Heru Suparna</t>
  </si>
  <si>
    <t>Nurhayati, S.Ag.</t>
  </si>
  <si>
    <t>347114032150002</t>
  </si>
  <si>
    <t>3471144610700001</t>
  </si>
  <si>
    <t>0093225178</t>
  </si>
  <si>
    <t>6371030811090002</t>
  </si>
  <si>
    <t>Belitung Darat Simp Rahmat Rt. 18 No. 65 Banjarmasin Kalimantan Selatan 70129</t>
  </si>
  <si>
    <t>Subchan Noor S.Sos ; M.AP</t>
  </si>
  <si>
    <t>Nurul Latifah</t>
  </si>
  <si>
    <t>0168955856</t>
  </si>
  <si>
    <t>Muhammad Fathin Ar Rosyid</t>
  </si>
  <si>
    <t>3329150104100001</t>
  </si>
  <si>
    <t>Ratamba RT 01/02, Ratamba, Pejawaran, Banjarnegara, Jawa Tengah, 53454</t>
  </si>
  <si>
    <t>Eko Prasetyo</t>
  </si>
  <si>
    <t>Mar'ah Hidayati</t>
  </si>
  <si>
    <t>3098485813</t>
  </si>
  <si>
    <t>Muhammad Ilham Khoirullah</t>
  </si>
  <si>
    <t>Sorong</t>
  </si>
  <si>
    <t>9201072012090003</t>
  </si>
  <si>
    <t>Jl.woret RT/RW 001/007 Kel. Malasom Kec. Aimas Sorong Papua Barat 98444</t>
  </si>
  <si>
    <t>Sutrisna</t>
  </si>
  <si>
    <t>Choiriyah</t>
  </si>
  <si>
    <t>9201070603080654</t>
  </si>
  <si>
    <t>9201071202660001</t>
  </si>
  <si>
    <t>920174104680003</t>
  </si>
  <si>
    <t>Pasuruan</t>
  </si>
  <si>
    <t>0099269909</t>
  </si>
  <si>
    <t>Muhammad Miqdad Nur Al Haqqi</t>
  </si>
  <si>
    <t>27 April 2009</t>
  </si>
  <si>
    <t>3404052704090001</t>
  </si>
  <si>
    <t>Perum Beringin Lestrasi Jl. Bukit Beringin Asri III No. 388 RT.03 / RW. 07 Kec. Ngaliyan Kota Semarang, Jawa Tengah, 50187</t>
  </si>
  <si>
    <t>Agus Joko Pitoyo</t>
  </si>
  <si>
    <t>Titi Subekti</t>
  </si>
  <si>
    <t>3404052102080072</t>
  </si>
  <si>
    <t>3404051703740001</t>
  </si>
  <si>
    <t>3404054907760001</t>
  </si>
  <si>
    <t>0095835944</t>
  </si>
  <si>
    <t>Muhammad Raziq Niswardi Azhar</t>
  </si>
  <si>
    <t>28 Desember 2009</t>
  </si>
  <si>
    <t>6472032812090001</t>
  </si>
  <si>
    <t>Ismawardi</t>
  </si>
  <si>
    <t>Nisha Jamilah</t>
  </si>
  <si>
    <t>6472031711074094</t>
  </si>
  <si>
    <t>6472032006660002</t>
  </si>
  <si>
    <t>6472036604770002</t>
  </si>
  <si>
    <t>Kutai</t>
  </si>
  <si>
    <t>0104075497</t>
  </si>
  <si>
    <t>Naufal Ramadhan Putra Wibowo</t>
  </si>
  <si>
    <t>Sendawar</t>
  </si>
  <si>
    <t>17 Agustus 2010</t>
  </si>
  <si>
    <t>6407071708100002</t>
  </si>
  <si>
    <t>Yantini</t>
  </si>
  <si>
    <t>3520151010160001</t>
  </si>
  <si>
    <t>6407071301780001</t>
  </si>
  <si>
    <t>6407076206860001</t>
  </si>
  <si>
    <t>0093964413</t>
  </si>
  <si>
    <t>Naufal Yatha Nugroho</t>
  </si>
  <si>
    <t>16 Mei 2010</t>
  </si>
  <si>
    <t>3307091604090004</t>
  </si>
  <si>
    <t>Eko Prasetyo Nugroho</t>
  </si>
  <si>
    <t>3307091107090004</t>
  </si>
  <si>
    <t>3307092910860001</t>
  </si>
  <si>
    <t>3307096012880005</t>
  </si>
  <si>
    <t>3104966719</t>
  </si>
  <si>
    <t>Raafi Annas Majid</t>
  </si>
  <si>
    <t>26 Mei 2010</t>
  </si>
  <si>
    <t>3603062805100003</t>
  </si>
  <si>
    <t>Perumahan Bukit Asri Ringin Agung No C-4 Kec. Magetan Kab. Magetan Jawa Timur 63319</t>
  </si>
  <si>
    <t>Mulyadi</t>
  </si>
  <si>
    <t>Agustina</t>
  </si>
  <si>
    <t>3603052911070001</t>
  </si>
  <si>
    <t>3603061205750002</t>
  </si>
  <si>
    <t>3603065508810001</t>
  </si>
  <si>
    <t>0107909427</t>
  </si>
  <si>
    <t>Satria Bamakerti Adz-Dzaki</t>
  </si>
  <si>
    <t>3375012304100001</t>
  </si>
  <si>
    <t>Jl. Arjuna 38, RT. 01, Dusun Sareyan, Desa Wonokromo, Kec. Pleret, Bantul, DI Yogyakarta. 55791</t>
  </si>
  <si>
    <t>Muhammad Ardiansyah</t>
  </si>
  <si>
    <t>Indah Setiawati</t>
  </si>
  <si>
    <t>3375012705100007</t>
  </si>
  <si>
    <t>3375011805700003</t>
  </si>
  <si>
    <t>3375016602760015</t>
  </si>
  <si>
    <t>0098463515</t>
  </si>
  <si>
    <t>Syafatullah Ismail Pamungkas</t>
  </si>
  <si>
    <t>3310012611090001</t>
  </si>
  <si>
    <t>Suminten</t>
  </si>
  <si>
    <t>3310011507060002</t>
  </si>
  <si>
    <t>3310010501770002</t>
  </si>
  <si>
    <t>3310016506770003</t>
  </si>
  <si>
    <t>0093184505</t>
  </si>
  <si>
    <t>Zaidan Mumtaz</t>
  </si>
  <si>
    <t>3401031507090001</t>
  </si>
  <si>
    <t>Kagokan 001/002 Kemudo Prambanan Klaten Jawa Tengah 54754</t>
  </si>
  <si>
    <t>Ihsan Effendi, A.Md.</t>
  </si>
  <si>
    <t>3404030603080006</t>
  </si>
  <si>
    <t>3404030403750002</t>
  </si>
  <si>
    <t>3404034301770003</t>
  </si>
  <si>
    <t>Afif Daegal</t>
  </si>
  <si>
    <t>15 Juni 2009</t>
  </si>
  <si>
    <t>6208011506090003</t>
  </si>
  <si>
    <t>Jl. Ali Ahmad RT.09 RW.03 Kelurahan Mendawai Kecamatan Sukamara Kabupaten Sukamara Kalimantan Tengah 74712</t>
  </si>
  <si>
    <t>Kusno, S.Ag.</t>
  </si>
  <si>
    <t>Muslimah</t>
  </si>
  <si>
    <t>6208012402071993</t>
  </si>
  <si>
    <t>6208010410670001</t>
  </si>
  <si>
    <t>6208015208830001</t>
  </si>
  <si>
    <t>Jl. Soekarno hatta No. 16 - Kereng Humbang RT. 16 RW. 00 Kasongan Lama Katingan Hilir Kab. Katingan , Kalimantan Tengah, 74411</t>
  </si>
  <si>
    <t>Ahmad Darwis Al Kahfi</t>
  </si>
  <si>
    <t>19 September 2010</t>
  </si>
  <si>
    <t>3524171909100001</t>
  </si>
  <si>
    <t>Gading Mediterania Residences (Tower B 5BK) Jl. Boulevard Bukit Gading Raya, Kelapa Gading  Jakarta Utara DKI Jakarta 14240</t>
  </si>
  <si>
    <t>Wahyuddin Ahmadi</t>
  </si>
  <si>
    <t xml:space="preserve"> Antara Rp 1.000.000,00 s.d. Rp 1.500,000,00</t>
  </si>
  <si>
    <t>Yayuk Handayani</t>
  </si>
  <si>
    <t>3524170610110001</t>
  </si>
  <si>
    <t>3524170802800001</t>
  </si>
  <si>
    <t>3524075711790001</t>
  </si>
  <si>
    <t>0094459999</t>
  </si>
  <si>
    <t>Ahmad Royyan Al Maqdis</t>
  </si>
  <si>
    <t>Pangkalan Bun</t>
  </si>
  <si>
    <t>18 Oktober 2009</t>
  </si>
  <si>
    <t>6201021810090002</t>
  </si>
  <si>
    <t>Muhaammad Rhopidha Ardiani</t>
  </si>
  <si>
    <t>Devi Virgoastiwi</t>
  </si>
  <si>
    <t>6201020707830008</t>
  </si>
  <si>
    <t>6201025009840000</t>
  </si>
  <si>
    <t>0096562579</t>
  </si>
  <si>
    <t>Ahmad Syarif Rajendra Nata</t>
  </si>
  <si>
    <t>14 September 2009</t>
  </si>
  <si>
    <t>3310221409090001</t>
  </si>
  <si>
    <t>Dukuh RT 02 RW 05 Manjung Ngawen Klaten Jawa Tengah 57466</t>
  </si>
  <si>
    <t>Budi Santoso</t>
  </si>
  <si>
    <t>Wahyutiningsih</t>
  </si>
  <si>
    <t>3310220202050084</t>
  </si>
  <si>
    <t>3310220201720001</t>
  </si>
  <si>
    <t>3310226608800002</t>
  </si>
  <si>
    <t>0091692757</t>
  </si>
  <si>
    <t>Ajda Satria Wistara</t>
  </si>
  <si>
    <t>3201130306090003</t>
  </si>
  <si>
    <t>Perum Bojonggede Asri Blok C.5/25 001/015 Kedungwaringin Bojong Gede Bogor Jawa Barat 16923</t>
  </si>
  <si>
    <t>Arif Ridho</t>
  </si>
  <si>
    <t>3201130911120015</t>
  </si>
  <si>
    <t>3201131701740005</t>
  </si>
  <si>
    <t>3176056606820002</t>
  </si>
  <si>
    <t>3100014362</t>
  </si>
  <si>
    <t>Akbar Shidqi Al Karim</t>
  </si>
  <si>
    <t>05 Oktober 2010</t>
  </si>
  <si>
    <t>3674040510100003</t>
  </si>
  <si>
    <t>Kusno</t>
  </si>
  <si>
    <t>Nurkhayati</t>
  </si>
  <si>
    <t>3674052506200006</t>
  </si>
  <si>
    <t>1471070811720022</t>
  </si>
  <si>
    <t>Asahan</t>
  </si>
  <si>
    <t>3674044908740001</t>
  </si>
  <si>
    <t>0104594944</t>
  </si>
  <si>
    <t>Alfael Rumi</t>
  </si>
  <si>
    <t>26 Januari 2010</t>
  </si>
  <si>
    <t>357302601100001</t>
  </si>
  <si>
    <t>Jl.Kayu Manis VIII No.16 RT.012, RT.007, Kelurahan Kayu Manis, Kecamatan Matraman, Kota Administrasi Jakarta Timur, Provinsi DKI Jakarta, DKI Jakarta, 13130</t>
  </si>
  <si>
    <t>Ikuk Herry Kurniawan</t>
  </si>
  <si>
    <t>Dhina Chahyantiningsih</t>
  </si>
  <si>
    <t>3573030811110009</t>
  </si>
  <si>
    <t>3573091206800004</t>
  </si>
  <si>
    <t>Tuban</t>
  </si>
  <si>
    <t>3573025312820004</t>
  </si>
  <si>
    <t>Situbondo</t>
  </si>
  <si>
    <t>0108107632</t>
  </si>
  <si>
    <t>Al Fath Malik Sidik</t>
  </si>
  <si>
    <t>01 Juli 2010</t>
  </si>
  <si>
    <t>3201300107100004</t>
  </si>
  <si>
    <t>Arief Sidik</t>
  </si>
  <si>
    <t>Nur Habibah Yuliastuti</t>
  </si>
  <si>
    <t>3201302106120007</t>
  </si>
  <si>
    <t>3201302307800005</t>
  </si>
  <si>
    <t>Tasikmalaya</t>
  </si>
  <si>
    <t>3201306107850003</t>
  </si>
  <si>
    <t>0082594855</t>
  </si>
  <si>
    <t>Alvino Arkan</t>
  </si>
  <si>
    <t>22 Desember 2008</t>
  </si>
  <si>
    <t>3323172212080001</t>
  </si>
  <si>
    <t>Parjiyanto</t>
  </si>
  <si>
    <t>Dian Megawati</t>
  </si>
  <si>
    <t>0104685099</t>
  </si>
  <si>
    <t>Auditya Ahmad Madani</t>
  </si>
  <si>
    <t>3507012003100004</t>
  </si>
  <si>
    <t>Perum. Pondok Tanjung Permai I B6 Medokan Semampir, Sukolilo, Surabaya, Jawa Timur, 60119</t>
  </si>
  <si>
    <t>Dr. Tumirin, S.E., M.Si.</t>
  </si>
  <si>
    <t>Siti Muntowiyah</t>
  </si>
  <si>
    <t>3507011212140002</t>
  </si>
  <si>
    <t>3507011801720002</t>
  </si>
  <si>
    <t>3571036209800001</t>
  </si>
  <si>
    <t>0091212716</t>
  </si>
  <si>
    <t>Chairul Farand Dhiaulhaq</t>
  </si>
  <si>
    <t>3402160211090003</t>
  </si>
  <si>
    <t>Agus Mulyono</t>
  </si>
  <si>
    <t>Eni Martiningsih</t>
  </si>
  <si>
    <t>3402161601060016</t>
  </si>
  <si>
    <t>3402160208690006</t>
  </si>
  <si>
    <t>3402164803750005</t>
  </si>
  <si>
    <t>0098038482</t>
  </si>
  <si>
    <t>Cleon Ivander Xavier</t>
  </si>
  <si>
    <t>10 Oktober 2009</t>
  </si>
  <si>
    <t>1571074010090005</t>
  </si>
  <si>
    <t>Jl Pattimura, RT.4 Kelurahan Kenali Besar Kecamatan Alam Barajo Kota Jambi Prop. Jambi 36129</t>
  </si>
  <si>
    <t>Jambi</t>
  </si>
  <si>
    <t>Lilik Nova Putra</t>
  </si>
  <si>
    <t>Sri Rizki Dwi Putri</t>
  </si>
  <si>
    <t>081373529653</t>
  </si>
  <si>
    <t>1571092510170003</t>
  </si>
  <si>
    <t>1571070311820009</t>
  </si>
  <si>
    <t>1571075212850015</t>
  </si>
  <si>
    <t>Sekayu</t>
  </si>
  <si>
    <t>0109180870</t>
  </si>
  <si>
    <t>Davito Al Kindi</t>
  </si>
  <si>
    <t>29 Maret 2010</t>
  </si>
  <si>
    <t>3307052903100001</t>
  </si>
  <si>
    <t>Jalan Pasukan Ronggolawe Sirandu, Pagerkukuh, Kec. Wonosobo, Kabupaten Wonosobo, Jawa Tengah 56311</t>
  </si>
  <si>
    <t>Nur Hidayat</t>
  </si>
  <si>
    <t>Evy Sus Mahfitaningrum</t>
  </si>
  <si>
    <t>3307051711073473</t>
  </si>
  <si>
    <t>3307052206730004</t>
  </si>
  <si>
    <t>3307056411840002</t>
  </si>
  <si>
    <t>0105076162</t>
  </si>
  <si>
    <t>Fairuz Husni Firmansyah</t>
  </si>
  <si>
    <t>04 April 2010</t>
  </si>
  <si>
    <t>3402060404100001</t>
  </si>
  <si>
    <t>Victoria Park Residence No. A 17 RT 005/006 Gedangan Grogol Sukoharjo, Jawa Tengah 57552</t>
  </si>
  <si>
    <t>Bambang Priyono</t>
  </si>
  <si>
    <t>3311093012200012</t>
  </si>
  <si>
    <t>3311041907810003</t>
  </si>
  <si>
    <t>3402064807820001</t>
  </si>
  <si>
    <t>0096595719</t>
  </si>
  <si>
    <t>Fawwaz Maulana Divian</t>
  </si>
  <si>
    <t>02 Maret 2010</t>
  </si>
  <si>
    <t>3307090203100001</t>
  </si>
  <si>
    <t>Jln. Thamrin-Gg H.Rain No.63, RT03/05, Ketapang, Cipondoh, Kota Tangerang Banten 15148</t>
  </si>
  <si>
    <t>Budiyono</t>
  </si>
  <si>
    <t>08122782314</t>
  </si>
  <si>
    <t>Vitri Widya Lestari</t>
  </si>
  <si>
    <t>3307091401081436</t>
  </si>
  <si>
    <t>3307090506770001</t>
  </si>
  <si>
    <t>3307095908770001</t>
  </si>
  <si>
    <t>0107097919</t>
  </si>
  <si>
    <t>25 Januari 2010</t>
  </si>
  <si>
    <t>3471142501100001</t>
  </si>
  <si>
    <t>Susukan 1 RT 002 RW 001 Margokaton Seyegan Sleman, DI Yogyakarta, 55561</t>
  </si>
  <si>
    <t>Sumarwoko</t>
  </si>
  <si>
    <t>Sri Purwaningsih</t>
  </si>
  <si>
    <t>3471140309000465</t>
  </si>
  <si>
    <t>3471143105670001</t>
  </si>
  <si>
    <t>3471145701710001</t>
  </si>
  <si>
    <t>Jakarta Pusat</t>
  </si>
  <si>
    <t>0094476302</t>
  </si>
  <si>
    <t>Jesen Mahardika</t>
  </si>
  <si>
    <t>31 Oktober 2009</t>
  </si>
  <si>
    <t>3307133110090001</t>
  </si>
  <si>
    <t>Durungan RT 02 RW 09 Wates Kulon Progo, DI Yogyakarta, 55651</t>
  </si>
  <si>
    <t>Slamet waluyo</t>
  </si>
  <si>
    <t>0108390286</t>
  </si>
  <si>
    <t>Muh. Rifat Zehavi Yasmin</t>
  </si>
  <si>
    <t>03 Januari 2010</t>
  </si>
  <si>
    <t>7371130301100002</t>
  </si>
  <si>
    <t>Simpang Hindoli RT:04 RW:03 Kec. Sungai Lilin Kab. Musi Banyuasin Sumatera Selatan 37055</t>
  </si>
  <si>
    <t>Muh. Yasmin Maulana</t>
  </si>
  <si>
    <t>Hartina Dahlan</t>
  </si>
  <si>
    <t>Karyawan BUMN</t>
  </si>
  <si>
    <t>7313060902220005</t>
  </si>
  <si>
    <t>7371132803760006</t>
  </si>
  <si>
    <t>7313065605780001</t>
  </si>
  <si>
    <t>Paseru</t>
  </si>
  <si>
    <t>0107539414</t>
  </si>
  <si>
    <t>Muhammad Dafi Abqory</t>
  </si>
  <si>
    <t>3308081802100003</t>
  </si>
  <si>
    <t>Doni Setiawan</t>
  </si>
  <si>
    <t>3308081710120031</t>
  </si>
  <si>
    <t>3308082012820003</t>
  </si>
  <si>
    <t>3308087101830003</t>
  </si>
  <si>
    <t>0102200519</t>
  </si>
  <si>
    <t>Muhammad Danish Azriel</t>
  </si>
  <si>
    <t>15 Juni 2010</t>
  </si>
  <si>
    <t>347110506100001</t>
  </si>
  <si>
    <t>Krapyak RT 16 RW 09 Pakahan Jogonalan Klaten, Jawa Tengah, 57452</t>
  </si>
  <si>
    <t>Sobirin</t>
  </si>
  <si>
    <t>Emila Inayati</t>
  </si>
  <si>
    <t>3471100509980493</t>
  </si>
  <si>
    <t>3471102810640001</t>
  </si>
  <si>
    <t>Lahat</t>
  </si>
  <si>
    <t>3471104302680001</t>
  </si>
  <si>
    <t>3103094493</t>
  </si>
  <si>
    <t>Muhammad Luthfi Hakim</t>
  </si>
  <si>
    <t>11 April 2010</t>
  </si>
  <si>
    <t>3374151104100001</t>
  </si>
  <si>
    <t>D'OASIS Residence Blok A.26 Pulosari, Brebes, Jawa Tengah, Jawa Tengah, 52212</t>
  </si>
  <si>
    <t>Bimin</t>
  </si>
  <si>
    <t>3374151303080001</t>
  </si>
  <si>
    <t>3374132604740002</t>
  </si>
  <si>
    <t>3374135008770010</t>
  </si>
  <si>
    <t>3106391810</t>
  </si>
  <si>
    <t>Muhammad Malik Annafi</t>
  </si>
  <si>
    <t>22 Juli 2010</t>
  </si>
  <si>
    <t>3310142207100001</t>
  </si>
  <si>
    <t>Dongkelan RT 07 Imogiri, Imogiri, Bantul, DI Yogyakarta, 55782</t>
  </si>
  <si>
    <t>Sittatun Hidayati</t>
  </si>
  <si>
    <t>3310141405190004</t>
  </si>
  <si>
    <t>3310146010700003</t>
  </si>
  <si>
    <t>0096346077</t>
  </si>
  <si>
    <t>Muhammad Ryanza Ramadhan</t>
  </si>
  <si>
    <t>1671041409090003</t>
  </si>
  <si>
    <t>Jalan Juanda 2 Komplek Wijaya Kusuma VI, No. 73, Rt. 19, Kel. Air Putih, Kec. Samarinda Ulu, Kota Samarinda, Kalimantan Timur, Kalimantan Timur, 75124</t>
  </si>
  <si>
    <t>Mukhrizal</t>
  </si>
  <si>
    <t>Arsiyanti</t>
  </si>
  <si>
    <t>1671060611060087</t>
  </si>
  <si>
    <t>1671060210720008</t>
  </si>
  <si>
    <t>1671066807800008</t>
  </si>
  <si>
    <t>Muara Enim</t>
  </si>
  <si>
    <t>0102472576</t>
  </si>
  <si>
    <t>Navid Adya Al-farisy</t>
  </si>
  <si>
    <t>Kasongan</t>
  </si>
  <si>
    <t>11 Februari 2010</t>
  </si>
  <si>
    <t>6206021102100003</t>
  </si>
  <si>
    <t>Bukit Gading Balaraja Blok K2/32 Desa Cangkudu Kecamatan Balaraja Kabupaten Tangerang Propinsi Banten, 15610</t>
  </si>
  <si>
    <t>Rudi, S.Sos.</t>
  </si>
  <si>
    <t>6206022207100094</t>
  </si>
  <si>
    <t>6206022012820003</t>
  </si>
  <si>
    <t>Palangka Raya</t>
  </si>
  <si>
    <t>6206025011830001</t>
  </si>
  <si>
    <t>US B</t>
  </si>
  <si>
    <t>0098288469</t>
  </si>
  <si>
    <t>Ahmad Fakhir Avila</t>
  </si>
  <si>
    <t>20 Mei 2009</t>
  </si>
  <si>
    <t>1671072005090003</t>
  </si>
  <si>
    <t>Jl. Opal 3 No 33 Permata Opal PPS Gresik, Jawa Timur, 61151</t>
  </si>
  <si>
    <t>M. Tursandi</t>
  </si>
  <si>
    <t>Nurfadilah</t>
  </si>
  <si>
    <t>1671070906100082</t>
  </si>
  <si>
    <t>1671075002740008</t>
  </si>
  <si>
    <t>0107989571</t>
  </si>
  <si>
    <t>Ahmad Nuzul Furqon Pasaribu</t>
  </si>
  <si>
    <t>26 Agustus 2010</t>
  </si>
  <si>
    <t>3674062608101003</t>
  </si>
  <si>
    <t>Jl. Batas Desa Mekar Sari Bengkulu 39124</t>
  </si>
  <si>
    <t>Azis Fahri Pasaribu</t>
  </si>
  <si>
    <t>Inayah</t>
  </si>
  <si>
    <t>3674060305170003</t>
  </si>
  <si>
    <t>1502024105810003</t>
  </si>
  <si>
    <t>US C</t>
  </si>
  <si>
    <t>0093048536</t>
  </si>
  <si>
    <t>Alif Yusuf Iskandar</t>
  </si>
  <si>
    <t>17 Oktober 2009</t>
  </si>
  <si>
    <t>375011710090001</t>
  </si>
  <si>
    <t>Chotidjah</t>
  </si>
  <si>
    <t>3375012309070233</t>
  </si>
  <si>
    <t>3375010308720004</t>
  </si>
  <si>
    <t>3375014602750002</t>
  </si>
  <si>
    <t>0099229875</t>
  </si>
  <si>
    <t>Bidara Tidore Membumigora</t>
  </si>
  <si>
    <t>26 Desember 2009</t>
  </si>
  <si>
    <t>6310022612090002</t>
  </si>
  <si>
    <t>Jalan Mr Muh Yamin No 122 Depan Kejaksaan Manding Polewali mandar Sulawesi barat 91351</t>
  </si>
  <si>
    <t>Rudy Kurniawan</t>
  </si>
  <si>
    <t>Maimuna Mansyur Kene</t>
  </si>
  <si>
    <t>6310020305120004</t>
  </si>
  <si>
    <t>6310020806820003</t>
  </si>
  <si>
    <t>6310024705810003</t>
  </si>
  <si>
    <t>Jembrana</t>
  </si>
  <si>
    <t>0093428740</t>
  </si>
  <si>
    <t>Bilal Azfar Andira</t>
  </si>
  <si>
    <t>Depok</t>
  </si>
  <si>
    <t>09 Desember 2009</t>
  </si>
  <si>
    <t>3276060912090003</t>
  </si>
  <si>
    <t>LOT 928M Kampung SG Kayuara Bandar Utama Damansara 47400 Pataling Jaya Selangor, Malaysia</t>
  </si>
  <si>
    <t>Andi</t>
  </si>
  <si>
    <t>Saraswati</t>
  </si>
  <si>
    <t>3276061604090084</t>
  </si>
  <si>
    <t>3276060211670005</t>
  </si>
  <si>
    <t>3276068903740003</t>
  </si>
  <si>
    <t>3109233780</t>
  </si>
  <si>
    <t>Dzaka Bisma Adikara</t>
  </si>
  <si>
    <t>3404141104100003</t>
  </si>
  <si>
    <t>Perumahan Bumi Permata Hijau Sepunggur Blok D2 No 06 Sepunggur Kec. Kusan Hilir Kab. Tanah Bumbu Prov. Kalsel 72273</t>
  </si>
  <si>
    <t>Seria Yennyta</t>
  </si>
  <si>
    <t>0105352359</t>
  </si>
  <si>
    <t>Hafidz Ahmad Jauhari</t>
  </si>
  <si>
    <t>21 Maret 2010</t>
  </si>
  <si>
    <t>3307102103100002</t>
  </si>
  <si>
    <t>Salakan, Gambasan RT 1 RW 1 Selopampang , Jawa Tengah, 56100</t>
  </si>
  <si>
    <t>Haryanto</t>
  </si>
  <si>
    <t>Juwariah</t>
  </si>
  <si>
    <t>3603121608160024</t>
  </si>
  <si>
    <t>3307100112610001</t>
  </si>
  <si>
    <t>3307104912760002</t>
  </si>
  <si>
    <t>0101717779</t>
  </si>
  <si>
    <t>Hafidz Nourikhlas Elquthb</t>
  </si>
  <si>
    <t>04 Juni 2010</t>
  </si>
  <si>
    <t>3323150406100002</t>
  </si>
  <si>
    <t>Perum Bumi Indah, Tahap 4, Blok JI No.9, Jl Dahlia VI, RT 06 RW 06, Sukamantri, Pasar Kemis, Tangerang, Banten, 15560</t>
  </si>
  <si>
    <t>Qurtubi</t>
  </si>
  <si>
    <t>Tri Astuti Sulistyowati</t>
  </si>
  <si>
    <t>3323152201070249</t>
  </si>
  <si>
    <t>3323150709750001</t>
  </si>
  <si>
    <t>3323136607800001</t>
  </si>
  <si>
    <t>0093274075</t>
  </si>
  <si>
    <t>Muhammad Albyandra Aqvalo Mei Havendi</t>
  </si>
  <si>
    <t>16 Mei 2009</t>
  </si>
  <si>
    <t>3402161805090002</t>
  </si>
  <si>
    <t>Perum Taman Kahuripan RT 06 RW 35 Klidon Mantren, Sukoharjo, Ngaglik Sleman DI yogyakarta 55581</t>
  </si>
  <si>
    <t>Harun Efendi</t>
  </si>
  <si>
    <t>Venita Mei Rosyanti</t>
  </si>
  <si>
    <t>3402162109050030</t>
  </si>
  <si>
    <t>3402161505810004</t>
  </si>
  <si>
    <t>3402164505830007</t>
  </si>
  <si>
    <t>US A</t>
  </si>
  <si>
    <t>0102724712</t>
  </si>
  <si>
    <t>Muhammad Asyraf Nazhif Yufa</t>
  </si>
  <si>
    <t>29 Oktober 2010</t>
  </si>
  <si>
    <t>33082010100007</t>
  </si>
  <si>
    <t>Yudha Hardiyanto</t>
  </si>
  <si>
    <t>Anifah Nurshofyani</t>
  </si>
  <si>
    <t>3308201410090007</t>
  </si>
  <si>
    <t>3308202509770001</t>
  </si>
  <si>
    <t>3308204703820005</t>
  </si>
  <si>
    <t>0109030838</t>
  </si>
  <si>
    <t>Nabigh Akmal Al Azizi</t>
  </si>
  <si>
    <t>27 Januari 2010</t>
  </si>
  <si>
    <t>6172022701100002</t>
  </si>
  <si>
    <t>Jln Pisang No 647 RT 07/RW 03 Tambakreja Cilacap Selatan, Cilacap Jawa Tengah 53213, Jawa Tengah, 53213</t>
  </si>
  <si>
    <t>Khusnul Ma'arif</t>
  </si>
  <si>
    <t>Syarifah Mirna Iffianti</t>
  </si>
  <si>
    <t>6172012008140005</t>
  </si>
  <si>
    <t>6172020108730003</t>
  </si>
  <si>
    <t>6172024801780002</t>
  </si>
  <si>
    <t>0105724259</t>
  </si>
  <si>
    <t>Tualang Philosofi Ahimsa</t>
  </si>
  <si>
    <t>09 Maret 2010</t>
  </si>
  <si>
    <t>3317130903100001</t>
  </si>
  <si>
    <t>Taman Graha Indah Lestari Blok A-1, Jalan Cinduamato, Kampung Lapai, Nanggalo, Padang, Sumatera Barat, 25142</t>
  </si>
  <si>
    <t>Hariyanto</t>
  </si>
  <si>
    <t>Siti Muflikhatul Hidayah</t>
  </si>
  <si>
    <t>3276062201130001</t>
  </si>
  <si>
    <t>3317130709840003</t>
  </si>
  <si>
    <t>3317135912850007</t>
  </si>
  <si>
    <t>0101553992</t>
  </si>
  <si>
    <t>Ahmad Rakha Fazli Mawla Umar</t>
  </si>
  <si>
    <t>6371021003100001</t>
  </si>
  <si>
    <t>Jl. Naskah 2 no 284 Km 7 Rt 46 Rw 13 Kel. Sukarami Kec. Sukarami Kota Palembang Sumatera Selatan 30152</t>
  </si>
  <si>
    <t>Ahmad Mardian Umar</t>
  </si>
  <si>
    <t>Emma Ramayanti, SE</t>
  </si>
  <si>
    <t>6371022503090017</t>
  </si>
  <si>
    <t>6371021601790006</t>
  </si>
  <si>
    <t>6371026212780001</t>
  </si>
  <si>
    <t>Aidil Nur Khaizuram</t>
  </si>
  <si>
    <t>07 Desember 2008</t>
  </si>
  <si>
    <t>Jl. Dharma Praja III No 444 RT 17/002 Kel. Pemurus Luar Banjarmasin Timur Banjarmasin, Kalimantan Selatan, 70249</t>
  </si>
  <si>
    <t>Zumransyah</t>
  </si>
  <si>
    <t>3510181011110001</t>
  </si>
  <si>
    <t>3510101212680003</t>
  </si>
  <si>
    <t>3510185211780001</t>
  </si>
  <si>
    <t>0096836743</t>
  </si>
  <si>
    <t>Andi Muhammad Izzat</t>
  </si>
  <si>
    <t>Polewali</t>
  </si>
  <si>
    <t>11 Desember 2009</t>
  </si>
  <si>
    <t>7604046105790003</t>
  </si>
  <si>
    <t>Jl Sulawesi No 33A Kergon Pekalongan Barat Pekalongan Jawa Tengah 51113</t>
  </si>
  <si>
    <t>Andy M. Tahir</t>
  </si>
  <si>
    <t>Andi Enny.SE.M.Adm.Pemb</t>
  </si>
  <si>
    <t>7604041407090022</t>
  </si>
  <si>
    <t>7604040901770002</t>
  </si>
  <si>
    <t>Wonomulyo</t>
  </si>
  <si>
    <t>0107865339</t>
  </si>
  <si>
    <t>Chaizuran Alifunnadhif Azigha</t>
  </si>
  <si>
    <t>01 Mei 2010</t>
  </si>
  <si>
    <t>6402060105100003</t>
  </si>
  <si>
    <t>Nurkhalis</t>
  </si>
  <si>
    <t>Meti Aryani Sulistioningrum</t>
  </si>
  <si>
    <t>6402061507100017</t>
  </si>
  <si>
    <t>6402052911790004</t>
  </si>
  <si>
    <t>6402065206870005</t>
  </si>
  <si>
    <t>0105180871</t>
  </si>
  <si>
    <t>Chaizuran Arasyaqil Ghaisan</t>
  </si>
  <si>
    <t>6402060105100002</t>
  </si>
  <si>
    <t>Jalan Mushola No. 494 RT 002 RW 010 Tanah Baru, Beji, Depok Jawa Barat 16426</t>
  </si>
  <si>
    <t>Ganjuran RT 02/ RW 07 Caturharjo Sleman DI Yogyakarta 55515</t>
  </si>
  <si>
    <t>Jl. Pateh Kota RT. 12 No. 34 Kel. Mangkurawang Kec. Tenggarong Kab. Kutai Kartanegara, Kalimantan Timur, 75517</t>
  </si>
  <si>
    <t>0106344434</t>
  </si>
  <si>
    <t>Ighra Kayyas J. Al Aziz</t>
  </si>
  <si>
    <t>21 Juni 2010</t>
  </si>
  <si>
    <t>3471132106100001</t>
  </si>
  <si>
    <t>Mujiyarto</t>
  </si>
  <si>
    <t>Romlah Suprihatin</t>
  </si>
  <si>
    <t>3471130709090762</t>
  </si>
  <si>
    <t>3471132808770002</t>
  </si>
  <si>
    <t>3471136704830004</t>
  </si>
  <si>
    <t>0102867139</t>
  </si>
  <si>
    <t>Mochammad Faza Aqila</t>
  </si>
  <si>
    <t>3404102501100002</t>
  </si>
  <si>
    <t>Dusun Kacepit RT 5 RW 1 Desa Kacepit Kec. Selompampang Kab. Temanggung, Jawa Tengah, 56262</t>
  </si>
  <si>
    <t>Mochammad Madkhan</t>
  </si>
  <si>
    <t>Sugestie Rijani Adie Soetomo</t>
  </si>
  <si>
    <t>3404100805180001</t>
  </si>
  <si>
    <t>3404106012680001</t>
  </si>
  <si>
    <t>0102335400</t>
  </si>
  <si>
    <t>Muhammad Rifyal Al Farizy Wayoi</t>
  </si>
  <si>
    <t>3301210204100001</t>
  </si>
  <si>
    <t xml:space="preserve">Cilacap Selatan </t>
  </si>
  <si>
    <t>H. Deny Setiawan Wayoi , S.E., M.Pd.</t>
  </si>
  <si>
    <t>Fanti Rosalina</t>
  </si>
  <si>
    <t>3301210902080003</t>
  </si>
  <si>
    <t>3301212306770003</t>
  </si>
  <si>
    <t>3301214311790002</t>
  </si>
  <si>
    <t>0109429965</t>
  </si>
  <si>
    <t>Narendra Javas Pambudi</t>
  </si>
  <si>
    <t>3403051101100001</t>
  </si>
  <si>
    <t>Jl RA Kartini Gg Sentosa Khalishah Residence C4 RT/RW 019/007 Sekip Lama Singkawang Tengah Kota Singkawang, Kalimantan Barat, 79113</t>
  </si>
  <si>
    <t>Cahyono Agustri Pambudi</t>
  </si>
  <si>
    <t>Rina Sumartin</t>
  </si>
  <si>
    <t>3403050906160001</t>
  </si>
  <si>
    <t>3403052008810004</t>
  </si>
  <si>
    <t>3471135209820002</t>
  </si>
  <si>
    <t>0094106302</t>
  </si>
  <si>
    <t>Satria Al Shatir</t>
  </si>
  <si>
    <t>30 Agustus 2009</t>
  </si>
  <si>
    <t>3205103008090003</t>
  </si>
  <si>
    <t>Asep Maulana Hakim</t>
  </si>
  <si>
    <t>Weli Damayanti</t>
  </si>
  <si>
    <t>0105801072</t>
  </si>
  <si>
    <t>Tsaqif Al-Fattah</t>
  </si>
  <si>
    <t>3471120604100003</t>
  </si>
  <si>
    <t>Prancak Dukuh, RT. 003/RW. 000, Panggungharjo, Sewon, Bantul, DI Yogyakarta, 55185</t>
  </si>
  <si>
    <t>Muhammad Najmi</t>
  </si>
  <si>
    <t>Nurlaili</t>
  </si>
  <si>
    <t>3471120801080011</t>
  </si>
  <si>
    <t>6471122812810001</t>
  </si>
  <si>
    <t>Padang Panjang</t>
  </si>
  <si>
    <t>3471127112810002</t>
  </si>
  <si>
    <t>Rumbai</t>
  </si>
  <si>
    <t>0105428947</t>
  </si>
  <si>
    <t>Zaydan Qory Syahbana</t>
  </si>
  <si>
    <t>30 Mei 2010</t>
  </si>
  <si>
    <t>6402063005100001</t>
  </si>
  <si>
    <t>Kp Stangkle RT 3/6 No 24, Kemiri Muka, Beji, Depok, Jawa Barat 16423</t>
  </si>
  <si>
    <t>Yanika Noor Mulyarandy</t>
  </si>
  <si>
    <t>082148333817</t>
  </si>
  <si>
    <t>6402060404110010</t>
  </si>
  <si>
    <t>6402061012890007</t>
  </si>
  <si>
    <t>6402064808890004</t>
  </si>
  <si>
    <t>Loa Tebu</t>
  </si>
  <si>
    <t>0096642761</t>
  </si>
  <si>
    <t>Ade Almukhsin Mahoya</t>
  </si>
  <si>
    <t>Curup</t>
  </si>
  <si>
    <t>1702181012090001</t>
  </si>
  <si>
    <t>Jl. Cempedak II RT/RW 008/003 Kel. Keramat Kec. Rangkui Kota Pangkalpinang Kep. Bangka Belitung 33134</t>
  </si>
  <si>
    <t>Rahi Safitri Mahoya</t>
  </si>
  <si>
    <t>Habibah</t>
  </si>
  <si>
    <t>0099998616</t>
  </si>
  <si>
    <t>Ahmad Sururi Al Ghoffar</t>
  </si>
  <si>
    <t>30 November 2009</t>
  </si>
  <si>
    <t>3401023011090002</t>
  </si>
  <si>
    <t>Perumahan Reni Jaya, Jl. Pinus Raya Blok AG. 7, No. 6, RT. 005, RW. 021, Kecamatan Pamulang, Kelurahan Pamulang Barat, Kota Tangerang Selatan Banten 15435</t>
  </si>
  <si>
    <t>Irfan Ari Pamungkas</t>
  </si>
  <si>
    <t>Rini Setiabudi Astuti</t>
  </si>
  <si>
    <t>3402171209180001</t>
  </si>
  <si>
    <t>340102031280001</t>
  </si>
  <si>
    <t>3401026712820041</t>
  </si>
  <si>
    <t>12/27/1982</t>
  </si>
  <si>
    <t>0093845336</t>
  </si>
  <si>
    <t>Dzaky Akhdan Rafif Ath-thoriq</t>
  </si>
  <si>
    <t>07 November 2010</t>
  </si>
  <si>
    <t>3325070711090001</t>
  </si>
  <si>
    <t>Rizal Afiv Haqiqie</t>
  </si>
  <si>
    <t>Anis Kurniati</t>
  </si>
  <si>
    <t>3325073001180006</t>
  </si>
  <si>
    <t>3328120809800004</t>
  </si>
  <si>
    <t>3355076110830003</t>
  </si>
  <si>
    <t>3091647442</t>
  </si>
  <si>
    <t>Faris Ahmad Nurtawab</t>
  </si>
  <si>
    <t>31 Juli 2009</t>
  </si>
  <si>
    <t>3276113107090001</t>
  </si>
  <si>
    <t>Ervan Nurtawab</t>
  </si>
  <si>
    <t>Wilda Rahmah Dia</t>
  </si>
  <si>
    <t>3276112501110006</t>
  </si>
  <si>
    <t>3276110411800001</t>
  </si>
  <si>
    <t>3175075510810010</t>
  </si>
  <si>
    <t>0097987637</t>
  </si>
  <si>
    <t>Favian Hugadinata</t>
  </si>
  <si>
    <t>3271061709090001</t>
  </si>
  <si>
    <t>Irfan Wahyu Wijaya</t>
  </si>
  <si>
    <t>Jhoan Khusuma Dewi</t>
  </si>
  <si>
    <t>3271061508180012</t>
  </si>
  <si>
    <t>3271060210800017</t>
  </si>
  <si>
    <t>3271064912840009</t>
  </si>
  <si>
    <t>3095096075</t>
  </si>
  <si>
    <t>Faza Rama Narendra</t>
  </si>
  <si>
    <t>31 Agustus 2009</t>
  </si>
  <si>
    <t>3323153108090002</t>
  </si>
  <si>
    <t>Erawan Ari Wiranto</t>
  </si>
  <si>
    <t>Willia Mina Ainun</t>
  </si>
  <si>
    <t>3323152104090001</t>
  </si>
  <si>
    <t>3323152202830001</t>
  </si>
  <si>
    <t>3323156311820002</t>
  </si>
  <si>
    <t>3103966785</t>
  </si>
  <si>
    <t>Humam Azman Dzikraka</t>
  </si>
  <si>
    <t>20 Juni 2010</t>
  </si>
  <si>
    <t>3404122006100002</t>
  </si>
  <si>
    <t>Perum Bukit Cimanggu City B Residence Blok B5 No 8 Bogor Jawa Barat 16166</t>
  </si>
  <si>
    <t>Heri Puryanto</t>
  </si>
  <si>
    <t>Dian Nur Nailufar</t>
  </si>
  <si>
    <t>3376020704140010</t>
  </si>
  <si>
    <t>3404120405800002</t>
  </si>
  <si>
    <t>3404124212820004</t>
  </si>
  <si>
    <t>0108309323</t>
  </si>
  <si>
    <t>7314111501100001</t>
  </si>
  <si>
    <t>Jl Ksatrian K 39 Jatingaleh RT 01 RW 07 Kec. Candi Sari Semarang, Jawa Tengah, 50254</t>
  </si>
  <si>
    <t>Hasse Jubba</t>
  </si>
  <si>
    <t>Sri Astuty Wulandari</t>
  </si>
  <si>
    <t>3404120403110006</t>
  </si>
  <si>
    <t>7314110909760001</t>
  </si>
  <si>
    <t>Sidrap</t>
  </si>
  <si>
    <t>7314115909810001</t>
  </si>
  <si>
    <t>Kendari</t>
  </si>
  <si>
    <t>Muhammad Alif Pratama</t>
  </si>
  <si>
    <t>0106575725</t>
  </si>
  <si>
    <t>Muhammad Dhiaulhaq Mujiburrahman Aditama</t>
  </si>
  <si>
    <t>64713012910100002</t>
  </si>
  <si>
    <t>Jl. Sumbodro No. 10 RT.06 RW.04 Slerok, Kec Tegal Timur, Kota Tegal, Jawa Tengah, 52125</t>
  </si>
  <si>
    <t>Muhammad</t>
  </si>
  <si>
    <t>Dwi Mariza Nastiti</t>
  </si>
  <si>
    <t>6473011808080135</t>
  </si>
  <si>
    <t>6473012104770010</t>
  </si>
  <si>
    <t>Tawau</t>
  </si>
  <si>
    <t>6473016903780002</t>
  </si>
  <si>
    <t>0093331119</t>
  </si>
  <si>
    <t>Muhammad Althaf Haidar</t>
  </si>
  <si>
    <t>Bandung Barat</t>
  </si>
  <si>
    <t>3217082103090003</t>
  </si>
  <si>
    <t>Ridwan Hakim</t>
  </si>
  <si>
    <t>Meta Indah Agnestia</t>
  </si>
  <si>
    <t>3217081405120072</t>
  </si>
  <si>
    <t>3217061405840027</t>
  </si>
  <si>
    <t>3217085208840030</t>
  </si>
  <si>
    <t>0099887445</t>
  </si>
  <si>
    <t>Muhammad Alvaro Azisi</t>
  </si>
  <si>
    <t>Trenggalek</t>
  </si>
  <si>
    <t>3505101709090001</t>
  </si>
  <si>
    <t>Gang Mulia 1 RT 01 RW 13 No. 25 Desa Kertajaya, Jawa Barat, 40553</t>
  </si>
  <si>
    <t>Moh. Ariefi Effendi</t>
  </si>
  <si>
    <t>Diana Susanti</t>
  </si>
  <si>
    <t>3505110812110002</t>
  </si>
  <si>
    <t>35051021017700002</t>
  </si>
  <si>
    <t>3505104508780001</t>
  </si>
  <si>
    <t>0104912403</t>
  </si>
  <si>
    <t>Muhammad Atha Haidar</t>
  </si>
  <si>
    <t>31 Mei 2010</t>
  </si>
  <si>
    <t>3578013105100001</t>
  </si>
  <si>
    <t>Dusun Sandon RT 03 RW 07 Desa Madyocondro Kec. Secang Kab. Magelang Prop. Jawa Tengah 56195</t>
  </si>
  <si>
    <t>Muhammad Afifuddin Zulfitri</t>
  </si>
  <si>
    <t>Asyidatur Rosmaniar</t>
  </si>
  <si>
    <t>357801270912709100004</t>
  </si>
  <si>
    <t>3578203107810001</t>
  </si>
  <si>
    <t>3578015203810001</t>
  </si>
  <si>
    <t>0094789683</t>
  </si>
  <si>
    <t>Omar Maqil Ghaisan</t>
  </si>
  <si>
    <t>09 Oktober 2009</t>
  </si>
  <si>
    <t>3171080910091003</t>
  </si>
  <si>
    <t>Wildan Sangka</t>
  </si>
  <si>
    <t>Cita Tri Aryuni</t>
  </si>
  <si>
    <t>3171080501099683</t>
  </si>
  <si>
    <t>3171080506760006</t>
  </si>
  <si>
    <t>Pomala</t>
  </si>
  <si>
    <t>3171085906790002</t>
  </si>
  <si>
    <t>0094434743</t>
  </si>
  <si>
    <t>Radintha Shiddqy Ghaisani Razano</t>
  </si>
  <si>
    <t>18 November 2009</t>
  </si>
  <si>
    <t>352510811090007</t>
  </si>
  <si>
    <t>Jl. Kawi-Kawi Bawah A-36, Johar Baru, Jakarta Pusat, DKI Jakarta, 10560</t>
  </si>
  <si>
    <t>Rachmat Lydiawanto</t>
  </si>
  <si>
    <t>Nurul Masitha</t>
  </si>
  <si>
    <t>3525102707120012</t>
  </si>
  <si>
    <t>3525160202710121</t>
  </si>
  <si>
    <t>3525066703710001</t>
  </si>
  <si>
    <t>0106459277</t>
  </si>
  <si>
    <t>Riefda Elang Persada</t>
  </si>
  <si>
    <t>07 Juli 2010</t>
  </si>
  <si>
    <t>3304060707100001</t>
  </si>
  <si>
    <t>Watugilang A RT25 RW05 Desa Watugilang A Kel. Mulusan Kec. Paliyan Kab. Gunungkidul, DI Yogyakarta, 55871</t>
  </si>
  <si>
    <t>Syarief Ali</t>
  </si>
  <si>
    <t>Ida Haerani Rakhmawati</t>
  </si>
  <si>
    <t>3304060510070005</t>
  </si>
  <si>
    <t>3304060912740001</t>
  </si>
  <si>
    <t>3304065306750003</t>
  </si>
  <si>
    <t>0109105515</t>
  </si>
  <si>
    <t>Abiyyu Fikri</t>
  </si>
  <si>
    <t>3275031101100005</t>
  </si>
  <si>
    <t>Aspuri</t>
  </si>
  <si>
    <t>Febriyani</t>
  </si>
  <si>
    <t>3275031206070015</t>
  </si>
  <si>
    <t>327503312680026</t>
  </si>
  <si>
    <t>3275035102690005</t>
  </si>
  <si>
    <t>101588342</t>
  </si>
  <si>
    <t>Ahmad Hanafi Fauzi</t>
  </si>
  <si>
    <t>30 Maret 2010</t>
  </si>
  <si>
    <t>7371023003100003</t>
  </si>
  <si>
    <t>Graha Nuansa Citra B6, Pathukan, Ambarketawang, Gamping, Sleman, DI Yogyakarta, 90134</t>
  </si>
  <si>
    <t>Ahmad Fauzi</t>
  </si>
  <si>
    <t>Ummul Khair</t>
  </si>
  <si>
    <t>7371020512042090</t>
  </si>
  <si>
    <t>7371021906680002</t>
  </si>
  <si>
    <t>7371025406740005</t>
  </si>
  <si>
    <t>Limbung</t>
  </si>
  <si>
    <t>0091591570</t>
  </si>
  <si>
    <t>Ahmad Hanif Chadziq Mirdaz</t>
  </si>
  <si>
    <t>17 April 2009</t>
  </si>
  <si>
    <t>3401041704090002</t>
  </si>
  <si>
    <t>Jl. Tanjung Pattiro No.48 Sambung Jaya, Mamajang, Sulawesi Selatan 90134</t>
  </si>
  <si>
    <t>Darmawan Widiantaka</t>
  </si>
  <si>
    <t>Nur Baniyati Khomsah</t>
  </si>
  <si>
    <t>3401041406070003</t>
  </si>
  <si>
    <t>3401041011730001</t>
  </si>
  <si>
    <t>3401044601760002</t>
  </si>
  <si>
    <t>0103059205</t>
  </si>
  <si>
    <t>Darrel Fabiano</t>
  </si>
  <si>
    <t>27 Juni 2010</t>
  </si>
  <si>
    <t>3323122706100001</t>
  </si>
  <si>
    <t>Tambaksari RT 02 RW 03 Kuwarasan Kebumen, Jawa Tengah, 54366</t>
  </si>
  <si>
    <t>Sigit Purwanto</t>
  </si>
  <si>
    <t>Alfianti Cahyaningrum</t>
  </si>
  <si>
    <t>3323121805100001</t>
  </si>
  <si>
    <t>3323120702830003</t>
  </si>
  <si>
    <t>3323124902840001</t>
  </si>
  <si>
    <t>0109765478</t>
  </si>
  <si>
    <t>Dzaki Nazakha Ali Syakib</t>
  </si>
  <si>
    <t>09 Mei 2010</t>
  </si>
  <si>
    <t>3175050905101003</t>
  </si>
  <si>
    <t>Jalan. P. Diponegoro. RT.01/RW.04 Kel. Tarau, Kec. Yapen Selatan, Kab. Kep. Yapen Papua 98211</t>
  </si>
  <si>
    <t>Agus Riyanto</t>
  </si>
  <si>
    <t>Tri Lastini Widiastuti</t>
  </si>
  <si>
    <t>3175051201094240</t>
  </si>
  <si>
    <t>3175051008720010</t>
  </si>
  <si>
    <t>3175055903760003</t>
  </si>
  <si>
    <t>0106334457</t>
  </si>
  <si>
    <t>Fadhil Ahmad Syakir</t>
  </si>
  <si>
    <t>3402161106100004</t>
  </si>
  <si>
    <t>Dusun Krajan RT01/RW01 Desa Campurejo Kec. Boja Kab. Kendal, Jawa Tengah, 51381</t>
  </si>
  <si>
    <t>Dr. Syakir Jamaluddin, M.A</t>
  </si>
  <si>
    <t>Aminah Setyaningsih</t>
  </si>
  <si>
    <t>3404012110110004</t>
  </si>
  <si>
    <t>3402162010680004</t>
  </si>
  <si>
    <t>3402166504730004</t>
  </si>
  <si>
    <t>0095898315</t>
  </si>
  <si>
    <t>Fadhlan Habibie</t>
  </si>
  <si>
    <t>3374070209090002</t>
  </si>
  <si>
    <t xml:space="preserve">Jl. Kebon Asri No. 7 Kebon Batur Mranggen Demak Jawa Tengah 59567 </t>
  </si>
  <si>
    <t>Bakhtiar Rivai</t>
  </si>
  <si>
    <t>Neni Dewi Anggraeni</t>
  </si>
  <si>
    <t>3321010912130006</t>
  </si>
  <si>
    <t>3374070611830003</t>
  </si>
  <si>
    <t>3374135109620006</t>
  </si>
  <si>
    <t>Faiz Bazli Fitra Ikhlas</t>
  </si>
  <si>
    <t>3671052409090004</t>
  </si>
  <si>
    <t>Prenggan Selatan KG II/926, RT/RW : 028/006, Kel. Prenggan, Kec. Kotagede, Kota Yogyakarta, DI Yogyakarta, 55172</t>
  </si>
  <si>
    <t>Zaitul Ikhlas</t>
  </si>
  <si>
    <t>Retno Harjanti</t>
  </si>
  <si>
    <t>3671050811070567</t>
  </si>
  <si>
    <t>3471051509690004</t>
  </si>
  <si>
    <t>3671056409760002</t>
  </si>
  <si>
    <t>0104425009</t>
  </si>
  <si>
    <t>Hadyan Muhammad Ihsan</t>
  </si>
  <si>
    <t>3402160410090002</t>
  </si>
  <si>
    <t>Sariagung No.19 RT 01/RW10 Kel. Jaraksari Kec. Wonosobo Kab. Wonosobo Jawa Tengah 56314</t>
  </si>
  <si>
    <t>Heri Siswanto</t>
  </si>
  <si>
    <t>08164260256</t>
  </si>
  <si>
    <t>Fitri Yuliatun</t>
  </si>
  <si>
    <t>3402161003050009</t>
  </si>
  <si>
    <t>3402160906750005</t>
  </si>
  <si>
    <t>3402166307770003</t>
  </si>
  <si>
    <t>0094648866</t>
  </si>
  <si>
    <t>Juhdan Lintang Fahmi Habibi</t>
  </si>
  <si>
    <t>14 Juli 2009</t>
  </si>
  <si>
    <t>3304081407090001</t>
  </si>
  <si>
    <t>Jl. Patehan Lor No. 24 RT 17 RW 04 Kelurahan Patehan Kecamatan Kraton Kota Yogyakarta, DI Yogyakarta, 55133</t>
  </si>
  <si>
    <t>Eko Budi Rahardjo</t>
  </si>
  <si>
    <t>Ratih Rahmawati</t>
  </si>
  <si>
    <t>3304082010150001</t>
  </si>
  <si>
    <t>3304080306690004</t>
  </si>
  <si>
    <t>3304086312760004</t>
  </si>
  <si>
    <t>Lintang Anugro Hidayat</t>
  </si>
  <si>
    <t>3674010509090001</t>
  </si>
  <si>
    <t>Jl. Baturgede RT 005 RW 001 Desa Petambakan 53462 Kec. Madukara, Kab. Banjarnegara, Prov. Jawa Tengah, Jawa Tengah, 53462</t>
  </si>
  <si>
    <t>Fahmi Hidayat</t>
  </si>
  <si>
    <t>Kesi Hermawati</t>
  </si>
  <si>
    <t>Wartawati</t>
  </si>
  <si>
    <t>3674012107100029</t>
  </si>
  <si>
    <t>3674010406750001</t>
  </si>
  <si>
    <t>3674016506790002</t>
  </si>
  <si>
    <t>Kepahiang</t>
  </si>
  <si>
    <t>02 November 2009</t>
  </si>
  <si>
    <t>3275090211090002</t>
  </si>
  <si>
    <t>Lingkungan Pelita, RT013, RW005, Kel. Jatiwangi, Kec. Asakota, Kab. Kota Bima, Prov. Nusa Tenggara Barat(NTB) 84151</t>
  </si>
  <si>
    <t>Sabrul Jamil, S.Si</t>
  </si>
  <si>
    <t>Yudhanti Dwi Lestari</t>
  </si>
  <si>
    <t>3275090907066188</t>
  </si>
  <si>
    <t>3275091303730012</t>
  </si>
  <si>
    <t>3275095209720010</t>
  </si>
  <si>
    <t>0098594265</t>
  </si>
  <si>
    <t>Muhammad Dzaki</t>
  </si>
  <si>
    <t>3402141304090001</t>
  </si>
  <si>
    <t>Karangploso RT 01, Sitimulyo, Piyungan, Bantul, Yogyakarta, DI Yogyakarta 55792</t>
  </si>
  <si>
    <t>Zabidi, S.Pd.</t>
  </si>
  <si>
    <t>Denok Warisah</t>
  </si>
  <si>
    <t>3402141610030001</t>
  </si>
  <si>
    <t>3402142210610002</t>
  </si>
  <si>
    <t>3402145801700001</t>
  </si>
  <si>
    <t>0105652380</t>
  </si>
  <si>
    <t>Muhammad Fadlan Nadhif</t>
  </si>
  <si>
    <t>Metro</t>
  </si>
  <si>
    <t>05 Januari 2010</t>
  </si>
  <si>
    <t>1872010501100001</t>
  </si>
  <si>
    <t>Suhono</t>
  </si>
  <si>
    <t>Robikhah</t>
  </si>
  <si>
    <t>1872010102100024</t>
  </si>
  <si>
    <t>18720..2604720005</t>
  </si>
  <si>
    <t>1872014606740001</t>
  </si>
  <si>
    <t>Bandar Jaya</t>
  </si>
  <si>
    <t>0109920071</t>
  </si>
  <si>
    <t>Muhammad Fawwaz Arsyad</t>
  </si>
  <si>
    <t>06 Juni 2009</t>
  </si>
  <si>
    <t>3471070606090003</t>
  </si>
  <si>
    <t>Purwoasri RT 40A/16, Kroyo, Karangmalang, Sragen Jawa Tengah 57211</t>
  </si>
  <si>
    <t>Samsyul Bukhari</t>
  </si>
  <si>
    <t>0102027098</t>
  </si>
  <si>
    <t>Muhammad Fikri Parakas</t>
  </si>
  <si>
    <t>Arga Makmur</t>
  </si>
  <si>
    <t>1703071702100001</t>
  </si>
  <si>
    <t>RT 01 Kranggan Murtigading Sanden, DI Yogyakarta, 55763</t>
  </si>
  <si>
    <t>Anita Marthasari</t>
  </si>
  <si>
    <t>3578030101088412</t>
  </si>
  <si>
    <t>3578033011790003</t>
  </si>
  <si>
    <t>3578035803820002</t>
  </si>
  <si>
    <t>Muhammad Dafa Al Fatih</t>
  </si>
  <si>
    <t>22 November 2009</t>
  </si>
  <si>
    <t>3324122211080001</t>
  </si>
  <si>
    <t>Selokraman, KG.III/1034 RT 48 RW 11 Purbayan Kotagede Yogyakarta 55173</t>
  </si>
  <si>
    <t>Jl. Dokter Sutomo RT 02/RW 11 Kedonsari, Penyangkringan, Weleri, Kendal, Jawa Tengah</t>
  </si>
  <si>
    <t>Agi Lesmono</t>
  </si>
  <si>
    <t>Sulasih</t>
  </si>
  <si>
    <t>3324120808082653</t>
  </si>
  <si>
    <t>3324121307740001</t>
  </si>
  <si>
    <t>3324125111740002</t>
  </si>
  <si>
    <t>0096145231</t>
  </si>
  <si>
    <t>Mukhammad Roid Rafif Dzakwan</t>
  </si>
  <si>
    <t>30 Mei 2009</t>
  </si>
  <si>
    <t>Didik Wibowo</t>
  </si>
  <si>
    <t>Maftuhah</t>
  </si>
  <si>
    <t>0109233875</t>
  </si>
  <si>
    <t>Najwan Abdurrahman</t>
  </si>
  <si>
    <t>12 Februari 2010</t>
  </si>
  <si>
    <t>3471061202100001</t>
  </si>
  <si>
    <t>Jl. Veteran Komplek Gardu Mekar Indah No 76 RT 15 Kel. Sei Lulut Kec. Banjarmasin Timur , Kalimantan Selatan, 70238</t>
  </si>
  <si>
    <t>Muhammad Khusni</t>
  </si>
  <si>
    <t>3471061209070299</t>
  </si>
  <si>
    <t>3471062608660001</t>
  </si>
  <si>
    <t>3471025407750001</t>
  </si>
  <si>
    <t>0099002052</t>
  </si>
  <si>
    <t>Nur Muhammad Alfaridi</t>
  </si>
  <si>
    <t>30 September 2009</t>
  </si>
  <si>
    <t>3404123009090002</t>
  </si>
  <si>
    <t>Fajar Yuda Swastana</t>
  </si>
  <si>
    <t>Arfiani Nur Khusna</t>
  </si>
  <si>
    <t>3404123110090002</t>
  </si>
  <si>
    <t>3404120709830008</t>
  </si>
  <si>
    <t>3404126601850004</t>
  </si>
  <si>
    <t>0094169306</t>
  </si>
  <si>
    <t>Pilar Arloen Wijoyo</t>
  </si>
  <si>
    <t>22 Juni 2009</t>
  </si>
  <si>
    <t>20 Juni 2009</t>
  </si>
  <si>
    <t>3502012206090003</t>
  </si>
  <si>
    <t>Arif Budianto</t>
  </si>
  <si>
    <t>Alun Prasasti</t>
  </si>
  <si>
    <t>0092044705</t>
  </si>
  <si>
    <t>17 Maret 2009</t>
  </si>
  <si>
    <t>3515081703090006</t>
  </si>
  <si>
    <t>Jl. Usman Janatin 11 009/003 Medaeng Waru Sidoarjo Jawa Timur 51256</t>
  </si>
  <si>
    <t>Abdul Gofur</t>
  </si>
  <si>
    <t>Halida Octavian Sukur Ananda</t>
  </si>
  <si>
    <t>3515183001091568</t>
  </si>
  <si>
    <t>3515152202740002</t>
  </si>
  <si>
    <t>3515060510810006</t>
  </si>
  <si>
    <t>0102051276</t>
  </si>
  <si>
    <t>Radhia Muhammad Izzulhaq</t>
  </si>
  <si>
    <t>28 Juni 2010</t>
  </si>
  <si>
    <t>3324132806100001</t>
  </si>
  <si>
    <t>Mlipak RT 002/RW 002 Wonosobo , Jawa Tengah, 56312</t>
  </si>
  <si>
    <t>Shoim Kurniawan</t>
  </si>
  <si>
    <t>Ardhah Romdhonah Nur</t>
  </si>
  <si>
    <t>3324132402090001</t>
  </si>
  <si>
    <t>3324130409770003</t>
  </si>
  <si>
    <t>3324135508770001</t>
  </si>
  <si>
    <t>0093831544</t>
  </si>
  <si>
    <t>Qaizer Haildhi Alyandra</t>
  </si>
  <si>
    <t>3326072208090002</t>
  </si>
  <si>
    <t>Perumahan Griya Mangli Indah Blok EE No 35 RT. 02 RW. 05, Desa Mangli, Kec. Kaliwates, Kab. Jember Jawa Timur 68136</t>
  </si>
  <si>
    <t>Yan Ari Widodo</t>
  </si>
  <si>
    <t>Pipit Candra Sari</t>
  </si>
  <si>
    <t>3326072502090003</t>
  </si>
  <si>
    <t>3325073101810001</t>
  </si>
  <si>
    <t>3326074505810021</t>
  </si>
  <si>
    <t>0102436463</t>
  </si>
  <si>
    <t>Rakha Hanif Arkana Laksono</t>
  </si>
  <si>
    <t>21 Januari 2010</t>
  </si>
  <si>
    <t>3404012101100001</t>
  </si>
  <si>
    <t>Perum Bukit Gading Cisoka Blok C4 no.12A,Selaparang,Cisoka,Tangerang Jawa Barat 15370</t>
  </si>
  <si>
    <t>Tirto Edi Laksono</t>
  </si>
  <si>
    <t>3404011904120004</t>
  </si>
  <si>
    <t>3404011408830004</t>
  </si>
  <si>
    <t>3404016310860003</t>
  </si>
  <si>
    <t>0107237213</t>
  </si>
  <si>
    <t>Rasheed Ragheb Farzany</t>
  </si>
  <si>
    <t>19 Februari 2010</t>
  </si>
  <si>
    <t>3471131902100001</t>
  </si>
  <si>
    <t>Kedon Bedog No. 49 RT 01 RW 24  Trihanggo Gamping Sleman Yogyakarta 55291</t>
  </si>
  <si>
    <t>Budi Ashari</t>
  </si>
  <si>
    <t>Yenti Afifah</t>
  </si>
  <si>
    <t>3471131810081040</t>
  </si>
  <si>
    <t>3471132009740002</t>
  </si>
  <si>
    <t>3471136404830002</t>
  </si>
  <si>
    <t>0106993081</t>
  </si>
  <si>
    <t>Zahid Jirga Karzani</t>
  </si>
  <si>
    <t>08 Januari 2010</t>
  </si>
  <si>
    <t>1903020801100001</t>
  </si>
  <si>
    <t>Karangturi RT 07, Baturetno, Banguntapan, Bantul, DIY, DI Yogyakarta, 55197</t>
  </si>
  <si>
    <t>Akhmad Sumartono</t>
  </si>
  <si>
    <t>Eni Nur Isnaini</t>
  </si>
  <si>
    <t>1971040205180001</t>
  </si>
  <si>
    <t>19030222098500002</t>
  </si>
  <si>
    <t>1903026610870001</t>
  </si>
  <si>
    <t>Surya Adi</t>
  </si>
  <si>
    <t>0102418685</t>
  </si>
  <si>
    <t>Nabil Abrar</t>
  </si>
  <si>
    <t>03 September 2010</t>
  </si>
  <si>
    <t>3603010309100001</t>
  </si>
  <si>
    <t>Jl. Kancil Putih 7 blok B1 RT.46 RW.10 Kel. Demang Lebar Daun Kec. Ilir Barat 1kota Palembang, Sumatera Selatan, 30137</t>
  </si>
  <si>
    <t>Suparmanto</t>
  </si>
  <si>
    <t>Delta Ucu Yuliana</t>
  </si>
  <si>
    <t>3603012604111092</t>
  </si>
  <si>
    <t>3603011802790003</t>
  </si>
  <si>
    <t>3603014204820004</t>
  </si>
  <si>
    <t>Serang</t>
  </si>
  <si>
    <t>0098659090</t>
  </si>
  <si>
    <t>Adnan Azukhri</t>
  </si>
  <si>
    <t>3308080611090001</t>
  </si>
  <si>
    <t>RT/ RW. 019/ 009, Dusun Demangan, Desa Congkrang, Kec. Muntilan, Kab. Magelang, Jawa Tengah 56451</t>
  </si>
  <si>
    <t>Sukadi</t>
  </si>
  <si>
    <t>Hartiningsih</t>
  </si>
  <si>
    <t>3308082402074948</t>
  </si>
  <si>
    <t>3308080409700001</t>
  </si>
  <si>
    <t>3308084606720004</t>
  </si>
  <si>
    <t>0101853554</t>
  </si>
  <si>
    <t>Muhammad Nabil Hakim Nugroho</t>
  </si>
  <si>
    <t>3215030102100006</t>
  </si>
  <si>
    <t>Dusun Purwosari RT. 01 RW. 08, Purwosari, Kebonagung, Pacitan Jawa Timur 63561</t>
  </si>
  <si>
    <t>Teguh Nugroho</t>
  </si>
  <si>
    <t>081252593747</t>
  </si>
  <si>
    <t>Novi Amalia</t>
  </si>
  <si>
    <t>3215030711070295</t>
  </si>
  <si>
    <t>3215030103800003</t>
  </si>
  <si>
    <t>3215034302790002</t>
  </si>
  <si>
    <t>M. Muttaqin Ar Rasyiid</t>
  </si>
  <si>
    <t>Halid Tsaqib Fawwas F.</t>
  </si>
  <si>
    <t>0107879945</t>
  </si>
  <si>
    <t>0102009250</t>
  </si>
  <si>
    <t>3101929089</t>
  </si>
  <si>
    <t>3094859829</t>
  </si>
  <si>
    <t>0115041337</t>
  </si>
  <si>
    <t>0097578694</t>
  </si>
  <si>
    <t>0095045610</t>
  </si>
  <si>
    <t>3089655093</t>
  </si>
  <si>
    <t>3105066485</t>
  </si>
  <si>
    <t>0106648959</t>
  </si>
  <si>
    <t>3101522194</t>
  </si>
  <si>
    <t>Muhammad Fa'iz</t>
  </si>
  <si>
    <t xml:space="preserve">0094860620	</t>
  </si>
  <si>
    <t>3106774949</t>
  </si>
  <si>
    <t>0094477374</t>
  </si>
  <si>
    <t>0099067829</t>
  </si>
  <si>
    <t>0095906454</t>
  </si>
  <si>
    <t>Ra-atsar Wiyaris Qulub</t>
  </si>
  <si>
    <t xml:space="preserve">3081851472	</t>
  </si>
  <si>
    <t>MTs-25 120006369</t>
  </si>
  <si>
    <t>MTs-25 120006431</t>
  </si>
  <si>
    <t>MTs-25 120006432</t>
  </si>
  <si>
    <t>MTs-25 120006462</t>
  </si>
  <si>
    <t>MTs-25 120006340</t>
  </si>
  <si>
    <t>MTs-25 120006463</t>
  </si>
  <si>
    <t>MTs-25 120006406</t>
  </si>
  <si>
    <t>MTs-25 120006435</t>
  </si>
  <si>
    <t>MTs-25 120006468</t>
  </si>
  <si>
    <t>MTs-25 120006322</t>
  </si>
  <si>
    <t>MTs-25 120006415</t>
  </si>
  <si>
    <t>MTs-25 120006497</t>
  </si>
  <si>
    <t>MTs-25 120006499</t>
  </si>
  <si>
    <t>MTs-25 120006422</t>
  </si>
  <si>
    <t>MTs-25 120006388</t>
  </si>
  <si>
    <t>MTs-25 120006450</t>
  </si>
  <si>
    <t>MTs-25 120006505</t>
  </si>
  <si>
    <t>MTs-25 120006330</t>
  </si>
  <si>
    <t>MTs-25 120006451</t>
  </si>
  <si>
    <t>MTs-25 120006357</t>
  </si>
  <si>
    <t>MTs-25 120006392</t>
  </si>
  <si>
    <t>MTs-25 120006333</t>
  </si>
  <si>
    <t>MTs-25 120006384</t>
  </si>
  <si>
    <t>MTs-25 120006394</t>
  </si>
  <si>
    <t>MTs-25 120006424</t>
  </si>
  <si>
    <t>MTs-25 120006453</t>
  </si>
  <si>
    <t>MTs-25
120006400</t>
  </si>
  <si>
    <t>MTs-25
120006401</t>
  </si>
  <si>
    <t>MTs-25
120006461</t>
  </si>
  <si>
    <t>MTs-25
120006402</t>
  </si>
  <si>
    <t>MTs-25
120006284</t>
  </si>
  <si>
    <t>MTs-25
120006492</t>
  </si>
  <si>
    <t>MTs-25
120006408</t>
  </si>
  <si>
    <t>MTs-25 120006409</t>
  </si>
  <si>
    <t>MTs-25
120006464</t>
  </si>
  <si>
    <t>MTs-25
120006285</t>
  </si>
  <si>
    <t>MTs-25
120006465</t>
  </si>
  <si>
    <t>MTs-25
120006288</t>
  </si>
  <si>
    <t>MTs-25 120006466</t>
  </si>
  <si>
    <t>MTs-25
120006411</t>
  </si>
  <si>
    <t>MTs-25
120006290</t>
  </si>
  <si>
    <t>MTs-25
120006413</t>
  </si>
  <si>
    <t>MTs-25
120006319</t>
  </si>
  <si>
    <t>MTs-25
120006323</t>
  </si>
  <si>
    <t>MTs-25
120006324</t>
  </si>
  <si>
    <t>MTs-25
120006325</t>
  </si>
  <si>
    <t>MTs-25
120006476</t>
  </si>
  <si>
    <t>MTs-25
120006326</t>
  </si>
  <si>
    <t>MTs-25 120006352</t>
  </si>
  <si>
    <t>MTs-25
120006327</t>
  </si>
  <si>
    <t>MTs-25
120006448</t>
  </si>
  <si>
    <t>MTs-25
120006329</t>
  </si>
  <si>
    <t>MTs-25
120006389</t>
  </si>
  <si>
    <t>MTs-25
120006452</t>
  </si>
  <si>
    <t>MTs-25
120006360</t>
  </si>
  <si>
    <t>MTs-25
120006361</t>
  </si>
  <si>
    <t>MTs-25
120006396</t>
  </si>
  <si>
    <t>MTs-25
120006397</t>
  </si>
  <si>
    <t>MTs-25
120006459</t>
  </si>
  <si>
    <t>MTs-25
120006280</t>
  </si>
  <si>
    <t>MTs-25
120006311</t>
  </si>
  <si>
    <t>MTs-25
120006312</t>
  </si>
  <si>
    <t>MTs-25
120006313</t>
  </si>
  <si>
    <t>MTs-25
120006317</t>
  </si>
  <si>
    <t>MTs-25
120006495</t>
  </si>
  <si>
    <t>MTs-25
120006381</t>
  </si>
  <si>
    <t>MTs-25
120006439</t>
  </si>
  <si>
    <t>MTs-25
120006417</t>
  </si>
  <si>
    <t>MTs-25
120006418</t>
  </si>
  <si>
    <t>MTs-25
120006472</t>
  </si>
  <si>
    <t>MTs-25
120006473</t>
  </si>
  <si>
    <t>MTs-25
120006383</t>
  </si>
  <si>
    <t>MTs-25
120006502</t>
  </si>
  <si>
    <t>MTs-25
120006477</t>
  </si>
  <si>
    <t>MTs-25
120006385</t>
  </si>
  <si>
    <t>MTs-25
120006420</t>
  </si>
  <si>
    <t>MTs-25
120006478</t>
  </si>
  <si>
    <t>MTs-25
120006386</t>
  </si>
  <si>
    <t>MTs-25
120006354</t>
  </si>
  <si>
    <t>MTs-25
120006506</t>
  </si>
  <si>
    <t>MTs-25
120006355</t>
  </si>
  <si>
    <t>MTs-25
120006357</t>
  </si>
  <si>
    <t>MTs-25
120006358</t>
  </si>
  <si>
    <t>MTs-25
120006359</t>
  </si>
  <si>
    <t>MTs-25
120006425</t>
  </si>
  <si>
    <t>MTs-25
120006305</t>
  </si>
  <si>
    <t>MTs-25
120006306</t>
  </si>
  <si>
    <t>MTs-25
120006308</t>
  </si>
  <si>
    <t>MTs-25
120006309</t>
  </si>
  <si>
    <t>MTs-25
120006512</t>
  </si>
  <si>
    <t>MTs-25
120006367</t>
  </si>
  <si>
    <t>MTs-25
120006430</t>
  </si>
  <si>
    <t>MTs-25
120006341</t>
  </si>
  <si>
    <t>MTs-25
120006433</t>
  </si>
  <si>
    <t>MTs-25
120006318</t>
  </si>
  <si>
    <t>MTs-25
120006377</t>
  </si>
  <si>
    <t>MTs-25
120006378</t>
  </si>
  <si>
    <t>MTs-25
120006380</t>
  </si>
  <si>
    <t>MTs-25
120006344</t>
  </si>
  <si>
    <t>MTs-25
120006345</t>
  </si>
  <si>
    <t>MTs-25
120006293</t>
  </si>
  <si>
    <t>MTs-25
120006294</t>
  </si>
  <si>
    <t>MTs-25 120006295</t>
  </si>
  <si>
    <t>MTs-25
120006349</t>
  </si>
  <si>
    <t>MTs-25
120006296</t>
  </si>
  <si>
    <t>MTs-25
120006501</t>
  </si>
  <si>
    <t>MTs-25
120006298</t>
  </si>
  <si>
    <t>MTs-25
120006442</t>
  </si>
  <si>
    <t>MTs-25
120006300</t>
  </si>
  <si>
    <t>MTs-25
120006446</t>
  </si>
  <si>
    <t>MTs-25
120006504</t>
  </si>
  <si>
    <t>MTs-25
120006302</t>
  </si>
  <si>
    <t>MTs-25
120006480</t>
  </si>
  <si>
    <t>MTs-25
120006303</t>
  </si>
  <si>
    <t>MTs-25
120006482</t>
  </si>
  <si>
    <t>MTs-25
120006483</t>
  </si>
  <si>
    <t>MTs-25 120006485</t>
  </si>
  <si>
    <t>MTs-25
120006334</t>
  </si>
  <si>
    <t>MTs-25
120006427</t>
  </si>
  <si>
    <t>MTs-25
120006335</t>
  </si>
  <si>
    <t>MTs-25
120006338</t>
  </si>
  <si>
    <t>MTs-25
120006365</t>
  </si>
  <si>
    <t>MTs-25
120006366</t>
  </si>
  <si>
    <t>MTs-25
120006399</t>
  </si>
  <si>
    <t>MTs-25
120006281</t>
  </si>
  <si>
    <t>MTs-25
120006282</t>
  </si>
  <si>
    <t>MTs-25
120006339</t>
  </si>
  <si>
    <t>MTs-25
120006489</t>
  </si>
  <si>
    <t>MTs-25 120006314</t>
  </si>
  <si>
    <t>MTs-25
120006283</t>
  </si>
  <si>
    <t>MTs-25
120006491</t>
  </si>
  <si>
    <t>MTs-25
120006493</t>
  </si>
  <si>
    <t>MTs-25
120006373</t>
  </si>
  <si>
    <t>MTs-25
120006376</t>
  </si>
  <si>
    <t>MTs-25
120006287</t>
  </si>
  <si>
    <t>MTs-25
120006289</t>
  </si>
  <si>
    <t>MTs-25
120006320</t>
  </si>
  <si>
    <t>MTs-25
120006346</t>
  </si>
  <si>
    <t>MTs-25
120006470</t>
  </si>
  <si>
    <t>MTs-25
120006498</t>
  </si>
  <si>
    <t>MTs-25
120006419</t>
  </si>
  <si>
    <t>MTs-25
120006421</t>
  </si>
  <si>
    <t>MTs-25
120006481</t>
  </si>
  <si>
    <t>MTs-25
120006423</t>
  </si>
  <si>
    <t>MTs-25
120006484</t>
  </si>
  <si>
    <t>MTs-25
120006486</t>
  </si>
  <si>
    <t>MTs-25
120006403</t>
  </si>
  <si>
    <t>MTs-25
120006404</t>
  </si>
  <si>
    <t>MTs-25
120006467</t>
  </si>
  <si>
    <t>MTs-25
120006412</t>
  </si>
  <si>
    <t>MTs-25
120006379</t>
  </si>
  <si>
    <t>MTs-25
120006291</t>
  </si>
  <si>
    <t>MTs-25
120006469</t>
  </si>
  <si>
    <t>MTs-25
120006347</t>
  </si>
  <si>
    <t>MTs-25
120006474</t>
  </si>
  <si>
    <t>MTs-25
120006443</t>
  </si>
  <si>
    <t>MTs-25
120006353</t>
  </si>
  <si>
    <t>MTs-25
120006328</t>
  </si>
  <si>
    <t>MTs-25
120006479</t>
  </si>
  <si>
    <t>MTs-25
120006388</t>
  </si>
  <si>
    <t>MTs-25
120006450</t>
  </si>
  <si>
    <t>MTs-25
120006508</t>
  </si>
  <si>
    <t>MTs-25
120006509</t>
  </si>
  <si>
    <t>MTs-25
120006455</t>
  </si>
  <si>
    <t>MTs-25
120006395</t>
  </si>
  <si>
    <t>MTs-25
120006362</t>
  </si>
  <si>
    <t>MTs-25
120006307</t>
  </si>
  <si>
    <t>MTs-25 120006428</t>
  </si>
  <si>
    <t>MTs-25
120006336</t>
  </si>
  <si>
    <t>MTs-25
120006337</t>
  </si>
  <si>
    <t>MTs-25
120006513</t>
  </si>
  <si>
    <t>MTs-25
120006514</t>
  </si>
  <si>
    <t>MTs-25
120006516</t>
  </si>
  <si>
    <t>MTs-25
120006539</t>
  </si>
  <si>
    <t>MTs-25
120006522</t>
  </si>
  <si>
    <t>MTs-25 120006524</t>
  </si>
  <si>
    <t>MTs-25
120006541</t>
  </si>
  <si>
    <t>MTs-25
120006525</t>
  </si>
  <si>
    <t>MTs-25
120006545</t>
  </si>
  <si>
    <t>MTs-25
120006529</t>
  </si>
  <si>
    <t>MTs-25
120006527</t>
  </si>
  <si>
    <t>MTs-25
120006528</t>
  </si>
  <si>
    <t>MTs-25 120006562</t>
  </si>
  <si>
    <t>MTs-25
120006531</t>
  </si>
  <si>
    <t>MTs-25
120006532</t>
  </si>
  <si>
    <t>MTs-25
120006550</t>
  </si>
  <si>
    <t>MTs-25
120006534</t>
  </si>
  <si>
    <t>MTs-25
120006535</t>
  </si>
  <si>
    <t>MTs-25
120006553</t>
  </si>
  <si>
    <t>MTs-25
120006520</t>
  </si>
  <si>
    <t>MTs-25
120006537</t>
  </si>
  <si>
    <t>MTs-25
120006558</t>
  </si>
  <si>
    <t>MTs-25
120006544</t>
  </si>
  <si>
    <t>MTs-25
120006547</t>
  </si>
  <si>
    <t>MTs-25
120006549</t>
  </si>
  <si>
    <t>MTs-25
120006565</t>
  </si>
  <si>
    <t>MTs-25
120006566</t>
  </si>
  <si>
    <t>MTs-25
120006568</t>
  </si>
  <si>
    <t>MTs-25
120006533</t>
  </si>
  <si>
    <t>MTs-25
120006515</t>
  </si>
  <si>
    <t>MTs-25
120006552</t>
  </si>
  <si>
    <t>MTs-25
120006554</t>
  </si>
  <si>
    <t>MTs-25
120006536</t>
  </si>
  <si>
    <t>MTs-25
120006555</t>
  </si>
  <si>
    <t>MTs-25
120006542</t>
  </si>
  <si>
    <t>MTs-25 120006543</t>
  </si>
  <si>
    <t>MTs-25
120006546</t>
  </si>
  <si>
    <t>MTs-25
120006561</t>
  </si>
  <si>
    <t>MTs-25
120006548</t>
  </si>
  <si>
    <t>MTs-25
120006567</t>
  </si>
  <si>
    <t>Dsn. Pojok RT. 01 RW. 02 Desa Pojok Kec. Garu Kab. Blitar, Jawa Timur, 66182</t>
  </si>
  <si>
    <t>Jl Kartini No 28 RT 26 Kel. Loa Ipuh Kec. Tenggarong Kab. Kutai Kartanegara Kalimantan Timur 75513</t>
  </si>
  <si>
    <t>RT. 02 RW.16 Dusun Kebonsari Kelurahan Petarukan Kec. Patarukan Kab. Pemalang 52362</t>
  </si>
  <si>
    <t>Palm Asri 2 Blok.O No. 20 RT.02 RW.06 Desa Pedagangan Kec. Dukuhwaru Kab. Tegal, Jawa Tengah, 52451</t>
  </si>
  <si>
    <t>BTN Puyung Indah Blok C 13, Desa Puyung Kec. Jonggat Kab. Lombok Tengah NTB  83561</t>
  </si>
  <si>
    <t>Dusiun Mekar Sari II RT 018 RW 04 Desa Paal Kec. Nanga Pinoh Kab. Melawi, Kalimantan Barat, 79672</t>
  </si>
  <si>
    <t>Jalan Laut 35 Rt 1/13 Cilacap,Cilacap Selatan,Cilacap,Jawa Tengah 53211</t>
  </si>
  <si>
    <t>Jl. Pragak Semanu Kec. Semanu, DI Yogyakarta, 55893</t>
  </si>
  <si>
    <t>Perum Surya Residence 2f no 38, RT. 02 RW. 05 Kel. Dukuh Tengah, Kec. Buduran, Kab. Sidoarjo, Jama Timur, 61252</t>
  </si>
  <si>
    <t xml:space="preserve">Griya Manding Asri, No. F-2, RT 06/RW 01 Kel. Manding, Kec. Temanggung, Kab. Temanggung Jawa Tengah 56224 </t>
  </si>
  <si>
    <t>Sanden DK XV, Murtigading Sanden Bantul, DI Yogyakarta, 55763</t>
  </si>
  <si>
    <t>Jalan Cempedak RT 008 RW 003 Kelurahan Keramat, Pangkalpinang, Kep. Bangka Belitung, 33134</t>
  </si>
  <si>
    <t>JL. Seruji, Dusun Tegal Pakis RT 002 RW 001 Desa Kalibaruwetan Kecamatan Kalibaru Kabupaten Banyuwangi 68467</t>
  </si>
  <si>
    <t>Gancahan VII RT 02/15 Sidomulyo Godean Sleman DIY , DI Yogyakarta, 55264</t>
  </si>
  <si>
    <t>Jl. Wolter Monginsidi No. 33, Sengkang, Kabupaten Wajo, Sulawesi Selatan, 90915</t>
  </si>
  <si>
    <t>Ngijon, Rt. 01 /Rw. 15, Sendangarum, Minggir, Sleman, DI Yogyakarta 55562</t>
  </si>
  <si>
    <t>Graha Permata Selabaya Blok A No.3, Kalimanah, Purbalingga Jawa Tengah 53371</t>
  </si>
  <si>
    <t>Jalan Raya Adiwerna 774 RT 21 RW 05 Kecamatan Adiwerna Tegal , Jawa Tengah, 52194</t>
  </si>
  <si>
    <t>Perum Sawojajar Jl Danau Rawa Pening Dalam H5 E/23 Madyopuro, Kedungkandang, Kota Malang Jawa Timur 65138</t>
  </si>
  <si>
    <t>Dusun Polaman Rt 2 Rw 5 Kecamatan Kangkung Kabupaten Kendal, Jawa Tengah, 51353</t>
  </si>
  <si>
    <t>Salam Wetan RT 01/RW 02, Desa Purwosari, Kec. Purwodadi, Kab. Purworejo Jawa Tengah 541763</t>
  </si>
  <si>
    <t>Pandansari 31 RT.03 RW.07 Pucungrejo, Muntilan, Magelang, Jawa Tengah, 56414</t>
  </si>
  <si>
    <t>Barak 1, RT 04 / RW 15, Margoluwih, Seyegan, Sleman, DIY 5561, DI Yogyakarta, 55561</t>
  </si>
  <si>
    <t>Jln Sudirman SH No 10 RT 03 Sidorejo Arut Selatan, Kalimantan Tengah, 74111</t>
  </si>
  <si>
    <t>Dramaga Cantik Residence Blok M No.3 RT 02 RW 07, Desa Dramaga, Kec. Dramaga Kab. Bogor, Jawa Barat, 16680</t>
  </si>
  <si>
    <t>Jl Tegal Gendu gang Merapi No 1123A Prenggan Kotagede DIY 55172</t>
  </si>
  <si>
    <t>Kamal Rt 02 Rw 04 Pagersari Mungkid Kabupaten Magelang, Jawa Tengah, 56512</t>
  </si>
  <si>
    <t>Diren Pedukuhan III Pandowan Galur Kulonprogo, DI Yogyakarta</t>
  </si>
  <si>
    <t>Godegan Baru no 321, RT 10, Tamantirto Kasihan Bantul Yogyakarta 55183</t>
  </si>
  <si>
    <t>N0.49, RT.03, Wonokromo II, Wonokromo, Pleret, Bantul, DI Yogyakarta, 55791</t>
  </si>
  <si>
    <t>Jl Agus Salim 62 Yogyakarta, DI Yogyakarta, 55262</t>
  </si>
  <si>
    <t>Klidon RT 06 RW 35 Sukoharjo Ngaglik, Sleman, DI Yogyakarta, 55581</t>
  </si>
  <si>
    <t>Dukuh Cokrah, RT. 002 / RW. 001 No. 100, Desa Kulu, Kec. Karanganyar, Kab. Pekalongan, Jawa Tengah. 99910</t>
  </si>
  <si>
    <t>Jl Irigasi No 36 RT 04 RW 02 Dkh Penjor Ds Karangayu Kec Cepiring Kab Kendal Prov. Jawa Tengah, 51352</t>
  </si>
  <si>
    <t>Perum Griya kencana Permai Jl. Wates Km11, RT 38, Bandut Lor, Argorejo, Sedayu, Bantul, DI Yogyakarta, 55752</t>
  </si>
  <si>
    <t>Dk. Gendogosari RT 002/005, Ds. Krengseng, Kec. Gringsing, Kab. Batang Jawa Tengah 51281</t>
  </si>
  <si>
    <t>Perum Griya Sasmita B2 No.6, Serua, Bojongsari, Kota Depok , Jawa Barat, 16517</t>
  </si>
  <si>
    <t>Jl. Dr. Sutomo RT. 6 No. 26, Kel. Karang Balik, Kec. Tarakan Barat, Kota Tarakan Kalimantan Utara 77119</t>
  </si>
  <si>
    <t>Gang Merpati 1 No 4 Karangpilang, Kota Surabaya, Jawa Timur, 60221</t>
  </si>
  <si>
    <t>Kelurahan Karangtengah RT 02 RW 1 Kecamatan Banjarnegara Kabupaten Banjarnegara , Jawa Tengah, 53416</t>
  </si>
  <si>
    <t>Jl. Pateh Kota RT. 12 No. 34 Kel. Mangkurawang Kec. Tenggarong Kab. Kutai Kartanegara, Kalimantan Timur, 75518</t>
  </si>
  <si>
    <t>Jl Pangeran Wirosobo Gang Wirokaryo RT 55 RW 14 Wirosaban Kel. Sorosutan Kec. Umbulharjo Yogyakarta, DI Yogyakarta, 55162</t>
  </si>
  <si>
    <t>Jalan Ngestitama Gang Perkutut. Brajan RT 03 Kel. Tamantirto, Kec. Kasihan, Kab. Bantul. , DI Yogyakarta, 55183</t>
  </si>
  <si>
    <t>Jl. Pakel Baru Sorosutan No.40, Sorosutan, Kec. Umbulharjo, Kota Yogyakarta, Daerah Istimewa Yogyakarta 55162</t>
  </si>
  <si>
    <t>JL Jeruk Timur 5, RT. 03 RW. 06, Sanden - Kramat Selatan - Magelang Utara, Kramat Sel., Kec. Magelang Utara, Kota</t>
  </si>
  <si>
    <t>Laelin M Enna</t>
  </si>
  <si>
    <t>NTB</t>
  </si>
  <si>
    <t>Sumberbatikan, Area Sawah, Trirenggo, Kec. Bantul, Kabupaten Bantul, Daerah Istimewa Yogyakarta 55714</t>
  </si>
  <si>
    <t>Jl. Pasukan Ronggolawe, Sirandu, Pagerkukuh, Kec. Wonosobo, Kabupaten Wonosobo, Jawa Tengah 56311</t>
  </si>
  <si>
    <t>Gg. 8, Wuled, Kec. Tirto, Kabupaten Pekalongan, Jawa Tengah 51151</t>
  </si>
  <si>
    <t>Jl. Masjid Ar. Rahman No.17, Ngemplak, Sirnoboyo, Kec. Pacitan, Kabupaten Pacitan, Jawa Timur 63551</t>
  </si>
  <si>
    <t>Jl. Mondorakan, Bodon, Jagalan, Kec. Banguntapan, Kabupaten Bantul, Daerah Istimewa Yogyakarta 55192</t>
  </si>
  <si>
    <t>Jl. Surya Kencana No.29, RT.5/RW.5, Pamulang Bar., Kec. Pamulang, Kota Tangerang Selatan, Banten 15417</t>
  </si>
  <si>
    <t>27 Februari 2010</t>
  </si>
  <si>
    <t>3301212702100001</t>
  </si>
  <si>
    <t>Jl. Sadang No.12 A, Cilumpang, Gumilir, Kec. Cilacap Utara, Kabupaten Cilacap, Jawa Tengah 53231</t>
  </si>
  <si>
    <t>Cahyono, A.Md.</t>
  </si>
  <si>
    <t>Ary Mardikasiwi</t>
  </si>
  <si>
    <t>3301211707090003</t>
  </si>
  <si>
    <t>330121120830004</t>
  </si>
  <si>
    <t>330121570830001</t>
  </si>
  <si>
    <t>Cikampek</t>
  </si>
  <si>
    <t>08 Mei 2010</t>
  </si>
  <si>
    <t xml:space="preserve"> Banyumas</t>
  </si>
  <si>
    <t>Jl. Adhyaksa, Brubahan, Kranji, Kec. Purwokerto Tim., Kabupaten Banyumas, Jawa Tengah 53116</t>
  </si>
  <si>
    <t>Jl. Raya Cagak-Subang No.17, Curugrendeng, Kec. Jalancagak, Kabupaten Subang, Jawa Barat 41281</t>
  </si>
  <si>
    <t>Kp. Kerenceng  RT 01/RW05 Desa Bojongmalaka Kec. Baleendah Kab. Bandung Jawa Barat 40375</t>
  </si>
  <si>
    <t>Bojongmalaka</t>
  </si>
  <si>
    <t>Sendangadi</t>
  </si>
  <si>
    <t>Mlati</t>
  </si>
  <si>
    <t>Ruko Gorongan, Jl. Perumnas Gorongan No.1, Ngropoh, Condongcatur, Kec. Depok, Kabupaten Sleman, Daerah Istimewa Yogyakarta 55283</t>
  </si>
  <si>
    <t>Mendawai</t>
  </si>
  <si>
    <t>Jalan Tjilik Riwut, Mendawai, Kec. Sukamara, Kabupaten Sukamara, Kalimantan Tengah 74172</t>
  </si>
  <si>
    <t>Lestari</t>
  </si>
  <si>
    <t>Wukirsari</t>
  </si>
  <si>
    <t>Jati, Wonokromo, Kec. Pleret, Kabupaten Bantul, Daerah Istimewa Yogyakarta 55791</t>
  </si>
  <si>
    <t>Ambarketawang</t>
  </si>
  <si>
    <t>Gamping</t>
  </si>
  <si>
    <t>Kramat, Sidoarum, Kec. Godean, Kabupaten Sleman, Daerah Istimewa Yogyakarta 55564</t>
  </si>
  <si>
    <t>Wike Wijayanti</t>
  </si>
  <si>
    <t>Wonokerto</t>
  </si>
  <si>
    <t>Turi</t>
  </si>
  <si>
    <t>Mantaran Road, Blunyah, Trimulyo, Kec. Sleman, Kabupaten Sleman, Daerah Istimewa Yogyakarta 55513</t>
  </si>
  <si>
    <t>Leni Triastuti</t>
  </si>
  <si>
    <t>Perumahan Bukit Gading Cisoka Blok A no.26,Selapajang,Cisoka,Tangerang , Banten, 15730</t>
  </si>
  <si>
    <t>Selapajang</t>
  </si>
  <si>
    <t>Cisoka</t>
  </si>
  <si>
    <t xml:space="preserve">Tangerang </t>
  </si>
  <si>
    <t>Sentul Jaya, Kec. Balaraja, Kabupaten Tangerang, Banten 15610</t>
  </si>
  <si>
    <t>Sidokerto</t>
  </si>
  <si>
    <t>Jl. Dr. Susanto No.123, Ngipik, Kutoharjo, Kec. Pati, Kabupaten Pati, Jawa Tengah 59118</t>
  </si>
  <si>
    <t>Jl. Ki Mangunsarkoro, Dracik Barat, Proyonanggan Sel., Kec. Batang, Kabupaten Batang, Jawa Tengah 51216</t>
  </si>
  <si>
    <t>Kramat jati</t>
  </si>
  <si>
    <t>Jl. Rantai Mas K No.52, RT.4/RW.5, Kp. Tengah, Kec. Kramat jati, Kota Jakarta Timur, Daerah Khusus Ibukota Jakarta 13540</t>
  </si>
  <si>
    <t>Kalijaga</t>
  </si>
  <si>
    <t>Harjamukti</t>
  </si>
  <si>
    <t>Jl. Pekalipan VII No. 14 Kota Cirebon</t>
  </si>
  <si>
    <t>Tamanmartani</t>
  </si>
  <si>
    <t>Kalasan</t>
  </si>
  <si>
    <t>Jl. Raya Piyungan - Prambanan, Ringin Sari, Bokoharjo, Kec. Prambanan, Kabupaten Sleman, Daerah Istimewa Yogyakarta 55572</t>
  </si>
  <si>
    <t>Randuagung</t>
  </si>
  <si>
    <t>Kebomas</t>
  </si>
  <si>
    <t>Jl. Amuntai No.1, Ponganganrejo, Yosowilangun, Kec. Manyar, Kabupaten Gresik, Jawa Timur 61151</t>
  </si>
  <si>
    <t>Tambaksari</t>
  </si>
  <si>
    <t>Kuwarasan</t>
  </si>
  <si>
    <t>Klapasawit, Wero, Kec. Gombong, Kabupaten Kebumen, Jawa Tengah 54416</t>
  </si>
  <si>
    <t>Tarau</t>
  </si>
  <si>
    <t>Yapen Selatan</t>
  </si>
  <si>
    <t>Yapen</t>
  </si>
  <si>
    <t>Dr. Sam Ratulangi Road, Serui Kota, Kec. Yapen Sel., Kabupaten Kepulauan Yapen, Papua 98215</t>
  </si>
  <si>
    <t>Purwogondo</t>
  </si>
  <si>
    <t>Kalinyamatan</t>
  </si>
  <si>
    <t>Jalan Gotri-Welahan, Rw. I, Kriyan, Kec. Kalinyamatan, Kabupaten Jepara, Jawa Tengah 59464</t>
  </si>
  <si>
    <t>Dukuh Tengah</t>
  </si>
  <si>
    <t>Buduran</t>
  </si>
  <si>
    <t>Kondangjaya</t>
  </si>
  <si>
    <t>Cisata</t>
  </si>
  <si>
    <t>Kondangjaya, Kec. Cisata, Kabupaten Pandeglang, Banten 42273</t>
  </si>
  <si>
    <t>Tirta</t>
  </si>
  <si>
    <t>Pekalongan Barat</t>
  </si>
  <si>
    <t>Jl. Kurinci No.2, Bendan, Kec. Pekalongan Bar., Kota Pekalongan, Jawa Tengah 51119</t>
  </si>
  <si>
    <t>Bolon</t>
  </si>
  <si>
    <t>Colomadu</t>
  </si>
  <si>
    <t>Karanganya</t>
  </si>
  <si>
    <t>Jalan, Gedongan, Colomadu, Karanganyar Regency, Central Java 57173</t>
  </si>
  <si>
    <t>Baturaja Lama</t>
  </si>
  <si>
    <t>Baturaja Timur</t>
  </si>
  <si>
    <t>Tj. Baru, Kec. Baturaja Timur, Kabupaten Ogan Komering Ulu, Sumatera Selatan 32121</t>
  </si>
  <si>
    <t>Magelang Tengah</t>
  </si>
  <si>
    <t>Karanggede</t>
  </si>
  <si>
    <t>Jl. Purbayan, Purbayan, Kec. Kotagede, Kota Yogyakarta, Daerah Istimewa Yogyakarta 55173</t>
  </si>
  <si>
    <t>Rejowinangun</t>
  </si>
  <si>
    <t>Jl. Serma Taruna Ramli No.3, Kotabaru, Kec. Gondokusuman, Kota Yogyakarta, Daerah Istimewa Yogyakarta</t>
  </si>
  <si>
    <t>Rawamangun</t>
  </si>
  <si>
    <t>Pulogadung</t>
  </si>
  <si>
    <t>RT.13/RW.3, Kayu Putih, Kec. Pulo Gadung, Kota Jakarta Timur, Daerah Khusus Ibukota Jakarta 13210</t>
  </si>
  <si>
    <t>Canggu</t>
  </si>
  <si>
    <t>Jetis</t>
  </si>
  <si>
    <t>Jl. Mayjen Bambang Yuwono, Temenggungan, Bakungtemenggungan, Kec. BalongBendo, Kabupaten Sidoarjo, Jawa Timur 61263</t>
  </si>
  <si>
    <t>Maria Ulfa</t>
  </si>
  <si>
    <t>Wirobrajan</t>
  </si>
  <si>
    <t>Jl. Gatotkaca No.19A, Wirobrajan, Kota Yogyakarta, Daerah Istimewa Yogyakarta 55252</t>
  </si>
  <si>
    <t>Telukjambe Timur</t>
  </si>
  <si>
    <t>Jl. Pakuncen No.184, Sukaharja, Telukjambe Timur, Karawang, Jawa Barat 41361</t>
  </si>
  <si>
    <t>Anggut Atas</t>
  </si>
  <si>
    <t>Ratu Samban</t>
  </si>
  <si>
    <t>Kota Bengkulu</t>
  </si>
  <si>
    <t>Mey Ida Magdalena</t>
  </si>
  <si>
    <t>Mangli</t>
  </si>
  <si>
    <t>Kaliwates</t>
  </si>
  <si>
    <t>Jl. Mastrip No.2, Krajan Timur, Sumbersari, Kec. Sumbersari, Kabupaten Jember, Jawa Timur 68124</t>
  </si>
  <si>
    <t>Jone</t>
  </si>
  <si>
    <t>Paser</t>
  </si>
  <si>
    <t>Tanah Grogot, Kec. Tanah Grogot, Kabupaten Paser, Kalimantan Timur 76251</t>
  </si>
  <si>
    <t>10 Mei 2009</t>
  </si>
  <si>
    <t>Manding</t>
  </si>
  <si>
    <t>l. Raya Kedu - Parakan KM 2, Kalisat, Sawah, Gandurejo, Kec. Bulu, Kabupaten Temanggung, Jawa Tengah 56253</t>
  </si>
  <si>
    <t>Pucang Anom, Bongos Kenti, Murtigading, Kec. Sanden, Kabupaten Bantul, Daerah Istimewa Yogyakarta 55763</t>
  </si>
  <si>
    <t>Ngunut</t>
  </si>
  <si>
    <t>Jl. Demuk No.56, Lingkungan 3, Ngunut, Kec. Ngunut, Kabupaten Tulungagung, Jawa Timur 66292</t>
  </si>
  <si>
    <t>Langkai</t>
  </si>
  <si>
    <t>Pahandut</t>
  </si>
  <si>
    <t>Panarung, Kec. Jekan Raya, Kota Palangka Raya, Kalimantan Tengah 73111</t>
  </si>
  <si>
    <t>Lilik Kholisatin, S.PD.I.,M.Pd.I.</t>
  </si>
  <si>
    <t>Rangkasbitung Timur</t>
  </si>
  <si>
    <t>Jl. Prof. Dr. Ir Soetami Km. 09, Kp. Peuntas Binong, Citeras – Rangkasbitung – Lebak - Banten 42312</t>
  </si>
  <si>
    <t>Ringinharjo</t>
  </si>
  <si>
    <t>Keramat</t>
  </si>
  <si>
    <t>Kep. Bangka Belitung</t>
  </si>
  <si>
    <t>Jl. Mandala, Melintang, Kec. Rangkui, Kota Pangkal Pinang, Kepulauan Bangka Belitung 33684</t>
  </si>
  <si>
    <t>Kalibaru Wetan</t>
  </si>
  <si>
    <t>Kalibaru</t>
  </si>
  <si>
    <t>Dusun Tegal Pakis, Kalibaruwetan, Kec. Kalibaru, Kabupaten Banyuwangi, Jawa Timur 68467</t>
  </si>
  <si>
    <t>Sidomulyo</t>
  </si>
  <si>
    <t>Godean</t>
  </si>
  <si>
    <t>l. Ringroad barat, Dusun Cambahan, Desa Nogotirto, Kecamatan Gamping, Cambahan, Nogotirto, Sleman, Kabupaten Sleman, Daerah Istimewa Yogyakarta 55292</t>
  </si>
  <si>
    <t>Bendungan</t>
  </si>
  <si>
    <t>Wates</t>
  </si>
  <si>
    <t>Wates, Wonosidi, Kec. Wates, Kabupaten Kulon Progo, Daerah Istimewa Yogyakarta 55651</t>
  </si>
  <si>
    <t>Durungan</t>
  </si>
  <si>
    <t>Tri Amin Lestari</t>
  </si>
  <si>
    <t>Padangsidempuan</t>
  </si>
  <si>
    <t>Patehan</t>
  </si>
  <si>
    <t>Kraton</t>
  </si>
  <si>
    <t>Jl. Patehan Kidul 8, Patehan, Kec. Kraton, Kota Yogyakarta, Di Yogyakarta, dengan kode pos 55133</t>
  </si>
  <si>
    <t>Petambakan</t>
  </si>
  <si>
    <t>Madukara</t>
  </si>
  <si>
    <t>Satu, Petambakan, Kec. Madukara, Kab. Banjarnegara, Jawa Tengah 52482</t>
  </si>
  <si>
    <t>16 Oktober 2009</t>
  </si>
  <si>
    <t>3673011610090004</t>
  </si>
  <si>
    <t>Poris Jaya</t>
  </si>
  <si>
    <t>Batu Ceper</t>
  </si>
  <si>
    <t>Kota Tangerang</t>
  </si>
  <si>
    <t>Jl. Maulana Hasanudin, RT.003/RW.007, Poris Jaya, Kec. Batuceper, Kota Tangerang, Banten 15122</t>
  </si>
  <si>
    <t>Muljadi</t>
  </si>
  <si>
    <t>Fitria Santi</t>
  </si>
  <si>
    <t>3671031403170005</t>
  </si>
  <si>
    <t>3604012601720630</t>
  </si>
  <si>
    <t>3604016011780631</t>
  </si>
  <si>
    <t>Sengkang</t>
  </si>
  <si>
    <t>Wajo</t>
  </si>
  <si>
    <t xml:space="preserve"> Sulawesi Selatan</t>
  </si>
  <si>
    <t>Jl. Durian No.8, Maddukelleng, Kec. Tempe, Kabupaten Wajo, Sulawesi Selatan 90918</t>
  </si>
  <si>
    <t>Kaimantan Tengah</t>
  </si>
  <si>
    <t>Sendangarum</t>
  </si>
  <si>
    <t>Minggir</t>
  </si>
  <si>
    <t xml:space="preserve"> Turgenen, Sumberagung, Kec. Moyudan, Kabupaten Sleman, Daerah Istimewa Yogyakarta 55563</t>
  </si>
  <si>
    <t>Pakahan</t>
  </si>
  <si>
    <t>Jogonalan</t>
  </si>
  <si>
    <t>Irobangsan, Pandes, Kec. Wedi, Kabupaten Klaten, Jawa Tengah 57461</t>
  </si>
  <si>
    <t>RT.01/RW.02, Beji, Wates, Kec. Wates, Kabupaten Kulon Progo, Daerah Istimewa Yogyakarta 55611</t>
  </si>
  <si>
    <t>Dwi Astutiningsih</t>
  </si>
  <si>
    <t>Jatikramat</t>
  </si>
  <si>
    <t>Jatiasih</t>
  </si>
  <si>
    <t>01/15/20210</t>
  </si>
  <si>
    <t>Selabaya</t>
  </si>
  <si>
    <t>Kalimanah</t>
  </si>
  <si>
    <t>Jl. Letnan Sudani, RT.03/RW.02, Kembaran Kulon, Purbalingga, Kembaran Kulon, Kec. Purbalingga, Kabupaten Purbalingga, Jawa Tengah 53319</t>
  </si>
  <si>
    <t>Bambe</t>
  </si>
  <si>
    <t>Driyorejo</t>
  </si>
  <si>
    <t>Jl. Barata Jaya I No.11, Baratajaya, Kec. Gubeng, Kota SBY, Jawa Timur 60284</t>
  </si>
  <si>
    <t>Wonokromo</t>
  </si>
  <si>
    <t>Pleret</t>
  </si>
  <si>
    <t>Kedung Sukodani</t>
  </si>
  <si>
    <t>Balongbendo</t>
  </si>
  <si>
    <t>Happy Febriana</t>
  </si>
  <si>
    <t>Beseran</t>
  </si>
  <si>
    <t>Kaliangkrik</t>
  </si>
  <si>
    <t>Bandongan, Kec. Bandongan, Kabupaten Magelang, Jawa Tengah 56151</t>
  </si>
  <si>
    <t>Adiwerna</t>
  </si>
  <si>
    <t>Adiwerna Tegal</t>
  </si>
  <si>
    <t xml:space="preserve">Tegal </t>
  </si>
  <si>
    <t>Banjaran, Tembok Banjaran, Kec. Adiwerna, Kabupaten Tegal, Jawa Tengah 52194</t>
  </si>
  <si>
    <t>Wonosari</t>
  </si>
  <si>
    <t>Jl. Mayang, Gadungsari, Wonosari, Kec. Wonosari, Kabupaten Gunung Kidul, Daerah Istimewa Yogyakarta 55851</t>
  </si>
  <si>
    <t>Langkap</t>
  </si>
  <si>
    <t>Kedungwuni</t>
  </si>
  <si>
    <t>Gg. Beringin IV No.64, Paesan Utara, Kedungwuni Bar., Kec. Kedungwuni, Kabupaten Pekalongan, Jawa Tengah 51173</t>
  </si>
  <si>
    <t>Tri Agustina</t>
  </si>
  <si>
    <t>Jatinegara</t>
  </si>
  <si>
    <t>Jl. H. Ma'ruf, Jatinegara, Kec. Jatinegara, Kabupaten Tegal, Jawa Tengah 52473</t>
  </si>
  <si>
    <t>Karang Mulya</t>
  </si>
  <si>
    <t>Pangkalan Banteng</t>
  </si>
  <si>
    <t>Pangkalan Banteng, Kec. Pangkalan Banteng, Kabupaten Kotawaringin Barat, Kalimantan Tengah 74183</t>
  </si>
  <si>
    <t>Sumarni</t>
  </si>
  <si>
    <t>Baturetno</t>
  </si>
  <si>
    <t>JL. Karanglo, Jogoragan, Banguntapan Bantul, Yogyakarta (Timur Pasar Kotagede, Barat Ringroad)</t>
  </si>
  <si>
    <t>Kampung Empat</t>
  </si>
  <si>
    <t>Tarakan Timur</t>
  </si>
  <si>
    <t>Kota Tarakan</t>
  </si>
  <si>
    <t>Jl. Sumatera RT.14 No.03, Pamusian, Kec. Tarakan Tengah, Kota Tarakan Prov. Kalimantan Utara</t>
  </si>
  <si>
    <t>Karangasem</t>
  </si>
  <si>
    <t>Laweyan</t>
  </si>
  <si>
    <t>Gg. Mangga III, Jajar, Kec. Laweyan, Kota Surakarta, Jawa Tengah 57144</t>
  </si>
  <si>
    <t>Madyopuro</t>
  </si>
  <si>
    <t>Kedungkandang</t>
  </si>
  <si>
    <t>Kota Malang</t>
  </si>
  <si>
    <t>Bunulrejo, Kec. Blimbing, Kota Malang, Jawa Timur</t>
  </si>
  <si>
    <t>Makartitama</t>
  </si>
  <si>
    <t>Polaman</t>
  </si>
  <si>
    <t>Kangkung</t>
  </si>
  <si>
    <t>Polaman, Truko, Kec. Kangkung, Kabupaten Kendal, Jawa Tengah 51353</t>
  </si>
  <si>
    <t>Semampir</t>
  </si>
  <si>
    <t>Sukolilo</t>
  </si>
  <si>
    <t>Jl. Pucang Anom No.93, Kertajaya, Kec. Gubeng, Kota SBY, Jawa Timur 60282</t>
  </si>
  <si>
    <t>Limbungan Baru</t>
  </si>
  <si>
    <t>Rumbai Pesisir</t>
  </si>
  <si>
    <t>Kota Pekanbaru</t>
  </si>
  <si>
    <t>Komplek Masjid Al Ittihad Rumbai, Lembah Damai, Kec. Rumbai Pesisir, Kota Pekanbaru, Riau 28266</t>
  </si>
  <si>
    <t>Campurejo</t>
  </si>
  <si>
    <t>Boja</t>
  </si>
  <si>
    <t>Jl. Pramuka Jl. Kauman No.105, Kauman, Boja, Kec. Boja, Kabupaten Kendal, Jawa Tengah 51381</t>
  </si>
  <si>
    <t>11 Maret 2009</t>
  </si>
  <si>
    <t>Purbayan</t>
  </si>
  <si>
    <t>Wero</t>
  </si>
  <si>
    <t>Gombong</t>
  </si>
  <si>
    <t>Anita Kurnianti, SE</t>
  </si>
  <si>
    <t>Ketapang</t>
  </si>
  <si>
    <t>Cipondoh</t>
  </si>
  <si>
    <t>Jl. Gaga Mangga Dua Rt 06/Rw 09 No.89, 11850, RT.6/RW.9, Semanan, Kec. Kalideres, Kota Jakarta Barat, Daerah Khusus Ibukota Jakarta 11850</t>
  </si>
  <si>
    <t>Hatiwe Kecil</t>
  </si>
  <si>
    <t>Sirimau</t>
  </si>
  <si>
    <t>Kota Ambon</t>
  </si>
  <si>
    <t>Jl. Gn. Malintang, Hative Kecil, Kec. Sirimau, Kota Ambon, Maluku</t>
  </si>
  <si>
    <t>Susiloharjo</t>
  </si>
  <si>
    <t>Siswodipuran</t>
  </si>
  <si>
    <t>Jl. Pisang No.8, Gatak, Siswodipuran, Kec. Boyolali, Kabupaten Boyolali, Jawa Tengah 57311</t>
  </si>
  <si>
    <t>Jenang</t>
  </si>
  <si>
    <t>Majenang</t>
  </si>
  <si>
    <t>Jl. Sirkaya 3/18 Cipancur Jenang Majenang Cilacap Jateng</t>
  </si>
  <si>
    <t>Purwodadi</t>
  </si>
  <si>
    <t>Jalan Sultan Agung Dusun II, RT.01/RW.02, Dusun II, Purwodadi, Kec. Purwodadi, Kabupaten Purworejo, Jawa Tengah 54173</t>
  </si>
  <si>
    <t>Sri Sukarsih</t>
  </si>
  <si>
    <t>Banjarejo</t>
  </si>
  <si>
    <t>Karangannyar</t>
  </si>
  <si>
    <t>Jl. Daha, RT.02/RW.III, Tanjunganom, Tj. Kulon, Kec. Kajen, Kabupaten Pekalongan, Jawa Tengah 51161</t>
  </si>
  <si>
    <t>Simpang Hindoli</t>
  </si>
  <si>
    <t>Sungai Lilin</t>
  </si>
  <si>
    <t>Musi banyuasin</t>
  </si>
  <si>
    <t>Jl. Lintas Sumatra No.KM. 115, Mekar Jadi, Kec. Sungai Lilin, Kabupaten Musi Banyuasin, Sumatera Selatan 30755</t>
  </si>
  <si>
    <t>M syairozi sobrun jamil</t>
  </si>
  <si>
    <t>Mentawa Baru</t>
  </si>
  <si>
    <t>Jl. Jend. S. Parman No.5, Mentawa Baru Hulu, Kec. Mentawa Baru Ketapang, Kabupaten Kotawaringin Timur, Kalimantan Tengah 74311</t>
  </si>
  <si>
    <t>Suminah, S.Pd</t>
  </si>
  <si>
    <t>Menteng</t>
  </si>
  <si>
    <t>Jekan Raya</t>
  </si>
  <si>
    <t>Kota Palangkaraya</t>
  </si>
  <si>
    <t>Jl. R. A. Kartini No.4, Langkai, Kec. Pahandut, Kota Palangka Raya, Kalimantan Tengah 73111</t>
  </si>
  <si>
    <t>Rus Sugianti</t>
  </si>
  <si>
    <t>16 Januari 2010</t>
  </si>
  <si>
    <t>Arcawinangun</t>
  </si>
  <si>
    <t>Purwokerto Timur</t>
  </si>
  <si>
    <t>Jl. Senopati, Dusun IV, Dukuhwaluh, Kec. Kembaran, Kabupaten Banyumas, Jawa Tengah 53182</t>
  </si>
  <si>
    <t>Endang Ekasari</t>
  </si>
  <si>
    <t>Pucungrejo</t>
  </si>
  <si>
    <t xml:space="preserve"> Jawa Tengah</t>
  </si>
  <si>
    <t>Is Nur Beiti</t>
  </si>
  <si>
    <t>Hadimulyo Timur</t>
  </si>
  <si>
    <t>Metro Pusat</t>
  </si>
  <si>
    <t>Kota Metro</t>
  </si>
  <si>
    <t xml:space="preserve"> Lampung</t>
  </si>
  <si>
    <t>Jl. Raden Intan No.92, Imopuro, Kec. Metro Pusat, Kota Metro, Lampung 34125</t>
  </si>
  <si>
    <t>11 Agustus 2009</t>
  </si>
  <si>
    <t>Belitung Darat</t>
  </si>
  <si>
    <t>Simp Rahmat</t>
  </si>
  <si>
    <t>Jl. Cemp. 2 No.29, Kertak Baru Ulu, Kec. Banjarmasin Tengah, Kota Banjarmasin, Kalimantan Selatan 70231</t>
  </si>
  <si>
    <t>Pulosari</t>
  </si>
  <si>
    <t>jl.YOS Sudarso No.km.3, Silenggang, Ps. Batang, Kec. Brebes, Kabupaten Brebes, Jawa Tengah 52212</t>
  </si>
  <si>
    <t>Malasom</t>
  </si>
  <si>
    <t>Aimas</t>
  </si>
  <si>
    <t>Jl. Wortel, Malawele, Kec. Aimas, Kabupaten Sorong, Papua Bar. 98414</t>
  </si>
  <si>
    <t>Margoluwih</t>
  </si>
  <si>
    <t>Kasuran, Pete, Margodadi, Kec. Seyegan, Kabupaten Sleman, Daerah Istimewa Yogyakarta 55561</t>
  </si>
  <si>
    <t>Air Putih</t>
  </si>
  <si>
    <t>Samarinda Ulu</t>
  </si>
  <si>
    <t>Kota Samarinda</t>
  </si>
  <si>
    <t>Cangkudu</t>
  </si>
  <si>
    <t>Balaraja</t>
  </si>
  <si>
    <t>Ringin Agung</t>
  </si>
  <si>
    <t>Krajan, Mantren, Kec. Karangrejo, Kabupaten Magetan, Jawa Timur 63395</t>
  </si>
  <si>
    <t>Mlipak</t>
  </si>
  <si>
    <t>Tutik Handayani</t>
  </si>
  <si>
    <t>Selaparang</t>
  </si>
  <si>
    <t>Kelapa Gading Barat</t>
  </si>
  <si>
    <t>Kelapa Gading</t>
  </si>
  <si>
    <t>Jakarta Utara</t>
  </si>
  <si>
    <t>Kemudo</t>
  </si>
  <si>
    <t>Prambanan</t>
  </si>
  <si>
    <t>Dukutalit, Juwana, Brumbun, Dukutalit, Kec. Pati, Kabupaten Pati, Jawa Tengah 59185</t>
  </si>
  <si>
    <t>20 November 2011</t>
  </si>
  <si>
    <t>Sumberrahayu</t>
  </si>
  <si>
    <t>Moyudan</t>
  </si>
  <si>
    <t>Gamping Lor, Ambarketawang, Kec. Gamping, Kabupaten Sleman, Daerah Istimewa Yogyakarta 55294</t>
  </si>
  <si>
    <t>Siti Marwati, M.Si.</t>
  </si>
  <si>
    <t>01 November 2010</t>
  </si>
  <si>
    <t>Harapan Baru</t>
  </si>
  <si>
    <t>Bekasi Utara</t>
  </si>
  <si>
    <t>Jl. Taman Wisma Asri, RT.004/RW.007, Tlk. Pucung, Kec. Bekasi Utara, Kota Bks, Jawa Barat 17121</t>
  </si>
  <si>
    <t>Congkrang</t>
  </si>
  <si>
    <t>Gg. Santren I No.II, Santren, Gunungpring, Kec. Muntilan, Kabupaten Magelang, Jawa Tengah 56415</t>
  </si>
  <si>
    <t>Jl. Ringroad barat, Dusun Cambahan, Desa Nogotirto, Kecamatan Gamping, Cambahan, Nogotirto, Sleman, Kabupaten Sleman, Daerah Istimewa Yogyakarta 55292</t>
  </si>
  <si>
    <t>Menongo</t>
  </si>
  <si>
    <t>Sukodadi</t>
  </si>
  <si>
    <t xml:space="preserve">Jl. Raden Wijaya Sukodadi, Sukodadi, Kec. Sukodadi, Kab. Lamongan Prov. Jawa Timur </t>
  </si>
  <si>
    <t>Sidorejo</t>
  </si>
  <si>
    <t>Arut Selatan</t>
  </si>
  <si>
    <t>Jl. Haji Moestalim, RT.16/RW.04, Madurejo, Kec. Arut Sel., Kabupaten Kotawaringin Barat, Kalimantan Tengah 74112</t>
  </si>
  <si>
    <t>Manjung</t>
  </si>
  <si>
    <t>Ngawen</t>
  </si>
  <si>
    <t>Jl. Singosari, Jetis, Belang Wetan, Kec. Klaten Utara, Kabupaten Klaten, Jawa Tengah 57436</t>
  </si>
  <si>
    <t>06 Maret 2009</t>
  </si>
  <si>
    <t>Kedungwaringin</t>
  </si>
  <si>
    <t>Bojong Gede</t>
  </si>
  <si>
    <t>blok gapura no, Gg. Lurah Muda Blok Gapura No.40, RT.3/RW.3, Cimanggis, Kecamatan Bojonggede, Kabupaten Bogor, Jawa Barat 16920</t>
  </si>
  <si>
    <t>Dwi Suci Lestari</t>
  </si>
  <si>
    <t>Pisangan</t>
  </si>
  <si>
    <t>Ciputat Timur</t>
  </si>
  <si>
    <t xml:space="preserve"> Tangerang Selatan</t>
  </si>
  <si>
    <t>Komplek UIN Syarif Hidayatullah Jakarta, Jl. Ibnu Taimia IV, Pisangan, Kec. Ciputat Tim., Kota Tangerang Selatan, Banten 15419</t>
  </si>
  <si>
    <t>Dramaga</t>
  </si>
  <si>
    <t>RT.03/RW.01, Margajaya, Kec. Bogor Bar., Kota Bogor, Jawa Barat 16116</t>
  </si>
  <si>
    <t>Jl. Tegalturi No.45, Giwangan, Kec. Umbulharjo, Kota Yogyakarta, Daerah Istimewa Yogyakarta 55163</t>
  </si>
  <si>
    <t>11 Februari 2009</t>
  </si>
  <si>
    <t>Banngunjiwo</t>
  </si>
  <si>
    <t>Kasihan</t>
  </si>
  <si>
    <t>Kenali Besar</t>
  </si>
  <si>
    <t>Alam Barajo</t>
  </si>
  <si>
    <t>Kota Jambi</t>
  </si>
  <si>
    <t>Lorong Syech Mahmud Kelurahan No.RT 16, Kenali Besar, Kecamatan Alam Barajo, Kota Jambi, Jambi 36361</t>
  </si>
  <si>
    <t>Gedangan</t>
  </si>
  <si>
    <t>Grogol</t>
  </si>
  <si>
    <t>Jl. Dr. Wahidin No.36, Bumi, Kec. Laweyan, Kota Surakarta, Jawa Tengah 57149</t>
  </si>
  <si>
    <t>Dwi Yani Yuniarti, SEI</t>
  </si>
  <si>
    <t>Jaraksari</t>
  </si>
  <si>
    <t>Pagersari</t>
  </si>
  <si>
    <t>Mungkid</t>
  </si>
  <si>
    <t>JL Jeruk Timur 5, RT. 03 RW. 06, Sanden - Kramat Selatan - Magelang Utara, Kramat Sel., Kec. Magelang Utara, Kota Magelang, Jawa Tengah 56115</t>
  </si>
  <si>
    <t>Jl. Imogiri Barat No.Km. 7, Semail, Bangunharjo, Kec. Sewon, Kabupaten Bantul, Daerah Istimewa Yogyakarta 55188</t>
  </si>
  <si>
    <t>Dieng Wetan</t>
  </si>
  <si>
    <t>Kejajar</t>
  </si>
  <si>
    <t>Jl. Telaga Warna, Dieng, Kec. Kejajar, Kabupaten Wonosobo, Jawa Tengah 56354</t>
  </si>
  <si>
    <t>Marfina</t>
  </si>
  <si>
    <t>Ngupasan</t>
  </si>
  <si>
    <t>Gondomanan</t>
  </si>
  <si>
    <t>Kampung islam, Jl. Kauman, Ngupasan, Kec. Gondomanan, Kota Yogyakarta, Daerah Istimewa Yogyakarta 55122</t>
  </si>
  <si>
    <t>Bukit Beringin Asri</t>
  </si>
  <si>
    <t>Jl. Raya Klampisan No.1, Ngaliyan, Kec. Ngaliyan, Kota Semarang, Jawa Tengah 50181</t>
  </si>
  <si>
    <t>Ike Dwi Hastuti</t>
  </si>
  <si>
    <t>Tanjung</t>
  </si>
  <si>
    <t>Juwiring</t>
  </si>
  <si>
    <t>Gumantar, Kwarasan, Kec. Juwiring, Kabupaten Klaten, Jawa Tengah 57472</t>
  </si>
  <si>
    <t>Demang Lebar Daun</t>
  </si>
  <si>
    <t>Ilir Barat</t>
  </si>
  <si>
    <t>Jl. Raya Bukit Sejahtera, RT.76/RW.022, Bukit Lama, Kec. Ilir Bar. I, Kota Palembang, Sumatera Selatan 30139</t>
  </si>
  <si>
    <t>Kasongan Lama</t>
  </si>
  <si>
    <t>Katingan Hilir</t>
  </si>
  <si>
    <t xml:space="preserve">Kab. Katingan </t>
  </si>
  <si>
    <t>Jl. Jambu, Kereng Humbang, Kasongan Lama, Kec. Katingan Hilir, Kabupaten Katingan, Kalimantan Tengah 74413</t>
  </si>
  <si>
    <t>Nurhidayah</t>
  </si>
  <si>
    <t>Sambung Jawa</t>
  </si>
  <si>
    <t>Mamajang</t>
  </si>
  <si>
    <t>Balang Baru, Kec. Tamalate, Kota Makassar, Sulawesi Selatan 90224</t>
  </si>
  <si>
    <t>Pandowan</t>
  </si>
  <si>
    <t>Galur</t>
  </si>
  <si>
    <t>Jeronan, X, Bulak Lor Pandowan, Brosot, Kec. Galur, Kabupaten Kulon Progo, Daerah Istimewa Yogyakarta 55661</t>
  </si>
  <si>
    <t>Candiroto</t>
  </si>
  <si>
    <t>Jl. Raya Kedu - Parakan KM 2, Kalisat, Sawah, Gandurejo, Kec. Bulu, Kabupaten Temanggung, Jawa Tengah 56253</t>
  </si>
  <si>
    <t>Gedong</t>
  </si>
  <si>
    <t>Pasar Rebo</t>
  </si>
  <si>
    <t>06 November 2010</t>
  </si>
  <si>
    <t>Jl. Brawijaya Jl. Gatak, Gatak, Tamantirto, Kec. Kasihan, Kabupaten Bantul, Daerah Istimewa Yogyakarta 55183</t>
  </si>
  <si>
    <t>09 Februari 2009</t>
  </si>
  <si>
    <t>Kebon Batur</t>
  </si>
  <si>
    <t>Mranggen</t>
  </si>
  <si>
    <t>l. Pucang Jajar Timur Raya No.5, Pucanggading, Batursari, Kec. Mranggen, Kabupaten Demak, Jawa Tengah 59567</t>
  </si>
  <si>
    <t>Kota Tangerang,</t>
  </si>
  <si>
    <t>Gamping Kidul RT. 03 / RW/ 17, Ambarketawang, Gamping Kidul, Ambarketawang, Kec. Gamping, Kabupaten Sleman, Daerah Istimewa Yogyakarta 55294</t>
  </si>
  <si>
    <t>09 Mei 2009</t>
  </si>
  <si>
    <t>Jl. Mayor Dasuki Gg. Klasi Daim No. 84 Jatibarang Jatibarang Kab. Indramayu</t>
  </si>
  <si>
    <t>08 Mei 2009</t>
  </si>
  <si>
    <t>Jatiwangi</t>
  </si>
  <si>
    <t>Asakota</t>
  </si>
  <si>
    <t>Nusa Tenggara Barat (NTB)</t>
  </si>
  <si>
    <t>Melayu, Kec. Asakota, Kabupaten Bima, Nusa Tenggara Bar. 84118</t>
  </si>
  <si>
    <t>Penyangkringan</t>
  </si>
  <si>
    <t>Weleri</t>
  </si>
  <si>
    <t>Sitimulyo</t>
  </si>
  <si>
    <t>Piyungan</t>
  </si>
  <si>
    <t>Cepit, Bokoharjo, Kec. Prambanan, Kabupaten Sleman, Daerah Istimewa Yogyakarta 55572</t>
  </si>
  <si>
    <t>Ratamba</t>
  </si>
  <si>
    <t>Pejawaran</t>
  </si>
  <si>
    <t>Dusun 1 Ratamba, Ratamba, Kec. Pejawaran, Kab. Banjarnegara, Jawa Tengah 53454</t>
  </si>
  <si>
    <t>331409040210001</t>
  </si>
  <si>
    <t>Kroyo</t>
  </si>
  <si>
    <t>Karangmalang</t>
  </si>
  <si>
    <t>Jl. Batanghari, Sumengko, Sragen Tengah, Kec. Sragen, Kabupaten Sragen, Jawa Tengah 57211</t>
  </si>
  <si>
    <t>Sumadi</t>
  </si>
  <si>
    <t>Hasri Rohmani</t>
  </si>
  <si>
    <t>Swasta</t>
  </si>
  <si>
    <t>3314090307080001</t>
  </si>
  <si>
    <t>3314090809620034</t>
  </si>
  <si>
    <t>3314094105890003</t>
  </si>
  <si>
    <t>Jambidan</t>
  </si>
  <si>
    <t>Jalan Kranon Nitikan No.UH 6, RT.45/RW.11, Sorosutan, Kec. Umbulharjo, Kota Yogyakarta, Daerah Istimewa Yogyakarta 55162</t>
  </si>
  <si>
    <t>29 April 2010</t>
  </si>
  <si>
    <t>Pasirkratonkramat</t>
  </si>
  <si>
    <t>Kota Pekalongan</t>
  </si>
  <si>
    <t>Sudi Raharjo</t>
  </si>
  <si>
    <t>Ida Nafiaty</t>
  </si>
  <si>
    <t>3327132104070055</t>
  </si>
  <si>
    <t>337131607760004</t>
  </si>
  <si>
    <t>3327136707790006</t>
  </si>
  <si>
    <t>Sei Lulut</t>
  </si>
  <si>
    <t>Banjarmasin Timur</t>
  </si>
  <si>
    <t>Jl. A. Yani No.1, Kuripan, Kec. Banjarmasin Tim., Kota Banjarmasin, Kalimantan Selatan 70236</t>
  </si>
  <si>
    <t>Bening Prawita Sari</t>
  </si>
  <si>
    <t>Jl. H. Agus Salim No.66, Notoprajan, Ngampilan, Kota Yogyakarta, Daerah Istimewa Yogyakarta 55262</t>
  </si>
  <si>
    <t>Harjanti Dian Nurani</t>
  </si>
  <si>
    <t>Ngaglik</t>
  </si>
  <si>
    <t>Sleman, DI Yogyakarta</t>
  </si>
  <si>
    <t>Simo</t>
  </si>
  <si>
    <t>Slahung</t>
  </si>
  <si>
    <t>Jl. Batoro Katong No.6, Sultanagung, Nologaten, Kec. Ponorogo, Kabupaten Ponorogo, Jawa Timur 63411</t>
  </si>
  <si>
    <t>Kulu</t>
  </si>
  <si>
    <t>Medaeng</t>
  </si>
  <si>
    <t>Waru</t>
  </si>
  <si>
    <t>Jln. Rosalia, Bulak, Nglaban, Kec. Loceret, Kabupaten Nganjuk, Jawa Timur 64471</t>
  </si>
  <si>
    <t>Karangayu</t>
  </si>
  <si>
    <t>Cepiring</t>
  </si>
  <si>
    <t>Jl. Kendal Asri Raya, Mannggisan, Langenharjo, Kec. Kendal, Kabupaten Kendal, Jawa Tengah 51314</t>
  </si>
  <si>
    <t>Trihanggo</t>
  </si>
  <si>
    <t>Jl. Suronatan, Notoprajan, Ngampilan, Kota Yogyakarta, Daerah Istimewa Yogyakarta 55262</t>
  </si>
  <si>
    <t>Rina Ikawati Oktaviana</t>
  </si>
  <si>
    <t>Rangkui</t>
  </si>
  <si>
    <t>Kota Pangkalpinang</t>
  </si>
  <si>
    <t>JL. K.H Ahmad Dahlan, Mangkol, Kec. Pangkalan Baru, Kab. Bangka Tengah, Kepulauan Bangka Belitung 33684</t>
  </si>
  <si>
    <t>Mekar Sari</t>
  </si>
  <si>
    <t>Ilir Talo</t>
  </si>
  <si>
    <t>Seluma</t>
  </si>
  <si>
    <t>Sidorejo, Kec. Curup Tengah, Kabupaten Rejang Lebong, Bengkulu</t>
  </si>
  <si>
    <t>Argorejo</t>
  </si>
  <si>
    <t>Sedayu</t>
  </si>
  <si>
    <t>Bandut Lor, Argorejo, Kec. Sedayu, Kabupaten Bantul, DI Yogyakarta 55752</t>
  </si>
  <si>
    <t>Krengseng</t>
  </si>
  <si>
    <t>Gringsing</t>
  </si>
  <si>
    <t>Jl. Bahari, Desa Karanganom, Weleri, Peniten, Karanganom, Kendal, Kabupaten Kendal, Jawa Tengah 51355</t>
  </si>
  <si>
    <t>Bojongsari</t>
  </si>
  <si>
    <t>Kota</t>
  </si>
  <si>
    <t xml:space="preserve">Depok </t>
  </si>
  <si>
    <t>Serua, Bojongsari, Kota Depok , Jawa Barat</t>
  </si>
  <si>
    <t>Cibadak</t>
  </si>
  <si>
    <t>Tanah Sereal</t>
  </si>
  <si>
    <t>Budi Agung, Jl. Perdana No.8, RT.02/RW.05, Sukadamai, Kec. Tanah Sereal, Kota Bogor, Jawa Barat 16165</t>
  </si>
  <si>
    <t>Gambasan</t>
  </si>
  <si>
    <t>Selopampang</t>
  </si>
  <si>
    <t>Jl. Perintis Kemerdekaan No.41, Jurang 1, Jurang, Kec. Temanggung, Kabupaten Temanggung, Jawa Tengah 56222</t>
  </si>
  <si>
    <t>Slerok</t>
  </si>
  <si>
    <t>Tegal Timur</t>
  </si>
  <si>
    <t>Jalan Surabayan No. 8, RT. 01 RW. 14, Panggung, Tegal Timur, Panggung, Kec. Tegal Tim., Kota Tegal, Jawa Tengah 52122</t>
  </si>
  <si>
    <t>Jl. Kaliurang No.27, Gambiran, Pakembinangun, Kec. Pakem, Kabupaten Sleman, Daerah Istimewa Yogyakarta 55582</t>
  </si>
  <si>
    <t>Karang Balik</t>
  </si>
  <si>
    <t>Tarakan Barat</t>
  </si>
  <si>
    <t>Lingkas Ujung, Kec. Tarakan Tim., Kota Tarakan, Kalimantan Utara</t>
  </si>
  <si>
    <t>Kertajaya</t>
  </si>
  <si>
    <t>Padalarang</t>
  </si>
  <si>
    <t>Kab. Bandung Barat</t>
  </si>
  <si>
    <t>Jl. Raya Gadobangkong No.167 B, Cimareme, Kec. Ngamprah, Kabupaten Bandung Barat, Jawa Barat 40524</t>
  </si>
  <si>
    <t>Pojok</t>
  </si>
  <si>
    <t>Garum</t>
  </si>
  <si>
    <t>Jl. Maluku, Jatinom, Kuningan, Kec. Kanigoro, Kabupaten Blitar, Jawa Timur 66171</t>
  </si>
  <si>
    <t>Karangpilang</t>
  </si>
  <si>
    <t>Kota Surabaya</t>
  </si>
  <si>
    <t>Jl. Kemlaten Baru Utara No.43, Kebraon, Kec. Karangpilang, Kota SBY, Jawa Timur 60222</t>
  </si>
  <si>
    <t>Johar Baru</t>
  </si>
  <si>
    <t xml:space="preserve"> DKI Jakarta</t>
  </si>
  <si>
    <t>Jl. Utan Kayu Raya No.20, RT.9/RW.2, Utan Kayu Utara, Kec. Matraman, Kota Jakarta Timur, Daerah Khusus Ibukota Jakarta 13120</t>
  </si>
  <si>
    <t>Suci</t>
  </si>
  <si>
    <t>Manyar</t>
  </si>
  <si>
    <t>Karangtengah</t>
  </si>
  <si>
    <t xml:space="preserve">Banjarnegara </t>
  </si>
  <si>
    <t>Jl. Pemuda No.61A, Semarang, Kec. Banjarnegara, Kab. Banjarnegara, Jawa Tengah 53411</t>
  </si>
  <si>
    <t>Pemurus Luar</t>
  </si>
  <si>
    <t>Jl. Bumi Mas Raya No.12A, Pemurus Baru, Kec. Banjarmasin Sel., Kota Banjarmasin, Kalimantan Selatan 70249</t>
  </si>
  <si>
    <t>Malaysia Barat</t>
  </si>
  <si>
    <t>Kampung Sungai Kayu Ara</t>
  </si>
  <si>
    <t>Bandar Utama Damansara</t>
  </si>
  <si>
    <t>Pataling Jaya</t>
  </si>
  <si>
    <t>Selangor, Malaysia</t>
  </si>
  <si>
    <t>2nd Floor No-15A-3 Jalan PJU 6A/3, Jalan PJU 6a/3a, Kampung Sungai Kayu Ara, 46100 Petaling Jaya, Selangor, Malaysia</t>
  </si>
  <si>
    <t>mandar</t>
  </si>
  <si>
    <t>Sulawesi barat</t>
  </si>
  <si>
    <t xml:space="preserve"> JL. Prof. Muhamad Yamin, Pekkabata, Kec. Polewali, Kabupaten Polewali Mandar, Sulawesi Barat 91311</t>
  </si>
  <si>
    <t>Mangkurawang</t>
  </si>
  <si>
    <t>Kutai Kartanegara</t>
  </si>
  <si>
    <t>Jl. KH Ahmad Dahlan, Baru, Kec. Tenggarong, Kabupaten Kutai Kartanegara, Kalimantan Timur 75513</t>
  </si>
  <si>
    <t>Kab</t>
  </si>
  <si>
    <t>Kartanegara</t>
  </si>
  <si>
    <t>Jatingaleh</t>
  </si>
  <si>
    <t>Candi Sari</t>
  </si>
  <si>
    <t>Jl. Durian Selatan I No.6, Srondol Wetan, Kec. Banyumanik, Kota Semarang, Jawa Tengah 50249</t>
  </si>
  <si>
    <t>Tambakreja</t>
  </si>
  <si>
    <t>Jl. Masjid No.4, Cilacap, Sidanegara, Kec. Cilacap Tengah, Kabupaten Cilacap, Jawa Tengah 53212</t>
  </si>
  <si>
    <t>Mulusan</t>
  </si>
  <si>
    <t>Paliyan</t>
  </si>
  <si>
    <t>Simpang Belutu, Kec. Kandis, Kabupaten Siak, Riau 28686</t>
  </si>
  <si>
    <t>Panggungharjo</t>
  </si>
  <si>
    <t>Sewon</t>
  </si>
  <si>
    <t>Gg. Melati II, Krapyak Kulon, Panggungharjo, Kec. Sewon, Kabupaten Bantul, Daerah Istimewa Yogyakarta 55188</t>
  </si>
  <si>
    <t>Kampung Lapai</t>
  </si>
  <si>
    <t>Nanggalo</t>
  </si>
  <si>
    <t>Loa Ipuh</t>
  </si>
  <si>
    <t>Yuliana Agustiana</t>
  </si>
  <si>
    <t>Sukarami</t>
  </si>
  <si>
    <t>Jl. Ogan Jaya, Kebun Bunga, Kec. Sukarami, Kota Palembang, Sumatera Selatan 30961</t>
  </si>
  <si>
    <t>Pamulang Barat</t>
  </si>
  <si>
    <t>Kota Tangerang Selatan</t>
  </si>
  <si>
    <t>Kergon</t>
  </si>
  <si>
    <t>jawa tengah</t>
  </si>
  <si>
    <t>Jl. Manunggal Gg. 2, Kraton Lor, Kec. Pekalongan Utara, Kota Pekalongan, Jawa Tengah 51145</t>
  </si>
  <si>
    <t>Zainal mutaqin</t>
  </si>
  <si>
    <t>Sepunggur</t>
  </si>
  <si>
    <t>Kusan Hilir</t>
  </si>
  <si>
    <t>Tanah Bumbu</t>
  </si>
  <si>
    <t>Batuah, Kec. Kusan Hilir, Kabupaten Tanah Bumbu, Kalimantan Selatan 72273</t>
  </si>
  <si>
    <t>Tanah Baru</t>
  </si>
  <si>
    <t>Beji</t>
  </si>
  <si>
    <t>Jl. Timbul No.60, RT.2/RW.3, Cipedak, Kec. Jagakarsa, Kota Jakarta Selatan, Daerah Khusus Ibukota Jakarta 12630</t>
  </si>
  <si>
    <t>Ganjuran</t>
  </si>
  <si>
    <t>Caturharjo</t>
  </si>
  <si>
    <t>Jl. Tegal sari, Wonokerso, Lumbungrejo, Kec. Tempel, Kabupaten Sleman, Daerah Istimewa Yogyakarta 55552</t>
  </si>
  <si>
    <t>Sukamantri</t>
  </si>
  <si>
    <t>Pasar Kemis</t>
  </si>
  <si>
    <t>Caringin, Kec. Cisoka, Kabupaten Tangerang, Banten 15730</t>
  </si>
  <si>
    <t>Kacepit</t>
  </si>
  <si>
    <t>Selompampang</t>
  </si>
  <si>
    <t>Jl. Kartini No.36 Cublikan, Kowangan, Kec. Temanggung, Kabupaten Temanggung, Jawa Tengah 56217</t>
  </si>
  <si>
    <t>Tamantirto</t>
  </si>
  <si>
    <t>Jl. Mujahidin No. 26, Giyanti, Kauman, Giyanti, Kec. Temanggung, Kabupaten Temanggung, Jawa Tengah 56225</t>
  </si>
  <si>
    <t>Madyocondro</t>
  </si>
  <si>
    <t>Secang</t>
  </si>
  <si>
    <t>Jl. Raya Magelang-Semarang No.56, Tegowanon, Payaman, Kec. Secang, Kabupaten Magelang, Jawa Tengah 56195</t>
  </si>
  <si>
    <t>Sekip Lama</t>
  </si>
  <si>
    <t>Singkawang</t>
  </si>
  <si>
    <t>Barat</t>
  </si>
  <si>
    <t>Pasiran, Kec. Singkawang Bar., Kota Singkawang, Kalimantan Barat 79123</t>
  </si>
  <si>
    <t>Kemiri Muka</t>
  </si>
  <si>
    <t>Jl. Kedondong II, Kemiri Muka, Kecamatan Beji, Kota Depok, Jawa Barat 16423</t>
  </si>
  <si>
    <t>MTs. Mu'allimin Muh. Yogyakarta</t>
  </si>
  <si>
    <t>Jl. Letjend. S. Parman No. 68 Yogyakarta 55012</t>
  </si>
  <si>
    <t>Jl. Letjend. S. Parman No. 68 Yogyakarta 55013</t>
  </si>
  <si>
    <t>Jl. Letjend. S. Parman No. 68 Yogyakarta 55014</t>
  </si>
  <si>
    <t>Jl. Letjend. S. Parman No. 68 Yogyakarta 55015</t>
  </si>
  <si>
    <t>Jl. Letjend. S. Parman No. 68 Yogyakarta 55016</t>
  </si>
  <si>
    <t>Jl. Letjend. S. Parman No. 68 Yogyakarta 55017</t>
  </si>
  <si>
    <t>Jl. Letjend. S. Parman No. 68 Yogyakarta 55018</t>
  </si>
  <si>
    <t>Jl. Letjend. S. Parman No. 68 Yogyakarta 55020</t>
  </si>
  <si>
    <t>Jl. Letjend. S. Parman No. 68 Yogyakarta 55021</t>
  </si>
  <si>
    <t>Jl. Letjend. S. Parman No. 68 Yogyakarta 55022</t>
  </si>
  <si>
    <t>Jl. Letjend. S. Parman No. 68 Yogyakarta 55023</t>
  </si>
  <si>
    <t>Jl. Letjend. S. Parman No. 68 Yogyakarta 55024</t>
  </si>
  <si>
    <t>Jl. Letjend. S. Parman No. 68 Yogyakarta 55025</t>
  </si>
  <si>
    <t>Jl. Letjend. S. Parman No. 68 Yogyakarta 55026</t>
  </si>
  <si>
    <t>Jl. Letjend. S. Parman No. 68 Yogyakarta 55027</t>
  </si>
  <si>
    <t>yraf</t>
  </si>
  <si>
    <t>Tommy Andhik Wibowo</t>
  </si>
  <si>
    <t>Mario Parakas, SH, MH</t>
  </si>
  <si>
    <t>Mukramin Muhidin Zain</t>
  </si>
  <si>
    <t>3 MTs</t>
  </si>
  <si>
    <t>SciA</t>
  </si>
  <si>
    <t>SciB</t>
  </si>
  <si>
    <t>DATA SISWA KELAS V / XI A</t>
  </si>
  <si>
    <t>KELAS V / XI A</t>
  </si>
  <si>
    <t>DATA SISWA KELAS V / XI B</t>
  </si>
  <si>
    <t>KELAS V / XI B</t>
  </si>
  <si>
    <t>DATA SISWA KELAS V / XI C</t>
  </si>
  <si>
    <t>KELAS V / XI C</t>
  </si>
  <si>
    <t>DATA SISWA KELAS V / XI D</t>
  </si>
  <si>
    <t>KELAS V / XI D</t>
  </si>
  <si>
    <t>DATA SISWA KELAS V / XI E</t>
  </si>
  <si>
    <t>KELAS V / XI E</t>
  </si>
  <si>
    <t>DATA SISWA KELAS V / XI F</t>
  </si>
  <si>
    <t>KELAS V / XI F</t>
  </si>
  <si>
    <t>DATA SISWA KELAS V / XI Science A</t>
  </si>
  <si>
    <t>DATA SISWA KELAS V / XI Science B</t>
  </si>
  <si>
    <t>DATA SISWA KELAS V / XI Social</t>
  </si>
  <si>
    <t>TAHUN PELAJARAN 2026/2027</t>
  </si>
  <si>
    <t>Dr. Mhd. Lailan Arqam, M.Pd.</t>
  </si>
  <si>
    <t xml:space="preserve"> -   / 895 833</t>
  </si>
  <si>
    <t>Nayif Fairuza, S.Hum., M.A.</t>
  </si>
  <si>
    <t>Arif Alfatah, S.PdSi.,M.Sc.</t>
  </si>
  <si>
    <t>Muh Fikri Noor Fajri, S.Hum.</t>
  </si>
  <si>
    <t>H. Agus Salim, S.H.I.,M.S.I.</t>
  </si>
  <si>
    <t>Muhammad Asyad Arifi, Lc.</t>
  </si>
  <si>
    <t>Munzilin, S.H.I., M.Pd.</t>
  </si>
  <si>
    <t>Seno Adhi Nugroho, S.Pd.</t>
  </si>
  <si>
    <t>Dhimas Ardya Riadus Sholikhin, S.Pd.</t>
  </si>
  <si>
    <t>Ade Kriyadi Sholeh Widyantoro, S.Sos.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</si>
</sst>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21]dd\ mmmm\ yyyy;@"/>
    <numFmt numFmtId="166" formatCode="yyyy\-mm\-dd;@"/>
  </numFmts>
  <fonts count="43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wis721 Cn BT"/>
      <family val="2"/>
    </font>
    <font>
      <sz val="11"/>
      <color theme="1"/>
      <name val="Calibri Light"/>
      <family val="1"/>
      <scheme val="major"/>
    </font>
    <font>
      <sz val="10"/>
      <color theme="1"/>
      <name val="Cambria"/>
      <family val="1"/>
    </font>
    <font>
      <sz val="9"/>
      <color theme="1"/>
      <name val="Cambria"/>
      <family val="1"/>
    </font>
    <font>
      <sz val="10"/>
      <name val="Cambria"/>
      <family val="1"/>
    </font>
    <font>
      <sz val="12"/>
      <color theme="1"/>
      <name val="Cambria"/>
      <family val="1"/>
    </font>
    <font>
      <sz val="16"/>
      <color theme="1"/>
      <name val="Cambria"/>
      <family val="1"/>
    </font>
    <font>
      <sz val="11"/>
      <color theme="1"/>
      <name val="Cambria"/>
      <family val="1"/>
    </font>
    <font>
      <sz val="11"/>
      <name val="Cambria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4"/>
      <name val="Bodoni MT Black"/>
      <family val="1"/>
    </font>
    <font>
      <sz val="9"/>
      <color theme="1"/>
      <name val="Times New Roman"/>
      <family val="1"/>
    </font>
    <font>
      <b/>
      <sz val="10"/>
      <color theme="1"/>
      <name val="Times New Roman"/>
      <family val="1"/>
    </font>
    <font>
      <u/>
      <sz val="11"/>
      <color theme="10"/>
      <name val="Calibri"/>
      <family val="2"/>
      <charset val="1"/>
      <scheme val="minor"/>
    </font>
    <font>
      <sz val="11"/>
      <name val="Times New Roman"/>
      <family val="1"/>
    </font>
    <font>
      <u/>
      <sz val="11"/>
      <color theme="10"/>
      <name val="Times New Roman"/>
      <family val="1"/>
    </font>
    <font>
      <sz val="8"/>
      <name val="Calibri"/>
      <family val="2"/>
      <charset val="1"/>
      <scheme val="minor"/>
    </font>
    <font>
      <u/>
      <sz val="12"/>
      <color theme="10"/>
      <name val="Times New Roman"/>
      <family val="1"/>
    </font>
    <font>
      <sz val="11"/>
      <color rgb="FF000000"/>
      <name val="Times New Roman"/>
      <family val="1"/>
    </font>
    <font>
      <sz val="8"/>
      <color rgb="FF000000"/>
      <name val="Times New Roman"/>
      <family val="1"/>
    </font>
    <font>
      <sz val="10"/>
      <name val="Arial"/>
      <family val="2"/>
    </font>
    <font>
      <sz val="10"/>
      <color rgb="FFFF0000"/>
      <name val="Calibri"/>
      <family val="2"/>
      <scheme val="minor"/>
    </font>
    <font>
      <sz val="9"/>
      <color theme="1"/>
      <name val="Swis721 Cn BT"/>
      <family val="2"/>
    </font>
    <font>
      <sz val="11"/>
      <name val="Calibri"/>
      <family val="2"/>
      <charset val="1"/>
      <scheme val="minor"/>
    </font>
    <font>
      <sz val="11"/>
      <color rgb="FF202124"/>
      <name val="Arial"/>
      <family val="2"/>
    </font>
    <font>
      <sz val="10"/>
      <color rgb="FF202124"/>
      <name val="Arial"/>
      <family val="2"/>
    </font>
    <font>
      <sz val="10"/>
      <color rgb="FF222222"/>
      <name val="Times New Roman"/>
      <family val="1"/>
    </font>
    <font>
      <sz val="12"/>
      <color rgb="FF202124"/>
      <name val="Times New Roman"/>
      <family val="1"/>
    </font>
    <font>
      <sz val="12"/>
      <name val="Times New Roman"/>
      <family val="1"/>
    </font>
    <font>
      <b/>
      <sz val="12"/>
      <color rgb="FF000000"/>
      <name val="Arial Narrow"/>
      <family val="2"/>
    </font>
    <font>
      <b/>
      <sz val="12"/>
      <color theme="1"/>
      <name val="Arial Narrow"/>
      <family val="2"/>
    </font>
  </fonts>
  <fills count="15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25" fillId="0" borderId="0" applyNumberFormat="0" applyFill="0" applyBorder="0" applyAlignment="0" applyProtection="0"/>
  </cellStyleXfs>
  <cellXfs count="373">
    <xf numFmtId="0" fontId="0" fillId="0" borderId="0" xfId="0"/>
    <xf numFmtId="0" fontId="5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1" fontId="5" fillId="0" borderId="0" xfId="0" applyNumberFormat="1" applyFont="1" applyAlignment="1">
      <alignment horizontal="center"/>
    </xf>
    <xf numFmtId="1" fontId="5" fillId="0" borderId="0" xfId="0" applyNumberFormat="1" applyFont="1"/>
    <xf numFmtId="0" fontId="5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0" fontId="8" fillId="0" borderId="4" xfId="0" applyFont="1" applyBorder="1" applyAlignment="1">
      <alignment horizontal="center" vertical="center" readingOrder="1"/>
    </xf>
    <xf numFmtId="0" fontId="3" fillId="0" borderId="0" xfId="0" applyFont="1"/>
    <xf numFmtId="0" fontId="9" fillId="2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11" borderId="4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0" fillId="0" borderId="0" xfId="0" applyFont="1" applyProtection="1">
      <protection locked="0"/>
    </xf>
    <xf numFmtId="0" fontId="11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49" fontId="11" fillId="0" borderId="4" xfId="0" applyNumberFormat="1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wrapText="1"/>
    </xf>
    <xf numFmtId="0" fontId="19" fillId="0" borderId="4" xfId="0" applyFont="1" applyBorder="1" applyAlignment="1">
      <alignment horizontal="center" vertical="center"/>
    </xf>
    <xf numFmtId="1" fontId="20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49" fontId="19" fillId="0" borderId="4" xfId="0" applyNumberFormat="1" applyFont="1" applyBorder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 wrapText="1"/>
    </xf>
    <xf numFmtId="14" fontId="19" fillId="0" borderId="0" xfId="0" applyNumberFormat="1" applyFont="1" applyAlignment="1">
      <alignment horizontal="center" vertical="center"/>
    </xf>
    <xf numFmtId="49" fontId="19" fillId="0" borderId="0" xfId="0" applyNumberFormat="1" applyFont="1" applyAlignment="1">
      <alignment vertical="center"/>
    </xf>
    <xf numFmtId="49" fontId="19" fillId="0" borderId="4" xfId="0" applyNumberFormat="1" applyFont="1" applyBorder="1" applyAlignment="1">
      <alignment horizontal="center" vertical="center" wrapText="1"/>
    </xf>
    <xf numFmtId="1" fontId="5" fillId="0" borderId="0" xfId="0" applyNumberFormat="1" applyFont="1" applyAlignment="1">
      <alignment vertical="center" wrapText="1"/>
    </xf>
    <xf numFmtId="49" fontId="19" fillId="12" borderId="4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/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center"/>
    </xf>
    <xf numFmtId="49" fontId="5" fillId="0" borderId="4" xfId="0" applyNumberFormat="1" applyFont="1" applyBorder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2" fillId="0" borderId="5" xfId="0" applyFont="1" applyBorder="1" applyProtection="1">
      <protection locked="0"/>
    </xf>
    <xf numFmtId="0" fontId="5" fillId="0" borderId="1" xfId="0" applyFont="1" applyBorder="1" applyAlignment="1">
      <alignment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164" fontId="5" fillId="0" borderId="0" xfId="0" applyNumberFormat="1" applyFont="1" applyAlignment="1">
      <alignment horizontal="center"/>
    </xf>
    <xf numFmtId="0" fontId="9" fillId="12" borderId="4" xfId="0" applyFont="1" applyFill="1" applyBorder="1" applyAlignment="1">
      <alignment horizontal="center" vertical="center"/>
    </xf>
    <xf numFmtId="0" fontId="22" fillId="0" borderId="5" xfId="0" applyFont="1" applyBorder="1" applyAlignment="1" applyProtection="1">
      <alignment horizontal="center"/>
      <protection locked="0"/>
    </xf>
    <xf numFmtId="1" fontId="19" fillId="0" borderId="4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24" fillId="0" borderId="4" xfId="0" applyNumberFormat="1" applyFont="1" applyBorder="1" applyAlignment="1">
      <alignment horizontal="center" vertical="center" wrapText="1"/>
    </xf>
    <xf numFmtId="164" fontId="24" fillId="0" borderId="4" xfId="0" applyNumberFormat="1" applyFont="1" applyBorder="1" applyAlignment="1">
      <alignment horizontal="center" vertical="center" wrapText="1"/>
    </xf>
    <xf numFmtId="49" fontId="19" fillId="0" borderId="0" xfId="0" applyNumberFormat="1" applyFont="1" applyAlignment="1">
      <alignment horizontal="center" wrapText="1"/>
    </xf>
    <xf numFmtId="164" fontId="19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4" fillId="0" borderId="7" xfId="0" applyNumberFormat="1" applyFont="1" applyBorder="1" applyAlignment="1">
      <alignment horizontal="center" vertical="center" wrapText="1"/>
    </xf>
    <xf numFmtId="0" fontId="6" fillId="13" borderId="2" xfId="0" applyFont="1" applyFill="1" applyBorder="1" applyAlignment="1">
      <alignment vertical="center" wrapText="1"/>
    </xf>
    <xf numFmtId="0" fontId="6" fillId="13" borderId="6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 wrapText="1"/>
    </xf>
    <xf numFmtId="49" fontId="5" fillId="13" borderId="1" xfId="0" applyNumberFormat="1" applyFont="1" applyFill="1" applyBorder="1" applyAlignment="1">
      <alignment vertical="center" wrapText="1"/>
    </xf>
    <xf numFmtId="0" fontId="19" fillId="13" borderId="4" xfId="0" applyFont="1" applyFill="1" applyBorder="1" applyAlignment="1">
      <alignment vertical="center" wrapText="1"/>
    </xf>
    <xf numFmtId="0" fontId="5" fillId="13" borderId="4" xfId="0" applyFont="1" applyFill="1" applyBorder="1" applyAlignment="1">
      <alignment vertical="center" wrapText="1"/>
    </xf>
    <xf numFmtId="0" fontId="30" fillId="4" borderId="20" xfId="0" applyFont="1" applyFill="1" applyBorder="1" applyAlignment="1">
      <alignment vertical="center"/>
    </xf>
    <xf numFmtId="1" fontId="5" fillId="4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vertical="center" wrapText="1"/>
    </xf>
    <xf numFmtId="0" fontId="6" fillId="13" borderId="20" xfId="0" applyFont="1" applyFill="1" applyBorder="1" applyAlignment="1">
      <alignment vertical="center" wrapText="1"/>
    </xf>
    <xf numFmtId="0" fontId="6" fillId="13" borderId="21" xfId="0" applyFont="1" applyFill="1" applyBorder="1" applyAlignment="1">
      <alignment vertical="center" wrapText="1"/>
    </xf>
    <xf numFmtId="0" fontId="21" fillId="13" borderId="21" xfId="0" applyFont="1" applyFill="1" applyBorder="1" applyAlignment="1">
      <alignment vertical="center" wrapText="1"/>
    </xf>
    <xf numFmtId="0" fontId="30" fillId="13" borderId="21" xfId="0" applyFont="1" applyFill="1" applyBorder="1" applyAlignment="1">
      <alignment vertical="center" wrapText="1"/>
    </xf>
    <xf numFmtId="166" fontId="5" fillId="13" borderId="4" xfId="0" quotePrefix="1" applyNumberFormat="1" applyFont="1" applyFill="1" applyBorder="1" applyAlignment="1">
      <alignment horizontal="center" vertical="center"/>
    </xf>
    <xf numFmtId="166" fontId="5" fillId="13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 wrapText="1"/>
    </xf>
    <xf numFmtId="49" fontId="6" fillId="13" borderId="4" xfId="0" applyNumberFormat="1" applyFont="1" applyFill="1" applyBorder="1" applyAlignment="1">
      <alignment horizontal="center" vertical="center" wrapText="1"/>
    </xf>
    <xf numFmtId="49" fontId="6" fillId="13" borderId="4" xfId="0" applyNumberFormat="1" applyFont="1" applyFill="1" applyBorder="1" applyAlignment="1">
      <alignment vertical="center"/>
    </xf>
    <xf numFmtId="1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5" fillId="13" borderId="4" xfId="0" applyFont="1" applyFill="1" applyBorder="1" applyAlignment="1">
      <alignment horizontal="left" vertical="center"/>
    </xf>
    <xf numFmtId="49" fontId="5" fillId="13" borderId="4" xfId="0" applyNumberFormat="1" applyFont="1" applyFill="1" applyBorder="1" applyAlignment="1">
      <alignment vertical="center"/>
    </xf>
    <xf numFmtId="166" fontId="5" fillId="13" borderId="4" xfId="0" applyNumberFormat="1" applyFont="1" applyFill="1" applyBorder="1" applyAlignment="1">
      <alignment vertical="center"/>
    </xf>
    <xf numFmtId="49" fontId="21" fillId="0" borderId="4" xfId="0" applyNumberFormat="1" applyFont="1" applyBorder="1" applyAlignment="1">
      <alignment vertical="center" wrapText="1"/>
    </xf>
    <xf numFmtId="49" fontId="23" fillId="0" borderId="0" xfId="0" applyNumberFormat="1" applyFont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1" fontId="19" fillId="0" borderId="0" xfId="0" applyNumberFormat="1" applyFont="1" applyAlignment="1">
      <alignment vertical="center" wrapText="1"/>
    </xf>
    <xf numFmtId="49" fontId="23" fillId="0" borderId="0" xfId="0" applyNumberFormat="1" applyFont="1" applyAlignment="1">
      <alignment vertical="center" wrapText="1"/>
    </xf>
    <xf numFmtId="49" fontId="21" fillId="0" borderId="0" xfId="0" applyNumberFormat="1" applyFont="1" applyAlignment="1">
      <alignment vertical="center" wrapText="1"/>
    </xf>
    <xf numFmtId="49" fontId="23" fillId="0" borderId="0" xfId="0" applyNumberFormat="1" applyFont="1" applyAlignment="1">
      <alignment vertical="center"/>
    </xf>
    <xf numFmtId="0" fontId="9" fillId="14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left" vertical="center" wrapText="1"/>
    </xf>
    <xf numFmtId="0" fontId="5" fillId="13" borderId="17" xfId="0" applyFont="1" applyFill="1" applyBorder="1" applyAlignment="1">
      <alignment vertical="center" wrapText="1"/>
    </xf>
    <xf numFmtId="0" fontId="5" fillId="13" borderId="17" xfId="0" applyFont="1" applyFill="1" applyBorder="1" applyAlignment="1">
      <alignment horizontal="left" vertical="center"/>
    </xf>
    <xf numFmtId="0" fontId="5" fillId="13" borderId="17" xfId="0" applyFont="1" applyFill="1" applyBorder="1" applyAlignment="1">
      <alignment horizontal="left" vertical="center" wrapText="1"/>
    </xf>
    <xf numFmtId="49" fontId="5" fillId="13" borderId="17" xfId="0" applyNumberFormat="1" applyFont="1" applyFill="1" applyBorder="1" applyAlignment="1">
      <alignment vertical="center"/>
    </xf>
    <xf numFmtId="0" fontId="31" fillId="0" borderId="4" xfId="0" applyFont="1" applyBorder="1" applyAlignment="1">
      <alignment vertical="center" wrapText="1"/>
    </xf>
    <xf numFmtId="14" fontId="19" fillId="0" borderId="4" xfId="0" applyNumberFormat="1" applyFont="1" applyBorder="1" applyAlignment="1">
      <alignment horizontal="center" vertical="center" wrapText="1"/>
    </xf>
    <xf numFmtId="14" fontId="19" fillId="0" borderId="0" xfId="0" applyNumberFormat="1" applyFont="1" applyAlignment="1">
      <alignment horizontal="center" vertical="center" wrapText="1"/>
    </xf>
    <xf numFmtId="49" fontId="19" fillId="0" borderId="0" xfId="0" quotePrefix="1" applyNumberFormat="1" applyFont="1" applyAlignment="1">
      <alignment vertical="center"/>
    </xf>
    <xf numFmtId="1" fontId="19" fillId="0" borderId="4" xfId="0" applyNumberFormat="1" applyFont="1" applyBorder="1" applyAlignment="1">
      <alignment vertical="center"/>
    </xf>
    <xf numFmtId="1" fontId="21" fillId="0" borderId="4" xfId="0" applyNumberFormat="1" applyFont="1" applyBorder="1" applyAlignment="1">
      <alignment vertical="center" wrapText="1"/>
    </xf>
    <xf numFmtId="1" fontId="19" fillId="0" borderId="4" xfId="0" quotePrefix="1" applyNumberFormat="1" applyFont="1" applyBorder="1" applyAlignment="1">
      <alignment vertical="center"/>
    </xf>
    <xf numFmtId="0" fontId="0" fillId="13" borderId="4" xfId="0" applyFill="1" applyBorder="1" applyAlignment="1">
      <alignment horizontal="center" vertical="center"/>
    </xf>
    <xf numFmtId="1" fontId="5" fillId="13" borderId="7" xfId="0" applyNumberFormat="1" applyFont="1" applyFill="1" applyBorder="1" applyAlignment="1">
      <alignment horizontal="center" vertical="center"/>
    </xf>
    <xf numFmtId="1" fontId="5" fillId="13" borderId="1" xfId="0" applyNumberFormat="1" applyFont="1" applyFill="1" applyBorder="1" applyAlignment="1">
      <alignment horizontal="center" vertical="center"/>
    </xf>
    <xf numFmtId="0" fontId="5" fillId="13" borderId="21" xfId="0" applyFont="1" applyFill="1" applyBorder="1" applyAlignment="1">
      <alignment horizontal="left" vertical="center" wrapText="1" indent="2"/>
    </xf>
    <xf numFmtId="0" fontId="9" fillId="2" borderId="16" xfId="0" applyFont="1" applyFill="1" applyBorder="1" applyAlignment="1">
      <alignment horizontal="center" vertical="center"/>
    </xf>
    <xf numFmtId="0" fontId="0" fillId="13" borderId="22" xfId="0" applyFill="1" applyBorder="1" applyAlignment="1">
      <alignment horizontal="center" vertical="center"/>
    </xf>
    <xf numFmtId="0" fontId="34" fillId="14" borderId="4" xfId="0" applyFont="1" applyFill="1" applyBorder="1" applyAlignment="1">
      <alignment horizontal="center" vertical="center"/>
    </xf>
    <xf numFmtId="2" fontId="19" fillId="0" borderId="0" xfId="0" applyNumberFormat="1" applyFont="1" applyAlignment="1">
      <alignment vertical="center"/>
    </xf>
    <xf numFmtId="2" fontId="23" fillId="0" borderId="0" xfId="0" applyNumberFormat="1" applyFont="1" applyAlignment="1">
      <alignment horizontal="center" vertical="center" wrapText="1"/>
    </xf>
    <xf numFmtId="165" fontId="19" fillId="0" borderId="0" xfId="0" applyNumberFormat="1" applyFont="1" applyAlignment="1">
      <alignment horizontal="center" vertical="center" wrapText="1"/>
    </xf>
    <xf numFmtId="1" fontId="19" fillId="0" borderId="0" xfId="0" applyNumberFormat="1" applyFont="1" applyAlignment="1">
      <alignment vertical="center"/>
    </xf>
    <xf numFmtId="1" fontId="19" fillId="0" borderId="0" xfId="0" quotePrefix="1" applyNumberFormat="1" applyFont="1" applyAlignment="1">
      <alignment vertical="center"/>
    </xf>
    <xf numFmtId="1" fontId="23" fillId="0" borderId="4" xfId="0" applyNumberFormat="1" applyFont="1" applyBorder="1" applyAlignment="1">
      <alignment horizontal="center" vertical="center" wrapText="1"/>
    </xf>
    <xf numFmtId="0" fontId="5" fillId="13" borderId="0" xfId="0" applyFont="1" applyFill="1" applyAlignment="1">
      <alignment vertical="center"/>
    </xf>
    <xf numFmtId="0" fontId="0" fillId="13" borderId="23" xfId="0" applyFill="1" applyBorder="1" applyAlignment="1">
      <alignment horizontal="center" vertical="center"/>
    </xf>
    <xf numFmtId="165" fontId="7" fillId="13" borderId="4" xfId="0" quotePrefix="1" applyNumberFormat="1" applyFont="1" applyFill="1" applyBorder="1" applyAlignment="1">
      <alignment horizontal="center" vertical="center"/>
    </xf>
    <xf numFmtId="1" fontId="7" fillId="13" borderId="4" xfId="0" applyNumberFormat="1" applyFont="1" applyFill="1" applyBorder="1" applyAlignment="1">
      <alignment horizontal="center" vertical="center"/>
    </xf>
    <xf numFmtId="1" fontId="20" fillId="13" borderId="4" xfId="0" applyNumberFormat="1" applyFont="1" applyFill="1" applyBorder="1" applyAlignment="1">
      <alignment horizontal="center" vertical="center" wrapText="1"/>
    </xf>
    <xf numFmtId="1" fontId="23" fillId="0" borderId="0" xfId="0" applyNumberFormat="1" applyFont="1" applyAlignment="1">
      <alignment horizontal="center" vertical="center" wrapText="1"/>
    </xf>
    <xf numFmtId="1" fontId="21" fillId="0" borderId="0" xfId="0" applyNumberFormat="1" applyFont="1" applyAlignment="1">
      <alignment vertical="center" wrapText="1"/>
    </xf>
    <xf numFmtId="0" fontId="32" fillId="13" borderId="23" xfId="0" applyFon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49" fontId="6" fillId="13" borderId="4" xfId="0" applyNumberFormat="1" applyFont="1" applyFill="1" applyBorder="1" applyAlignment="1">
      <alignment vertical="center" wrapText="1"/>
    </xf>
    <xf numFmtId="1" fontId="5" fillId="13" borderId="8" xfId="0" applyNumberFormat="1" applyFont="1" applyFill="1" applyBorder="1" applyAlignment="1">
      <alignment horizontal="center" vertical="center"/>
    </xf>
    <xf numFmtId="1" fontId="5" fillId="13" borderId="3" xfId="0" applyNumberFormat="1" applyFont="1" applyFill="1" applyBorder="1" applyAlignment="1">
      <alignment horizontal="center" vertical="center"/>
    </xf>
    <xf numFmtId="1" fontId="7" fillId="13" borderId="4" xfId="0" applyNumberFormat="1" applyFont="1" applyFill="1" applyBorder="1" applyAlignment="1">
      <alignment horizontal="center" vertical="center" wrapText="1"/>
    </xf>
    <xf numFmtId="49" fontId="5" fillId="13" borderId="2" xfId="0" applyNumberFormat="1" applyFont="1" applyFill="1" applyBorder="1" applyAlignment="1">
      <alignment horizontal="center" vertical="center" wrapText="1"/>
    </xf>
    <xf numFmtId="1" fontId="20" fillId="13" borderId="16" xfId="0" applyNumberFormat="1" applyFont="1" applyFill="1" applyBorder="1" applyAlignment="1">
      <alignment horizontal="center" vertical="center" wrapText="1"/>
    </xf>
    <xf numFmtId="0" fontId="0" fillId="13" borderId="24" xfId="0" applyFill="1" applyBorder="1" applyAlignment="1">
      <alignment horizontal="center" vertical="center"/>
    </xf>
    <xf numFmtId="1" fontId="33" fillId="13" borderId="4" xfId="0" applyNumberFormat="1" applyFont="1" applyFill="1" applyBorder="1" applyAlignment="1">
      <alignment horizontal="center" vertical="center" wrapText="1"/>
    </xf>
    <xf numFmtId="49" fontId="5" fillId="13" borderId="4" xfId="0" quotePrefix="1" applyNumberFormat="1" applyFont="1" applyFill="1" applyBorder="1" applyAlignment="1">
      <alignment horizontal="center" vertical="center" wrapText="1"/>
    </xf>
    <xf numFmtId="0" fontId="32" fillId="13" borderId="24" xfId="0" applyFont="1" applyFill="1" applyBorder="1" applyAlignment="1">
      <alignment horizontal="center" vertical="center"/>
    </xf>
    <xf numFmtId="49" fontId="5" fillId="13" borderId="16" xfId="0" applyNumberFormat="1" applyFont="1" applyFill="1" applyBorder="1" applyAlignment="1">
      <alignment vertical="center" wrapText="1"/>
    </xf>
    <xf numFmtId="1" fontId="19" fillId="0" borderId="4" xfId="0" quotePrefix="1" applyNumberFormat="1" applyFont="1" applyBorder="1" applyAlignment="1">
      <alignment vertical="center" wrapText="1"/>
    </xf>
    <xf numFmtId="0" fontId="5" fillId="0" borderId="13" xfId="0" applyFont="1" applyBorder="1" applyAlignment="1">
      <alignment vertical="center" wrapText="1"/>
    </xf>
    <xf numFmtId="165" fontId="5" fillId="0" borderId="4" xfId="0" applyNumberFormat="1" applyFont="1" applyBorder="1" applyAlignment="1">
      <alignment horizontal="center" vertical="center"/>
    </xf>
    <xf numFmtId="165" fontId="5" fillId="0" borderId="4" xfId="0" quotePrefix="1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vertical="center"/>
    </xf>
    <xf numFmtId="0" fontId="5" fillId="0" borderId="4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6" fillId="12" borderId="6" xfId="0" applyFont="1" applyFill="1" applyBorder="1" applyAlignment="1">
      <alignment vertical="center" wrapText="1"/>
    </xf>
    <xf numFmtId="0" fontId="6" fillId="4" borderId="6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5" fillId="0" borderId="16" xfId="0" applyFont="1" applyBorder="1" applyAlignment="1">
      <alignment vertical="center" wrapText="1"/>
    </xf>
    <xf numFmtId="1" fontId="5" fillId="0" borderId="7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164" fontId="19" fillId="0" borderId="4" xfId="0" applyNumberFormat="1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166" fontId="5" fillId="0" borderId="4" xfId="0" quotePrefix="1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 wrapText="1"/>
    </xf>
    <xf numFmtId="49" fontId="5" fillId="0" borderId="4" xfId="0" applyNumberFormat="1" applyFont="1" applyBorder="1" applyAlignment="1">
      <alignment vertical="center" wrapText="1"/>
    </xf>
    <xf numFmtId="1" fontId="5" fillId="0" borderId="4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 wrapText="1"/>
    </xf>
    <xf numFmtId="0" fontId="5" fillId="0" borderId="19" xfId="0" applyFont="1" applyBorder="1" applyAlignment="1">
      <alignment vertical="center" wrapText="1"/>
    </xf>
    <xf numFmtId="1" fontId="5" fillId="12" borderId="7" xfId="0" applyNumberFormat="1" applyFont="1" applyFill="1" applyBorder="1" applyAlignment="1">
      <alignment horizontal="center" vertical="center"/>
    </xf>
    <xf numFmtId="1" fontId="5" fillId="12" borderId="1" xfId="0" applyNumberFormat="1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vertical="center" wrapText="1"/>
    </xf>
    <xf numFmtId="166" fontId="5" fillId="12" borderId="4" xfId="0" applyNumberFormat="1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 wrapText="1"/>
    </xf>
    <xf numFmtId="0" fontId="6" fillId="12" borderId="4" xfId="0" applyFont="1" applyFill="1" applyBorder="1" applyAlignment="1">
      <alignment vertical="center" wrapText="1"/>
    </xf>
    <xf numFmtId="0" fontId="5" fillId="12" borderId="14" xfId="0" applyFont="1" applyFill="1" applyBorder="1" applyAlignment="1">
      <alignment vertical="center"/>
    </xf>
    <xf numFmtId="1" fontId="5" fillId="0" borderId="8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5" fontId="0" fillId="0" borderId="1" xfId="0" quotePrefix="1" applyNumberFormat="1" applyBorder="1" applyAlignment="1">
      <alignment horizontal="center" vertical="center" wrapText="1"/>
    </xf>
    <xf numFmtId="0" fontId="36" fillId="0" borderId="4" xfId="0" applyFont="1" applyBorder="1" applyAlignment="1">
      <alignment wrapText="1"/>
    </xf>
    <xf numFmtId="0" fontId="5" fillId="0" borderId="18" xfId="0" applyFont="1" applyBorder="1" applyAlignment="1">
      <alignment horizontal="center" vertical="center"/>
    </xf>
    <xf numFmtId="0" fontId="37" fillId="0" borderId="0" xfId="0" applyFont="1" applyAlignment="1">
      <alignment wrapText="1"/>
    </xf>
    <xf numFmtId="0" fontId="5" fillId="0" borderId="19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18" fillId="0" borderId="14" xfId="0" applyFont="1" applyBorder="1" applyAlignment="1">
      <alignment vertical="center" wrapText="1"/>
    </xf>
    <xf numFmtId="0" fontId="5" fillId="0" borderId="8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37" fillId="0" borderId="4" xfId="0" applyFont="1" applyBorder="1" applyAlignment="1">
      <alignment wrapText="1"/>
    </xf>
    <xf numFmtId="166" fontId="5" fillId="4" borderId="4" xfId="0" quotePrefix="1" applyNumberFormat="1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3" xfId="0" applyFont="1" applyFill="1" applyBorder="1" applyAlignment="1">
      <alignment vertical="center" wrapText="1"/>
    </xf>
    <xf numFmtId="0" fontId="6" fillId="4" borderId="4" xfId="0" applyFont="1" applyFill="1" applyBorder="1" applyAlignment="1">
      <alignment vertical="center" wrapText="1"/>
    </xf>
    <xf numFmtId="0" fontId="5" fillId="0" borderId="10" xfId="0" applyFont="1" applyBorder="1" applyAlignment="1">
      <alignment vertical="center" wrapText="1"/>
    </xf>
    <xf numFmtId="0" fontId="38" fillId="0" borderId="0" xfId="0" applyFont="1" applyAlignment="1">
      <alignment vertical="center" wrapText="1"/>
    </xf>
    <xf numFmtId="0" fontId="21" fillId="12" borderId="4" xfId="0" applyFont="1" applyFill="1" applyBorder="1" applyAlignment="1">
      <alignment vertical="center" wrapText="1"/>
    </xf>
    <xf numFmtId="0" fontId="39" fillId="0" borderId="0" xfId="0" applyFont="1" applyAlignment="1">
      <alignment wrapText="1"/>
    </xf>
    <xf numFmtId="0" fontId="36" fillId="0" borderId="0" xfId="0" applyFont="1" applyAlignment="1">
      <alignment wrapText="1"/>
    </xf>
    <xf numFmtId="49" fontId="5" fillId="0" borderId="4" xfId="0" applyNumberFormat="1" applyFont="1" applyBorder="1" applyAlignment="1">
      <alignment horizontal="left" vertical="center"/>
    </xf>
    <xf numFmtId="1" fontId="5" fillId="4" borderId="7" xfId="0" applyNumberFormat="1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 wrapText="1"/>
    </xf>
    <xf numFmtId="165" fontId="5" fillId="0" borderId="0" xfId="0" applyNumberFormat="1" applyFont="1" applyAlignment="1">
      <alignment horizontal="center" vertical="center"/>
    </xf>
    <xf numFmtId="165" fontId="5" fillId="0" borderId="0" xfId="0" quotePrefix="1" applyNumberFormat="1" applyFont="1" applyAlignment="1">
      <alignment horizontal="center" vertical="center"/>
    </xf>
    <xf numFmtId="49" fontId="19" fillId="4" borderId="4" xfId="0" applyNumberFormat="1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vertical="center"/>
    </xf>
    <xf numFmtId="166" fontId="5" fillId="0" borderId="0" xfId="0" applyNumberFormat="1" applyFont="1" applyAlignment="1">
      <alignment vertical="center"/>
    </xf>
    <xf numFmtId="0" fontId="5" fillId="0" borderId="9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5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5" fillId="0" borderId="15" xfId="0" applyFont="1" applyBorder="1" applyAlignment="1">
      <alignment vertical="center"/>
    </xf>
    <xf numFmtId="49" fontId="5" fillId="0" borderId="16" xfId="0" applyNumberFormat="1" applyFont="1" applyBorder="1" applyAlignment="1">
      <alignment vertical="center"/>
    </xf>
    <xf numFmtId="166" fontId="5" fillId="0" borderId="16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49" fontId="19" fillId="13" borderId="4" xfId="0" applyNumberFormat="1" applyFont="1" applyFill="1" applyBorder="1" applyAlignment="1">
      <alignment vertical="center" wrapText="1"/>
    </xf>
    <xf numFmtId="164" fontId="19" fillId="13" borderId="4" xfId="0" applyNumberFormat="1" applyFont="1" applyFill="1" applyBorder="1" applyAlignment="1">
      <alignment vertical="center" wrapText="1"/>
    </xf>
    <xf numFmtId="1" fontId="19" fillId="0" borderId="0" xfId="0" quotePrefix="1" applyNumberFormat="1" applyFont="1" applyAlignment="1">
      <alignment vertical="center" wrapText="1"/>
    </xf>
    <xf numFmtId="0" fontId="40" fillId="0" borderId="4" xfId="0" applyFont="1" applyBorder="1" applyAlignment="1">
      <alignment vertical="center" wrapText="1"/>
    </xf>
    <xf numFmtId="3" fontId="41" fillId="13" borderId="4" xfId="0" applyNumberFormat="1" applyFont="1" applyFill="1" applyBorder="1" applyAlignment="1">
      <alignment horizontal="center" vertical="center"/>
    </xf>
    <xf numFmtId="0" fontId="40" fillId="0" borderId="4" xfId="0" applyFont="1" applyBorder="1" applyAlignment="1">
      <alignment vertical="center"/>
    </xf>
    <xf numFmtId="3" fontId="42" fillId="0" borderId="4" xfId="0" applyNumberFormat="1" applyFont="1" applyBorder="1" applyAlignment="1">
      <alignment horizontal="center"/>
    </xf>
    <xf numFmtId="3" fontId="42" fillId="0" borderId="4" xfId="0" applyNumberFormat="1" applyFont="1" applyBorder="1" applyAlignment="1">
      <alignment horizontal="center" vertical="center"/>
    </xf>
    <xf numFmtId="3" fontId="41" fillId="0" borderId="4" xfId="0" applyNumberFormat="1" applyFont="1" applyBorder="1" applyAlignment="1">
      <alignment horizontal="center"/>
    </xf>
    <xf numFmtId="0" fontId="19" fillId="0" borderId="17" xfId="0" applyFont="1" applyBorder="1" applyAlignment="1">
      <alignment horizontal="center" vertical="center"/>
    </xf>
    <xf numFmtId="1" fontId="20" fillId="0" borderId="17" xfId="0" applyNumberFormat="1" applyFont="1" applyBorder="1" applyAlignment="1">
      <alignment horizontal="center" vertical="center"/>
    </xf>
    <xf numFmtId="49" fontId="23" fillId="0" borderId="17" xfId="0" applyNumberFormat="1" applyFont="1" applyBorder="1" applyAlignment="1">
      <alignment horizontal="center" vertical="center" wrapText="1"/>
    </xf>
    <xf numFmtId="0" fontId="21" fillId="0" borderId="17" xfId="0" applyFont="1" applyBorder="1" applyAlignment="1">
      <alignment vertical="center" wrapText="1"/>
    </xf>
    <xf numFmtId="0" fontId="19" fillId="0" borderId="19" xfId="0" applyFont="1" applyBorder="1" applyAlignment="1">
      <alignment vertical="center" wrapText="1"/>
    </xf>
    <xf numFmtId="1" fontId="19" fillId="0" borderId="17" xfId="0" applyNumberFormat="1" applyFont="1" applyBorder="1" applyAlignment="1">
      <alignment horizontal="center" vertical="center" wrapText="1"/>
    </xf>
    <xf numFmtId="14" fontId="19" fillId="0" borderId="17" xfId="0" applyNumberFormat="1" applyFont="1" applyBorder="1" applyAlignment="1">
      <alignment horizontal="center" vertical="center" wrapText="1"/>
    </xf>
    <xf numFmtId="49" fontId="19" fillId="0" borderId="17" xfId="0" applyNumberFormat="1" applyFont="1" applyBorder="1" applyAlignment="1">
      <alignment vertical="center"/>
    </xf>
    <xf numFmtId="1" fontId="19" fillId="0" borderId="17" xfId="0" quotePrefix="1" applyNumberFormat="1" applyFont="1" applyBorder="1" applyAlignment="1">
      <alignment vertical="center"/>
    </xf>
    <xf numFmtId="1" fontId="19" fillId="0" borderId="17" xfId="0" quotePrefix="1" applyNumberFormat="1" applyFont="1" applyBorder="1" applyAlignment="1">
      <alignment vertical="center" wrapText="1"/>
    </xf>
    <xf numFmtId="0" fontId="16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2" fillId="0" borderId="0" xfId="0" applyFont="1" applyAlignment="1" applyProtection="1">
      <alignment horizontal="center"/>
      <protection locked="0"/>
    </xf>
    <xf numFmtId="0" fontId="22" fillId="0" borderId="5" xfId="0" applyFont="1" applyBorder="1" applyAlignment="1" applyProtection="1">
      <alignment horizontal="center"/>
      <protection locked="0"/>
    </xf>
    <xf numFmtId="49" fontId="12" fillId="0" borderId="4" xfId="0" applyNumberFormat="1" applyFont="1" applyBorder="1" applyAlignment="1">
      <alignment horizontal="center" vertical="center" wrapText="1"/>
    </xf>
    <xf numFmtId="49" fontId="13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49" fontId="17" fillId="0" borderId="4" xfId="0" applyNumberFormat="1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/>
    </xf>
    <xf numFmtId="49" fontId="16" fillId="0" borderId="16" xfId="0" applyNumberFormat="1" applyFont="1" applyBorder="1" applyAlignment="1">
      <alignment horizontal="center" vertical="center" wrapText="1"/>
    </xf>
    <xf numFmtId="49" fontId="16" fillId="0" borderId="17" xfId="0" applyNumberFormat="1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49" fontId="17" fillId="0" borderId="16" xfId="0" applyNumberFormat="1" applyFont="1" applyBorder="1" applyAlignment="1">
      <alignment horizontal="center" vertical="center" wrapText="1"/>
    </xf>
    <xf numFmtId="49" fontId="17" fillId="0" borderId="17" xfId="0" applyNumberFormat="1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5" fillId="13" borderId="13" xfId="0" applyFont="1" applyFill="1" applyBorder="1" applyAlignment="1">
      <alignment vertical="center" wrapText="1"/>
    </xf>
    <xf numFmtId="0" fontId="5" fillId="13" borderId="7" xfId="0" applyFont="1" applyFill="1" applyBorder="1" applyAlignment="1">
      <alignment vertical="center"/>
    </xf>
    <xf numFmtId="0" fontId="5" fillId="13" borderId="7" xfId="0" applyFont="1" applyFill="1" applyBorder="1" applyAlignment="1">
      <alignment vertical="center" wrapText="1"/>
    </xf>
    <xf numFmtId="49" fontId="5" fillId="13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5" fillId="13" borderId="1" xfId="0" applyFont="1" applyFill="1" applyBorder="1" applyAlignment="1">
      <alignment vertical="center" wrapText="1"/>
    </xf>
    <xf numFmtId="49" fontId="5" fillId="13" borderId="13" xfId="0" applyNumberFormat="1" applyFont="1" applyFill="1" applyBorder="1" applyAlignment="1">
      <alignment vertical="center" wrapText="1"/>
    </xf>
    <xf numFmtId="0" fontId="5" fillId="13" borderId="4" xfId="0" applyFont="1" applyFill="1" applyBorder="1" applyAlignment="1">
      <alignment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4" xfId="0" applyFont="1" applyFill="1" applyBorder="1" applyAlignment="1">
      <alignment horizontal="center" vertical="center"/>
    </xf>
    <xf numFmtId="165" fontId="5" fillId="13" borderId="4" xfId="0" applyNumberFormat="1" applyFont="1" applyFill="1" applyBorder="1" applyAlignment="1">
      <alignment horizontal="center" vertical="center"/>
    </xf>
    <xf numFmtId="165" fontId="5" fillId="13" borderId="4" xfId="0" quotePrefix="1" applyNumberFormat="1" applyFont="1" applyFill="1" applyBorder="1" applyAlignment="1">
      <alignment horizontal="center" vertical="center"/>
    </xf>
    <xf numFmtId="49" fontId="19" fillId="13" borderId="4" xfId="0" applyNumberFormat="1" applyFont="1" applyFill="1" applyBorder="1" applyAlignment="1">
      <alignment horizontal="center" vertical="center" wrapText="1"/>
    </xf>
    <xf numFmtId="0" fontId="5" fillId="13" borderId="4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3" borderId="14" xfId="0" applyFont="1" applyFill="1" applyBorder="1" applyAlignment="1">
      <alignment vertical="center"/>
    </xf>
    <xf numFmtId="0" fontId="5" fillId="13" borderId="13" xfId="0" applyFont="1" applyFill="1" applyBorder="1" applyAlignment="1">
      <alignment horizontal="left" vertical="center"/>
    </xf>
    <xf numFmtId="0" fontId="6" fillId="13" borderId="4" xfId="0" applyFont="1" applyFill="1" applyBorder="1" applyAlignment="1">
      <alignment horizontal="left" vertical="center" wrapText="1"/>
    </xf>
    <xf numFmtId="0" fontId="18" fillId="13" borderId="7" xfId="0" applyFont="1" applyFill="1" applyBorder="1" applyAlignment="1">
      <alignment vertical="center" wrapText="1"/>
    </xf>
    <xf numFmtId="0" fontId="5" fillId="13" borderId="0" xfId="0" applyFont="1" applyFill="1" applyAlignment="1">
      <alignment vertical="center" wrapText="1"/>
    </xf>
    <xf numFmtId="0" fontId="40" fillId="13" borderId="4" xfId="0" applyFont="1" applyFill="1" applyBorder="1" applyAlignment="1">
      <alignment vertical="center" wrapText="1"/>
    </xf>
    <xf numFmtId="49" fontId="24" fillId="13" borderId="4" xfId="0" applyNumberFormat="1" applyFont="1" applyFill="1" applyBorder="1" applyAlignment="1">
      <alignment horizontal="center" vertical="center" wrapText="1"/>
    </xf>
    <xf numFmtId="49" fontId="19" fillId="13" borderId="0" xfId="0" applyNumberFormat="1" applyFont="1" applyFill="1" applyAlignment="1">
      <alignment wrapText="1"/>
    </xf>
    <xf numFmtId="0" fontId="4" fillId="13" borderId="3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left" vertical="center" wrapText="1"/>
    </xf>
    <xf numFmtId="0" fontId="4" fillId="13" borderId="3" xfId="0" applyFont="1" applyFill="1" applyBorder="1" applyAlignment="1">
      <alignment horizontal="left" vertical="center" wrapText="1"/>
    </xf>
    <xf numFmtId="49" fontId="4" fillId="13" borderId="1" xfId="0" applyNumberFormat="1" applyFont="1" applyFill="1" applyBorder="1" applyAlignment="1">
      <alignment horizontal="center" vertical="center" wrapText="1"/>
    </xf>
    <xf numFmtId="0" fontId="5" fillId="13" borderId="13" xfId="0" applyFont="1" applyFill="1" applyBorder="1" applyAlignment="1">
      <alignment vertical="center"/>
    </xf>
    <xf numFmtId="0" fontId="27" fillId="13" borderId="13" xfId="1" applyFont="1" applyFill="1" applyBorder="1" applyAlignment="1">
      <alignment vertical="center" wrapText="1"/>
    </xf>
    <xf numFmtId="0" fontId="25" fillId="13" borderId="13" xfId="1" applyFill="1" applyBorder="1" applyAlignment="1">
      <alignment vertical="center" wrapText="1"/>
    </xf>
    <xf numFmtId="0" fontId="18" fillId="13" borderId="1" xfId="0" applyFont="1" applyFill="1" applyBorder="1" applyAlignment="1">
      <alignment vertical="center" wrapText="1"/>
    </xf>
    <xf numFmtId="0" fontId="5" fillId="13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vertical="center" wrapText="1"/>
    </xf>
    <xf numFmtId="49" fontId="5" fillId="13" borderId="3" xfId="0" applyNumberFormat="1" applyFont="1" applyFill="1" applyBorder="1" applyAlignment="1">
      <alignment vertical="center"/>
    </xf>
    <xf numFmtId="0" fontId="5" fillId="13" borderId="9" xfId="0" applyFont="1" applyFill="1" applyBorder="1" applyAlignment="1">
      <alignment horizontal="left" vertical="center"/>
    </xf>
    <xf numFmtId="0" fontId="6" fillId="13" borderId="16" xfId="0" applyFont="1" applyFill="1" applyBorder="1" applyAlignment="1">
      <alignment horizontal="left" vertical="center" wrapText="1"/>
    </xf>
    <xf numFmtId="0" fontId="5" fillId="13" borderId="19" xfId="0" applyFont="1" applyFill="1" applyBorder="1" applyAlignment="1">
      <alignment vertical="center" wrapText="1"/>
    </xf>
    <xf numFmtId="0" fontId="25" fillId="13" borderId="1" xfId="1" applyFill="1" applyBorder="1" applyAlignment="1">
      <alignment vertical="center"/>
    </xf>
    <xf numFmtId="0" fontId="6" fillId="13" borderId="4" xfId="0" applyFont="1" applyFill="1" applyBorder="1" applyAlignment="1">
      <alignment vertical="center"/>
    </xf>
    <xf numFmtId="0" fontId="26" fillId="13" borderId="13" xfId="1" applyFont="1" applyFill="1" applyBorder="1" applyAlignment="1">
      <alignment vertical="center" wrapText="1"/>
    </xf>
    <xf numFmtId="0" fontId="5" fillId="13" borderId="11" xfId="0" applyFont="1" applyFill="1" applyBorder="1" applyAlignment="1">
      <alignment vertical="center"/>
    </xf>
    <xf numFmtId="0" fontId="6" fillId="13" borderId="17" xfId="0" applyFont="1" applyFill="1" applyBorder="1" applyAlignment="1">
      <alignment vertical="center" wrapText="1"/>
    </xf>
    <xf numFmtId="0" fontId="5" fillId="13" borderId="18" xfId="0" applyFont="1" applyFill="1" applyBorder="1" applyAlignment="1">
      <alignment vertical="center" wrapText="1"/>
    </xf>
    <xf numFmtId="49" fontId="5" fillId="13" borderId="19" xfId="0" applyNumberFormat="1" applyFont="1" applyFill="1" applyBorder="1" applyAlignment="1">
      <alignment vertical="center" wrapText="1"/>
    </xf>
    <xf numFmtId="0" fontId="5" fillId="13" borderId="11" xfId="0" applyFont="1" applyFill="1" applyBorder="1" applyAlignment="1">
      <alignment horizontal="left" vertical="center"/>
    </xf>
    <xf numFmtId="0" fontId="6" fillId="13" borderId="17" xfId="0" applyFont="1" applyFill="1" applyBorder="1" applyAlignment="1">
      <alignment horizontal="left" vertical="center" wrapText="1"/>
    </xf>
    <xf numFmtId="49" fontId="5" fillId="13" borderId="0" xfId="0" applyNumberFormat="1" applyFont="1" applyFill="1" applyAlignment="1">
      <alignment vertical="center"/>
    </xf>
    <xf numFmtId="0" fontId="5" fillId="13" borderId="16" xfId="0" applyFont="1" applyFill="1" applyBorder="1" applyAlignment="1">
      <alignment vertical="center"/>
    </xf>
    <xf numFmtId="0" fontId="5" fillId="13" borderId="8" xfId="0" applyFont="1" applyFill="1" applyBorder="1" applyAlignment="1">
      <alignment vertical="center"/>
    </xf>
    <xf numFmtId="49" fontId="6" fillId="13" borderId="16" xfId="0" applyNumberFormat="1" applyFont="1" applyFill="1" applyBorder="1" applyAlignment="1">
      <alignment vertical="center"/>
    </xf>
    <xf numFmtId="0" fontId="25" fillId="13" borderId="7" xfId="1" applyFill="1" applyBorder="1" applyAlignment="1">
      <alignment vertical="center"/>
    </xf>
    <xf numFmtId="0" fontId="18" fillId="13" borderId="1" xfId="0" applyFont="1" applyFill="1" applyBorder="1" applyAlignment="1">
      <alignment vertical="center"/>
    </xf>
    <xf numFmtId="0" fontId="6" fillId="13" borderId="4" xfId="0" applyFont="1" applyFill="1" applyBorder="1" applyAlignment="1">
      <alignment horizontal="left" vertical="center"/>
    </xf>
    <xf numFmtId="49" fontId="0" fillId="13" borderId="4" xfId="0" applyNumberFormat="1" applyFill="1" applyBorder="1" applyAlignment="1">
      <alignment vertical="center"/>
    </xf>
    <xf numFmtId="0" fontId="35" fillId="13" borderId="1" xfId="1" applyFont="1" applyFill="1" applyBorder="1" applyAlignment="1">
      <alignment vertical="center"/>
    </xf>
    <xf numFmtId="0" fontId="5" fillId="13" borderId="9" xfId="0" applyFont="1" applyFill="1" applyBorder="1" applyAlignment="1">
      <alignment vertical="center" wrapText="1"/>
    </xf>
    <xf numFmtId="0" fontId="6" fillId="13" borderId="16" xfId="0" applyFont="1" applyFill="1" applyBorder="1" applyAlignment="1">
      <alignment vertical="center" wrapText="1"/>
    </xf>
    <xf numFmtId="49" fontId="18" fillId="13" borderId="1" xfId="0" applyNumberFormat="1" applyFont="1" applyFill="1" applyBorder="1" applyAlignment="1">
      <alignment vertical="center"/>
    </xf>
    <xf numFmtId="0" fontId="5" fillId="13" borderId="2" xfId="0" applyFont="1" applyFill="1" applyBorder="1" applyAlignment="1">
      <alignment vertical="center" wrapText="1"/>
    </xf>
    <xf numFmtId="0" fontId="29" fillId="13" borderId="13" xfId="1" applyFont="1" applyFill="1" applyBorder="1" applyAlignment="1">
      <alignment vertical="center" wrapText="1"/>
    </xf>
    <xf numFmtId="0" fontId="5" fillId="13" borderId="16" xfId="0" applyFont="1" applyFill="1" applyBorder="1" applyAlignment="1">
      <alignment vertical="center" wrapText="1"/>
    </xf>
    <xf numFmtId="0" fontId="5" fillId="13" borderId="16" xfId="0" applyFont="1" applyFill="1" applyBorder="1" applyAlignment="1">
      <alignment horizontal="left" vertical="center"/>
    </xf>
    <xf numFmtId="0" fontId="5" fillId="13" borderId="16" xfId="0" applyFont="1" applyFill="1" applyBorder="1" applyAlignment="1">
      <alignment horizontal="left" vertical="center" wrapText="1"/>
    </xf>
    <xf numFmtId="49" fontId="5" fillId="13" borderId="1" xfId="0" quotePrefix="1" applyNumberFormat="1" applyFont="1" applyFill="1" applyBorder="1" applyAlignment="1">
      <alignment vertical="center"/>
    </xf>
    <xf numFmtId="49" fontId="5" fillId="13" borderId="16" xfId="0" applyNumberFormat="1" applyFont="1" applyFill="1" applyBorder="1" applyAlignment="1">
      <alignment vertical="center"/>
    </xf>
    <xf numFmtId="0" fontId="5" fillId="13" borderId="14" xfId="0" applyFont="1" applyFill="1" applyBorder="1" applyAlignment="1">
      <alignment vertical="center" wrapText="1"/>
    </xf>
    <xf numFmtId="0" fontId="5" fillId="13" borderId="18" xfId="0" applyFont="1" applyFill="1" applyBorder="1" applyAlignment="1">
      <alignment vertical="center"/>
    </xf>
    <xf numFmtId="0" fontId="5" fillId="13" borderId="0" xfId="0" applyFont="1" applyFill="1"/>
    <xf numFmtId="0" fontId="5" fillId="13" borderId="0" xfId="0" applyFont="1" applyFill="1" applyAlignment="1">
      <alignment horizontal="left"/>
    </xf>
    <xf numFmtId="0" fontId="5" fillId="13" borderId="0" xfId="0" applyFont="1" applyFill="1" applyAlignment="1">
      <alignment horizontal="left" wrapText="1"/>
    </xf>
    <xf numFmtId="49" fontId="5" fillId="13" borderId="0" xfId="0" applyNumberFormat="1" applyFont="1" applyFill="1" applyAlignment="1">
      <alignment wrapText="1"/>
    </xf>
    <xf numFmtId="0" fontId="5" fillId="13" borderId="0" xfId="0" applyFont="1" applyFill="1" applyAlignment="1">
      <alignment wrapText="1"/>
    </xf>
    <xf numFmtId="49" fontId="5" fillId="13" borderId="0" xfId="0" applyNumberFormat="1" applyFont="1" applyFill="1"/>
    <xf numFmtId="0" fontId="24" fillId="13" borderId="4" xfId="0" applyFont="1" applyFill="1" applyBorder="1" applyAlignment="1">
      <alignment horizontal="center" vertical="center" wrapText="1"/>
    </xf>
    <xf numFmtId="164" fontId="24" fillId="13" borderId="4" xfId="0" applyNumberFormat="1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center" vertical="center" wrapText="1"/>
    </xf>
    <xf numFmtId="164" fontId="19" fillId="13" borderId="4" xfId="0" applyNumberFormat="1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left" vertical="center" wrapText="1"/>
    </xf>
    <xf numFmtId="49" fontId="19" fillId="13" borderId="4" xfId="0" applyNumberFormat="1" applyFont="1" applyFill="1" applyBorder="1" applyAlignment="1">
      <alignment horizontal="left" vertical="center" wrapText="1"/>
    </xf>
    <xf numFmtId="14" fontId="19" fillId="13" borderId="4" xfId="0" applyNumberFormat="1" applyFont="1" applyFill="1" applyBorder="1" applyAlignment="1">
      <alignment vertical="center" wrapText="1"/>
    </xf>
    <xf numFmtId="0" fontId="19" fillId="13" borderId="0" xfId="0" applyFont="1" applyFill="1" applyAlignment="1">
      <alignment wrapText="1"/>
    </xf>
    <xf numFmtId="164" fontId="19" fillId="13" borderId="0" xfId="0" applyNumberFormat="1" applyFont="1" applyFill="1" applyAlignment="1">
      <alignment wrapText="1"/>
    </xf>
    <xf numFmtId="49" fontId="4" fillId="13" borderId="13" xfId="0" applyNumberFormat="1" applyFont="1" applyFill="1" applyBorder="1" applyAlignment="1">
      <alignment horizontal="center" vertical="center" wrapText="1"/>
    </xf>
    <xf numFmtId="0" fontId="4" fillId="13" borderId="4" xfId="0" applyFont="1" applyFill="1" applyBorder="1" applyAlignment="1">
      <alignment horizontal="center" vertical="center" wrapText="1"/>
    </xf>
    <xf numFmtId="49" fontId="5" fillId="13" borderId="9" xfId="0" applyNumberFormat="1" applyFont="1" applyFill="1" applyBorder="1" applyAlignment="1">
      <alignment vertical="center" wrapText="1"/>
    </xf>
    <xf numFmtId="49" fontId="5" fillId="13" borderId="2" xfId="0" applyNumberFormat="1" applyFont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  <color rgb="FFFFFF99"/>
      <color rgb="FFCCECFF"/>
      <color rgb="FF9999FF"/>
      <color rgb="FF00FFFF"/>
      <color rgb="FFFF99FF"/>
      <color rgb="FF000000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BK212"/>
  <sheetViews>
    <sheetView tabSelected="1" zoomScale="90" zoomScaleNormal="9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AZ1" sqref="AZ1:BG1048576"/>
    </sheetView>
  </sheetViews>
  <sheetFormatPr defaultRowHeight="15.75"/>
  <cols>
    <col min="1" max="2" width="4.85546875" style="4" customWidth="1"/>
    <col min="3" max="3" width="7.140625" style="10" customWidth="1"/>
    <col min="4" max="4" width="7.42578125" style="4" hidden="1" customWidth="1"/>
    <col min="5" max="5" width="13.5703125" style="27" customWidth="1"/>
    <col min="6" max="6" width="24.140625" style="7" customWidth="1"/>
    <col min="7" max="7" width="12.42578125" style="1" hidden="1" customWidth="1"/>
    <col min="8" max="8" width="9.5703125" style="1" hidden="1" customWidth="1"/>
    <col min="9" max="9" width="9.140625" style="27" hidden="1" customWidth="1"/>
    <col min="10" max="10" width="7.140625" style="6" hidden="1" customWidth="1"/>
    <col min="11" max="11" width="8.85546875" style="6" hidden="1" customWidth="1"/>
    <col min="12" max="12" width="12.7109375" style="1" hidden="1" customWidth="1"/>
    <col min="13" max="13" width="9" style="1" hidden="1" customWidth="1"/>
    <col min="14" max="14" width="14" style="7" hidden="1" customWidth="1"/>
    <col min="15" max="15" width="18.7109375" style="65" hidden="1" customWidth="1"/>
    <col min="16" max="16" width="13.85546875" style="77" hidden="1" customWidth="1"/>
    <col min="17" max="17" width="15.42578125" style="76" hidden="1" customWidth="1"/>
    <col min="18" max="18" width="9.7109375" style="74" hidden="1" customWidth="1"/>
    <col min="19" max="19" width="7.7109375" style="1" hidden="1" customWidth="1"/>
    <col min="20" max="20" width="36.140625" style="7" hidden="1" customWidth="1"/>
    <col min="21" max="21" width="7.5703125" style="63" hidden="1" customWidth="1"/>
    <col min="22" max="22" width="19.42578125" style="4" hidden="1" customWidth="1"/>
    <col min="23" max="23" width="16" style="7" hidden="1" customWidth="1"/>
    <col min="24" max="24" width="9" style="7" hidden="1" customWidth="1"/>
    <col min="25" max="25" width="31" style="7" hidden="1" customWidth="1"/>
    <col min="26" max="26" width="25.140625" style="7" hidden="1" customWidth="1"/>
    <col min="27" max="27" width="55" style="7" hidden="1" customWidth="1"/>
    <col min="28" max="28" width="8.7109375" style="4" hidden="1" customWidth="1"/>
    <col min="29" max="29" width="22.5703125" style="354" customWidth="1"/>
    <col min="30" max="30" width="7.7109375" style="354" hidden="1" customWidth="1"/>
    <col min="31" max="31" width="11.5703125" style="355" hidden="1" customWidth="1"/>
    <col min="32" max="32" width="14.85546875" style="356" hidden="1" customWidth="1"/>
    <col min="33" max="33" width="16.28515625" style="354" hidden="1" customWidth="1"/>
    <col min="34" max="34" width="16" style="357" customWidth="1"/>
    <col min="35" max="35" width="6.42578125" style="358" hidden="1" customWidth="1"/>
    <col min="36" max="36" width="14.5703125" style="358" bestFit="1" customWidth="1"/>
    <col min="37" max="37" width="7.7109375" style="354" hidden="1" customWidth="1"/>
    <col min="38" max="38" width="11.5703125" style="354" hidden="1" customWidth="1"/>
    <col min="39" max="39" width="17" style="358" hidden="1" customWidth="1"/>
    <col min="40" max="40" width="12.42578125" style="358" hidden="1" customWidth="1"/>
    <col min="41" max="41" width="14.5703125" style="359" customWidth="1"/>
    <col min="42" max="42" width="6.42578125" style="354" customWidth="1"/>
    <col min="43" max="43" width="7.140625" style="308" customWidth="1"/>
    <col min="44" max="44" width="9.5703125" style="308" customWidth="1"/>
    <col min="45" max="45" width="14.42578125" style="367" customWidth="1"/>
    <col min="46" max="46" width="10.5703125" style="368" customWidth="1"/>
    <col min="47" max="47" width="7.85546875" style="368" customWidth="1"/>
    <col min="48" max="48" width="7.5703125" style="308" customWidth="1"/>
    <col min="49" max="49" width="14.42578125" style="308" customWidth="1"/>
    <col min="50" max="50" width="10" style="368" customWidth="1"/>
    <col min="51" max="51" width="6.140625" style="75" customWidth="1"/>
    <col min="52" max="52" width="11.7109375" style="358" bestFit="1" customWidth="1"/>
    <col min="53" max="53" width="7.7109375" style="354" customWidth="1"/>
    <col min="54" max="54" width="11.5703125" style="354" customWidth="1"/>
    <col min="55" max="55" width="10.7109375" style="358" customWidth="1"/>
    <col min="56" max="56" width="12.85546875" style="358" customWidth="1"/>
    <col min="57" max="57" width="12.42578125" style="354" customWidth="1"/>
    <col min="58" max="58" width="5.28515625" style="357" bestFit="1" customWidth="1"/>
    <col min="59" max="59" width="6.42578125" style="354" customWidth="1"/>
    <col min="60" max="60" width="30.7109375" style="4" customWidth="1"/>
    <col min="61" max="61" width="10.28515625" style="4" customWidth="1"/>
    <col min="62" max="62" width="24.5703125" style="4" customWidth="1"/>
    <col min="63" max="63" width="12.7109375" style="4" customWidth="1"/>
    <col min="64" max="16384" width="9.140625" style="4"/>
  </cols>
  <sheetData>
    <row r="1" spans="1:63" s="58" customFormat="1" ht="37.5" customHeight="1" thickBot="1">
      <c r="A1" s="81" t="s">
        <v>161</v>
      </c>
      <c r="B1" s="241" t="s">
        <v>3282</v>
      </c>
      <c r="C1" s="21" t="s">
        <v>123</v>
      </c>
      <c r="D1" s="57" t="s">
        <v>122</v>
      </c>
      <c r="E1" s="101" t="s">
        <v>2</v>
      </c>
      <c r="F1" s="64" t="s">
        <v>125</v>
      </c>
      <c r="G1" s="57" t="s">
        <v>180</v>
      </c>
      <c r="H1" s="70" t="s">
        <v>181</v>
      </c>
      <c r="I1" s="70" t="s">
        <v>182</v>
      </c>
      <c r="J1" s="82" t="s">
        <v>135</v>
      </c>
      <c r="K1" s="3" t="s">
        <v>172</v>
      </c>
      <c r="L1" s="2" t="s">
        <v>1</v>
      </c>
      <c r="M1" s="2" t="s">
        <v>4</v>
      </c>
      <c r="N1" s="102" t="s">
        <v>162</v>
      </c>
      <c r="O1" s="79" t="s">
        <v>163</v>
      </c>
      <c r="P1" s="79" t="s">
        <v>193</v>
      </c>
      <c r="Q1" s="80" t="s">
        <v>587</v>
      </c>
      <c r="R1" s="72" t="s">
        <v>190</v>
      </c>
      <c r="S1" s="70" t="s">
        <v>5</v>
      </c>
      <c r="T1" s="78" t="s">
        <v>174</v>
      </c>
      <c r="U1" s="2" t="s">
        <v>173</v>
      </c>
      <c r="V1" s="2" t="s">
        <v>164</v>
      </c>
      <c r="W1" s="2" t="s">
        <v>165</v>
      </c>
      <c r="X1" s="2" t="s">
        <v>166</v>
      </c>
      <c r="Y1" s="2" t="s">
        <v>7</v>
      </c>
      <c r="Z1" s="59" t="s">
        <v>8</v>
      </c>
      <c r="AA1" s="59" t="s">
        <v>9</v>
      </c>
      <c r="AB1" s="2" t="s">
        <v>10</v>
      </c>
      <c r="AC1" s="309" t="s">
        <v>11</v>
      </c>
      <c r="AD1" s="310" t="s">
        <v>177</v>
      </c>
      <c r="AE1" s="311" t="s">
        <v>12</v>
      </c>
      <c r="AF1" s="312" t="s">
        <v>13</v>
      </c>
      <c r="AG1" s="310" t="s">
        <v>14</v>
      </c>
      <c r="AH1" s="313" t="s">
        <v>15</v>
      </c>
      <c r="AI1" s="310" t="s">
        <v>16</v>
      </c>
      <c r="AJ1" s="309" t="s">
        <v>17</v>
      </c>
      <c r="AK1" s="310" t="s">
        <v>176</v>
      </c>
      <c r="AL1" s="310" t="s">
        <v>12</v>
      </c>
      <c r="AM1" s="309" t="s">
        <v>13</v>
      </c>
      <c r="AN1" s="310" t="s">
        <v>14</v>
      </c>
      <c r="AO1" s="313" t="s">
        <v>15</v>
      </c>
      <c r="AP1" s="310" t="s">
        <v>16</v>
      </c>
      <c r="AQ1" s="307" t="s">
        <v>185</v>
      </c>
      <c r="AR1" s="307" t="s">
        <v>191</v>
      </c>
      <c r="AS1" s="360" t="s">
        <v>189</v>
      </c>
      <c r="AT1" s="361" t="s">
        <v>188</v>
      </c>
      <c r="AU1" s="361"/>
      <c r="AV1" s="307" t="s">
        <v>192</v>
      </c>
      <c r="AW1" s="307" t="s">
        <v>186</v>
      </c>
      <c r="AX1" s="361" t="s">
        <v>187</v>
      </c>
      <c r="AY1" s="73"/>
      <c r="AZ1" s="310" t="s">
        <v>18</v>
      </c>
      <c r="BA1" s="310" t="s">
        <v>175</v>
      </c>
      <c r="BB1" s="310" t="s">
        <v>12</v>
      </c>
      <c r="BC1" s="310" t="s">
        <v>13</v>
      </c>
      <c r="BD1" s="310" t="s">
        <v>184</v>
      </c>
      <c r="BE1" s="310" t="s">
        <v>14</v>
      </c>
      <c r="BF1" s="369" t="s">
        <v>15</v>
      </c>
      <c r="BG1" s="370" t="s">
        <v>16</v>
      </c>
      <c r="BH1" s="71" t="s">
        <v>167</v>
      </c>
      <c r="BI1" s="71" t="s">
        <v>194</v>
      </c>
      <c r="BJ1" s="71" t="s">
        <v>178</v>
      </c>
      <c r="BK1" s="71" t="s">
        <v>179</v>
      </c>
    </row>
    <row r="2" spans="1:63" s="53" customFormat="1" ht="52.5" customHeight="1" thickBot="1">
      <c r="A2" s="53">
        <v>1</v>
      </c>
      <c r="B2" s="15" t="s">
        <v>77</v>
      </c>
      <c r="C2" s="12" t="s">
        <v>128</v>
      </c>
      <c r="D2" s="126">
        <v>11201</v>
      </c>
      <c r="E2" s="98" t="s">
        <v>336</v>
      </c>
      <c r="F2" s="92" t="s">
        <v>204</v>
      </c>
      <c r="G2" s="141" t="s">
        <v>563</v>
      </c>
      <c r="H2" s="142">
        <v>2022</v>
      </c>
      <c r="I2" s="143" t="s">
        <v>2445</v>
      </c>
      <c r="J2" s="170">
        <v>1</v>
      </c>
      <c r="K2" s="50">
        <v>1</v>
      </c>
      <c r="L2" s="49">
        <v>22230164</v>
      </c>
      <c r="M2" s="171" t="s">
        <v>200</v>
      </c>
      <c r="N2" s="83" t="s">
        <v>110</v>
      </c>
      <c r="O2" s="161">
        <v>40562</v>
      </c>
      <c r="P2" s="96">
        <v>40562</v>
      </c>
      <c r="Q2" s="162" t="s">
        <v>588</v>
      </c>
      <c r="R2" s="44" t="s">
        <v>518</v>
      </c>
      <c r="S2" s="172" t="s">
        <v>201</v>
      </c>
      <c r="T2" s="84" t="s">
        <v>2657</v>
      </c>
      <c r="U2" s="173">
        <v>52362</v>
      </c>
      <c r="V2" s="8" t="s">
        <v>337</v>
      </c>
      <c r="W2" s="61" t="s">
        <v>337</v>
      </c>
      <c r="X2" s="61" t="s">
        <v>110</v>
      </c>
      <c r="Y2" s="160" t="s">
        <v>28</v>
      </c>
      <c r="Z2" s="164" t="s">
        <v>3262</v>
      </c>
      <c r="AA2" s="164" t="s">
        <v>3263</v>
      </c>
      <c r="AB2" s="174"/>
      <c r="AC2" s="85" t="s">
        <v>487</v>
      </c>
      <c r="AD2" s="287" t="s">
        <v>201</v>
      </c>
      <c r="AE2" s="302" t="s">
        <v>21</v>
      </c>
      <c r="AF2" s="303" t="s">
        <v>22</v>
      </c>
      <c r="AG2" s="288" t="s">
        <v>564</v>
      </c>
      <c r="AH2" s="86" t="s">
        <v>338</v>
      </c>
      <c r="AI2" s="286"/>
      <c r="AJ2" s="85" t="s">
        <v>495</v>
      </c>
      <c r="AK2" s="287" t="s">
        <v>201</v>
      </c>
      <c r="AL2" s="314" t="s">
        <v>21</v>
      </c>
      <c r="AM2" s="85" t="s">
        <v>155</v>
      </c>
      <c r="AN2" s="288"/>
      <c r="AO2" s="289"/>
      <c r="AP2" s="290"/>
      <c r="AQ2" s="242" t="s">
        <v>519</v>
      </c>
      <c r="AR2" s="242" t="s">
        <v>520</v>
      </c>
      <c r="AS2" s="87" t="s">
        <v>110</v>
      </c>
      <c r="AT2" s="243">
        <v>28832</v>
      </c>
      <c r="AU2" s="243"/>
      <c r="AV2" s="242" t="s">
        <v>521</v>
      </c>
      <c r="AW2" s="242" t="s">
        <v>110</v>
      </c>
      <c r="AX2" s="243">
        <v>30546</v>
      </c>
      <c r="AY2" s="177"/>
      <c r="AZ2" s="291"/>
      <c r="BA2" s="287" t="s">
        <v>201</v>
      </c>
      <c r="BB2" s="290"/>
      <c r="BC2" s="291"/>
      <c r="BD2" s="291"/>
      <c r="BE2" s="290"/>
      <c r="BF2" s="292"/>
      <c r="BG2" s="293"/>
      <c r="BH2" s="245" t="s">
        <v>3303</v>
      </c>
      <c r="BI2" s="246">
        <v>975281</v>
      </c>
      <c r="BJ2" s="164" t="s">
        <v>3301</v>
      </c>
      <c r="BK2" s="164" t="s">
        <v>3302</v>
      </c>
    </row>
    <row r="3" spans="1:63" s="54" customFormat="1" ht="52.5" customHeight="1" thickBot="1">
      <c r="A3" s="53">
        <v>2</v>
      </c>
      <c r="B3" s="18" t="s">
        <v>127</v>
      </c>
      <c r="C3" s="12" t="s">
        <v>128</v>
      </c>
      <c r="D3" s="140">
        <v>11218</v>
      </c>
      <c r="E3" s="98" t="s">
        <v>353</v>
      </c>
      <c r="F3" s="93" t="s">
        <v>593</v>
      </c>
      <c r="G3" s="141" t="s">
        <v>563</v>
      </c>
      <c r="H3" s="142">
        <v>2022</v>
      </c>
      <c r="I3" s="143" t="s">
        <v>2446</v>
      </c>
      <c r="J3" s="127">
        <v>2</v>
      </c>
      <c r="K3" s="128">
        <v>3</v>
      </c>
      <c r="L3" s="49">
        <v>22230270</v>
      </c>
      <c r="M3" s="171" t="s">
        <v>200</v>
      </c>
      <c r="N3" s="56" t="s">
        <v>23</v>
      </c>
      <c r="O3" s="161">
        <v>40293</v>
      </c>
      <c r="P3" s="163">
        <v>40293</v>
      </c>
      <c r="Q3" s="162" t="s">
        <v>579</v>
      </c>
      <c r="R3" s="44" t="s">
        <v>567</v>
      </c>
      <c r="S3" s="172" t="s">
        <v>201</v>
      </c>
      <c r="T3" s="164" t="s">
        <v>363</v>
      </c>
      <c r="U3" s="173">
        <v>55262</v>
      </c>
      <c r="V3" s="8" t="s">
        <v>468</v>
      </c>
      <c r="W3" s="61" t="s">
        <v>470</v>
      </c>
      <c r="X3" s="61" t="s">
        <v>279</v>
      </c>
      <c r="Y3" s="160" t="s">
        <v>20</v>
      </c>
      <c r="Z3" s="164" t="s">
        <v>3262</v>
      </c>
      <c r="AA3" s="164" t="s">
        <v>3264</v>
      </c>
      <c r="AB3" s="174"/>
      <c r="AC3" s="88" t="s">
        <v>367</v>
      </c>
      <c r="AD3" s="287" t="s">
        <v>201</v>
      </c>
      <c r="AE3" s="103" t="s">
        <v>21</v>
      </c>
      <c r="AF3" s="114" t="s">
        <v>153</v>
      </c>
      <c r="AG3" s="287"/>
      <c r="AH3" s="104" t="s">
        <v>376</v>
      </c>
      <c r="AI3" s="286"/>
      <c r="AJ3" s="85" t="s">
        <v>569</v>
      </c>
      <c r="AK3" s="287" t="s">
        <v>201</v>
      </c>
      <c r="AL3" s="290"/>
      <c r="AM3" s="291"/>
      <c r="AN3" s="291"/>
      <c r="AO3" s="289"/>
      <c r="AP3" s="290"/>
      <c r="AQ3" s="242"/>
      <c r="AR3" s="242"/>
      <c r="AS3" s="87"/>
      <c r="AT3" s="243"/>
      <c r="AU3" s="243"/>
      <c r="AV3" s="242"/>
      <c r="AW3" s="242"/>
      <c r="AX3" s="243"/>
      <c r="AY3" s="177"/>
      <c r="AZ3" s="291"/>
      <c r="BA3" s="287" t="s">
        <v>201</v>
      </c>
      <c r="BB3" s="290"/>
      <c r="BC3" s="291"/>
      <c r="BD3" s="291"/>
      <c r="BE3" s="290"/>
      <c r="BF3" s="292"/>
      <c r="BG3" s="293"/>
      <c r="BH3" s="245" t="s">
        <v>3303</v>
      </c>
      <c r="BI3" s="246">
        <v>975281</v>
      </c>
      <c r="BJ3" s="164" t="s">
        <v>3301</v>
      </c>
      <c r="BK3" s="164" t="s">
        <v>3302</v>
      </c>
    </row>
    <row r="4" spans="1:63" s="54" customFormat="1" ht="52.5" customHeight="1" thickBot="1">
      <c r="A4" s="53">
        <v>3</v>
      </c>
      <c r="B4" s="18" t="s">
        <v>127</v>
      </c>
      <c r="C4" s="12" t="s">
        <v>128</v>
      </c>
      <c r="D4" s="140">
        <v>11225</v>
      </c>
      <c r="E4" s="98" t="s">
        <v>354</v>
      </c>
      <c r="F4" s="93" t="s">
        <v>209</v>
      </c>
      <c r="G4" s="141" t="s">
        <v>563</v>
      </c>
      <c r="H4" s="142">
        <v>2022</v>
      </c>
      <c r="I4" s="143" t="s">
        <v>2447</v>
      </c>
      <c r="J4" s="170">
        <v>2</v>
      </c>
      <c r="K4" s="50">
        <v>3</v>
      </c>
      <c r="L4" s="49">
        <v>22230219</v>
      </c>
      <c r="M4" s="171" t="s">
        <v>200</v>
      </c>
      <c r="N4" s="56" t="s">
        <v>40</v>
      </c>
      <c r="O4" s="161">
        <v>40374</v>
      </c>
      <c r="P4" s="163">
        <v>40374</v>
      </c>
      <c r="Q4" s="162" t="s">
        <v>580</v>
      </c>
      <c r="R4" s="44" t="s">
        <v>535</v>
      </c>
      <c r="S4" s="172" t="s">
        <v>201</v>
      </c>
      <c r="T4" s="164" t="s">
        <v>1343</v>
      </c>
      <c r="U4" s="173">
        <v>50184</v>
      </c>
      <c r="V4" s="8" t="s">
        <v>469</v>
      </c>
      <c r="W4" s="61" t="s">
        <v>471</v>
      </c>
      <c r="X4" s="61" t="s">
        <v>40</v>
      </c>
      <c r="Y4" s="160" t="s">
        <v>28</v>
      </c>
      <c r="Z4" s="164" t="s">
        <v>3262</v>
      </c>
      <c r="AA4" s="164" t="s">
        <v>3265</v>
      </c>
      <c r="AB4" s="174"/>
      <c r="AC4" s="88" t="s">
        <v>368</v>
      </c>
      <c r="AD4" s="287" t="s">
        <v>201</v>
      </c>
      <c r="AE4" s="103" t="s">
        <v>67</v>
      </c>
      <c r="AF4" s="114" t="s">
        <v>158</v>
      </c>
      <c r="AG4" s="288" t="s">
        <v>564</v>
      </c>
      <c r="AH4" s="104" t="s">
        <v>377</v>
      </c>
      <c r="AI4" s="315"/>
      <c r="AJ4" s="85" t="s">
        <v>499</v>
      </c>
      <c r="AK4" s="287" t="s">
        <v>201</v>
      </c>
      <c r="AL4" s="290" t="s">
        <v>24</v>
      </c>
      <c r="AM4" s="291" t="s">
        <v>490</v>
      </c>
      <c r="AN4" s="291"/>
      <c r="AO4" s="289"/>
      <c r="AP4" s="290"/>
      <c r="AQ4" s="242" t="s">
        <v>534</v>
      </c>
      <c r="AR4" s="242" t="s">
        <v>536</v>
      </c>
      <c r="AS4" s="87" t="s">
        <v>63</v>
      </c>
      <c r="AT4" s="243">
        <v>27746</v>
      </c>
      <c r="AU4" s="243"/>
      <c r="AV4" s="242" t="s">
        <v>538</v>
      </c>
      <c r="AW4" s="242" t="s">
        <v>537</v>
      </c>
      <c r="AX4" s="243">
        <v>28729</v>
      </c>
      <c r="AY4" s="177"/>
      <c r="AZ4" s="291"/>
      <c r="BA4" s="287" t="s">
        <v>201</v>
      </c>
      <c r="BB4" s="290"/>
      <c r="BC4" s="291"/>
      <c r="BD4" s="291"/>
      <c r="BE4" s="290"/>
      <c r="BF4" s="292"/>
      <c r="BG4" s="293"/>
      <c r="BH4" s="245" t="s">
        <v>3303</v>
      </c>
      <c r="BI4" s="246">
        <v>975281</v>
      </c>
      <c r="BJ4" s="164" t="s">
        <v>3301</v>
      </c>
      <c r="BK4" s="164" t="s">
        <v>3302</v>
      </c>
    </row>
    <row r="5" spans="1:63" s="54" customFormat="1" ht="52.5" customHeight="1" thickBot="1">
      <c r="A5" s="53">
        <v>4</v>
      </c>
      <c r="B5" s="13" t="s">
        <v>129</v>
      </c>
      <c r="C5" s="12" t="s">
        <v>128</v>
      </c>
      <c r="D5" s="146">
        <v>11234</v>
      </c>
      <c r="E5" s="91" t="s">
        <v>356</v>
      </c>
      <c r="F5" s="93" t="s">
        <v>211</v>
      </c>
      <c r="G5" s="141" t="s">
        <v>563</v>
      </c>
      <c r="H5" s="142">
        <v>2022</v>
      </c>
      <c r="I5" s="143" t="s">
        <v>2448</v>
      </c>
      <c r="J5" s="170">
        <v>2</v>
      </c>
      <c r="K5" s="50">
        <v>1</v>
      </c>
      <c r="L5" s="49">
        <v>22230163</v>
      </c>
      <c r="M5" s="171" t="s">
        <v>200</v>
      </c>
      <c r="N5" s="56" t="s">
        <v>23</v>
      </c>
      <c r="O5" s="161">
        <v>39998</v>
      </c>
      <c r="P5" s="163">
        <v>39998</v>
      </c>
      <c r="Q5" s="162" t="s">
        <v>582</v>
      </c>
      <c r="R5" s="44" t="s">
        <v>544</v>
      </c>
      <c r="S5" s="172" t="s">
        <v>201</v>
      </c>
      <c r="T5" s="164" t="s">
        <v>364</v>
      </c>
      <c r="U5" s="173">
        <v>55162</v>
      </c>
      <c r="V5" s="8" t="s">
        <v>477</v>
      </c>
      <c r="W5" s="61" t="s">
        <v>476</v>
      </c>
      <c r="X5" s="61" t="s">
        <v>279</v>
      </c>
      <c r="Y5" s="160" t="s">
        <v>20</v>
      </c>
      <c r="Z5" s="164" t="s">
        <v>3262</v>
      </c>
      <c r="AA5" s="164" t="s">
        <v>3266</v>
      </c>
      <c r="AB5" s="174"/>
      <c r="AC5" s="88" t="s">
        <v>370</v>
      </c>
      <c r="AD5" s="287" t="s">
        <v>201</v>
      </c>
      <c r="AE5" s="103" t="s">
        <v>24</v>
      </c>
      <c r="AF5" s="114" t="s">
        <v>154</v>
      </c>
      <c r="AG5" s="288" t="s">
        <v>564</v>
      </c>
      <c r="AH5" s="104" t="s">
        <v>391</v>
      </c>
      <c r="AI5" s="286"/>
      <c r="AJ5" s="85" t="s">
        <v>500</v>
      </c>
      <c r="AK5" s="287" t="s">
        <v>201</v>
      </c>
      <c r="AL5" s="290" t="s">
        <v>220</v>
      </c>
      <c r="AM5" s="291" t="s">
        <v>276</v>
      </c>
      <c r="AN5" s="291"/>
      <c r="AO5" s="289"/>
      <c r="AP5" s="290"/>
      <c r="AQ5" s="242" t="s">
        <v>543</v>
      </c>
      <c r="AR5" s="242" t="s">
        <v>545</v>
      </c>
      <c r="AS5" s="87" t="s">
        <v>246</v>
      </c>
      <c r="AT5" s="243">
        <v>28030</v>
      </c>
      <c r="AU5" s="243"/>
      <c r="AV5" s="242" t="s">
        <v>546</v>
      </c>
      <c r="AW5" s="242" t="s">
        <v>23</v>
      </c>
      <c r="AX5" s="243">
        <v>26916</v>
      </c>
      <c r="AY5" s="177"/>
      <c r="AZ5" s="291"/>
      <c r="BA5" s="287" t="s">
        <v>201</v>
      </c>
      <c r="BB5" s="290"/>
      <c r="BC5" s="291"/>
      <c r="BD5" s="291"/>
      <c r="BE5" s="290"/>
      <c r="BF5" s="292"/>
      <c r="BG5" s="293"/>
      <c r="BH5" s="245" t="s">
        <v>3303</v>
      </c>
      <c r="BI5" s="246">
        <v>975281</v>
      </c>
      <c r="BJ5" s="164" t="s">
        <v>3301</v>
      </c>
      <c r="BK5" s="164" t="s">
        <v>3302</v>
      </c>
    </row>
    <row r="6" spans="1:63" s="54" customFormat="1" ht="52.5" customHeight="1" thickBot="1">
      <c r="A6" s="53">
        <v>5</v>
      </c>
      <c r="B6" s="16" t="s">
        <v>131</v>
      </c>
      <c r="C6" s="12" t="s">
        <v>128</v>
      </c>
      <c r="D6" s="140">
        <v>11240</v>
      </c>
      <c r="E6" s="98" t="s">
        <v>331</v>
      </c>
      <c r="F6" s="93" t="s">
        <v>203</v>
      </c>
      <c r="G6" s="141" t="s">
        <v>563</v>
      </c>
      <c r="H6" s="142">
        <v>2022</v>
      </c>
      <c r="I6" s="143" t="s">
        <v>2449</v>
      </c>
      <c r="J6" s="170">
        <v>1</v>
      </c>
      <c r="K6" s="50">
        <v>2</v>
      </c>
      <c r="L6" s="49">
        <v>22230122</v>
      </c>
      <c r="M6" s="171" t="s">
        <v>200</v>
      </c>
      <c r="N6" s="83" t="s">
        <v>26</v>
      </c>
      <c r="O6" s="161">
        <v>40256</v>
      </c>
      <c r="P6" s="96">
        <v>40256</v>
      </c>
      <c r="Q6" s="162" t="s">
        <v>573</v>
      </c>
      <c r="R6" s="44" t="s">
        <v>513</v>
      </c>
      <c r="S6" s="172" t="s">
        <v>201</v>
      </c>
      <c r="T6" s="84" t="s">
        <v>1617</v>
      </c>
      <c r="U6" s="173">
        <v>13130</v>
      </c>
      <c r="V6" s="8" t="s">
        <v>332</v>
      </c>
      <c r="W6" s="61" t="s">
        <v>333</v>
      </c>
      <c r="X6" s="61" t="s">
        <v>305</v>
      </c>
      <c r="Y6" s="160" t="s">
        <v>59</v>
      </c>
      <c r="Z6" s="164" t="s">
        <v>3262</v>
      </c>
      <c r="AA6" s="164" t="s">
        <v>3267</v>
      </c>
      <c r="AB6" s="174"/>
      <c r="AC6" s="85" t="s">
        <v>334</v>
      </c>
      <c r="AD6" s="287" t="s">
        <v>201</v>
      </c>
      <c r="AE6" s="302" t="s">
        <v>21</v>
      </c>
      <c r="AF6" s="303" t="s">
        <v>155</v>
      </c>
      <c r="AG6" s="304" t="s">
        <v>566</v>
      </c>
      <c r="AH6" s="86" t="s">
        <v>335</v>
      </c>
      <c r="AI6" s="286"/>
      <c r="AJ6" s="85" t="s">
        <v>493</v>
      </c>
      <c r="AK6" s="287" t="s">
        <v>201</v>
      </c>
      <c r="AL6" s="314" t="s">
        <v>21</v>
      </c>
      <c r="AM6" s="85" t="s">
        <v>276</v>
      </c>
      <c r="AN6" s="288"/>
      <c r="AO6" s="289"/>
      <c r="AP6" s="290"/>
      <c r="AQ6" s="242" t="s">
        <v>514</v>
      </c>
      <c r="AR6" s="242" t="s">
        <v>515</v>
      </c>
      <c r="AS6" s="87" t="s">
        <v>516</v>
      </c>
      <c r="AT6" s="243">
        <v>29153</v>
      </c>
      <c r="AU6" s="243"/>
      <c r="AV6" s="242" t="s">
        <v>517</v>
      </c>
      <c r="AW6" s="242" t="s">
        <v>26</v>
      </c>
      <c r="AX6" s="243">
        <v>28709</v>
      </c>
      <c r="AY6" s="177"/>
      <c r="AZ6" s="291"/>
      <c r="BA6" s="287" t="s">
        <v>201</v>
      </c>
      <c r="BB6" s="290"/>
      <c r="BC6" s="291"/>
      <c r="BD6" s="85"/>
      <c r="BE6" s="290"/>
      <c r="BF6" s="292"/>
      <c r="BG6" s="293"/>
      <c r="BH6" s="245" t="s">
        <v>3303</v>
      </c>
      <c r="BI6" s="246">
        <v>975281</v>
      </c>
      <c r="BJ6" s="164" t="s">
        <v>3301</v>
      </c>
      <c r="BK6" s="164" t="s">
        <v>3302</v>
      </c>
    </row>
    <row r="7" spans="1:63" s="54" customFormat="1" ht="52.5" customHeight="1" thickBot="1">
      <c r="A7" s="53">
        <v>6</v>
      </c>
      <c r="B7" s="13" t="s">
        <v>129</v>
      </c>
      <c r="C7" s="12" t="s">
        <v>128</v>
      </c>
      <c r="D7" s="146">
        <v>11245</v>
      </c>
      <c r="E7" s="91" t="s">
        <v>357</v>
      </c>
      <c r="F7" s="93" t="s">
        <v>212</v>
      </c>
      <c r="G7" s="141" t="s">
        <v>563</v>
      </c>
      <c r="H7" s="142">
        <v>2022</v>
      </c>
      <c r="I7" s="143" t="s">
        <v>2450</v>
      </c>
      <c r="J7" s="170">
        <v>1</v>
      </c>
      <c r="K7" s="50">
        <v>2</v>
      </c>
      <c r="L7" s="49">
        <v>22230158</v>
      </c>
      <c r="M7" s="171" t="s">
        <v>200</v>
      </c>
      <c r="N7" s="56" t="s">
        <v>82</v>
      </c>
      <c r="O7" s="161">
        <v>39637</v>
      </c>
      <c r="P7" s="163">
        <v>39637</v>
      </c>
      <c r="Q7" s="162" t="s">
        <v>583</v>
      </c>
      <c r="R7" s="44" t="s">
        <v>548</v>
      </c>
      <c r="S7" s="172" t="s">
        <v>201</v>
      </c>
      <c r="T7" s="164" t="s">
        <v>816</v>
      </c>
      <c r="U7" s="173">
        <v>16418</v>
      </c>
      <c r="V7" s="8" t="s">
        <v>480</v>
      </c>
      <c r="W7" s="61" t="s">
        <v>478</v>
      </c>
      <c r="X7" s="61" t="s">
        <v>479</v>
      </c>
      <c r="Y7" s="160" t="s">
        <v>39</v>
      </c>
      <c r="Z7" s="164" t="s">
        <v>3262</v>
      </c>
      <c r="AA7" s="164" t="s">
        <v>3268</v>
      </c>
      <c r="AB7" s="174"/>
      <c r="AC7" s="88" t="s">
        <v>371</v>
      </c>
      <c r="AD7" s="287" t="s">
        <v>201</v>
      </c>
      <c r="AE7" s="103" t="s">
        <v>30</v>
      </c>
      <c r="AF7" s="114" t="s">
        <v>22</v>
      </c>
      <c r="AG7" s="288" t="s">
        <v>564</v>
      </c>
      <c r="AH7" s="104" t="s">
        <v>392</v>
      </c>
      <c r="AI7" s="286"/>
      <c r="AJ7" s="85" t="s">
        <v>501</v>
      </c>
      <c r="AK7" s="287" t="s">
        <v>201</v>
      </c>
      <c r="AL7" s="290" t="s">
        <v>21</v>
      </c>
      <c r="AM7" s="291" t="s">
        <v>276</v>
      </c>
      <c r="AN7" s="291"/>
      <c r="AO7" s="289"/>
      <c r="AP7" s="290"/>
      <c r="AQ7" s="242" t="s">
        <v>547</v>
      </c>
      <c r="AR7" s="242" t="s">
        <v>549</v>
      </c>
      <c r="AS7" s="87" t="s">
        <v>82</v>
      </c>
      <c r="AT7" s="243">
        <v>26910</v>
      </c>
      <c r="AU7" s="243"/>
      <c r="AV7" s="242" t="s">
        <v>550</v>
      </c>
      <c r="AW7" s="242" t="s">
        <v>82</v>
      </c>
      <c r="AX7" s="243">
        <v>28689</v>
      </c>
      <c r="AY7" s="177"/>
      <c r="AZ7" s="291"/>
      <c r="BA7" s="287" t="s">
        <v>201</v>
      </c>
      <c r="BB7" s="290"/>
      <c r="BC7" s="291"/>
      <c r="BD7" s="291"/>
      <c r="BE7" s="290"/>
      <c r="BF7" s="292"/>
      <c r="BG7" s="293"/>
      <c r="BH7" s="245" t="s">
        <v>3303</v>
      </c>
      <c r="BI7" s="246">
        <v>975281</v>
      </c>
      <c r="BJ7" s="164" t="s">
        <v>3301</v>
      </c>
      <c r="BK7" s="164" t="s">
        <v>3302</v>
      </c>
    </row>
    <row r="8" spans="1:63" s="54" customFormat="1" ht="52.5" customHeight="1" thickBot="1">
      <c r="A8" s="53">
        <v>7</v>
      </c>
      <c r="B8" s="14" t="s">
        <v>130</v>
      </c>
      <c r="C8" s="12" t="s">
        <v>128</v>
      </c>
      <c r="D8" s="147">
        <v>11253</v>
      </c>
      <c r="E8" s="91" t="s">
        <v>298</v>
      </c>
      <c r="F8" s="93" t="s">
        <v>206</v>
      </c>
      <c r="G8" s="141" t="s">
        <v>563</v>
      </c>
      <c r="H8" s="142">
        <v>2022</v>
      </c>
      <c r="I8" s="143" t="s">
        <v>2451</v>
      </c>
      <c r="J8" s="170">
        <v>2</v>
      </c>
      <c r="K8" s="50">
        <v>1</v>
      </c>
      <c r="L8" s="49">
        <v>22230226</v>
      </c>
      <c r="M8" s="171" t="s">
        <v>200</v>
      </c>
      <c r="N8" s="178" t="s">
        <v>68</v>
      </c>
      <c r="O8" s="161">
        <v>40341</v>
      </c>
      <c r="P8" s="179">
        <v>40341</v>
      </c>
      <c r="Q8" s="162" t="s">
        <v>575</v>
      </c>
      <c r="R8" s="44" t="s">
        <v>525</v>
      </c>
      <c r="S8" s="172" t="s">
        <v>201</v>
      </c>
      <c r="T8" s="165" t="s">
        <v>299</v>
      </c>
      <c r="U8" s="173">
        <v>56451</v>
      </c>
      <c r="V8" s="8" t="s">
        <v>300</v>
      </c>
      <c r="W8" s="61" t="s">
        <v>218</v>
      </c>
      <c r="X8" s="61" t="s">
        <v>68</v>
      </c>
      <c r="Y8" s="160" t="s">
        <v>28</v>
      </c>
      <c r="Z8" s="164" t="s">
        <v>3262</v>
      </c>
      <c r="AA8" s="164" t="s">
        <v>3269</v>
      </c>
      <c r="AB8" s="174"/>
      <c r="AC8" s="85" t="s">
        <v>496</v>
      </c>
      <c r="AD8" s="287" t="s">
        <v>201</v>
      </c>
      <c r="AE8" s="302" t="s">
        <v>29</v>
      </c>
      <c r="AF8" s="303" t="s">
        <v>497</v>
      </c>
      <c r="AG8" s="288" t="s">
        <v>564</v>
      </c>
      <c r="AH8" s="86"/>
      <c r="AI8" s="286"/>
      <c r="AJ8" s="85" t="s">
        <v>301</v>
      </c>
      <c r="AK8" s="287" t="s">
        <v>201</v>
      </c>
      <c r="AL8" s="290" t="s">
        <v>30</v>
      </c>
      <c r="AM8" s="291" t="s">
        <v>158</v>
      </c>
      <c r="AN8" s="291"/>
      <c r="AO8" s="289"/>
      <c r="AP8" s="290"/>
      <c r="AQ8" s="242" t="s">
        <v>526</v>
      </c>
      <c r="AR8" s="242" t="s">
        <v>527</v>
      </c>
      <c r="AS8" s="87" t="s">
        <v>102</v>
      </c>
      <c r="AT8" s="243">
        <v>21235</v>
      </c>
      <c r="AU8" s="243"/>
      <c r="AV8" s="242" t="s">
        <v>528</v>
      </c>
      <c r="AW8" s="242" t="s">
        <v>68</v>
      </c>
      <c r="AX8" s="243">
        <v>25319</v>
      </c>
      <c r="AY8" s="177"/>
      <c r="AZ8" s="291"/>
      <c r="BA8" s="287" t="s">
        <v>201</v>
      </c>
      <c r="BB8" s="290"/>
      <c r="BC8" s="291"/>
      <c r="BD8" s="291"/>
      <c r="BE8" s="290"/>
      <c r="BF8" s="292"/>
      <c r="BG8" s="293"/>
      <c r="BH8" s="245" t="s">
        <v>3303</v>
      </c>
      <c r="BI8" s="246">
        <v>975281</v>
      </c>
      <c r="BJ8" s="164" t="s">
        <v>3301</v>
      </c>
      <c r="BK8" s="164" t="s">
        <v>3302</v>
      </c>
    </row>
    <row r="9" spans="1:63" s="54" customFormat="1" ht="52.5" customHeight="1" thickBot="1">
      <c r="A9" s="53">
        <v>8</v>
      </c>
      <c r="B9" s="18" t="s">
        <v>127</v>
      </c>
      <c r="C9" s="12" t="s">
        <v>128</v>
      </c>
      <c r="D9" s="140">
        <v>11267</v>
      </c>
      <c r="E9" s="91" t="s">
        <v>355</v>
      </c>
      <c r="F9" s="93" t="s">
        <v>210</v>
      </c>
      <c r="G9" s="141" t="s">
        <v>563</v>
      </c>
      <c r="H9" s="142">
        <v>2022</v>
      </c>
      <c r="I9" s="143" t="s">
        <v>2452</v>
      </c>
      <c r="J9" s="170">
        <v>1</v>
      </c>
      <c r="K9" s="50">
        <v>0</v>
      </c>
      <c r="L9" s="49">
        <v>22230114</v>
      </c>
      <c r="M9" s="171" t="s">
        <v>200</v>
      </c>
      <c r="N9" s="56" t="s">
        <v>83</v>
      </c>
      <c r="O9" s="161">
        <v>40190</v>
      </c>
      <c r="P9" s="163">
        <v>40190</v>
      </c>
      <c r="Q9" s="162" t="s">
        <v>581</v>
      </c>
      <c r="R9" s="44" t="s">
        <v>539</v>
      </c>
      <c r="S9" s="172" t="s">
        <v>201</v>
      </c>
      <c r="T9" s="164" t="s">
        <v>2658</v>
      </c>
      <c r="U9" s="173">
        <v>52451</v>
      </c>
      <c r="V9" s="8" t="s">
        <v>474</v>
      </c>
      <c r="W9" s="61" t="s">
        <v>475</v>
      </c>
      <c r="X9" s="61" t="s">
        <v>472</v>
      </c>
      <c r="Y9" s="160" t="s">
        <v>28</v>
      </c>
      <c r="Z9" s="164" t="s">
        <v>3262</v>
      </c>
      <c r="AA9" s="164" t="s">
        <v>3270</v>
      </c>
      <c r="AB9" s="174"/>
      <c r="AC9" s="88" t="s">
        <v>369</v>
      </c>
      <c r="AD9" s="287" t="s">
        <v>201</v>
      </c>
      <c r="AE9" s="103" t="s">
        <v>21</v>
      </c>
      <c r="AF9" s="114" t="s">
        <v>22</v>
      </c>
      <c r="AG9" s="304" t="s">
        <v>565</v>
      </c>
      <c r="AH9" s="104" t="s">
        <v>379</v>
      </c>
      <c r="AI9" s="286"/>
      <c r="AJ9" s="85" t="s">
        <v>2700</v>
      </c>
      <c r="AK9" s="287" t="s">
        <v>201</v>
      </c>
      <c r="AL9" s="290" t="s">
        <v>24</v>
      </c>
      <c r="AM9" s="291" t="s">
        <v>155</v>
      </c>
      <c r="AN9" s="291"/>
      <c r="AO9" s="86"/>
      <c r="AP9" s="290"/>
      <c r="AQ9" s="242" t="s">
        <v>540</v>
      </c>
      <c r="AR9" s="242" t="s">
        <v>541</v>
      </c>
      <c r="AS9" s="87" t="s">
        <v>83</v>
      </c>
      <c r="AT9" s="243">
        <v>30336</v>
      </c>
      <c r="AU9" s="243"/>
      <c r="AV9" s="242" t="s">
        <v>542</v>
      </c>
      <c r="AW9" s="242" t="s">
        <v>83</v>
      </c>
      <c r="AX9" s="243">
        <v>30336</v>
      </c>
      <c r="AY9" s="177"/>
      <c r="AZ9" s="291"/>
      <c r="BA9" s="287" t="s">
        <v>201</v>
      </c>
      <c r="BB9" s="290"/>
      <c r="BC9" s="291"/>
      <c r="BD9" s="291"/>
      <c r="BE9" s="290"/>
      <c r="BF9" s="292"/>
      <c r="BG9" s="293"/>
      <c r="BH9" s="245" t="s">
        <v>3303</v>
      </c>
      <c r="BI9" s="246">
        <v>975281</v>
      </c>
      <c r="BJ9" s="164" t="s">
        <v>3301</v>
      </c>
      <c r="BK9" s="164" t="s">
        <v>3302</v>
      </c>
    </row>
    <row r="10" spans="1:63" s="54" customFormat="1" ht="52.5" customHeight="1" thickBot="1">
      <c r="A10" s="53">
        <v>9</v>
      </c>
      <c r="B10" s="13" t="s">
        <v>129</v>
      </c>
      <c r="C10" s="12" t="s">
        <v>128</v>
      </c>
      <c r="D10" s="146">
        <v>11304</v>
      </c>
      <c r="E10" s="91" t="s">
        <v>358</v>
      </c>
      <c r="F10" s="93" t="s">
        <v>213</v>
      </c>
      <c r="G10" s="141" t="s">
        <v>563</v>
      </c>
      <c r="H10" s="142">
        <v>2022</v>
      </c>
      <c r="I10" s="143" t="s">
        <v>2453</v>
      </c>
      <c r="J10" s="127">
        <v>2</v>
      </c>
      <c r="K10" s="128">
        <v>3</v>
      </c>
      <c r="L10" s="49">
        <v>22230017</v>
      </c>
      <c r="M10" s="171" t="s">
        <v>200</v>
      </c>
      <c r="N10" s="56" t="s">
        <v>23</v>
      </c>
      <c r="O10" s="161">
        <v>40176</v>
      </c>
      <c r="P10" s="163">
        <v>40176</v>
      </c>
      <c r="Q10" s="162" t="s">
        <v>584</v>
      </c>
      <c r="R10" s="44" t="s">
        <v>568</v>
      </c>
      <c r="S10" s="172" t="s">
        <v>201</v>
      </c>
      <c r="T10" s="164" t="s">
        <v>2217</v>
      </c>
      <c r="U10" s="173">
        <v>55172</v>
      </c>
      <c r="V10" s="8" t="s">
        <v>278</v>
      </c>
      <c r="W10" s="61" t="s">
        <v>248</v>
      </c>
      <c r="X10" s="61" t="s">
        <v>279</v>
      </c>
      <c r="Y10" s="160" t="s">
        <v>571</v>
      </c>
      <c r="Z10" s="164" t="s">
        <v>3262</v>
      </c>
      <c r="AA10" s="164" t="s">
        <v>3271</v>
      </c>
      <c r="AB10" s="174"/>
      <c r="AC10" s="88" t="s">
        <v>372</v>
      </c>
      <c r="AD10" s="287" t="s">
        <v>201</v>
      </c>
      <c r="AE10" s="103" t="s">
        <v>21</v>
      </c>
      <c r="AF10" s="114" t="s">
        <v>153</v>
      </c>
      <c r="AG10" s="287"/>
      <c r="AH10" s="104" t="s">
        <v>397</v>
      </c>
      <c r="AI10" s="286"/>
      <c r="AJ10" s="85" t="s">
        <v>570</v>
      </c>
      <c r="AK10" s="287" t="s">
        <v>201</v>
      </c>
      <c r="AL10" s="290"/>
      <c r="AM10" s="291"/>
      <c r="AN10" s="291"/>
      <c r="AO10" s="289"/>
      <c r="AP10" s="290"/>
      <c r="AQ10" s="242"/>
      <c r="AR10" s="242"/>
      <c r="AS10" s="87"/>
      <c r="AT10" s="243"/>
      <c r="AU10" s="243"/>
      <c r="AV10" s="242"/>
      <c r="AW10" s="242"/>
      <c r="AX10" s="243"/>
      <c r="AY10" s="177"/>
      <c r="AZ10" s="291"/>
      <c r="BA10" s="287" t="s">
        <v>201</v>
      </c>
      <c r="BB10" s="290"/>
      <c r="BC10" s="291"/>
      <c r="BD10" s="291"/>
      <c r="BE10" s="290"/>
      <c r="BF10" s="292"/>
      <c r="BG10" s="293"/>
      <c r="BH10" s="245" t="s">
        <v>3303</v>
      </c>
      <c r="BI10" s="246">
        <v>975281</v>
      </c>
      <c r="BJ10" s="164" t="s">
        <v>3301</v>
      </c>
      <c r="BK10" s="164" t="s">
        <v>3302</v>
      </c>
    </row>
    <row r="11" spans="1:63" s="54" customFormat="1" ht="52.5" customHeight="1" thickBot="1">
      <c r="A11" s="53">
        <v>10</v>
      </c>
      <c r="B11" s="19" t="s">
        <v>132</v>
      </c>
      <c r="C11" s="12" t="s">
        <v>128</v>
      </c>
      <c r="D11" s="147">
        <v>11333</v>
      </c>
      <c r="E11" s="91" t="s">
        <v>328</v>
      </c>
      <c r="F11" s="93" t="s">
        <v>202</v>
      </c>
      <c r="G11" s="141" t="s">
        <v>563</v>
      </c>
      <c r="H11" s="142">
        <v>2022</v>
      </c>
      <c r="I11" s="143" t="s">
        <v>2454</v>
      </c>
      <c r="J11" s="170">
        <v>1</v>
      </c>
      <c r="K11" s="50">
        <v>2</v>
      </c>
      <c r="L11" s="49">
        <v>22230069</v>
      </c>
      <c r="M11" s="171" t="s">
        <v>200</v>
      </c>
      <c r="N11" s="178" t="s">
        <v>40</v>
      </c>
      <c r="O11" s="161">
        <v>40528</v>
      </c>
      <c r="P11" s="180">
        <v>40528</v>
      </c>
      <c r="Q11" s="162" t="s">
        <v>572</v>
      </c>
      <c r="R11" s="44" t="s">
        <v>510</v>
      </c>
      <c r="S11" s="172" t="s">
        <v>201</v>
      </c>
      <c r="T11" s="165" t="s">
        <v>323</v>
      </c>
      <c r="U11" s="173">
        <v>50229</v>
      </c>
      <c r="V11" s="8" t="s">
        <v>324</v>
      </c>
      <c r="W11" s="61" t="s">
        <v>325</v>
      </c>
      <c r="X11" s="61" t="s">
        <v>40</v>
      </c>
      <c r="Y11" s="160" t="s">
        <v>28</v>
      </c>
      <c r="Z11" s="164" t="s">
        <v>3262</v>
      </c>
      <c r="AA11" s="164" t="s">
        <v>3272</v>
      </c>
      <c r="AB11" s="181"/>
      <c r="AC11" s="85" t="s">
        <v>491</v>
      </c>
      <c r="AD11" s="287" t="s">
        <v>201</v>
      </c>
      <c r="AE11" s="302" t="s">
        <v>21</v>
      </c>
      <c r="AF11" s="303" t="s">
        <v>276</v>
      </c>
      <c r="AG11" s="304" t="s">
        <v>564</v>
      </c>
      <c r="AH11" s="86"/>
      <c r="AI11" s="316"/>
      <c r="AJ11" s="85" t="s">
        <v>326</v>
      </c>
      <c r="AK11" s="287" t="s">
        <v>201</v>
      </c>
      <c r="AL11" s="314" t="s">
        <v>30</v>
      </c>
      <c r="AM11" s="85" t="s">
        <v>158</v>
      </c>
      <c r="AN11" s="304"/>
      <c r="AO11" s="289" t="s">
        <v>327</v>
      </c>
      <c r="AP11" s="290"/>
      <c r="AQ11" s="242" t="s">
        <v>509</v>
      </c>
      <c r="AR11" s="242" t="s">
        <v>511</v>
      </c>
      <c r="AS11" s="87" t="s">
        <v>226</v>
      </c>
      <c r="AT11" s="243">
        <v>29553</v>
      </c>
      <c r="AU11" s="243"/>
      <c r="AV11" s="242" t="s">
        <v>512</v>
      </c>
      <c r="AW11" s="242" t="s">
        <v>40</v>
      </c>
      <c r="AX11" s="243">
        <v>29913</v>
      </c>
      <c r="AY11" s="177"/>
      <c r="AZ11" s="291"/>
      <c r="BA11" s="287" t="s">
        <v>201</v>
      </c>
      <c r="BB11" s="290"/>
      <c r="BC11" s="291"/>
      <c r="BD11" s="291"/>
      <c r="BE11" s="290"/>
      <c r="BF11" s="292"/>
      <c r="BG11" s="293"/>
      <c r="BH11" s="245" t="s">
        <v>3303</v>
      </c>
      <c r="BI11" s="246">
        <v>975281</v>
      </c>
      <c r="BJ11" s="164" t="s">
        <v>3301</v>
      </c>
      <c r="BK11" s="164" t="s">
        <v>3302</v>
      </c>
    </row>
    <row r="12" spans="1:63" s="54" customFormat="1" ht="52.5" customHeight="1" thickBot="1">
      <c r="A12" s="53">
        <v>11</v>
      </c>
      <c r="B12" s="14" t="s">
        <v>130</v>
      </c>
      <c r="C12" s="12" t="s">
        <v>128</v>
      </c>
      <c r="D12" s="147">
        <v>11336</v>
      </c>
      <c r="E12" s="91" t="s">
        <v>307</v>
      </c>
      <c r="F12" s="93" t="s">
        <v>207</v>
      </c>
      <c r="G12" s="141" t="s">
        <v>563</v>
      </c>
      <c r="H12" s="142">
        <v>2022</v>
      </c>
      <c r="I12" s="143" t="s">
        <v>2455</v>
      </c>
      <c r="J12" s="170">
        <v>1</v>
      </c>
      <c r="K12" s="50">
        <v>3</v>
      </c>
      <c r="L12" s="49">
        <v>22230242</v>
      </c>
      <c r="M12" s="171" t="s">
        <v>200</v>
      </c>
      <c r="N12" s="178" t="s">
        <v>308</v>
      </c>
      <c r="O12" s="161">
        <v>40445</v>
      </c>
      <c r="P12" s="180">
        <v>40445</v>
      </c>
      <c r="Q12" s="162" t="s">
        <v>577</v>
      </c>
      <c r="R12" s="44" t="s">
        <v>508</v>
      </c>
      <c r="S12" s="172" t="s">
        <v>201</v>
      </c>
      <c r="T12" s="165" t="s">
        <v>2659</v>
      </c>
      <c r="U12" s="173">
        <v>83561</v>
      </c>
      <c r="V12" s="8" t="s">
        <v>309</v>
      </c>
      <c r="W12" s="61" t="s">
        <v>310</v>
      </c>
      <c r="X12" s="61" t="s">
        <v>311</v>
      </c>
      <c r="Y12" s="160" t="s">
        <v>2701</v>
      </c>
      <c r="Z12" s="164" t="s">
        <v>3262</v>
      </c>
      <c r="AA12" s="164" t="s">
        <v>3273</v>
      </c>
      <c r="AB12" s="174"/>
      <c r="AC12" s="85" t="s">
        <v>313</v>
      </c>
      <c r="AD12" s="287" t="s">
        <v>201</v>
      </c>
      <c r="AE12" s="302" t="s">
        <v>21</v>
      </c>
      <c r="AF12" s="303" t="s">
        <v>154</v>
      </c>
      <c r="AG12" s="288" t="s">
        <v>564</v>
      </c>
      <c r="AH12" s="86" t="s">
        <v>312</v>
      </c>
      <c r="AI12" s="286"/>
      <c r="AJ12" s="85" t="s">
        <v>498</v>
      </c>
      <c r="AK12" s="287" t="s">
        <v>201</v>
      </c>
      <c r="AL12" s="290" t="s">
        <v>21</v>
      </c>
      <c r="AM12" s="291" t="s">
        <v>155</v>
      </c>
      <c r="AN12" s="291"/>
      <c r="AO12" s="289"/>
      <c r="AP12" s="290"/>
      <c r="AQ12" s="242" t="s">
        <v>531</v>
      </c>
      <c r="AR12" s="242" t="s">
        <v>506</v>
      </c>
      <c r="AS12" s="87" t="s">
        <v>507</v>
      </c>
      <c r="AT12" s="243">
        <v>29586</v>
      </c>
      <c r="AU12" s="243"/>
      <c r="AV12" s="242" t="s">
        <v>532</v>
      </c>
      <c r="AW12" s="242" t="s">
        <v>23</v>
      </c>
      <c r="AX12" s="243">
        <v>30116</v>
      </c>
      <c r="AY12" s="177"/>
      <c r="AZ12" s="291"/>
      <c r="BA12" s="287" t="s">
        <v>201</v>
      </c>
      <c r="BB12" s="290"/>
      <c r="BC12" s="291"/>
      <c r="BD12" s="291"/>
      <c r="BE12" s="290"/>
      <c r="BF12" s="292"/>
      <c r="BG12" s="293"/>
      <c r="BH12" s="245" t="s">
        <v>3303</v>
      </c>
      <c r="BI12" s="246">
        <v>975281</v>
      </c>
      <c r="BJ12" s="164" t="s">
        <v>3301</v>
      </c>
      <c r="BK12" s="164" t="s">
        <v>3302</v>
      </c>
    </row>
    <row r="13" spans="1:63" s="139" customFormat="1" ht="52.5" customHeight="1" thickBot="1">
      <c r="A13" s="305">
        <v>12</v>
      </c>
      <c r="B13" s="11" t="s">
        <v>126</v>
      </c>
      <c r="C13" s="12" t="s">
        <v>128</v>
      </c>
      <c r="D13" s="147">
        <v>11343</v>
      </c>
      <c r="E13" s="91" t="s">
        <v>359</v>
      </c>
      <c r="F13" s="93" t="s">
        <v>214</v>
      </c>
      <c r="G13" s="141" t="s">
        <v>563</v>
      </c>
      <c r="H13" s="142">
        <v>2022</v>
      </c>
      <c r="I13" s="143" t="s">
        <v>2456</v>
      </c>
      <c r="J13" s="127">
        <v>2</v>
      </c>
      <c r="K13" s="128">
        <v>2</v>
      </c>
      <c r="L13" s="294">
        <v>22230150</v>
      </c>
      <c r="M13" s="295" t="s">
        <v>200</v>
      </c>
      <c r="N13" s="104" t="s">
        <v>52</v>
      </c>
      <c r="O13" s="296">
        <f>P13:P303</f>
        <v>40114</v>
      </c>
      <c r="P13" s="105">
        <v>40114</v>
      </c>
      <c r="Q13" s="297" t="s">
        <v>585</v>
      </c>
      <c r="R13" s="298" t="s">
        <v>551</v>
      </c>
      <c r="S13" s="299" t="s">
        <v>201</v>
      </c>
      <c r="T13" s="88" t="s">
        <v>1704</v>
      </c>
      <c r="U13" s="300">
        <v>55561</v>
      </c>
      <c r="V13" s="290" t="s">
        <v>482</v>
      </c>
      <c r="W13" s="291" t="s">
        <v>481</v>
      </c>
      <c r="X13" s="291" t="s">
        <v>52</v>
      </c>
      <c r="Y13" s="286" t="s">
        <v>20</v>
      </c>
      <c r="Z13" s="88" t="s">
        <v>3262</v>
      </c>
      <c r="AA13" s="88" t="s">
        <v>3274</v>
      </c>
      <c r="AB13" s="301"/>
      <c r="AC13" s="88" t="s">
        <v>373</v>
      </c>
      <c r="AD13" s="287" t="s">
        <v>201</v>
      </c>
      <c r="AE13" s="103" t="s">
        <v>24</v>
      </c>
      <c r="AF13" s="114" t="s">
        <v>153</v>
      </c>
      <c r="AG13" s="288" t="s">
        <v>564</v>
      </c>
      <c r="AH13" s="104" t="s">
        <v>419</v>
      </c>
      <c r="AI13" s="286"/>
      <c r="AJ13" s="85" t="s">
        <v>502</v>
      </c>
      <c r="AK13" s="287" t="s">
        <v>201</v>
      </c>
      <c r="AL13" s="290" t="s">
        <v>24</v>
      </c>
      <c r="AM13" s="291" t="s">
        <v>276</v>
      </c>
      <c r="AN13" s="291"/>
      <c r="AO13" s="289"/>
      <c r="AP13" s="290"/>
      <c r="AQ13" s="242" t="s">
        <v>552</v>
      </c>
      <c r="AR13" s="242" t="s">
        <v>553</v>
      </c>
      <c r="AS13" s="87" t="s">
        <v>52</v>
      </c>
      <c r="AT13" s="243">
        <v>30320</v>
      </c>
      <c r="AU13" s="243"/>
      <c r="AV13" s="242" t="s">
        <v>554</v>
      </c>
      <c r="AW13" s="242" t="s">
        <v>52</v>
      </c>
      <c r="AX13" s="243">
        <v>30633</v>
      </c>
      <c r="AY13" s="243"/>
      <c r="AZ13" s="291"/>
      <c r="BA13" s="287" t="s">
        <v>201</v>
      </c>
      <c r="BB13" s="290"/>
      <c r="BC13" s="291"/>
      <c r="BD13" s="291"/>
      <c r="BE13" s="290"/>
      <c r="BF13" s="292"/>
      <c r="BG13" s="293"/>
      <c r="BH13" s="306" t="s">
        <v>3303</v>
      </c>
      <c r="BI13" s="246">
        <v>975281</v>
      </c>
      <c r="BJ13" s="88" t="s">
        <v>3301</v>
      </c>
      <c r="BK13" s="88" t="s">
        <v>3302</v>
      </c>
    </row>
    <row r="14" spans="1:63" s="54" customFormat="1" ht="52.5" customHeight="1" thickBot="1">
      <c r="A14" s="53">
        <v>13</v>
      </c>
      <c r="B14" s="11" t="s">
        <v>126</v>
      </c>
      <c r="C14" s="12" t="s">
        <v>128</v>
      </c>
      <c r="D14" s="147">
        <v>11348</v>
      </c>
      <c r="E14" s="91" t="s">
        <v>360</v>
      </c>
      <c r="F14" s="93" t="s">
        <v>215</v>
      </c>
      <c r="G14" s="141" t="s">
        <v>563</v>
      </c>
      <c r="H14" s="142">
        <v>2022</v>
      </c>
      <c r="I14" s="143" t="s">
        <v>2457</v>
      </c>
      <c r="J14" s="170">
        <v>1</v>
      </c>
      <c r="K14" s="50">
        <v>3</v>
      </c>
      <c r="L14" s="49">
        <v>22230161</v>
      </c>
      <c r="M14" s="171" t="s">
        <v>200</v>
      </c>
      <c r="N14" s="56" t="s">
        <v>361</v>
      </c>
      <c r="O14" s="161">
        <f>P14:P304</f>
        <v>40368</v>
      </c>
      <c r="P14" s="163">
        <v>40368</v>
      </c>
      <c r="Q14" s="162" t="s">
        <v>586</v>
      </c>
      <c r="R14" s="44" t="s">
        <v>555</v>
      </c>
      <c r="S14" s="172" t="s">
        <v>201</v>
      </c>
      <c r="T14" s="164" t="s">
        <v>2660</v>
      </c>
      <c r="U14" s="173">
        <v>79672</v>
      </c>
      <c r="V14" s="8" t="s">
        <v>483</v>
      </c>
      <c r="W14" s="61" t="s">
        <v>361</v>
      </c>
      <c r="X14" s="61" t="s">
        <v>473</v>
      </c>
      <c r="Y14" s="160" t="s">
        <v>61</v>
      </c>
      <c r="Z14" s="164" t="s">
        <v>3262</v>
      </c>
      <c r="AA14" s="164" t="s">
        <v>3275</v>
      </c>
      <c r="AB14" s="174"/>
      <c r="AC14" s="88" t="s">
        <v>374</v>
      </c>
      <c r="AD14" s="287" t="s">
        <v>201</v>
      </c>
      <c r="AE14" s="103" t="s">
        <v>21</v>
      </c>
      <c r="AF14" s="114" t="s">
        <v>22</v>
      </c>
      <c r="AG14" s="288" t="s">
        <v>564</v>
      </c>
      <c r="AH14" s="104" t="s">
        <v>421</v>
      </c>
      <c r="AI14" s="286"/>
      <c r="AJ14" s="85" t="s">
        <v>503</v>
      </c>
      <c r="AK14" s="287" t="s">
        <v>201</v>
      </c>
      <c r="AL14" s="290" t="s">
        <v>21</v>
      </c>
      <c r="AM14" s="291" t="s">
        <v>490</v>
      </c>
      <c r="AN14" s="291"/>
      <c r="AO14" s="289"/>
      <c r="AP14" s="290"/>
      <c r="AQ14" s="242" t="s">
        <v>556</v>
      </c>
      <c r="AR14" s="242" t="s">
        <v>557</v>
      </c>
      <c r="AS14" s="87" t="s">
        <v>109</v>
      </c>
      <c r="AT14" s="243">
        <v>29481</v>
      </c>
      <c r="AU14" s="243"/>
      <c r="AV14" s="242" t="s">
        <v>555</v>
      </c>
      <c r="AW14" s="242" t="s">
        <v>94</v>
      </c>
      <c r="AX14" s="243">
        <v>29409</v>
      </c>
      <c r="AY14" s="177"/>
      <c r="AZ14" s="291"/>
      <c r="BA14" s="287" t="s">
        <v>201</v>
      </c>
      <c r="BB14" s="290"/>
      <c r="BC14" s="291"/>
      <c r="BD14" s="291"/>
      <c r="BE14" s="290"/>
      <c r="BF14" s="292"/>
      <c r="BG14" s="293"/>
      <c r="BH14" s="245" t="s">
        <v>3303</v>
      </c>
      <c r="BI14" s="246">
        <v>975281</v>
      </c>
      <c r="BJ14" s="164" t="s">
        <v>3301</v>
      </c>
      <c r="BK14" s="164" t="s">
        <v>3302</v>
      </c>
    </row>
    <row r="15" spans="1:63" s="54" customFormat="1" ht="52.5" customHeight="1" thickBot="1">
      <c r="A15" s="53">
        <v>14</v>
      </c>
      <c r="B15" s="14" t="s">
        <v>130</v>
      </c>
      <c r="C15" s="12" t="s">
        <v>128</v>
      </c>
      <c r="D15" s="147">
        <v>11404</v>
      </c>
      <c r="E15" s="98" t="s">
        <v>607</v>
      </c>
      <c r="F15" s="93" t="s">
        <v>608</v>
      </c>
      <c r="G15" s="141" t="s">
        <v>563</v>
      </c>
      <c r="H15" s="142">
        <v>2022</v>
      </c>
      <c r="I15" s="143" t="s">
        <v>2458</v>
      </c>
      <c r="J15" s="127">
        <v>1</v>
      </c>
      <c r="K15" s="128">
        <v>1</v>
      </c>
      <c r="L15" s="49">
        <v>22230238</v>
      </c>
      <c r="M15" s="171" t="s">
        <v>200</v>
      </c>
      <c r="N15" s="56" t="s">
        <v>19</v>
      </c>
      <c r="O15" s="161">
        <v>40336</v>
      </c>
      <c r="P15" s="163">
        <v>40336</v>
      </c>
      <c r="Q15" s="162" t="s">
        <v>609</v>
      </c>
      <c r="R15" s="44" t="s">
        <v>610</v>
      </c>
      <c r="S15" s="172" t="s">
        <v>201</v>
      </c>
      <c r="T15" s="164" t="s">
        <v>1760</v>
      </c>
      <c r="U15" s="173">
        <v>55782</v>
      </c>
      <c r="V15" s="8" t="s">
        <v>612</v>
      </c>
      <c r="W15" s="61" t="s">
        <v>612</v>
      </c>
      <c r="X15" s="61" t="s">
        <v>19</v>
      </c>
      <c r="Y15" s="160" t="s">
        <v>20</v>
      </c>
      <c r="Z15" s="164" t="s">
        <v>3262</v>
      </c>
      <c r="AA15" s="164" t="s">
        <v>3276</v>
      </c>
      <c r="AB15" s="174"/>
      <c r="AC15" s="88" t="s">
        <v>613</v>
      </c>
      <c r="AD15" s="287" t="s">
        <v>201</v>
      </c>
      <c r="AE15" s="302" t="s">
        <v>21</v>
      </c>
      <c r="AF15" s="303" t="s">
        <v>22</v>
      </c>
      <c r="AG15" s="288" t="s">
        <v>564</v>
      </c>
      <c r="AH15" s="104" t="s">
        <v>348</v>
      </c>
      <c r="AI15" s="286"/>
      <c r="AJ15" s="85" t="s">
        <v>614</v>
      </c>
      <c r="AK15" s="287" t="s">
        <v>201</v>
      </c>
      <c r="AL15" s="290"/>
      <c r="AM15" s="291"/>
      <c r="AN15" s="291"/>
      <c r="AO15" s="289"/>
      <c r="AP15" s="290"/>
      <c r="AQ15" s="242"/>
      <c r="AR15" s="242"/>
      <c r="AS15" s="87"/>
      <c r="AT15" s="243"/>
      <c r="AU15" s="243"/>
      <c r="AV15" s="242"/>
      <c r="AW15" s="242"/>
      <c r="AX15" s="243"/>
      <c r="AY15" s="177"/>
      <c r="AZ15" s="291"/>
      <c r="BA15" s="287" t="s">
        <v>201</v>
      </c>
      <c r="BB15" s="290"/>
      <c r="BC15" s="291"/>
      <c r="BD15" s="291"/>
      <c r="BE15" s="290"/>
      <c r="BF15" s="292"/>
      <c r="BG15" s="293"/>
      <c r="BH15" s="245" t="s">
        <v>3303</v>
      </c>
      <c r="BI15" s="246">
        <v>975281</v>
      </c>
      <c r="BJ15" s="164" t="s">
        <v>3301</v>
      </c>
      <c r="BK15" s="164" t="s">
        <v>3302</v>
      </c>
    </row>
    <row r="16" spans="1:63" s="54" customFormat="1" ht="52.5" customHeight="1" thickBot="1">
      <c r="A16" s="53">
        <v>15</v>
      </c>
      <c r="B16" s="15" t="s">
        <v>77</v>
      </c>
      <c r="C16" s="12" t="s">
        <v>128</v>
      </c>
      <c r="D16" s="126">
        <v>11410</v>
      </c>
      <c r="E16" s="91" t="s">
        <v>2281</v>
      </c>
      <c r="F16" s="93" t="s">
        <v>616</v>
      </c>
      <c r="G16" s="141" t="s">
        <v>563</v>
      </c>
      <c r="H16" s="142">
        <v>2022</v>
      </c>
      <c r="I16" s="143" t="s">
        <v>2459</v>
      </c>
      <c r="J16" s="170">
        <v>2</v>
      </c>
      <c r="K16" s="50">
        <v>2</v>
      </c>
      <c r="L16" s="49">
        <v>22230151</v>
      </c>
      <c r="M16" s="171" t="s">
        <v>200</v>
      </c>
      <c r="N16" s="178" t="s">
        <v>54</v>
      </c>
      <c r="O16" s="161">
        <v>40165</v>
      </c>
      <c r="P16" s="179">
        <v>40165</v>
      </c>
      <c r="Q16" s="161" t="s">
        <v>1180</v>
      </c>
      <c r="R16" s="44" t="s">
        <v>1181</v>
      </c>
      <c r="S16" s="172" t="s">
        <v>201</v>
      </c>
      <c r="T16" s="165" t="s">
        <v>618</v>
      </c>
      <c r="U16" s="173">
        <v>56311</v>
      </c>
      <c r="V16" s="8" t="s">
        <v>1183</v>
      </c>
      <c r="W16" s="61" t="s">
        <v>1184</v>
      </c>
      <c r="X16" s="61" t="s">
        <v>54</v>
      </c>
      <c r="Y16" s="160" t="s">
        <v>28</v>
      </c>
      <c r="Z16" s="164" t="s">
        <v>3262</v>
      </c>
      <c r="AA16" s="164" t="s">
        <v>3277</v>
      </c>
      <c r="AB16" s="174"/>
      <c r="AC16" s="85" t="s">
        <v>3111</v>
      </c>
      <c r="AD16" s="287" t="s">
        <v>201</v>
      </c>
      <c r="AE16" s="302" t="s">
        <v>30</v>
      </c>
      <c r="AF16" s="303" t="s">
        <v>22</v>
      </c>
      <c r="AG16" s="288" t="s">
        <v>564</v>
      </c>
      <c r="AH16" s="86" t="s">
        <v>286</v>
      </c>
      <c r="AI16" s="286"/>
      <c r="AJ16" s="85" t="s">
        <v>1185</v>
      </c>
      <c r="AK16" s="287" t="s">
        <v>201</v>
      </c>
      <c r="AL16" s="314" t="s">
        <v>21</v>
      </c>
      <c r="AM16" s="85" t="s">
        <v>157</v>
      </c>
      <c r="AN16" s="288"/>
      <c r="AO16" s="289"/>
      <c r="AP16" s="290"/>
      <c r="AQ16" s="242" t="s">
        <v>1186</v>
      </c>
      <c r="AR16" s="242" t="s">
        <v>1187</v>
      </c>
      <c r="AS16" s="87" t="s">
        <v>54</v>
      </c>
      <c r="AT16" s="243">
        <v>26295</v>
      </c>
      <c r="AU16" s="243"/>
      <c r="AV16" s="242" t="s">
        <v>1188</v>
      </c>
      <c r="AW16" s="242" t="s">
        <v>105</v>
      </c>
      <c r="AX16" s="243">
        <v>28434</v>
      </c>
      <c r="AY16" s="177"/>
      <c r="AZ16" s="291"/>
      <c r="BA16" s="287" t="s">
        <v>201</v>
      </c>
      <c r="BB16" s="290"/>
      <c r="BC16" s="291"/>
      <c r="BD16" s="291"/>
      <c r="BE16" s="290"/>
      <c r="BF16" s="292"/>
      <c r="BG16" s="293"/>
      <c r="BH16" s="245" t="s">
        <v>3303</v>
      </c>
      <c r="BI16" s="246">
        <v>975281</v>
      </c>
      <c r="BJ16" s="164" t="s">
        <v>3301</v>
      </c>
      <c r="BK16" s="164" t="s">
        <v>3302</v>
      </c>
    </row>
    <row r="17" spans="1:63" s="54" customFormat="1" ht="52.5" customHeight="1" thickBot="1">
      <c r="A17" s="53">
        <v>16</v>
      </c>
      <c r="B17" s="18" t="s">
        <v>127</v>
      </c>
      <c r="C17" s="12" t="s">
        <v>128</v>
      </c>
      <c r="D17" s="140">
        <v>11411</v>
      </c>
      <c r="E17" s="91" t="s">
        <v>619</v>
      </c>
      <c r="F17" s="93" t="s">
        <v>620</v>
      </c>
      <c r="G17" s="141" t="s">
        <v>563</v>
      </c>
      <c r="H17" s="142">
        <v>2022</v>
      </c>
      <c r="I17" s="143" t="s">
        <v>2460</v>
      </c>
      <c r="J17" s="170">
        <v>1</v>
      </c>
      <c r="K17" s="50">
        <v>0</v>
      </c>
      <c r="L17" s="49">
        <v>22230266</v>
      </c>
      <c r="M17" s="171" t="s">
        <v>200</v>
      </c>
      <c r="N17" s="56" t="s">
        <v>19</v>
      </c>
      <c r="O17" s="161">
        <v>40164</v>
      </c>
      <c r="P17" s="163">
        <v>40164</v>
      </c>
      <c r="Q17" s="162" t="s">
        <v>621</v>
      </c>
      <c r="R17" s="44" t="s">
        <v>622</v>
      </c>
      <c r="S17" s="172" t="s">
        <v>201</v>
      </c>
      <c r="T17" s="164" t="s">
        <v>2291</v>
      </c>
      <c r="U17" s="173">
        <v>55763</v>
      </c>
      <c r="V17" s="8" t="s">
        <v>624</v>
      </c>
      <c r="W17" s="61" t="s">
        <v>625</v>
      </c>
      <c r="X17" s="61" t="s">
        <v>19</v>
      </c>
      <c r="Y17" s="160" t="s">
        <v>20</v>
      </c>
      <c r="Z17" s="164" t="s">
        <v>3262</v>
      </c>
      <c r="AA17" s="176"/>
      <c r="AB17" s="174"/>
      <c r="AC17" s="88" t="s">
        <v>626</v>
      </c>
      <c r="AD17" s="287" t="s">
        <v>201</v>
      </c>
      <c r="AE17" s="103" t="s">
        <v>21</v>
      </c>
      <c r="AF17" s="114" t="s">
        <v>153</v>
      </c>
      <c r="AG17" s="288" t="s">
        <v>564</v>
      </c>
      <c r="AH17" s="104" t="s">
        <v>384</v>
      </c>
      <c r="AI17" s="286"/>
      <c r="AJ17" s="85" t="s">
        <v>627</v>
      </c>
      <c r="AK17" s="287" t="s">
        <v>201</v>
      </c>
      <c r="AL17" s="290" t="s">
        <v>220</v>
      </c>
      <c r="AM17" s="291" t="s">
        <v>154</v>
      </c>
      <c r="AN17" s="291"/>
      <c r="AO17" s="289"/>
      <c r="AP17" s="290"/>
      <c r="AQ17" s="242" t="s">
        <v>628</v>
      </c>
      <c r="AR17" s="242" t="s">
        <v>629</v>
      </c>
      <c r="AS17" s="87" t="s">
        <v>19</v>
      </c>
      <c r="AT17" s="243">
        <v>29648</v>
      </c>
      <c r="AU17" s="243"/>
      <c r="AV17" s="242" t="s">
        <v>630</v>
      </c>
      <c r="AW17" s="242" t="s">
        <v>19</v>
      </c>
      <c r="AX17" s="243">
        <v>29670</v>
      </c>
      <c r="AY17" s="177"/>
      <c r="AZ17" s="291"/>
      <c r="BA17" s="287" t="s">
        <v>201</v>
      </c>
      <c r="BB17" s="290"/>
      <c r="BC17" s="291"/>
      <c r="BD17" s="291"/>
      <c r="BE17" s="290"/>
      <c r="BF17" s="292"/>
      <c r="BG17" s="293"/>
      <c r="BH17" s="245" t="s">
        <v>3303</v>
      </c>
      <c r="BI17" s="246">
        <v>975281</v>
      </c>
      <c r="BJ17" s="164" t="s">
        <v>3301</v>
      </c>
      <c r="BK17" s="164" t="s">
        <v>3302</v>
      </c>
    </row>
    <row r="18" spans="1:63" s="54" customFormat="1" ht="52.5" customHeight="1" thickBot="1">
      <c r="A18" s="53">
        <v>17</v>
      </c>
      <c r="B18" s="11" t="s">
        <v>126</v>
      </c>
      <c r="C18" s="12" t="s">
        <v>128</v>
      </c>
      <c r="D18" s="147">
        <v>11405</v>
      </c>
      <c r="E18" s="91" t="s">
        <v>642</v>
      </c>
      <c r="F18" s="93" t="s">
        <v>643</v>
      </c>
      <c r="G18" s="141" t="s">
        <v>563</v>
      </c>
      <c r="H18" s="142">
        <v>2022</v>
      </c>
      <c r="I18" s="143" t="s">
        <v>2461</v>
      </c>
      <c r="J18" s="170">
        <v>1</v>
      </c>
      <c r="K18" s="50">
        <v>1</v>
      </c>
      <c r="L18" s="49">
        <v>22230124</v>
      </c>
      <c r="M18" s="171" t="s">
        <v>200</v>
      </c>
      <c r="N18" s="104" t="s">
        <v>31</v>
      </c>
      <c r="O18" s="161">
        <f>P18:P308</f>
        <v>40213</v>
      </c>
      <c r="P18" s="105">
        <v>40213</v>
      </c>
      <c r="Q18" s="162" t="s">
        <v>644</v>
      </c>
      <c r="R18" s="44" t="s">
        <v>645</v>
      </c>
      <c r="S18" s="172" t="s">
        <v>201</v>
      </c>
      <c r="T18" s="88" t="s">
        <v>1204</v>
      </c>
      <c r="U18" s="173">
        <v>51156</v>
      </c>
      <c r="V18" s="8" t="s">
        <v>647</v>
      </c>
      <c r="W18" s="61" t="s">
        <v>648</v>
      </c>
      <c r="X18" s="61" t="s">
        <v>31</v>
      </c>
      <c r="Y18" s="160" t="s">
        <v>28</v>
      </c>
      <c r="Z18" s="164" t="s">
        <v>3262</v>
      </c>
      <c r="AA18" s="176" t="s">
        <v>2704</v>
      </c>
      <c r="AB18" s="174"/>
      <c r="AC18" s="88" t="s">
        <v>649</v>
      </c>
      <c r="AD18" s="287" t="s">
        <v>201</v>
      </c>
      <c r="AE18" s="290" t="s">
        <v>220</v>
      </c>
      <c r="AF18" s="291" t="s">
        <v>154</v>
      </c>
      <c r="AG18" s="317" t="s">
        <v>565</v>
      </c>
      <c r="AH18" s="289" t="s">
        <v>425</v>
      </c>
      <c r="AI18" s="286"/>
      <c r="AJ18" s="85" t="s">
        <v>650</v>
      </c>
      <c r="AK18" s="287" t="s">
        <v>201</v>
      </c>
      <c r="AL18" s="290" t="s">
        <v>24</v>
      </c>
      <c r="AM18" s="291" t="s">
        <v>155</v>
      </c>
      <c r="AN18" s="291"/>
      <c r="AO18" s="289"/>
      <c r="AP18" s="290"/>
      <c r="AQ18" s="242" t="s">
        <v>651</v>
      </c>
      <c r="AR18" s="242" t="s">
        <v>652</v>
      </c>
      <c r="AS18" s="87" t="s">
        <v>31</v>
      </c>
      <c r="AT18" s="243">
        <v>29914</v>
      </c>
      <c r="AU18" s="243"/>
      <c r="AV18" s="242" t="s">
        <v>653</v>
      </c>
      <c r="AW18" s="242" t="s">
        <v>58</v>
      </c>
      <c r="AX18" s="243">
        <v>31547</v>
      </c>
      <c r="AY18" s="177"/>
      <c r="AZ18" s="291"/>
      <c r="BA18" s="287" t="s">
        <v>201</v>
      </c>
      <c r="BB18" s="290"/>
      <c r="BC18" s="291"/>
      <c r="BD18" s="291"/>
      <c r="BE18" s="290"/>
      <c r="BF18" s="292"/>
      <c r="BG18" s="293"/>
      <c r="BH18" s="245" t="s">
        <v>3303</v>
      </c>
      <c r="BI18" s="246">
        <v>975281</v>
      </c>
      <c r="BJ18" s="164" t="s">
        <v>3301</v>
      </c>
      <c r="BK18" s="164" t="s">
        <v>3302</v>
      </c>
    </row>
    <row r="19" spans="1:63" s="54" customFormat="1" ht="52.5" customHeight="1" thickBot="1">
      <c r="A19" s="53">
        <v>18</v>
      </c>
      <c r="B19" s="19" t="s">
        <v>132</v>
      </c>
      <c r="C19" s="12" t="s">
        <v>128</v>
      </c>
      <c r="D19" s="147">
        <v>11424</v>
      </c>
      <c r="E19" s="91" t="s">
        <v>2426</v>
      </c>
      <c r="F19" s="93" t="s">
        <v>655</v>
      </c>
      <c r="G19" s="141" t="s">
        <v>563</v>
      </c>
      <c r="H19" s="142">
        <v>2022</v>
      </c>
      <c r="I19" s="143" t="s">
        <v>2462</v>
      </c>
      <c r="J19" s="170">
        <v>1</v>
      </c>
      <c r="K19" s="50">
        <v>1</v>
      </c>
      <c r="L19" s="49">
        <v>22230052</v>
      </c>
      <c r="M19" s="171" t="s">
        <v>200</v>
      </c>
      <c r="N19" s="178" t="s">
        <v>19</v>
      </c>
      <c r="O19" s="161">
        <v>40038</v>
      </c>
      <c r="P19" s="180">
        <v>40038</v>
      </c>
      <c r="Q19" s="162" t="s">
        <v>945</v>
      </c>
      <c r="R19" s="44" t="s">
        <v>656</v>
      </c>
      <c r="S19" s="172" t="s">
        <v>201</v>
      </c>
      <c r="T19" s="165" t="s">
        <v>657</v>
      </c>
      <c r="U19" s="173">
        <v>55711</v>
      </c>
      <c r="V19" s="8" t="s">
        <v>658</v>
      </c>
      <c r="W19" s="61" t="s">
        <v>19</v>
      </c>
      <c r="X19" s="61" t="s">
        <v>19</v>
      </c>
      <c r="Y19" s="160" t="s">
        <v>20</v>
      </c>
      <c r="Z19" s="164" t="s">
        <v>3262</v>
      </c>
      <c r="AA19" s="176" t="s">
        <v>2702</v>
      </c>
      <c r="AB19" s="174"/>
      <c r="AC19" s="85" t="s">
        <v>659</v>
      </c>
      <c r="AD19" s="287" t="s">
        <v>201</v>
      </c>
      <c r="AE19" s="302" t="s">
        <v>30</v>
      </c>
      <c r="AF19" s="303" t="s">
        <v>153</v>
      </c>
      <c r="AG19" s="304" t="s">
        <v>564</v>
      </c>
      <c r="AH19" s="86" t="s">
        <v>251</v>
      </c>
      <c r="AI19" s="286"/>
      <c r="AJ19" s="85" t="s">
        <v>660</v>
      </c>
      <c r="AK19" s="287" t="s">
        <v>201</v>
      </c>
      <c r="AL19" s="314" t="s">
        <v>21</v>
      </c>
      <c r="AM19" s="85"/>
      <c r="AN19" s="288"/>
      <c r="AO19" s="289"/>
      <c r="AP19" s="290"/>
      <c r="AQ19" s="242" t="s">
        <v>661</v>
      </c>
      <c r="AR19" s="242" t="s">
        <v>662</v>
      </c>
      <c r="AS19" s="87" t="s">
        <v>663</v>
      </c>
      <c r="AT19" s="243">
        <v>26598</v>
      </c>
      <c r="AU19" s="243"/>
      <c r="AV19" s="242" t="s">
        <v>664</v>
      </c>
      <c r="AW19" s="242" t="s">
        <v>665</v>
      </c>
      <c r="AX19" s="243">
        <v>28651</v>
      </c>
      <c r="AY19" s="177"/>
      <c r="AZ19" s="291"/>
      <c r="BA19" s="287" t="s">
        <v>201</v>
      </c>
      <c r="BB19" s="290"/>
      <c r="BC19" s="291"/>
      <c r="BD19" s="291"/>
      <c r="BE19" s="290"/>
      <c r="BF19" s="292"/>
      <c r="BG19" s="293"/>
      <c r="BH19" s="245" t="s">
        <v>3303</v>
      </c>
      <c r="BI19" s="246">
        <v>975281</v>
      </c>
      <c r="BJ19" s="164" t="s">
        <v>3301</v>
      </c>
      <c r="BK19" s="164" t="s">
        <v>3302</v>
      </c>
    </row>
    <row r="20" spans="1:63" s="54" customFormat="1" ht="52.5" customHeight="1" thickBot="1">
      <c r="A20" s="53">
        <v>19</v>
      </c>
      <c r="B20" s="18" t="s">
        <v>127</v>
      </c>
      <c r="C20" s="12" t="s">
        <v>128</v>
      </c>
      <c r="D20" s="140">
        <v>11428</v>
      </c>
      <c r="E20" s="91" t="s">
        <v>666</v>
      </c>
      <c r="F20" s="93" t="s">
        <v>667</v>
      </c>
      <c r="G20" s="141" t="s">
        <v>563</v>
      </c>
      <c r="H20" s="142">
        <v>2022</v>
      </c>
      <c r="I20" s="143" t="s">
        <v>2463</v>
      </c>
      <c r="J20" s="149">
        <v>2</v>
      </c>
      <c r="K20" s="150">
        <v>2</v>
      </c>
      <c r="L20" s="49">
        <v>22230287</v>
      </c>
      <c r="M20" s="171" t="s">
        <v>200</v>
      </c>
      <c r="N20" s="104" t="s">
        <v>668</v>
      </c>
      <c r="O20" s="161">
        <v>40062</v>
      </c>
      <c r="P20" s="105">
        <v>40062</v>
      </c>
      <c r="Q20" s="162" t="s">
        <v>669</v>
      </c>
      <c r="R20" s="46" t="s">
        <v>670</v>
      </c>
      <c r="S20" s="172" t="s">
        <v>201</v>
      </c>
      <c r="T20" s="88" t="s">
        <v>2417</v>
      </c>
      <c r="U20" s="172">
        <v>63561</v>
      </c>
      <c r="V20" s="55" t="s">
        <v>672</v>
      </c>
      <c r="W20" s="164" t="s">
        <v>673</v>
      </c>
      <c r="X20" s="164" t="s">
        <v>668</v>
      </c>
      <c r="Y20" s="164" t="s">
        <v>38</v>
      </c>
      <c r="Z20" s="164" t="s">
        <v>3262</v>
      </c>
      <c r="AA20" s="176" t="s">
        <v>2705</v>
      </c>
      <c r="AB20" s="55"/>
      <c r="AC20" s="88" t="s">
        <v>674</v>
      </c>
      <c r="AD20" s="287" t="s">
        <v>201</v>
      </c>
      <c r="AE20" s="103" t="s">
        <v>21</v>
      </c>
      <c r="AF20" s="114" t="s">
        <v>153</v>
      </c>
      <c r="AG20" s="293"/>
      <c r="AH20" s="104" t="s">
        <v>386</v>
      </c>
      <c r="AI20" s="88"/>
      <c r="AJ20" s="85" t="s">
        <v>675</v>
      </c>
      <c r="AK20" s="287" t="s">
        <v>201</v>
      </c>
      <c r="AL20" s="290"/>
      <c r="AM20" s="291"/>
      <c r="AN20" s="291"/>
      <c r="AO20" s="289"/>
      <c r="AP20" s="290"/>
      <c r="AQ20" s="242"/>
      <c r="AR20" s="242"/>
      <c r="AS20" s="87"/>
      <c r="AT20" s="243"/>
      <c r="AU20" s="243"/>
      <c r="AV20" s="242"/>
      <c r="AW20" s="242"/>
      <c r="AX20" s="243"/>
      <c r="AY20" s="177"/>
      <c r="AZ20" s="291"/>
      <c r="BA20" s="287" t="s">
        <v>201</v>
      </c>
      <c r="BB20" s="290"/>
      <c r="BC20" s="291"/>
      <c r="BD20" s="291"/>
      <c r="BE20" s="290"/>
      <c r="BF20" s="292"/>
      <c r="BG20" s="293"/>
      <c r="BH20" s="245" t="s">
        <v>3303</v>
      </c>
      <c r="BI20" s="246">
        <v>975281</v>
      </c>
      <c r="BJ20" s="164" t="s">
        <v>3301</v>
      </c>
      <c r="BK20" s="164" t="s">
        <v>3302</v>
      </c>
    </row>
    <row r="21" spans="1:63" s="54" customFormat="1" ht="52.5" customHeight="1" thickBot="1">
      <c r="A21" s="53">
        <v>20</v>
      </c>
      <c r="B21" s="16" t="s">
        <v>131</v>
      </c>
      <c r="C21" s="12" t="s">
        <v>128</v>
      </c>
      <c r="D21" s="140">
        <v>11443</v>
      </c>
      <c r="E21" s="91" t="s">
        <v>2427</v>
      </c>
      <c r="F21" s="93" t="s">
        <v>691</v>
      </c>
      <c r="G21" s="141" t="s">
        <v>563</v>
      </c>
      <c r="H21" s="142">
        <v>2022</v>
      </c>
      <c r="I21" s="143" t="s">
        <v>2464</v>
      </c>
      <c r="J21" s="170">
        <v>1</v>
      </c>
      <c r="K21" s="50">
        <v>1</v>
      </c>
      <c r="L21" s="49">
        <v>22230130</v>
      </c>
      <c r="M21" s="171" t="s">
        <v>200</v>
      </c>
      <c r="N21" s="178" t="s">
        <v>668</v>
      </c>
      <c r="O21" s="161">
        <v>40331</v>
      </c>
      <c r="P21" s="179">
        <v>40331</v>
      </c>
      <c r="Q21" s="162" t="s">
        <v>692</v>
      </c>
      <c r="R21" s="46" t="s">
        <v>693</v>
      </c>
      <c r="S21" s="172" t="s">
        <v>201</v>
      </c>
      <c r="T21" s="165" t="s">
        <v>1231</v>
      </c>
      <c r="U21" s="173">
        <v>55918</v>
      </c>
      <c r="V21" s="8" t="s">
        <v>695</v>
      </c>
      <c r="W21" s="61" t="s">
        <v>696</v>
      </c>
      <c r="X21" s="61" t="s">
        <v>19</v>
      </c>
      <c r="Y21" s="160" t="s">
        <v>20</v>
      </c>
      <c r="Z21" s="164" t="s">
        <v>3262</v>
      </c>
      <c r="AA21" s="176" t="s">
        <v>2706</v>
      </c>
      <c r="AB21" s="174"/>
      <c r="AC21" s="85" t="s">
        <v>697</v>
      </c>
      <c r="AD21" s="287" t="s">
        <v>201</v>
      </c>
      <c r="AE21" s="302" t="s">
        <v>21</v>
      </c>
      <c r="AF21" s="303" t="s">
        <v>153</v>
      </c>
      <c r="AG21" s="304" t="s">
        <v>565</v>
      </c>
      <c r="AH21" s="86" t="s">
        <v>265</v>
      </c>
      <c r="AI21" s="286"/>
      <c r="AJ21" s="85" t="s">
        <v>698</v>
      </c>
      <c r="AK21" s="287" t="s">
        <v>201</v>
      </c>
      <c r="AL21" s="314" t="s">
        <v>21</v>
      </c>
      <c r="AM21" s="85" t="s">
        <v>155</v>
      </c>
      <c r="AN21" s="288"/>
      <c r="AO21" s="289"/>
      <c r="AP21" s="290"/>
      <c r="AQ21" s="242" t="s">
        <v>699</v>
      </c>
      <c r="AR21" s="242" t="s">
        <v>700</v>
      </c>
      <c r="AS21" s="87" t="s">
        <v>19</v>
      </c>
      <c r="AT21" s="243">
        <v>30484</v>
      </c>
      <c r="AU21" s="243"/>
      <c r="AV21" s="242" t="s">
        <v>701</v>
      </c>
      <c r="AW21" s="242" t="s">
        <v>668</v>
      </c>
      <c r="AX21" s="243">
        <v>31201</v>
      </c>
      <c r="AY21" s="177"/>
      <c r="AZ21" s="291"/>
      <c r="BA21" s="287" t="s">
        <v>201</v>
      </c>
      <c r="BB21" s="290"/>
      <c r="BC21" s="291"/>
      <c r="BD21" s="291"/>
      <c r="BE21" s="290"/>
      <c r="BF21" s="292"/>
      <c r="BG21" s="293"/>
      <c r="BH21" s="245" t="s">
        <v>3303</v>
      </c>
      <c r="BI21" s="246">
        <v>975281</v>
      </c>
      <c r="BJ21" s="164" t="s">
        <v>3301</v>
      </c>
      <c r="BK21" s="164" t="s">
        <v>3302</v>
      </c>
    </row>
    <row r="22" spans="1:63" s="54" customFormat="1" ht="52.5" customHeight="1" thickBot="1">
      <c r="A22" s="53">
        <v>21</v>
      </c>
      <c r="B22" s="15" t="s">
        <v>77</v>
      </c>
      <c r="C22" s="12" t="s">
        <v>128</v>
      </c>
      <c r="D22" s="126">
        <v>11438</v>
      </c>
      <c r="E22" s="91" t="s">
        <v>956</v>
      </c>
      <c r="F22" s="93" t="s">
        <v>957</v>
      </c>
      <c r="G22" s="141" t="s">
        <v>563</v>
      </c>
      <c r="H22" s="142">
        <v>2022</v>
      </c>
      <c r="I22" s="143" t="s">
        <v>2465</v>
      </c>
      <c r="J22" s="170">
        <v>1</v>
      </c>
      <c r="K22" s="50">
        <v>3</v>
      </c>
      <c r="L22" s="49">
        <v>22230186</v>
      </c>
      <c r="M22" s="171" t="s">
        <v>200</v>
      </c>
      <c r="N22" s="178" t="s">
        <v>119</v>
      </c>
      <c r="O22" s="161">
        <v>40421</v>
      </c>
      <c r="P22" s="179">
        <v>40421</v>
      </c>
      <c r="Q22" s="162" t="s">
        <v>958</v>
      </c>
      <c r="R22" s="44" t="s">
        <v>959</v>
      </c>
      <c r="S22" s="172" t="s">
        <v>201</v>
      </c>
      <c r="T22" s="165" t="s">
        <v>960</v>
      </c>
      <c r="U22" s="173">
        <v>15418</v>
      </c>
      <c r="V22" s="8" t="s">
        <v>961</v>
      </c>
      <c r="W22" s="61" t="s">
        <v>962</v>
      </c>
      <c r="X22" s="61" t="s">
        <v>119</v>
      </c>
      <c r="Y22" s="160" t="s">
        <v>42</v>
      </c>
      <c r="Z22" s="164" t="s">
        <v>3262</v>
      </c>
      <c r="AA22" s="176" t="s">
        <v>2707</v>
      </c>
      <c r="AB22" s="174"/>
      <c r="AC22" s="85" t="s">
        <v>963</v>
      </c>
      <c r="AD22" s="287" t="s">
        <v>201</v>
      </c>
      <c r="AE22" s="302" t="s">
        <v>30</v>
      </c>
      <c r="AF22" s="303" t="s">
        <v>155</v>
      </c>
      <c r="AG22" s="288" t="s">
        <v>564</v>
      </c>
      <c r="AH22" s="86" t="s">
        <v>288</v>
      </c>
      <c r="AI22" s="286"/>
      <c r="AJ22" s="85" t="s">
        <v>964</v>
      </c>
      <c r="AK22" s="287" t="s">
        <v>201</v>
      </c>
      <c r="AL22" s="314" t="s">
        <v>21</v>
      </c>
      <c r="AM22" s="85" t="s">
        <v>155</v>
      </c>
      <c r="AN22" s="288"/>
      <c r="AO22" s="289"/>
      <c r="AP22" s="290"/>
      <c r="AQ22" s="242" t="s">
        <v>965</v>
      </c>
      <c r="AR22" s="242" t="s">
        <v>966</v>
      </c>
      <c r="AS22" s="87" t="s">
        <v>967</v>
      </c>
      <c r="AT22" s="243">
        <v>29737</v>
      </c>
      <c r="AU22" s="243"/>
      <c r="AV22" s="242" t="s">
        <v>968</v>
      </c>
      <c r="AW22" s="242" t="s">
        <v>969</v>
      </c>
      <c r="AX22" s="243">
        <v>30461</v>
      </c>
      <c r="AY22" s="177"/>
      <c r="AZ22" s="291"/>
      <c r="BA22" s="287" t="s">
        <v>201</v>
      </c>
      <c r="BB22" s="290"/>
      <c r="BC22" s="291"/>
      <c r="BD22" s="291"/>
      <c r="BE22" s="290"/>
      <c r="BF22" s="292"/>
      <c r="BG22" s="293"/>
      <c r="BH22" s="245" t="s">
        <v>3303</v>
      </c>
      <c r="BI22" s="246">
        <v>975281</v>
      </c>
      <c r="BJ22" s="164" t="s">
        <v>3301</v>
      </c>
      <c r="BK22" s="164" t="s">
        <v>3302</v>
      </c>
    </row>
    <row r="23" spans="1:63" s="54" customFormat="1" ht="52.5" customHeight="1" thickBot="1">
      <c r="A23" s="53">
        <v>22</v>
      </c>
      <c r="B23" s="19" t="s">
        <v>132</v>
      </c>
      <c r="C23" s="12" t="s">
        <v>128</v>
      </c>
      <c r="D23" s="147">
        <v>11439</v>
      </c>
      <c r="E23" s="91" t="s">
        <v>943</v>
      </c>
      <c r="F23" s="93" t="s">
        <v>676</v>
      </c>
      <c r="G23" s="141" t="s">
        <v>563</v>
      </c>
      <c r="H23" s="142">
        <v>2022</v>
      </c>
      <c r="I23" s="143" t="s">
        <v>2466</v>
      </c>
      <c r="J23" s="170">
        <v>1</v>
      </c>
      <c r="K23" s="50">
        <v>1</v>
      </c>
      <c r="L23" s="49">
        <v>22230079</v>
      </c>
      <c r="M23" s="171" t="s">
        <v>200</v>
      </c>
      <c r="N23" s="178" t="s">
        <v>60</v>
      </c>
      <c r="O23" s="161">
        <v>40236</v>
      </c>
      <c r="P23" s="179">
        <v>40236</v>
      </c>
      <c r="Q23" s="162" t="s">
        <v>2708</v>
      </c>
      <c r="R23" s="44" t="s">
        <v>2709</v>
      </c>
      <c r="S23" s="172" t="s">
        <v>201</v>
      </c>
      <c r="T23" s="165" t="s">
        <v>2661</v>
      </c>
      <c r="U23" s="173">
        <v>53211</v>
      </c>
      <c r="V23" s="8" t="s">
        <v>60</v>
      </c>
      <c r="W23" s="61" t="s">
        <v>1962</v>
      </c>
      <c r="X23" s="61" t="s">
        <v>60</v>
      </c>
      <c r="Y23" s="160" t="s">
        <v>28</v>
      </c>
      <c r="Z23" s="164" t="s">
        <v>3262</v>
      </c>
      <c r="AA23" s="176" t="s">
        <v>2710</v>
      </c>
      <c r="AB23" s="174"/>
      <c r="AC23" s="85" t="s">
        <v>2711</v>
      </c>
      <c r="AD23" s="287" t="s">
        <v>201</v>
      </c>
      <c r="AE23" s="302" t="s">
        <v>220</v>
      </c>
      <c r="AF23" s="303" t="s">
        <v>276</v>
      </c>
      <c r="AG23" s="304" t="s">
        <v>564</v>
      </c>
      <c r="AH23" s="86"/>
      <c r="AI23" s="286"/>
      <c r="AJ23" s="85" t="s">
        <v>2712</v>
      </c>
      <c r="AK23" s="287" t="s">
        <v>201</v>
      </c>
      <c r="AL23" s="314" t="s">
        <v>21</v>
      </c>
      <c r="AM23" s="85" t="s">
        <v>153</v>
      </c>
      <c r="AN23" s="288"/>
      <c r="AO23" s="289" t="s">
        <v>252</v>
      </c>
      <c r="AP23" s="290"/>
      <c r="AQ23" s="242" t="s">
        <v>2713</v>
      </c>
      <c r="AR23" s="242" t="s">
        <v>2714</v>
      </c>
      <c r="AS23" s="87" t="s">
        <v>60</v>
      </c>
      <c r="AT23" s="243">
        <v>30479</v>
      </c>
      <c r="AU23" s="243"/>
      <c r="AV23" s="242" t="s">
        <v>2715</v>
      </c>
      <c r="AW23" s="242" t="s">
        <v>60</v>
      </c>
      <c r="AX23" s="243">
        <v>30484</v>
      </c>
      <c r="AY23" s="177"/>
      <c r="AZ23" s="291"/>
      <c r="BA23" s="287" t="s">
        <v>201</v>
      </c>
      <c r="BB23" s="290"/>
      <c r="BC23" s="291"/>
      <c r="BD23" s="291"/>
      <c r="BE23" s="290"/>
      <c r="BF23" s="292"/>
      <c r="BG23" s="293"/>
      <c r="BH23" s="245" t="s">
        <v>3303</v>
      </c>
      <c r="BI23" s="246">
        <v>975281</v>
      </c>
      <c r="BJ23" s="164" t="s">
        <v>3301</v>
      </c>
      <c r="BK23" s="164" t="s">
        <v>3302</v>
      </c>
    </row>
    <row r="24" spans="1:63" s="54" customFormat="1" ht="52.5" customHeight="1" thickBot="1">
      <c r="A24" s="53">
        <v>23</v>
      </c>
      <c r="B24" s="15" t="s">
        <v>77</v>
      </c>
      <c r="C24" s="12" t="s">
        <v>128</v>
      </c>
      <c r="D24" s="126">
        <v>11442</v>
      </c>
      <c r="E24" s="91" t="s">
        <v>679</v>
      </c>
      <c r="F24" s="93" t="s">
        <v>680</v>
      </c>
      <c r="G24" s="141" t="s">
        <v>563</v>
      </c>
      <c r="H24" s="142">
        <v>2022</v>
      </c>
      <c r="I24" s="143" t="s">
        <v>2467</v>
      </c>
      <c r="J24" s="170">
        <v>1</v>
      </c>
      <c r="K24" s="50">
        <v>1</v>
      </c>
      <c r="L24" s="49">
        <v>22230169</v>
      </c>
      <c r="M24" s="171" t="s">
        <v>200</v>
      </c>
      <c r="N24" s="178" t="s">
        <v>2716</v>
      </c>
      <c r="O24" s="161">
        <v>40306</v>
      </c>
      <c r="P24" s="179">
        <v>40306</v>
      </c>
      <c r="Q24" s="162" t="s">
        <v>2717</v>
      </c>
      <c r="R24" s="44" t="s">
        <v>682</v>
      </c>
      <c r="S24" s="172" t="s">
        <v>201</v>
      </c>
      <c r="T24" s="165" t="s">
        <v>683</v>
      </c>
      <c r="U24" s="173">
        <v>41374</v>
      </c>
      <c r="V24" s="8" t="s">
        <v>684</v>
      </c>
      <c r="W24" s="61" t="s">
        <v>685</v>
      </c>
      <c r="X24" s="61" t="s">
        <v>681</v>
      </c>
      <c r="Y24" s="160" t="s">
        <v>39</v>
      </c>
      <c r="Z24" s="164" t="s">
        <v>3262</v>
      </c>
      <c r="AA24" s="176" t="s">
        <v>2707</v>
      </c>
      <c r="AB24" s="174"/>
      <c r="AC24" s="85" t="s">
        <v>686</v>
      </c>
      <c r="AD24" s="287" t="s">
        <v>201</v>
      </c>
      <c r="AE24" s="302" t="s">
        <v>24</v>
      </c>
      <c r="AF24" s="303" t="s">
        <v>154</v>
      </c>
      <c r="AG24" s="288" t="s">
        <v>564</v>
      </c>
      <c r="AH24" s="86" t="s">
        <v>289</v>
      </c>
      <c r="AI24" s="286"/>
      <c r="AJ24" s="85" t="s">
        <v>687</v>
      </c>
      <c r="AK24" s="287" t="s">
        <v>201</v>
      </c>
      <c r="AL24" s="314" t="s">
        <v>24</v>
      </c>
      <c r="AM24" s="85" t="s">
        <v>490</v>
      </c>
      <c r="AN24" s="288"/>
      <c r="AO24" s="289"/>
      <c r="AP24" s="290"/>
      <c r="AQ24" s="242" t="s">
        <v>688</v>
      </c>
      <c r="AR24" s="242" t="s">
        <v>689</v>
      </c>
      <c r="AS24" s="87" t="s">
        <v>27</v>
      </c>
      <c r="AT24" s="243">
        <v>31062</v>
      </c>
      <c r="AU24" s="243"/>
      <c r="AV24" s="242" t="s">
        <v>690</v>
      </c>
      <c r="AW24" s="242" t="s">
        <v>27</v>
      </c>
      <c r="AX24" s="243">
        <v>32178</v>
      </c>
      <c r="AY24" s="177"/>
      <c r="AZ24" s="291"/>
      <c r="BA24" s="287" t="s">
        <v>201</v>
      </c>
      <c r="BB24" s="290"/>
      <c r="BC24" s="291"/>
      <c r="BD24" s="291"/>
      <c r="BE24" s="290"/>
      <c r="BF24" s="292"/>
      <c r="BG24" s="293"/>
      <c r="BH24" s="245" t="s">
        <v>3303</v>
      </c>
      <c r="BI24" s="246">
        <v>975281</v>
      </c>
      <c r="BJ24" s="164" t="s">
        <v>3301</v>
      </c>
      <c r="BK24" s="164" t="s">
        <v>3302</v>
      </c>
    </row>
    <row r="25" spans="1:63" s="54" customFormat="1" ht="52.5" customHeight="1" thickBot="1">
      <c r="A25" s="53">
        <v>24</v>
      </c>
      <c r="B25" s="14" t="s">
        <v>130</v>
      </c>
      <c r="C25" s="12" t="s">
        <v>128</v>
      </c>
      <c r="D25" s="147">
        <v>11448</v>
      </c>
      <c r="E25" s="98" t="s">
        <v>702</v>
      </c>
      <c r="F25" s="93" t="s">
        <v>703</v>
      </c>
      <c r="G25" s="141" t="s">
        <v>563</v>
      </c>
      <c r="H25" s="142">
        <v>2022</v>
      </c>
      <c r="I25" s="143" t="s">
        <v>2469</v>
      </c>
      <c r="J25" s="170">
        <v>2</v>
      </c>
      <c r="K25" s="50">
        <v>1</v>
      </c>
      <c r="L25" s="49">
        <v>22230248</v>
      </c>
      <c r="M25" s="171" t="s">
        <v>200</v>
      </c>
      <c r="N25" s="182" t="s">
        <v>2718</v>
      </c>
      <c r="O25" s="161">
        <v>39893</v>
      </c>
      <c r="P25" s="163">
        <v>39893</v>
      </c>
      <c r="Q25" s="162" t="s">
        <v>704</v>
      </c>
      <c r="R25" s="44" t="s">
        <v>705</v>
      </c>
      <c r="S25" s="172" t="s">
        <v>201</v>
      </c>
      <c r="T25" s="164" t="s">
        <v>1260</v>
      </c>
      <c r="U25" s="173">
        <v>53144</v>
      </c>
      <c r="V25" s="8" t="s">
        <v>707</v>
      </c>
      <c r="W25" s="61" t="s">
        <v>708</v>
      </c>
      <c r="X25" s="61" t="s">
        <v>85</v>
      </c>
      <c r="Y25" s="160" t="s">
        <v>28</v>
      </c>
      <c r="Z25" s="164" t="s">
        <v>3262</v>
      </c>
      <c r="AA25" s="176" t="s">
        <v>2719</v>
      </c>
      <c r="AB25" s="174"/>
      <c r="AC25" s="88" t="s">
        <v>709</v>
      </c>
      <c r="AD25" s="287" t="s">
        <v>201</v>
      </c>
      <c r="AE25" s="302" t="s">
        <v>21</v>
      </c>
      <c r="AF25" s="303" t="s">
        <v>710</v>
      </c>
      <c r="AG25" s="288" t="s">
        <v>564</v>
      </c>
      <c r="AH25" s="104" t="s">
        <v>349</v>
      </c>
      <c r="AI25" s="286"/>
      <c r="AJ25" s="85" t="s">
        <v>711</v>
      </c>
      <c r="AK25" s="287" t="s">
        <v>201</v>
      </c>
      <c r="AL25" s="290" t="s">
        <v>21</v>
      </c>
      <c r="AM25" s="291" t="s">
        <v>712</v>
      </c>
      <c r="AN25" s="291"/>
      <c r="AO25" s="289"/>
      <c r="AP25" s="290"/>
      <c r="AQ25" s="242" t="s">
        <v>713</v>
      </c>
      <c r="AR25" s="242" t="s">
        <v>714</v>
      </c>
      <c r="AS25" s="87" t="s">
        <v>96</v>
      </c>
      <c r="AT25" s="243">
        <v>28333</v>
      </c>
      <c r="AU25" s="243"/>
      <c r="AV25" s="242" t="s">
        <v>715</v>
      </c>
      <c r="AW25" s="242" t="s">
        <v>93</v>
      </c>
      <c r="AX25" s="243">
        <v>29413</v>
      </c>
      <c r="AY25" s="177"/>
      <c r="AZ25" s="291"/>
      <c r="BA25" s="287" t="s">
        <v>201</v>
      </c>
      <c r="BB25" s="290"/>
      <c r="BC25" s="291"/>
      <c r="BD25" s="291"/>
      <c r="BE25" s="290"/>
      <c r="BF25" s="292"/>
      <c r="BG25" s="293"/>
      <c r="BH25" s="245" t="s">
        <v>3303</v>
      </c>
      <c r="BI25" s="246">
        <v>975281</v>
      </c>
      <c r="BJ25" s="164" t="s">
        <v>3301</v>
      </c>
      <c r="BK25" s="164" t="s">
        <v>3302</v>
      </c>
    </row>
    <row r="26" spans="1:63" s="54" customFormat="1" ht="52.5" customHeight="1" thickBot="1">
      <c r="A26" s="53">
        <v>25</v>
      </c>
      <c r="B26" s="18" t="s">
        <v>127</v>
      </c>
      <c r="C26" s="12" t="s">
        <v>128</v>
      </c>
      <c r="D26" s="140">
        <v>11456</v>
      </c>
      <c r="E26" s="91" t="s">
        <v>717</v>
      </c>
      <c r="F26" s="93" t="s">
        <v>718</v>
      </c>
      <c r="G26" s="141" t="s">
        <v>563</v>
      </c>
      <c r="H26" s="142">
        <v>2022</v>
      </c>
      <c r="I26" s="143" t="s">
        <v>2470</v>
      </c>
      <c r="J26" s="183">
        <v>1</v>
      </c>
      <c r="K26" s="183">
        <v>1</v>
      </c>
      <c r="L26" s="172">
        <v>22230288</v>
      </c>
      <c r="M26" s="171" t="s">
        <v>200</v>
      </c>
      <c r="N26" s="56" t="s">
        <v>82</v>
      </c>
      <c r="O26" s="161">
        <v>40269</v>
      </c>
      <c r="P26" s="163">
        <v>40269</v>
      </c>
      <c r="Q26" s="162" t="s">
        <v>719</v>
      </c>
      <c r="R26" s="44" t="s">
        <v>720</v>
      </c>
      <c r="S26" s="172" t="s">
        <v>201</v>
      </c>
      <c r="T26" s="164" t="s">
        <v>2662</v>
      </c>
      <c r="U26" s="172">
        <v>55893</v>
      </c>
      <c r="V26" s="55" t="s">
        <v>722</v>
      </c>
      <c r="W26" s="164" t="s">
        <v>722</v>
      </c>
      <c r="X26" s="164" t="s">
        <v>19</v>
      </c>
      <c r="Y26" s="164" t="s">
        <v>20</v>
      </c>
      <c r="Z26" s="164" t="s">
        <v>3262</v>
      </c>
      <c r="AA26" s="176" t="s">
        <v>115</v>
      </c>
      <c r="AB26" s="55"/>
      <c r="AC26" s="88" t="s">
        <v>723</v>
      </c>
      <c r="AD26" s="287" t="s">
        <v>201</v>
      </c>
      <c r="AE26" s="103" t="s">
        <v>21</v>
      </c>
      <c r="AF26" s="114" t="s">
        <v>153</v>
      </c>
      <c r="AG26" s="288" t="s">
        <v>564</v>
      </c>
      <c r="AH26" s="104" t="s">
        <v>387</v>
      </c>
      <c r="AI26" s="88"/>
      <c r="AJ26" s="85" t="s">
        <v>724</v>
      </c>
      <c r="AK26" s="287" t="s">
        <v>201</v>
      </c>
      <c r="AL26" s="318" t="s">
        <v>21</v>
      </c>
      <c r="AM26" s="319" t="s">
        <v>22</v>
      </c>
      <c r="AN26" s="319"/>
      <c r="AO26" s="320"/>
      <c r="AP26" s="318"/>
      <c r="AQ26" s="242" t="s">
        <v>725</v>
      </c>
      <c r="AR26" s="242" t="s">
        <v>726</v>
      </c>
      <c r="AS26" s="87" t="s">
        <v>727</v>
      </c>
      <c r="AT26" s="243">
        <v>27287</v>
      </c>
      <c r="AU26" s="243"/>
      <c r="AV26" s="242" t="s">
        <v>728</v>
      </c>
      <c r="AW26" s="242" t="s">
        <v>82</v>
      </c>
      <c r="AX26" s="243">
        <v>28945</v>
      </c>
      <c r="AY26" s="177"/>
      <c r="AZ26" s="319"/>
      <c r="BA26" s="287" t="s">
        <v>201</v>
      </c>
      <c r="BB26" s="318"/>
      <c r="BC26" s="319"/>
      <c r="BD26" s="319"/>
      <c r="BE26" s="318"/>
      <c r="BF26" s="371"/>
      <c r="BG26" s="293"/>
      <c r="BH26" s="245" t="s">
        <v>3303</v>
      </c>
      <c r="BI26" s="246">
        <v>975281</v>
      </c>
      <c r="BJ26" s="164" t="s">
        <v>3301</v>
      </c>
      <c r="BK26" s="164" t="s">
        <v>3302</v>
      </c>
    </row>
    <row r="27" spans="1:63" s="54" customFormat="1" ht="52.5" customHeight="1" thickBot="1">
      <c r="A27" s="53">
        <v>26</v>
      </c>
      <c r="B27" s="15" t="s">
        <v>77</v>
      </c>
      <c r="C27" s="12" t="s">
        <v>128</v>
      </c>
      <c r="D27" s="126">
        <v>11476</v>
      </c>
      <c r="E27" s="91" t="s">
        <v>737</v>
      </c>
      <c r="F27" s="93" t="s">
        <v>738</v>
      </c>
      <c r="G27" s="141" t="s">
        <v>563</v>
      </c>
      <c r="H27" s="142">
        <v>2022</v>
      </c>
      <c r="I27" s="143" t="s">
        <v>2468</v>
      </c>
      <c r="J27" s="170">
        <v>2</v>
      </c>
      <c r="K27" s="50">
        <v>2</v>
      </c>
      <c r="L27" s="49">
        <v>22230156</v>
      </c>
      <c r="M27" s="171" t="s">
        <v>200</v>
      </c>
      <c r="N27" s="178" t="s">
        <v>47</v>
      </c>
      <c r="O27" s="161">
        <v>40231</v>
      </c>
      <c r="P27" s="179">
        <v>40231</v>
      </c>
      <c r="Q27" s="162" t="s">
        <v>739</v>
      </c>
      <c r="R27" s="44" t="s">
        <v>740</v>
      </c>
      <c r="S27" s="172" t="s">
        <v>201</v>
      </c>
      <c r="T27" s="165" t="s">
        <v>2721</v>
      </c>
      <c r="U27" s="173">
        <v>40375</v>
      </c>
      <c r="V27" s="8" t="s">
        <v>2722</v>
      </c>
      <c r="W27" s="61" t="s">
        <v>741</v>
      </c>
      <c r="X27" s="61" t="s">
        <v>742</v>
      </c>
      <c r="Y27" s="160" t="s">
        <v>39</v>
      </c>
      <c r="Z27" s="164" t="s">
        <v>3262</v>
      </c>
      <c r="AA27" s="176" t="s">
        <v>2720</v>
      </c>
      <c r="AB27" s="174"/>
      <c r="AC27" s="85" t="s">
        <v>743</v>
      </c>
      <c r="AD27" s="287" t="s">
        <v>201</v>
      </c>
      <c r="AE27" s="321" t="s">
        <v>21</v>
      </c>
      <c r="AF27" s="322" t="s">
        <v>153</v>
      </c>
      <c r="AG27" s="288" t="s">
        <v>564</v>
      </c>
      <c r="AH27" s="86" t="s">
        <v>290</v>
      </c>
      <c r="AI27" s="286"/>
      <c r="AJ27" s="85" t="s">
        <v>744</v>
      </c>
      <c r="AK27" s="287" t="s">
        <v>201</v>
      </c>
      <c r="AL27" s="314" t="s">
        <v>24</v>
      </c>
      <c r="AM27" s="85" t="s">
        <v>490</v>
      </c>
      <c r="AN27" s="288"/>
      <c r="AO27" s="289"/>
      <c r="AP27" s="290"/>
      <c r="AQ27" s="242" t="s">
        <v>745</v>
      </c>
      <c r="AR27" s="242" t="s">
        <v>746</v>
      </c>
      <c r="AS27" s="87" t="s">
        <v>47</v>
      </c>
      <c r="AT27" s="243">
        <v>28996</v>
      </c>
      <c r="AU27" s="243"/>
      <c r="AV27" s="242" t="s">
        <v>747</v>
      </c>
      <c r="AW27" s="242" t="s">
        <v>47</v>
      </c>
      <c r="AX27" s="243">
        <v>30855</v>
      </c>
      <c r="AY27" s="177"/>
      <c r="AZ27" s="291"/>
      <c r="BA27" s="287" t="s">
        <v>201</v>
      </c>
      <c r="BB27" s="290"/>
      <c r="BC27" s="291"/>
      <c r="BD27" s="291"/>
      <c r="BE27" s="290"/>
      <c r="BF27" s="292"/>
      <c r="BG27" s="293"/>
      <c r="BH27" s="245" t="s">
        <v>3303</v>
      </c>
      <c r="BI27" s="246">
        <v>975281</v>
      </c>
      <c r="BJ27" s="164" t="s">
        <v>3301</v>
      </c>
      <c r="BK27" s="164" t="s">
        <v>3302</v>
      </c>
    </row>
    <row r="28" spans="1:63" s="54" customFormat="1" ht="52.5" customHeight="1" thickBot="1">
      <c r="A28" s="53">
        <v>1</v>
      </c>
      <c r="B28" s="14" t="s">
        <v>130</v>
      </c>
      <c r="C28" s="19" t="s">
        <v>132</v>
      </c>
      <c r="D28" s="147">
        <v>11207</v>
      </c>
      <c r="E28" s="91" t="s">
        <v>748</v>
      </c>
      <c r="F28" s="93" t="s">
        <v>749</v>
      </c>
      <c r="G28" s="141" t="s">
        <v>563</v>
      </c>
      <c r="H28" s="142">
        <v>2022</v>
      </c>
      <c r="I28" s="143" t="s">
        <v>2471</v>
      </c>
      <c r="J28" s="170">
        <v>1</v>
      </c>
      <c r="K28" s="50">
        <v>1</v>
      </c>
      <c r="L28" s="49">
        <v>22230232</v>
      </c>
      <c r="M28" s="171" t="s">
        <v>200</v>
      </c>
      <c r="N28" s="178" t="s">
        <v>23</v>
      </c>
      <c r="O28" s="161">
        <v>40379</v>
      </c>
      <c r="P28" s="179">
        <v>40379</v>
      </c>
      <c r="Q28" s="162" t="s">
        <v>750</v>
      </c>
      <c r="R28" s="44" t="s">
        <v>751</v>
      </c>
      <c r="S28" s="172" t="s">
        <v>201</v>
      </c>
      <c r="T28" s="165" t="s">
        <v>762</v>
      </c>
      <c r="U28" s="173">
        <v>55284</v>
      </c>
      <c r="V28" s="8" t="s">
        <v>2723</v>
      </c>
      <c r="W28" s="61" t="s">
        <v>2724</v>
      </c>
      <c r="X28" s="61" t="s">
        <v>52</v>
      </c>
      <c r="Y28" s="160" t="s">
        <v>20</v>
      </c>
      <c r="Z28" s="164" t="s">
        <v>3262</v>
      </c>
      <c r="AA28" s="176" t="s">
        <v>2725</v>
      </c>
      <c r="AB28" s="174"/>
      <c r="AC28" s="85" t="s">
        <v>753</v>
      </c>
      <c r="AD28" s="287" t="s">
        <v>201</v>
      </c>
      <c r="AE28" s="302" t="s">
        <v>21</v>
      </c>
      <c r="AF28" s="303" t="s">
        <v>154</v>
      </c>
      <c r="AG28" s="288" t="s">
        <v>564</v>
      </c>
      <c r="AH28" s="86" t="s">
        <v>292</v>
      </c>
      <c r="AI28" s="286"/>
      <c r="AJ28" s="85" t="s">
        <v>754</v>
      </c>
      <c r="AK28" s="287" t="s">
        <v>201</v>
      </c>
      <c r="AL28" s="290" t="s">
        <v>21</v>
      </c>
      <c r="AM28" s="323" t="s">
        <v>276</v>
      </c>
      <c r="AN28" s="291"/>
      <c r="AO28" s="289"/>
      <c r="AP28" s="290"/>
      <c r="AQ28" s="242" t="s">
        <v>755</v>
      </c>
      <c r="AR28" s="242" t="s">
        <v>756</v>
      </c>
      <c r="AS28" s="87" t="s">
        <v>99</v>
      </c>
      <c r="AT28" s="243">
        <v>26052</v>
      </c>
      <c r="AU28" s="243"/>
      <c r="AV28" s="242" t="s">
        <v>757</v>
      </c>
      <c r="AW28" s="242" t="s">
        <v>23</v>
      </c>
      <c r="AX28" s="243">
        <v>29647</v>
      </c>
      <c r="AY28" s="177"/>
      <c r="AZ28" s="291"/>
      <c r="BA28" s="287" t="s">
        <v>201</v>
      </c>
      <c r="BB28" s="290"/>
      <c r="BC28" s="291"/>
      <c r="BD28" s="291"/>
      <c r="BE28" s="290"/>
      <c r="BF28" s="292"/>
      <c r="BG28" s="293"/>
      <c r="BH28" s="245" t="s">
        <v>3303</v>
      </c>
      <c r="BI28" s="246">
        <v>975281</v>
      </c>
      <c r="BJ28" s="164" t="s">
        <v>3301</v>
      </c>
      <c r="BK28" s="164" t="s">
        <v>3302</v>
      </c>
    </row>
    <row r="29" spans="1:63" s="54" customFormat="1" ht="52.5" customHeight="1" thickBot="1">
      <c r="A29" s="53">
        <v>2</v>
      </c>
      <c r="B29" s="14" t="s">
        <v>130</v>
      </c>
      <c r="C29" s="19" t="s">
        <v>132</v>
      </c>
      <c r="D29" s="147">
        <v>11208</v>
      </c>
      <c r="E29" s="91" t="s">
        <v>758</v>
      </c>
      <c r="F29" s="93" t="s">
        <v>759</v>
      </c>
      <c r="G29" s="141" t="s">
        <v>563</v>
      </c>
      <c r="H29" s="142">
        <v>2022</v>
      </c>
      <c r="I29" s="143" t="s">
        <v>2472</v>
      </c>
      <c r="J29" s="170">
        <v>2</v>
      </c>
      <c r="K29" s="50">
        <v>2</v>
      </c>
      <c r="L29" s="49">
        <v>22230234</v>
      </c>
      <c r="M29" s="171" t="s">
        <v>200</v>
      </c>
      <c r="N29" s="178" t="s">
        <v>87</v>
      </c>
      <c r="O29" s="161">
        <v>40271</v>
      </c>
      <c r="P29" s="179">
        <v>40271</v>
      </c>
      <c r="Q29" s="162" t="s">
        <v>760</v>
      </c>
      <c r="R29" s="44" t="s">
        <v>761</v>
      </c>
      <c r="S29" s="172" t="s">
        <v>201</v>
      </c>
      <c r="T29" s="165" t="s">
        <v>590</v>
      </c>
      <c r="U29" s="173">
        <v>74712</v>
      </c>
      <c r="V29" s="8" t="s">
        <v>2726</v>
      </c>
      <c r="W29" s="61" t="s">
        <v>763</v>
      </c>
      <c r="X29" s="61" t="s">
        <v>763</v>
      </c>
      <c r="Y29" s="160" t="s">
        <v>61</v>
      </c>
      <c r="Z29" s="164" t="s">
        <v>3262</v>
      </c>
      <c r="AA29" s="176" t="s">
        <v>2727</v>
      </c>
      <c r="AB29" s="174"/>
      <c r="AC29" s="85" t="s">
        <v>764</v>
      </c>
      <c r="AD29" s="287" t="s">
        <v>201</v>
      </c>
      <c r="AE29" s="302" t="s">
        <v>24</v>
      </c>
      <c r="AF29" s="303" t="s">
        <v>154</v>
      </c>
      <c r="AG29" s="288" t="s">
        <v>564</v>
      </c>
      <c r="AH29" s="86"/>
      <c r="AI29" s="286"/>
      <c r="AJ29" s="85" t="s">
        <v>2728</v>
      </c>
      <c r="AK29" s="287" t="s">
        <v>201</v>
      </c>
      <c r="AL29" s="290" t="s">
        <v>21</v>
      </c>
      <c r="AM29" s="291" t="s">
        <v>22</v>
      </c>
      <c r="AN29" s="291"/>
      <c r="AO29" s="289" t="s">
        <v>293</v>
      </c>
      <c r="AP29" s="290"/>
      <c r="AQ29" s="242" t="s">
        <v>765</v>
      </c>
      <c r="AR29" s="242" t="s">
        <v>766</v>
      </c>
      <c r="AS29" s="87" t="s">
        <v>763</v>
      </c>
      <c r="AT29" s="243">
        <v>29069</v>
      </c>
      <c r="AU29" s="243"/>
      <c r="AV29" s="242" t="s">
        <v>767</v>
      </c>
      <c r="AW29" s="242" t="s">
        <v>87</v>
      </c>
      <c r="AX29" s="243">
        <v>28896</v>
      </c>
      <c r="AY29" s="177"/>
      <c r="AZ29" s="291"/>
      <c r="BA29" s="287" t="s">
        <v>201</v>
      </c>
      <c r="BB29" s="290"/>
      <c r="BC29" s="291"/>
      <c r="BD29" s="291"/>
      <c r="BE29" s="290"/>
      <c r="BF29" s="292"/>
      <c r="BG29" s="293"/>
      <c r="BH29" s="247" t="s">
        <v>3304</v>
      </c>
      <c r="BI29" s="246">
        <v>991772</v>
      </c>
      <c r="BJ29" s="164" t="s">
        <v>3301</v>
      </c>
      <c r="BK29" s="164" t="s">
        <v>3302</v>
      </c>
    </row>
    <row r="30" spans="1:63" s="54" customFormat="1" ht="52.5" customHeight="1" thickBot="1">
      <c r="A30" s="53">
        <v>3</v>
      </c>
      <c r="B30" s="13" t="s">
        <v>129</v>
      </c>
      <c r="C30" s="19" t="s">
        <v>132</v>
      </c>
      <c r="D30" s="146">
        <v>11212</v>
      </c>
      <c r="E30" s="91" t="s">
        <v>768</v>
      </c>
      <c r="F30" s="93" t="s">
        <v>769</v>
      </c>
      <c r="G30" s="141" t="s">
        <v>563</v>
      </c>
      <c r="H30" s="142">
        <v>2022</v>
      </c>
      <c r="I30" s="143" t="s">
        <v>2473</v>
      </c>
      <c r="J30" s="170">
        <v>2</v>
      </c>
      <c r="K30" s="50">
        <v>1</v>
      </c>
      <c r="L30" s="49">
        <v>22230049</v>
      </c>
      <c r="M30" s="171" t="s">
        <v>200</v>
      </c>
      <c r="N30" s="104" t="s">
        <v>19</v>
      </c>
      <c r="O30" s="161">
        <v>40085</v>
      </c>
      <c r="P30" s="105">
        <v>40085</v>
      </c>
      <c r="Q30" s="162" t="s">
        <v>770</v>
      </c>
      <c r="R30" s="44" t="s">
        <v>771</v>
      </c>
      <c r="S30" s="172" t="s">
        <v>201</v>
      </c>
      <c r="T30" s="88" t="s">
        <v>486</v>
      </c>
      <c r="U30" s="173">
        <v>55782</v>
      </c>
      <c r="V30" s="8" t="s">
        <v>2729</v>
      </c>
      <c r="W30" s="61" t="s">
        <v>612</v>
      </c>
      <c r="X30" s="61" t="s">
        <v>19</v>
      </c>
      <c r="Y30" s="160" t="s">
        <v>20</v>
      </c>
      <c r="Z30" s="164" t="s">
        <v>3262</v>
      </c>
      <c r="AA30" s="176" t="s">
        <v>2730</v>
      </c>
      <c r="AB30" s="174"/>
      <c r="AC30" s="88" t="s">
        <v>772</v>
      </c>
      <c r="AD30" s="287" t="s">
        <v>201</v>
      </c>
      <c r="AE30" s="103" t="s">
        <v>21</v>
      </c>
      <c r="AF30" s="114" t="s">
        <v>22</v>
      </c>
      <c r="AG30" s="288" t="s">
        <v>564</v>
      </c>
      <c r="AH30" s="104" t="s">
        <v>390</v>
      </c>
      <c r="AI30" s="286"/>
      <c r="AJ30" s="85" t="s">
        <v>773</v>
      </c>
      <c r="AK30" s="287" t="s">
        <v>201</v>
      </c>
      <c r="AL30" s="290" t="s">
        <v>24</v>
      </c>
      <c r="AM30" s="291" t="s">
        <v>490</v>
      </c>
      <c r="AN30" s="291"/>
      <c r="AO30" s="86"/>
      <c r="AP30" s="290"/>
      <c r="AQ30" s="242" t="s">
        <v>774</v>
      </c>
      <c r="AR30" s="242" t="s">
        <v>775</v>
      </c>
      <c r="AS30" s="87" t="s">
        <v>101</v>
      </c>
      <c r="AT30" s="243">
        <v>27356</v>
      </c>
      <c r="AU30" s="243"/>
      <c r="AV30" s="242" t="s">
        <v>776</v>
      </c>
      <c r="AW30" s="242" t="s">
        <v>23</v>
      </c>
      <c r="AX30" s="243">
        <v>26973</v>
      </c>
      <c r="AY30" s="177"/>
      <c r="AZ30" s="291"/>
      <c r="BA30" s="287" t="s">
        <v>201</v>
      </c>
      <c r="BB30" s="290"/>
      <c r="BC30" s="291"/>
      <c r="BD30" s="291"/>
      <c r="BE30" s="290"/>
      <c r="BF30" s="292"/>
      <c r="BG30" s="293"/>
      <c r="BH30" s="247" t="s">
        <v>3304</v>
      </c>
      <c r="BI30" s="246">
        <v>991772</v>
      </c>
      <c r="BJ30" s="164" t="s">
        <v>3301</v>
      </c>
      <c r="BK30" s="164" t="s">
        <v>3302</v>
      </c>
    </row>
    <row r="31" spans="1:63" s="53" customFormat="1" ht="52.5" customHeight="1" thickBot="1">
      <c r="A31" s="53">
        <v>4</v>
      </c>
      <c r="B31" s="14" t="s">
        <v>130</v>
      </c>
      <c r="C31" s="19" t="s">
        <v>132</v>
      </c>
      <c r="D31" s="147">
        <v>11216</v>
      </c>
      <c r="E31" s="91" t="s">
        <v>294</v>
      </c>
      <c r="F31" s="93" t="s">
        <v>205</v>
      </c>
      <c r="G31" s="141" t="s">
        <v>563</v>
      </c>
      <c r="H31" s="142">
        <v>2022</v>
      </c>
      <c r="I31" s="143" t="s">
        <v>2474</v>
      </c>
      <c r="J31" s="170">
        <v>1</v>
      </c>
      <c r="K31" s="50">
        <v>1</v>
      </c>
      <c r="L31" s="49">
        <v>22230215</v>
      </c>
      <c r="M31" s="171" t="s">
        <v>200</v>
      </c>
      <c r="N31" s="178" t="s">
        <v>23</v>
      </c>
      <c r="O31" s="161">
        <v>40152</v>
      </c>
      <c r="P31" s="179">
        <v>40152</v>
      </c>
      <c r="Q31" s="162" t="s">
        <v>574</v>
      </c>
      <c r="R31" s="44" t="s">
        <v>522</v>
      </c>
      <c r="S31" s="172" t="s">
        <v>201</v>
      </c>
      <c r="T31" s="165" t="s">
        <v>2160</v>
      </c>
      <c r="U31" s="173">
        <v>55295</v>
      </c>
      <c r="V31" s="8" t="s">
        <v>2731</v>
      </c>
      <c r="W31" s="61" t="s">
        <v>2732</v>
      </c>
      <c r="X31" s="61" t="s">
        <v>52</v>
      </c>
      <c r="Y31" s="160" t="s">
        <v>20</v>
      </c>
      <c r="Z31" s="164" t="s">
        <v>3262</v>
      </c>
      <c r="AA31" s="176" t="s">
        <v>2733</v>
      </c>
      <c r="AB31" s="174"/>
      <c r="AC31" s="85"/>
      <c r="AD31" s="287" t="s">
        <v>201</v>
      </c>
      <c r="AE31" s="302"/>
      <c r="AF31" s="303"/>
      <c r="AG31" s="287"/>
      <c r="AH31" s="86"/>
      <c r="AI31" s="286"/>
      <c r="AJ31" s="85" t="s">
        <v>2734</v>
      </c>
      <c r="AK31" s="287" t="s">
        <v>201</v>
      </c>
      <c r="AL31" s="290" t="s">
        <v>30</v>
      </c>
      <c r="AM31" s="291" t="s">
        <v>22</v>
      </c>
      <c r="AN31" s="288" t="s">
        <v>564</v>
      </c>
      <c r="AO31" s="289" t="s">
        <v>295</v>
      </c>
      <c r="AP31" s="290"/>
      <c r="AQ31" s="242" t="s">
        <v>523</v>
      </c>
      <c r="AR31" s="242"/>
      <c r="AS31" s="87"/>
      <c r="AT31" s="243"/>
      <c r="AU31" s="243"/>
      <c r="AV31" s="242" t="s">
        <v>524</v>
      </c>
      <c r="AW31" s="87" t="s">
        <v>109</v>
      </c>
      <c r="AX31" s="243">
        <v>30842</v>
      </c>
      <c r="AY31" s="177"/>
      <c r="AZ31" s="291"/>
      <c r="BA31" s="287" t="s">
        <v>201</v>
      </c>
      <c r="BB31" s="290"/>
      <c r="BC31" s="291"/>
      <c r="BD31" s="291"/>
      <c r="BE31" s="290"/>
      <c r="BF31" s="292"/>
      <c r="BG31" s="293"/>
      <c r="BH31" s="247" t="s">
        <v>3304</v>
      </c>
      <c r="BI31" s="246">
        <v>991772</v>
      </c>
      <c r="BJ31" s="164" t="s">
        <v>3301</v>
      </c>
      <c r="BK31" s="164" t="s">
        <v>3302</v>
      </c>
    </row>
    <row r="32" spans="1:63" s="54" customFormat="1" ht="52.5" customHeight="1" thickBot="1">
      <c r="A32" s="53">
        <v>5</v>
      </c>
      <c r="B32" s="12" t="s">
        <v>128</v>
      </c>
      <c r="C32" s="19" t="s">
        <v>132</v>
      </c>
      <c r="D32" s="140">
        <v>11239</v>
      </c>
      <c r="E32" s="98" t="s">
        <v>777</v>
      </c>
      <c r="F32" s="93" t="s">
        <v>778</v>
      </c>
      <c r="G32" s="141" t="s">
        <v>563</v>
      </c>
      <c r="H32" s="142">
        <v>2022</v>
      </c>
      <c r="I32" s="151" t="s">
        <v>2475</v>
      </c>
      <c r="J32" s="170">
        <v>1</v>
      </c>
      <c r="K32" s="50">
        <v>1</v>
      </c>
      <c r="L32" s="129">
        <v>22230022</v>
      </c>
      <c r="M32" s="171" t="s">
        <v>200</v>
      </c>
      <c r="N32" s="178" t="s">
        <v>52</v>
      </c>
      <c r="O32" s="161">
        <f>P32:P311</f>
        <v>40179</v>
      </c>
      <c r="P32" s="180">
        <v>40179</v>
      </c>
      <c r="Q32" s="162" t="s">
        <v>779</v>
      </c>
      <c r="R32" s="44" t="s">
        <v>780</v>
      </c>
      <c r="S32" s="172" t="s">
        <v>201</v>
      </c>
      <c r="T32" s="165" t="s">
        <v>781</v>
      </c>
      <c r="U32" s="173">
        <v>55551</v>
      </c>
      <c r="V32" s="8" t="s">
        <v>2735</v>
      </c>
      <c r="W32" s="61" t="s">
        <v>2736</v>
      </c>
      <c r="X32" s="61" t="s">
        <v>52</v>
      </c>
      <c r="Y32" s="160" t="s">
        <v>20</v>
      </c>
      <c r="Z32" s="164" t="s">
        <v>3262</v>
      </c>
      <c r="AA32" s="176" t="s">
        <v>2737</v>
      </c>
      <c r="AB32" s="174"/>
      <c r="AC32" s="85" t="s">
        <v>782</v>
      </c>
      <c r="AD32" s="287" t="s">
        <v>201</v>
      </c>
      <c r="AE32" s="302" t="s">
        <v>21</v>
      </c>
      <c r="AF32" s="303" t="s">
        <v>276</v>
      </c>
      <c r="AG32" s="288" t="s">
        <v>564</v>
      </c>
      <c r="AH32" s="86"/>
      <c r="AI32" s="286"/>
      <c r="AJ32" s="85" t="s">
        <v>2738</v>
      </c>
      <c r="AK32" s="287" t="s">
        <v>201</v>
      </c>
      <c r="AL32" s="314" t="s">
        <v>21</v>
      </c>
      <c r="AM32" s="85" t="s">
        <v>153</v>
      </c>
      <c r="AN32" s="288"/>
      <c r="AO32" s="289" t="s">
        <v>223</v>
      </c>
      <c r="AP32" s="290"/>
      <c r="AQ32" s="242" t="s">
        <v>783</v>
      </c>
      <c r="AR32" s="242" t="s">
        <v>784</v>
      </c>
      <c r="AS32" s="87" t="s">
        <v>52</v>
      </c>
      <c r="AT32" s="243">
        <v>29198</v>
      </c>
      <c r="AU32" s="243"/>
      <c r="AV32" s="242" t="s">
        <v>785</v>
      </c>
      <c r="AW32" s="242" t="s">
        <v>52</v>
      </c>
      <c r="AX32" s="243">
        <v>29609</v>
      </c>
      <c r="AY32" s="177"/>
      <c r="AZ32" s="291"/>
      <c r="BA32" s="287" t="s">
        <v>201</v>
      </c>
      <c r="BB32" s="290"/>
      <c r="BC32" s="291"/>
      <c r="BD32" s="291"/>
      <c r="BE32" s="290"/>
      <c r="BF32" s="292"/>
      <c r="BG32" s="293"/>
      <c r="BH32" s="247" t="s">
        <v>3304</v>
      </c>
      <c r="BI32" s="246">
        <v>991772</v>
      </c>
      <c r="BJ32" s="164" t="s">
        <v>3301</v>
      </c>
      <c r="BK32" s="164" t="s">
        <v>3302</v>
      </c>
    </row>
    <row r="33" spans="1:63" s="54" customFormat="1" ht="52.5" customHeight="1" thickBot="1">
      <c r="A33" s="53">
        <v>6</v>
      </c>
      <c r="B33" s="11" t="s">
        <v>126</v>
      </c>
      <c r="C33" s="19" t="s">
        <v>132</v>
      </c>
      <c r="D33" s="147">
        <v>11242</v>
      </c>
      <c r="E33" s="91" t="s">
        <v>786</v>
      </c>
      <c r="F33" s="93" t="s">
        <v>787</v>
      </c>
      <c r="G33" s="141" t="s">
        <v>563</v>
      </c>
      <c r="H33" s="142">
        <v>2022</v>
      </c>
      <c r="I33" s="143" t="s">
        <v>2476</v>
      </c>
      <c r="J33" s="170">
        <v>1</v>
      </c>
      <c r="K33" s="50">
        <v>0</v>
      </c>
      <c r="L33" s="49">
        <v>22230060</v>
      </c>
      <c r="M33" s="171" t="s">
        <v>200</v>
      </c>
      <c r="N33" s="56" t="s">
        <v>41</v>
      </c>
      <c r="O33" s="161">
        <f>P33:P322</f>
        <v>40114</v>
      </c>
      <c r="P33" s="163">
        <v>40114</v>
      </c>
      <c r="Q33" s="162" t="s">
        <v>585</v>
      </c>
      <c r="R33" s="44" t="s">
        <v>788</v>
      </c>
      <c r="S33" s="172" t="s">
        <v>201</v>
      </c>
      <c r="T33" s="164" t="s">
        <v>2739</v>
      </c>
      <c r="U33" s="173">
        <v>15730</v>
      </c>
      <c r="V33" s="8" t="s">
        <v>2740</v>
      </c>
      <c r="W33" s="61" t="s">
        <v>2741</v>
      </c>
      <c r="X33" s="61" t="s">
        <v>2742</v>
      </c>
      <c r="Y33" s="160" t="s">
        <v>42</v>
      </c>
      <c r="Z33" s="164" t="s">
        <v>3262</v>
      </c>
      <c r="AA33" s="176" t="s">
        <v>2743</v>
      </c>
      <c r="AB33" s="174"/>
      <c r="AC33" s="88"/>
      <c r="AD33" s="287" t="s">
        <v>201</v>
      </c>
      <c r="AE33" s="103"/>
      <c r="AF33" s="114"/>
      <c r="AG33" s="288" t="s">
        <v>564</v>
      </c>
      <c r="AH33" s="104"/>
      <c r="AI33" s="286"/>
      <c r="AJ33" s="85" t="s">
        <v>790</v>
      </c>
      <c r="AK33" s="287" t="s">
        <v>201</v>
      </c>
      <c r="AL33" s="290" t="s">
        <v>24</v>
      </c>
      <c r="AM33" s="291" t="s">
        <v>791</v>
      </c>
      <c r="AN33" s="291"/>
      <c r="AO33" s="289" t="s">
        <v>416</v>
      </c>
      <c r="AP33" s="290"/>
      <c r="AQ33" s="242" t="s">
        <v>792</v>
      </c>
      <c r="AR33" s="242"/>
      <c r="AS33" s="87"/>
      <c r="AT33" s="243"/>
      <c r="AU33" s="243"/>
      <c r="AV33" s="242" t="s">
        <v>793</v>
      </c>
      <c r="AW33" s="242" t="s">
        <v>23</v>
      </c>
      <c r="AX33" s="243">
        <v>26803</v>
      </c>
      <c r="AY33" s="177"/>
      <c r="AZ33" s="291"/>
      <c r="BA33" s="287" t="s">
        <v>201</v>
      </c>
      <c r="BB33" s="290"/>
      <c r="BC33" s="291"/>
      <c r="BD33" s="291"/>
      <c r="BE33" s="290"/>
      <c r="BF33" s="292"/>
      <c r="BG33" s="293"/>
      <c r="BH33" s="247" t="s">
        <v>3304</v>
      </c>
      <c r="BI33" s="246">
        <v>991772</v>
      </c>
      <c r="BJ33" s="164" t="s">
        <v>3301</v>
      </c>
      <c r="BK33" s="164" t="s">
        <v>3302</v>
      </c>
    </row>
    <row r="34" spans="1:63" s="54" customFormat="1" ht="52.5" customHeight="1" thickBot="1">
      <c r="A34" s="53">
        <v>7</v>
      </c>
      <c r="B34" s="14" t="s">
        <v>130</v>
      </c>
      <c r="C34" s="19" t="s">
        <v>132</v>
      </c>
      <c r="D34" s="147">
        <v>11258</v>
      </c>
      <c r="E34" s="91" t="s">
        <v>794</v>
      </c>
      <c r="F34" s="93" t="s">
        <v>795</v>
      </c>
      <c r="G34" s="141" t="s">
        <v>563</v>
      </c>
      <c r="H34" s="142">
        <v>2022</v>
      </c>
      <c r="I34" s="143" t="s">
        <v>2477</v>
      </c>
      <c r="J34" s="170">
        <v>3</v>
      </c>
      <c r="K34" s="50">
        <v>2</v>
      </c>
      <c r="L34" s="49">
        <v>22230210</v>
      </c>
      <c r="M34" s="171" t="s">
        <v>200</v>
      </c>
      <c r="N34" s="178" t="s">
        <v>101</v>
      </c>
      <c r="O34" s="161">
        <v>40384</v>
      </c>
      <c r="P34" s="180">
        <v>40384</v>
      </c>
      <c r="Q34" s="162" t="s">
        <v>576</v>
      </c>
      <c r="R34" s="44" t="s">
        <v>796</v>
      </c>
      <c r="S34" s="172" t="s">
        <v>201</v>
      </c>
      <c r="T34" s="165" t="s">
        <v>806</v>
      </c>
      <c r="U34" s="173">
        <v>59111</v>
      </c>
      <c r="V34" s="8" t="s">
        <v>2744</v>
      </c>
      <c r="W34" s="61" t="s">
        <v>101</v>
      </c>
      <c r="X34" s="61" t="s">
        <v>101</v>
      </c>
      <c r="Y34" s="160" t="s">
        <v>28</v>
      </c>
      <c r="Z34" s="164" t="s">
        <v>3262</v>
      </c>
      <c r="AA34" s="176" t="s">
        <v>2745</v>
      </c>
      <c r="AB34" s="174"/>
      <c r="AC34" s="85" t="s">
        <v>797</v>
      </c>
      <c r="AD34" s="287" t="s">
        <v>201</v>
      </c>
      <c r="AE34" s="302" t="s">
        <v>30</v>
      </c>
      <c r="AF34" s="303" t="s">
        <v>155</v>
      </c>
      <c r="AG34" s="288" t="s">
        <v>564</v>
      </c>
      <c r="AH34" s="86" t="s">
        <v>302</v>
      </c>
      <c r="AI34" s="286"/>
      <c r="AJ34" s="85" t="s">
        <v>798</v>
      </c>
      <c r="AK34" s="287" t="s">
        <v>201</v>
      </c>
      <c r="AL34" s="290" t="s">
        <v>24</v>
      </c>
      <c r="AM34" s="291" t="s">
        <v>490</v>
      </c>
      <c r="AN34" s="291"/>
      <c r="AO34" s="86"/>
      <c r="AP34" s="290"/>
      <c r="AQ34" s="242" t="s">
        <v>799</v>
      </c>
      <c r="AR34" s="242" t="s">
        <v>800</v>
      </c>
      <c r="AS34" s="87" t="s">
        <v>101</v>
      </c>
      <c r="AT34" s="243">
        <v>24725</v>
      </c>
      <c r="AU34" s="243"/>
      <c r="AV34" s="242" t="s">
        <v>801</v>
      </c>
      <c r="AW34" s="242" t="s">
        <v>52</v>
      </c>
      <c r="AX34" s="243">
        <v>25993</v>
      </c>
      <c r="AY34" s="177"/>
      <c r="AZ34" s="291"/>
      <c r="BA34" s="287" t="s">
        <v>201</v>
      </c>
      <c r="BB34" s="290"/>
      <c r="BC34" s="291"/>
      <c r="BD34" s="291"/>
      <c r="BE34" s="290"/>
      <c r="BF34" s="292"/>
      <c r="BG34" s="293"/>
      <c r="BH34" s="247" t="s">
        <v>3304</v>
      </c>
      <c r="BI34" s="246">
        <v>991772</v>
      </c>
      <c r="BJ34" s="164" t="s">
        <v>3301</v>
      </c>
      <c r="BK34" s="164" t="s">
        <v>3302</v>
      </c>
    </row>
    <row r="35" spans="1:63" s="54" customFormat="1" ht="52.5" customHeight="1" thickBot="1">
      <c r="A35" s="53">
        <v>8</v>
      </c>
      <c r="B35" s="14" t="s">
        <v>130</v>
      </c>
      <c r="C35" s="19" t="s">
        <v>132</v>
      </c>
      <c r="D35" s="147">
        <v>11261</v>
      </c>
      <c r="E35" s="91" t="s">
        <v>802</v>
      </c>
      <c r="F35" s="93" t="s">
        <v>803</v>
      </c>
      <c r="G35" s="141" t="s">
        <v>563</v>
      </c>
      <c r="H35" s="142">
        <v>2022</v>
      </c>
      <c r="I35" s="143" t="s">
        <v>2478</v>
      </c>
      <c r="J35" s="127">
        <v>1</v>
      </c>
      <c r="K35" s="128">
        <v>0</v>
      </c>
      <c r="L35" s="294">
        <v>22230216</v>
      </c>
      <c r="M35" s="295" t="s">
        <v>200</v>
      </c>
      <c r="N35" s="83" t="s">
        <v>64</v>
      </c>
      <c r="O35" s="296">
        <v>40345</v>
      </c>
      <c r="P35" s="97">
        <v>40345</v>
      </c>
      <c r="Q35" s="297" t="s">
        <v>804</v>
      </c>
      <c r="R35" s="298" t="s">
        <v>805</v>
      </c>
      <c r="S35" s="299" t="s">
        <v>201</v>
      </c>
      <c r="T35" s="84" t="s">
        <v>591</v>
      </c>
      <c r="U35" s="300">
        <v>51215</v>
      </c>
      <c r="V35" s="290" t="s">
        <v>69</v>
      </c>
      <c r="W35" s="291" t="s">
        <v>64</v>
      </c>
      <c r="X35" s="291" t="s">
        <v>64</v>
      </c>
      <c r="Y35" s="286" t="s">
        <v>28</v>
      </c>
      <c r="Z35" s="88" t="s">
        <v>3262</v>
      </c>
      <c r="AA35" s="85" t="s">
        <v>2746</v>
      </c>
      <c r="AB35" s="301"/>
      <c r="AC35" s="85" t="s">
        <v>807</v>
      </c>
      <c r="AD35" s="287" t="s">
        <v>201</v>
      </c>
      <c r="AE35" s="302" t="s">
        <v>21</v>
      </c>
      <c r="AF35" s="303" t="s">
        <v>276</v>
      </c>
      <c r="AG35" s="304" t="s">
        <v>565</v>
      </c>
      <c r="AH35" s="100"/>
      <c r="AI35" s="286"/>
      <c r="AJ35" s="85" t="s">
        <v>808</v>
      </c>
      <c r="AK35" s="287" t="s">
        <v>201</v>
      </c>
      <c r="AL35" s="290" t="s">
        <v>21</v>
      </c>
      <c r="AM35" s="291" t="s">
        <v>276</v>
      </c>
      <c r="AN35" s="291"/>
      <c r="AO35" s="289" t="s">
        <v>303</v>
      </c>
      <c r="AP35" s="290"/>
      <c r="AQ35" s="242" t="s">
        <v>809</v>
      </c>
      <c r="AR35" s="242" t="s">
        <v>810</v>
      </c>
      <c r="AS35" s="87" t="s">
        <v>64</v>
      </c>
      <c r="AT35" s="243">
        <v>28327</v>
      </c>
      <c r="AU35" s="243"/>
      <c r="AV35" s="242" t="s">
        <v>811</v>
      </c>
      <c r="AW35" s="87" t="s">
        <v>64</v>
      </c>
      <c r="AX35" s="243">
        <v>28029</v>
      </c>
      <c r="AY35" s="177"/>
      <c r="AZ35" s="291"/>
      <c r="BA35" s="287" t="s">
        <v>201</v>
      </c>
      <c r="BB35" s="290"/>
      <c r="BC35" s="291"/>
      <c r="BD35" s="291"/>
      <c r="BE35" s="290"/>
      <c r="BF35" s="292"/>
      <c r="BG35" s="293"/>
      <c r="BH35" s="247" t="s">
        <v>3304</v>
      </c>
      <c r="BI35" s="246">
        <v>991772</v>
      </c>
      <c r="BJ35" s="164" t="s">
        <v>3301</v>
      </c>
      <c r="BK35" s="164" t="s">
        <v>3302</v>
      </c>
    </row>
    <row r="36" spans="1:63" s="54" customFormat="1" ht="52.5" customHeight="1" thickBot="1">
      <c r="A36" s="53">
        <v>9</v>
      </c>
      <c r="B36" s="13" t="s">
        <v>129</v>
      </c>
      <c r="C36" s="19" t="s">
        <v>132</v>
      </c>
      <c r="D36" s="146">
        <v>11272</v>
      </c>
      <c r="E36" s="91" t="s">
        <v>812</v>
      </c>
      <c r="F36" s="93" t="s">
        <v>813</v>
      </c>
      <c r="G36" s="141" t="s">
        <v>563</v>
      </c>
      <c r="H36" s="142">
        <v>2022</v>
      </c>
      <c r="I36" s="143" t="s">
        <v>2479</v>
      </c>
      <c r="J36" s="127">
        <v>1</v>
      </c>
      <c r="K36" s="128">
        <v>1</v>
      </c>
      <c r="L36" s="49">
        <v>22230052</v>
      </c>
      <c r="M36" s="171" t="s">
        <v>200</v>
      </c>
      <c r="N36" s="104" t="s">
        <v>111</v>
      </c>
      <c r="O36" s="161">
        <v>40375</v>
      </c>
      <c r="P36" s="105">
        <v>40375</v>
      </c>
      <c r="Q36" s="162" t="s">
        <v>814</v>
      </c>
      <c r="R36" s="44" t="s">
        <v>815</v>
      </c>
      <c r="S36" s="172" t="s">
        <v>201</v>
      </c>
      <c r="T36" s="88" t="s">
        <v>834</v>
      </c>
      <c r="U36" s="173">
        <v>13510</v>
      </c>
      <c r="V36" s="8" t="s">
        <v>472</v>
      </c>
      <c r="W36" s="61" t="s">
        <v>2747</v>
      </c>
      <c r="X36" s="61" t="s">
        <v>305</v>
      </c>
      <c r="Y36" s="160" t="s">
        <v>59</v>
      </c>
      <c r="Z36" s="164" t="s">
        <v>3262</v>
      </c>
      <c r="AA36" s="176" t="s">
        <v>2748</v>
      </c>
      <c r="AB36" s="174"/>
      <c r="AC36" s="88" t="s">
        <v>817</v>
      </c>
      <c r="AD36" s="287" t="s">
        <v>201</v>
      </c>
      <c r="AE36" s="103" t="s">
        <v>21</v>
      </c>
      <c r="AF36" s="114" t="s">
        <v>153</v>
      </c>
      <c r="AG36" s="288" t="s">
        <v>564</v>
      </c>
      <c r="AH36" s="104" t="s">
        <v>393</v>
      </c>
      <c r="AI36" s="286"/>
      <c r="AJ36" s="85" t="s">
        <v>818</v>
      </c>
      <c r="AK36" s="287" t="s">
        <v>201</v>
      </c>
      <c r="AL36" s="290"/>
      <c r="AM36" s="291"/>
      <c r="AN36" s="291"/>
      <c r="AO36" s="289"/>
      <c r="AP36" s="324"/>
      <c r="AQ36" s="242"/>
      <c r="AR36" s="298"/>
      <c r="AS36" s="362"/>
      <c r="AT36" s="363"/>
      <c r="AU36" s="243"/>
      <c r="AV36" s="242"/>
      <c r="AW36" s="242"/>
      <c r="AX36" s="243"/>
      <c r="AY36" s="177"/>
      <c r="AZ36" s="291"/>
      <c r="BA36" s="287" t="s">
        <v>201</v>
      </c>
      <c r="BB36" s="290"/>
      <c r="BC36" s="291"/>
      <c r="BD36" s="291"/>
      <c r="BE36" s="290"/>
      <c r="BF36" s="292"/>
      <c r="BG36" s="293"/>
      <c r="BH36" s="247" t="s">
        <v>3304</v>
      </c>
      <c r="BI36" s="246">
        <v>991772</v>
      </c>
      <c r="BJ36" s="164" t="s">
        <v>3301</v>
      </c>
      <c r="BK36" s="164" t="s">
        <v>3302</v>
      </c>
    </row>
    <row r="37" spans="1:63" s="54" customFormat="1" ht="52.5" customHeight="1" thickBot="1">
      <c r="A37" s="53">
        <v>10</v>
      </c>
      <c r="B37" s="12" t="s">
        <v>128</v>
      </c>
      <c r="C37" s="19" t="s">
        <v>132</v>
      </c>
      <c r="D37" s="140">
        <v>11279</v>
      </c>
      <c r="E37" s="98" t="s">
        <v>2428</v>
      </c>
      <c r="F37" s="93" t="s">
        <v>819</v>
      </c>
      <c r="G37" s="141" t="s">
        <v>563</v>
      </c>
      <c r="H37" s="142">
        <v>2022</v>
      </c>
      <c r="I37" s="143" t="s">
        <v>2480</v>
      </c>
      <c r="J37" s="170">
        <v>2</v>
      </c>
      <c r="K37" s="50">
        <v>2</v>
      </c>
      <c r="L37" s="129">
        <v>22230025</v>
      </c>
      <c r="M37" s="171" t="s">
        <v>200</v>
      </c>
      <c r="N37" s="178" t="s">
        <v>147</v>
      </c>
      <c r="O37" s="161">
        <f>P37:P315</f>
        <v>40263</v>
      </c>
      <c r="P37" s="180">
        <v>40263</v>
      </c>
      <c r="Q37" s="162" t="s">
        <v>820</v>
      </c>
      <c r="R37" s="46" t="s">
        <v>821</v>
      </c>
      <c r="S37" s="172" t="s">
        <v>201</v>
      </c>
      <c r="T37" s="165" t="s">
        <v>822</v>
      </c>
      <c r="U37" s="173">
        <v>45144</v>
      </c>
      <c r="V37" s="8" t="s">
        <v>2749</v>
      </c>
      <c r="W37" s="61" t="s">
        <v>2750</v>
      </c>
      <c r="X37" s="61" t="s">
        <v>147</v>
      </c>
      <c r="Y37" s="160" t="s">
        <v>39</v>
      </c>
      <c r="Z37" s="164" t="s">
        <v>3262</v>
      </c>
      <c r="AA37" s="176" t="s">
        <v>2751</v>
      </c>
      <c r="AB37" s="174"/>
      <c r="AC37" s="85" t="s">
        <v>823</v>
      </c>
      <c r="AD37" s="287" t="s">
        <v>201</v>
      </c>
      <c r="AE37" s="302" t="s">
        <v>220</v>
      </c>
      <c r="AF37" s="303" t="s">
        <v>154</v>
      </c>
      <c r="AG37" s="288" t="s">
        <v>824</v>
      </c>
      <c r="AH37" s="86" t="s">
        <v>224</v>
      </c>
      <c r="AI37" s="286"/>
      <c r="AJ37" s="85" t="s">
        <v>825</v>
      </c>
      <c r="AK37" s="287" t="s">
        <v>201</v>
      </c>
      <c r="AL37" s="314" t="s">
        <v>220</v>
      </c>
      <c r="AM37" s="85" t="s">
        <v>276</v>
      </c>
      <c r="AN37" s="288"/>
      <c r="AO37" s="289"/>
      <c r="AP37" s="286"/>
      <c r="AQ37" s="242" t="s">
        <v>826</v>
      </c>
      <c r="AR37" s="242" t="s">
        <v>827</v>
      </c>
      <c r="AS37" s="87" t="s">
        <v>60</v>
      </c>
      <c r="AT37" s="243">
        <v>26016</v>
      </c>
      <c r="AU37" s="243"/>
      <c r="AV37" s="242" t="s">
        <v>828</v>
      </c>
      <c r="AW37" s="242" t="s">
        <v>829</v>
      </c>
      <c r="AX37" s="243">
        <v>26973</v>
      </c>
      <c r="AY37" s="177"/>
      <c r="AZ37" s="291"/>
      <c r="BA37" s="287" t="s">
        <v>201</v>
      </c>
      <c r="BB37" s="290"/>
      <c r="BC37" s="291"/>
      <c r="BD37" s="291"/>
      <c r="BE37" s="290"/>
      <c r="BF37" s="292"/>
      <c r="BG37" s="293"/>
      <c r="BH37" s="247" t="s">
        <v>3304</v>
      </c>
      <c r="BI37" s="246">
        <v>991772</v>
      </c>
      <c r="BJ37" s="164" t="s">
        <v>3301</v>
      </c>
      <c r="BK37" s="164" t="s">
        <v>3302</v>
      </c>
    </row>
    <row r="38" spans="1:63" s="54" customFormat="1" ht="52.5" customHeight="1" thickBot="1">
      <c r="A38" s="53">
        <v>11</v>
      </c>
      <c r="B38" s="13" t="s">
        <v>129</v>
      </c>
      <c r="C38" s="19" t="s">
        <v>132</v>
      </c>
      <c r="D38" s="146">
        <v>11281</v>
      </c>
      <c r="E38" s="91" t="s">
        <v>830</v>
      </c>
      <c r="F38" s="93" t="s">
        <v>831</v>
      </c>
      <c r="G38" s="141" t="s">
        <v>563</v>
      </c>
      <c r="H38" s="142">
        <v>2022</v>
      </c>
      <c r="I38" s="143" t="s">
        <v>2481</v>
      </c>
      <c r="J38" s="170">
        <v>1</v>
      </c>
      <c r="K38" s="50">
        <v>1</v>
      </c>
      <c r="L38" s="49">
        <v>22230141</v>
      </c>
      <c r="M38" s="171" t="s">
        <v>200</v>
      </c>
      <c r="N38" s="56" t="s">
        <v>74</v>
      </c>
      <c r="O38" s="161">
        <v>40227</v>
      </c>
      <c r="P38" s="163">
        <v>40227</v>
      </c>
      <c r="Q38" s="162" t="s">
        <v>832</v>
      </c>
      <c r="R38" s="44" t="s">
        <v>833</v>
      </c>
      <c r="S38" s="172" t="s">
        <v>201</v>
      </c>
      <c r="T38" s="164" t="s">
        <v>853</v>
      </c>
      <c r="U38" s="173">
        <v>55571</v>
      </c>
      <c r="V38" s="8" t="s">
        <v>2752</v>
      </c>
      <c r="W38" s="61" t="s">
        <v>2753</v>
      </c>
      <c r="X38" s="61" t="s">
        <v>52</v>
      </c>
      <c r="Y38" s="160" t="s">
        <v>20</v>
      </c>
      <c r="Z38" s="164" t="s">
        <v>3262</v>
      </c>
      <c r="AA38" s="176" t="s">
        <v>2754</v>
      </c>
      <c r="AB38" s="174"/>
      <c r="AC38" s="88" t="s">
        <v>835</v>
      </c>
      <c r="AD38" s="287" t="s">
        <v>201</v>
      </c>
      <c r="AE38" s="103" t="s">
        <v>30</v>
      </c>
      <c r="AF38" s="114" t="s">
        <v>153</v>
      </c>
      <c r="AG38" s="288" t="s">
        <v>564</v>
      </c>
      <c r="AH38" s="104" t="s">
        <v>394</v>
      </c>
      <c r="AI38" s="286"/>
      <c r="AJ38" s="85" t="s">
        <v>836</v>
      </c>
      <c r="AK38" s="287" t="s">
        <v>201</v>
      </c>
      <c r="AL38" s="290" t="s">
        <v>220</v>
      </c>
      <c r="AM38" s="291" t="s">
        <v>490</v>
      </c>
      <c r="AN38" s="291"/>
      <c r="AO38" s="86"/>
      <c r="AP38" s="290"/>
      <c r="AQ38" s="242" t="s">
        <v>837</v>
      </c>
      <c r="AR38" s="242"/>
      <c r="AS38" s="87"/>
      <c r="AT38" s="243"/>
      <c r="AU38" s="243"/>
      <c r="AV38" s="242" t="s">
        <v>838</v>
      </c>
      <c r="AW38" s="242" t="s">
        <v>74</v>
      </c>
      <c r="AX38" s="243">
        <v>31480</v>
      </c>
      <c r="AY38" s="177"/>
      <c r="AZ38" s="291"/>
      <c r="BA38" s="287" t="s">
        <v>201</v>
      </c>
      <c r="BB38" s="290"/>
      <c r="BC38" s="291"/>
      <c r="BD38" s="291"/>
      <c r="BE38" s="290"/>
      <c r="BF38" s="292"/>
      <c r="BG38" s="293"/>
      <c r="BH38" s="247" t="s">
        <v>3304</v>
      </c>
      <c r="BI38" s="246">
        <v>991772</v>
      </c>
      <c r="BJ38" s="164" t="s">
        <v>3301</v>
      </c>
      <c r="BK38" s="164" t="s">
        <v>3302</v>
      </c>
    </row>
    <row r="39" spans="1:63" s="54" customFormat="1" ht="52.5" customHeight="1" thickBot="1">
      <c r="A39" s="53">
        <v>12</v>
      </c>
      <c r="B39" s="12" t="s">
        <v>128</v>
      </c>
      <c r="C39" s="19" t="s">
        <v>132</v>
      </c>
      <c r="D39" s="140">
        <v>11288</v>
      </c>
      <c r="E39" s="152" t="s">
        <v>839</v>
      </c>
      <c r="F39" s="93" t="s">
        <v>840</v>
      </c>
      <c r="G39" s="141" t="s">
        <v>563</v>
      </c>
      <c r="H39" s="142">
        <v>2022</v>
      </c>
      <c r="I39" s="143" t="s">
        <v>2482</v>
      </c>
      <c r="J39" s="170">
        <v>1</v>
      </c>
      <c r="K39" s="50">
        <v>1</v>
      </c>
      <c r="L39" s="49">
        <v>22230032</v>
      </c>
      <c r="M39" s="171" t="s">
        <v>200</v>
      </c>
      <c r="N39" s="178" t="s">
        <v>50</v>
      </c>
      <c r="O39" s="161">
        <v>40132</v>
      </c>
      <c r="P39" s="179">
        <v>40133</v>
      </c>
      <c r="Q39" s="162" t="s">
        <v>841</v>
      </c>
      <c r="R39" s="46" t="s">
        <v>842</v>
      </c>
      <c r="S39" s="172" t="s">
        <v>201</v>
      </c>
      <c r="T39" s="165" t="s">
        <v>843</v>
      </c>
      <c r="U39" s="173">
        <v>61121</v>
      </c>
      <c r="V39" s="8" t="s">
        <v>2755</v>
      </c>
      <c r="W39" s="61" t="s">
        <v>2756</v>
      </c>
      <c r="X39" s="61" t="s">
        <v>50</v>
      </c>
      <c r="Y39" s="160" t="s">
        <v>38</v>
      </c>
      <c r="Z39" s="164" t="s">
        <v>3262</v>
      </c>
      <c r="AA39" s="176" t="s">
        <v>2757</v>
      </c>
      <c r="AB39" s="174"/>
      <c r="AC39" s="85" t="s">
        <v>844</v>
      </c>
      <c r="AD39" s="287" t="s">
        <v>201</v>
      </c>
      <c r="AE39" s="302" t="s">
        <v>21</v>
      </c>
      <c r="AF39" s="303" t="s">
        <v>154</v>
      </c>
      <c r="AG39" s="288" t="s">
        <v>564</v>
      </c>
      <c r="AH39" s="86" t="s">
        <v>319</v>
      </c>
      <c r="AI39" s="286"/>
      <c r="AJ39" s="85" t="s">
        <v>845</v>
      </c>
      <c r="AK39" s="287" t="s">
        <v>201</v>
      </c>
      <c r="AL39" s="314" t="s">
        <v>21</v>
      </c>
      <c r="AM39" s="85" t="s">
        <v>276</v>
      </c>
      <c r="AN39" s="288"/>
      <c r="AO39" s="289"/>
      <c r="AP39" s="290"/>
      <c r="AQ39" s="242" t="s">
        <v>846</v>
      </c>
      <c r="AR39" s="242" t="s">
        <v>847</v>
      </c>
      <c r="AS39" s="87" t="s">
        <v>50</v>
      </c>
      <c r="AT39" s="243">
        <v>29504</v>
      </c>
      <c r="AU39" s="243"/>
      <c r="AV39" s="242" t="s">
        <v>848</v>
      </c>
      <c r="AW39" s="242" t="s">
        <v>50</v>
      </c>
      <c r="AX39" s="243">
        <v>30068</v>
      </c>
      <c r="AY39" s="177"/>
      <c r="AZ39" s="291"/>
      <c r="BA39" s="287" t="s">
        <v>201</v>
      </c>
      <c r="BB39" s="290"/>
      <c r="BC39" s="291"/>
      <c r="BD39" s="291"/>
      <c r="BE39" s="291"/>
      <c r="BF39" s="292"/>
      <c r="BG39" s="293"/>
      <c r="BH39" s="247" t="s">
        <v>3304</v>
      </c>
      <c r="BI39" s="246">
        <v>991772</v>
      </c>
      <c r="BJ39" s="164" t="s">
        <v>3301</v>
      </c>
      <c r="BK39" s="164" t="s">
        <v>3302</v>
      </c>
    </row>
    <row r="40" spans="1:63" s="54" customFormat="1" ht="52.5" customHeight="1" thickBot="1">
      <c r="A40" s="53">
        <v>13</v>
      </c>
      <c r="B40" s="13" t="s">
        <v>129</v>
      </c>
      <c r="C40" s="19" t="s">
        <v>132</v>
      </c>
      <c r="D40" s="146">
        <v>11289</v>
      </c>
      <c r="E40" s="91" t="s">
        <v>849</v>
      </c>
      <c r="F40" s="93" t="s">
        <v>850</v>
      </c>
      <c r="G40" s="141" t="s">
        <v>563</v>
      </c>
      <c r="H40" s="142">
        <v>2022</v>
      </c>
      <c r="I40" s="143" t="s">
        <v>2483</v>
      </c>
      <c r="J40" s="170">
        <v>1</v>
      </c>
      <c r="K40" s="50">
        <v>1</v>
      </c>
      <c r="L40" s="49">
        <v>22230030</v>
      </c>
      <c r="M40" s="171" t="s">
        <v>200</v>
      </c>
      <c r="N40" s="104" t="s">
        <v>56</v>
      </c>
      <c r="O40" s="161">
        <v>40143</v>
      </c>
      <c r="P40" s="105">
        <v>40143</v>
      </c>
      <c r="Q40" s="162" t="s">
        <v>851</v>
      </c>
      <c r="R40" s="44" t="s">
        <v>852</v>
      </c>
      <c r="S40" s="172" t="s">
        <v>201</v>
      </c>
      <c r="T40" s="88" t="s">
        <v>2181</v>
      </c>
      <c r="U40" s="173">
        <v>54366</v>
      </c>
      <c r="V40" s="8" t="s">
        <v>2758</v>
      </c>
      <c r="W40" s="61" t="s">
        <v>2759</v>
      </c>
      <c r="X40" s="61" t="s">
        <v>56</v>
      </c>
      <c r="Y40" s="160" t="s">
        <v>28</v>
      </c>
      <c r="Z40" s="164" t="s">
        <v>3262</v>
      </c>
      <c r="AA40" s="176" t="s">
        <v>2760</v>
      </c>
      <c r="AB40" s="174"/>
      <c r="AC40" s="88" t="s">
        <v>854</v>
      </c>
      <c r="AD40" s="287" t="s">
        <v>201</v>
      </c>
      <c r="AE40" s="103" t="s">
        <v>21</v>
      </c>
      <c r="AF40" s="114" t="s">
        <v>154</v>
      </c>
      <c r="AG40" s="288" t="s">
        <v>564</v>
      </c>
      <c r="AH40" s="104" t="s">
        <v>395</v>
      </c>
      <c r="AI40" s="286"/>
      <c r="AJ40" s="85" t="s">
        <v>855</v>
      </c>
      <c r="AK40" s="287" t="s">
        <v>201</v>
      </c>
      <c r="AL40" s="290" t="s">
        <v>24</v>
      </c>
      <c r="AM40" s="291" t="s">
        <v>490</v>
      </c>
      <c r="AN40" s="291"/>
      <c r="AO40" s="86"/>
      <c r="AP40" s="290"/>
      <c r="AQ40" s="242" t="s">
        <v>856</v>
      </c>
      <c r="AR40" s="242" t="s">
        <v>857</v>
      </c>
      <c r="AS40" s="87" t="s">
        <v>60</v>
      </c>
      <c r="AT40" s="243">
        <v>30408</v>
      </c>
      <c r="AU40" s="243"/>
      <c r="AV40" s="242" t="s">
        <v>858</v>
      </c>
      <c r="AW40" s="242" t="s">
        <v>56</v>
      </c>
      <c r="AX40" s="243">
        <v>32405</v>
      </c>
      <c r="AY40" s="177"/>
      <c r="AZ40" s="291"/>
      <c r="BA40" s="287" t="s">
        <v>201</v>
      </c>
      <c r="BB40" s="290"/>
      <c r="BC40" s="291"/>
      <c r="BD40" s="291"/>
      <c r="BE40" s="290"/>
      <c r="BF40" s="292"/>
      <c r="BG40" s="293"/>
      <c r="BH40" s="247" t="s">
        <v>3304</v>
      </c>
      <c r="BI40" s="246">
        <v>991772</v>
      </c>
      <c r="BJ40" s="164" t="s">
        <v>3301</v>
      </c>
      <c r="BK40" s="164" t="s">
        <v>3302</v>
      </c>
    </row>
    <row r="41" spans="1:63" s="54" customFormat="1" ht="52.5" customHeight="1" thickBot="1">
      <c r="A41" s="53">
        <v>14</v>
      </c>
      <c r="B41" s="14" t="s">
        <v>130</v>
      </c>
      <c r="C41" s="19" t="s">
        <v>132</v>
      </c>
      <c r="D41" s="147">
        <v>11293</v>
      </c>
      <c r="E41" s="91" t="s">
        <v>859</v>
      </c>
      <c r="F41" s="93" t="s">
        <v>860</v>
      </c>
      <c r="G41" s="141" t="s">
        <v>563</v>
      </c>
      <c r="H41" s="142">
        <v>2022</v>
      </c>
      <c r="I41" s="143" t="s">
        <v>2484</v>
      </c>
      <c r="J41" s="170">
        <v>2</v>
      </c>
      <c r="K41" s="50">
        <v>4</v>
      </c>
      <c r="L41" s="49">
        <v>22230230</v>
      </c>
      <c r="M41" s="171" t="s">
        <v>200</v>
      </c>
      <c r="N41" s="178" t="s">
        <v>861</v>
      </c>
      <c r="O41" s="161">
        <v>40062</v>
      </c>
      <c r="P41" s="180">
        <v>40062</v>
      </c>
      <c r="Q41" s="162" t="s">
        <v>669</v>
      </c>
      <c r="R41" s="44" t="s">
        <v>862</v>
      </c>
      <c r="S41" s="172" t="s">
        <v>201</v>
      </c>
      <c r="T41" s="165" t="s">
        <v>2191</v>
      </c>
      <c r="U41" s="173">
        <v>98211</v>
      </c>
      <c r="V41" s="8" t="s">
        <v>2761</v>
      </c>
      <c r="W41" s="61" t="s">
        <v>2762</v>
      </c>
      <c r="X41" s="61" t="s">
        <v>2763</v>
      </c>
      <c r="Y41" s="160" t="s">
        <v>89</v>
      </c>
      <c r="Z41" s="164" t="s">
        <v>3262</v>
      </c>
      <c r="AA41" s="176" t="s">
        <v>2764</v>
      </c>
      <c r="AB41" s="174"/>
      <c r="AC41" s="85" t="s">
        <v>863</v>
      </c>
      <c r="AD41" s="287" t="s">
        <v>201</v>
      </c>
      <c r="AE41" s="302" t="s">
        <v>24</v>
      </c>
      <c r="AF41" s="303" t="s">
        <v>154</v>
      </c>
      <c r="AG41" s="288" t="s">
        <v>564</v>
      </c>
      <c r="AH41" s="86"/>
      <c r="AI41" s="315"/>
      <c r="AJ41" s="85" t="s">
        <v>864</v>
      </c>
      <c r="AK41" s="287" t="s">
        <v>201</v>
      </c>
      <c r="AL41" s="290" t="s">
        <v>24</v>
      </c>
      <c r="AM41" s="291" t="s">
        <v>154</v>
      </c>
      <c r="AN41" s="291"/>
      <c r="AO41" s="289"/>
      <c r="AP41" s="290"/>
      <c r="AQ41" s="242" t="s">
        <v>865</v>
      </c>
      <c r="AR41" s="242" t="s">
        <v>866</v>
      </c>
      <c r="AS41" s="87" t="s">
        <v>97</v>
      </c>
      <c r="AT41" s="243">
        <v>30908</v>
      </c>
      <c r="AU41" s="243"/>
      <c r="AV41" s="242" t="s">
        <v>867</v>
      </c>
      <c r="AW41" s="242" t="s">
        <v>861</v>
      </c>
      <c r="AX41" s="243">
        <v>30698</v>
      </c>
      <c r="AY41" s="177"/>
      <c r="AZ41" s="291"/>
      <c r="BA41" s="287" t="s">
        <v>201</v>
      </c>
      <c r="BB41" s="290"/>
      <c r="BC41" s="291"/>
      <c r="BD41" s="291"/>
      <c r="BE41" s="290"/>
      <c r="BF41" s="292"/>
      <c r="BG41" s="293"/>
      <c r="BH41" s="247" t="s">
        <v>3304</v>
      </c>
      <c r="BI41" s="246">
        <v>991772</v>
      </c>
      <c r="BJ41" s="164" t="s">
        <v>3301</v>
      </c>
      <c r="BK41" s="164" t="s">
        <v>3302</v>
      </c>
    </row>
    <row r="42" spans="1:63" s="54" customFormat="1" ht="52.5" customHeight="1" thickBot="1">
      <c r="A42" s="53">
        <v>15</v>
      </c>
      <c r="B42" s="12" t="s">
        <v>128</v>
      </c>
      <c r="C42" s="19" t="s">
        <v>132</v>
      </c>
      <c r="D42" s="140">
        <v>11294</v>
      </c>
      <c r="E42" s="98" t="s">
        <v>868</v>
      </c>
      <c r="F42" s="93" t="s">
        <v>869</v>
      </c>
      <c r="G42" s="141" t="s">
        <v>563</v>
      </c>
      <c r="H42" s="142">
        <v>2022</v>
      </c>
      <c r="I42" s="143" t="s">
        <v>2485</v>
      </c>
      <c r="J42" s="170">
        <v>1</v>
      </c>
      <c r="K42" s="50">
        <v>1</v>
      </c>
      <c r="L42" s="49">
        <v>22230013</v>
      </c>
      <c r="M42" s="171" t="s">
        <v>200</v>
      </c>
      <c r="N42" s="178" t="s">
        <v>148</v>
      </c>
      <c r="O42" s="161">
        <v>40382</v>
      </c>
      <c r="P42" s="179">
        <v>40382</v>
      </c>
      <c r="Q42" s="162" t="s">
        <v>870</v>
      </c>
      <c r="R42" s="44" t="s">
        <v>871</v>
      </c>
      <c r="S42" s="172" t="s">
        <v>201</v>
      </c>
      <c r="T42" s="53" t="s">
        <v>872</v>
      </c>
      <c r="U42" s="172">
        <v>59462</v>
      </c>
      <c r="V42" s="175" t="s">
        <v>2765</v>
      </c>
      <c r="W42" s="61" t="s">
        <v>2766</v>
      </c>
      <c r="X42" s="61" t="s">
        <v>148</v>
      </c>
      <c r="Y42" s="160" t="s">
        <v>28</v>
      </c>
      <c r="Z42" s="164" t="s">
        <v>3262</v>
      </c>
      <c r="AA42" s="53" t="s">
        <v>2767</v>
      </c>
      <c r="AB42" s="55"/>
      <c r="AC42" s="85"/>
      <c r="AD42" s="287" t="s">
        <v>201</v>
      </c>
      <c r="AE42" s="302"/>
      <c r="AF42" s="303"/>
      <c r="AG42" s="304"/>
      <c r="AH42" s="86"/>
      <c r="AI42" s="286"/>
      <c r="AJ42" s="85" t="s">
        <v>873</v>
      </c>
      <c r="AK42" s="287" t="s">
        <v>201</v>
      </c>
      <c r="AL42" s="314" t="s">
        <v>21</v>
      </c>
      <c r="AM42" s="85" t="s">
        <v>154</v>
      </c>
      <c r="AN42" s="304" t="s">
        <v>565</v>
      </c>
      <c r="AO42" s="289" t="s">
        <v>222</v>
      </c>
      <c r="AP42" s="290"/>
      <c r="AQ42" s="242" t="s">
        <v>874</v>
      </c>
      <c r="AR42" s="242"/>
      <c r="AS42" s="87"/>
      <c r="AT42" s="243"/>
      <c r="AU42" s="243"/>
      <c r="AV42" s="242" t="s">
        <v>875</v>
      </c>
      <c r="AW42" s="242" t="s">
        <v>40</v>
      </c>
      <c r="AX42" s="243">
        <v>28664</v>
      </c>
      <c r="AY42" s="177"/>
      <c r="AZ42" s="291"/>
      <c r="BA42" s="287" t="s">
        <v>201</v>
      </c>
      <c r="BB42" s="290"/>
      <c r="BC42" s="291"/>
      <c r="BD42" s="291"/>
      <c r="BE42" s="290"/>
      <c r="BF42" s="292"/>
      <c r="BG42" s="293"/>
      <c r="BH42" s="247" t="s">
        <v>3304</v>
      </c>
      <c r="BI42" s="246">
        <v>991772</v>
      </c>
      <c r="BJ42" s="164" t="s">
        <v>3301</v>
      </c>
      <c r="BK42" s="164" t="s">
        <v>3302</v>
      </c>
    </row>
    <row r="43" spans="1:63" s="54" customFormat="1" ht="52.5" customHeight="1" thickBot="1">
      <c r="A43" s="53">
        <v>16</v>
      </c>
      <c r="B43" s="14" t="s">
        <v>130</v>
      </c>
      <c r="C43" s="19" t="s">
        <v>132</v>
      </c>
      <c r="D43" s="147">
        <v>11302</v>
      </c>
      <c r="E43" s="91" t="s">
        <v>876</v>
      </c>
      <c r="F43" s="93" t="s">
        <v>877</v>
      </c>
      <c r="G43" s="141" t="s">
        <v>563</v>
      </c>
      <c r="H43" s="142">
        <v>2022</v>
      </c>
      <c r="I43" s="143" t="s">
        <v>2486</v>
      </c>
      <c r="J43" s="170">
        <v>1</v>
      </c>
      <c r="K43" s="50">
        <v>1</v>
      </c>
      <c r="L43" s="49">
        <v>22230214</v>
      </c>
      <c r="M43" s="171" t="s">
        <v>200</v>
      </c>
      <c r="N43" s="178" t="s">
        <v>111</v>
      </c>
      <c r="O43" s="161">
        <v>40288</v>
      </c>
      <c r="P43" s="180">
        <v>40288</v>
      </c>
      <c r="Q43" s="162" t="s">
        <v>878</v>
      </c>
      <c r="R43" s="44" t="s">
        <v>879</v>
      </c>
      <c r="S43" s="172" t="s">
        <v>201</v>
      </c>
      <c r="T43" s="165" t="s">
        <v>2663</v>
      </c>
      <c r="U43" s="173">
        <v>61252</v>
      </c>
      <c r="V43" s="8" t="s">
        <v>2768</v>
      </c>
      <c r="W43" s="61" t="s">
        <v>2769</v>
      </c>
      <c r="X43" s="61" t="s">
        <v>66</v>
      </c>
      <c r="Y43" s="160" t="s">
        <v>38</v>
      </c>
      <c r="Z43" s="164" t="s">
        <v>3262</v>
      </c>
      <c r="AA43" s="176"/>
      <c r="AB43" s="174"/>
      <c r="AC43" s="85" t="s">
        <v>881</v>
      </c>
      <c r="AD43" s="287" t="s">
        <v>201</v>
      </c>
      <c r="AE43" s="302" t="s">
        <v>220</v>
      </c>
      <c r="AF43" s="303" t="s">
        <v>153</v>
      </c>
      <c r="AG43" s="288" t="s">
        <v>564</v>
      </c>
      <c r="AH43" s="86" t="s">
        <v>306</v>
      </c>
      <c r="AI43" s="286"/>
      <c r="AJ43" s="85" t="s">
        <v>882</v>
      </c>
      <c r="AK43" s="287" t="s">
        <v>201</v>
      </c>
      <c r="AL43" s="290" t="s">
        <v>21</v>
      </c>
      <c r="AM43" s="291" t="s">
        <v>276</v>
      </c>
      <c r="AN43" s="291"/>
      <c r="AO43" s="289"/>
      <c r="AP43" s="290"/>
      <c r="AQ43" s="242" t="s">
        <v>883</v>
      </c>
      <c r="AR43" s="242" t="s">
        <v>884</v>
      </c>
      <c r="AS43" s="87" t="s">
        <v>81</v>
      </c>
      <c r="AT43" s="243">
        <v>26012</v>
      </c>
      <c r="AU43" s="243"/>
      <c r="AV43" s="242" t="s">
        <v>885</v>
      </c>
      <c r="AW43" s="242" t="s">
        <v>111</v>
      </c>
      <c r="AX43" s="243">
        <v>31609</v>
      </c>
      <c r="AY43" s="177"/>
      <c r="AZ43" s="291"/>
      <c r="BA43" s="287" t="s">
        <v>201</v>
      </c>
      <c r="BB43" s="290"/>
      <c r="BC43" s="291"/>
      <c r="BD43" s="291"/>
      <c r="BE43" s="290"/>
      <c r="BF43" s="292"/>
      <c r="BG43" s="293"/>
      <c r="BH43" s="247" t="s">
        <v>3304</v>
      </c>
      <c r="BI43" s="246">
        <v>991772</v>
      </c>
      <c r="BJ43" s="164" t="s">
        <v>3301</v>
      </c>
      <c r="BK43" s="164" t="s">
        <v>3302</v>
      </c>
    </row>
    <row r="44" spans="1:63" s="54" customFormat="1" ht="52.5" customHeight="1" thickBot="1">
      <c r="A44" s="53">
        <v>17</v>
      </c>
      <c r="B44" s="19" t="s">
        <v>132</v>
      </c>
      <c r="C44" s="19" t="s">
        <v>132</v>
      </c>
      <c r="D44" s="147">
        <v>11311</v>
      </c>
      <c r="E44" s="91" t="s">
        <v>1080</v>
      </c>
      <c r="F44" s="93" t="s">
        <v>1081</v>
      </c>
      <c r="G44" s="141" t="s">
        <v>563</v>
      </c>
      <c r="H44" s="142">
        <v>2022</v>
      </c>
      <c r="I44" s="143" t="s">
        <v>2487</v>
      </c>
      <c r="J44" s="170">
        <v>1</v>
      </c>
      <c r="K44" s="50">
        <v>1</v>
      </c>
      <c r="L44" s="49">
        <v>22230066</v>
      </c>
      <c r="M44" s="171" t="s">
        <v>200</v>
      </c>
      <c r="N44" s="178" t="s">
        <v>1082</v>
      </c>
      <c r="O44" s="161">
        <v>40264</v>
      </c>
      <c r="P44" s="180">
        <v>40264</v>
      </c>
      <c r="Q44" s="162" t="s">
        <v>1083</v>
      </c>
      <c r="R44" s="44" t="s">
        <v>1084</v>
      </c>
      <c r="S44" s="172" t="s">
        <v>201</v>
      </c>
      <c r="T44" s="165" t="s">
        <v>1085</v>
      </c>
      <c r="U44" s="173">
        <v>42273</v>
      </c>
      <c r="V44" s="8" t="s">
        <v>2770</v>
      </c>
      <c r="W44" s="61" t="s">
        <v>2771</v>
      </c>
      <c r="X44" s="61" t="s">
        <v>1082</v>
      </c>
      <c r="Y44" s="160" t="s">
        <v>42</v>
      </c>
      <c r="Z44" s="164" t="s">
        <v>3262</v>
      </c>
      <c r="AA44" s="176" t="s">
        <v>2772</v>
      </c>
      <c r="AB44" s="174"/>
      <c r="AC44" s="85" t="s">
        <v>1086</v>
      </c>
      <c r="AD44" s="287" t="s">
        <v>201</v>
      </c>
      <c r="AE44" s="302" t="s">
        <v>21</v>
      </c>
      <c r="AF44" s="303" t="s">
        <v>22</v>
      </c>
      <c r="AG44" s="304" t="s">
        <v>564</v>
      </c>
      <c r="AH44" s="86" t="s">
        <v>243</v>
      </c>
      <c r="AI44" s="315"/>
      <c r="AJ44" s="85" t="s">
        <v>1087</v>
      </c>
      <c r="AK44" s="287" t="s">
        <v>201</v>
      </c>
      <c r="AL44" s="314" t="s">
        <v>21</v>
      </c>
      <c r="AM44" s="325" t="s">
        <v>155</v>
      </c>
      <c r="AN44" s="288"/>
      <c r="AO44" s="289"/>
      <c r="AP44" s="315"/>
      <c r="AQ44" s="242" t="s">
        <v>1088</v>
      </c>
      <c r="AR44" s="242" t="s">
        <v>1089</v>
      </c>
      <c r="AS44" s="87" t="s">
        <v>1082</v>
      </c>
      <c r="AT44" s="243">
        <v>29927</v>
      </c>
      <c r="AU44" s="243"/>
      <c r="AV44" s="242" t="s">
        <v>1090</v>
      </c>
      <c r="AW44" s="87" t="s">
        <v>1082</v>
      </c>
      <c r="AX44" s="243">
        <v>30743</v>
      </c>
      <c r="AY44" s="177"/>
      <c r="AZ44" s="291"/>
      <c r="BA44" s="287" t="s">
        <v>201</v>
      </c>
      <c r="BB44" s="290"/>
      <c r="BC44" s="291"/>
      <c r="BD44" s="291"/>
      <c r="BE44" s="290"/>
      <c r="BF44" s="292"/>
      <c r="BG44" s="293"/>
      <c r="BH44" s="247" t="s">
        <v>3304</v>
      </c>
      <c r="BI44" s="246">
        <v>991772</v>
      </c>
      <c r="BJ44" s="164" t="s">
        <v>3301</v>
      </c>
      <c r="BK44" s="164" t="s">
        <v>3302</v>
      </c>
    </row>
    <row r="45" spans="1:63" s="54" customFormat="1" ht="52.5" customHeight="1" thickBot="1">
      <c r="A45" s="53">
        <v>18</v>
      </c>
      <c r="B45" s="19" t="s">
        <v>132</v>
      </c>
      <c r="C45" s="19" t="s">
        <v>132</v>
      </c>
      <c r="D45" s="147">
        <v>11345</v>
      </c>
      <c r="E45" s="98" t="s">
        <v>886</v>
      </c>
      <c r="F45" s="93" t="s">
        <v>887</v>
      </c>
      <c r="G45" s="141" t="s">
        <v>563</v>
      </c>
      <c r="H45" s="142">
        <v>2022</v>
      </c>
      <c r="I45" s="143" t="s">
        <v>2488</v>
      </c>
      <c r="J45" s="170">
        <v>1</v>
      </c>
      <c r="K45" s="50">
        <v>1</v>
      </c>
      <c r="L45" s="49">
        <v>22230051</v>
      </c>
      <c r="M45" s="171" t="s">
        <v>200</v>
      </c>
      <c r="N45" s="178" t="s">
        <v>31</v>
      </c>
      <c r="O45" s="161">
        <v>40232</v>
      </c>
      <c r="P45" s="180">
        <v>40232</v>
      </c>
      <c r="Q45" s="162" t="s">
        <v>888</v>
      </c>
      <c r="R45" s="44" t="s">
        <v>889</v>
      </c>
      <c r="S45" s="172" t="s">
        <v>201</v>
      </c>
      <c r="T45" s="165" t="s">
        <v>890</v>
      </c>
      <c r="U45" s="173">
        <v>51119</v>
      </c>
      <c r="V45" s="8" t="s">
        <v>2773</v>
      </c>
      <c r="W45" s="61" t="s">
        <v>2774</v>
      </c>
      <c r="X45" s="61" t="s">
        <v>31</v>
      </c>
      <c r="Y45" s="160" t="s">
        <v>28</v>
      </c>
      <c r="Z45" s="164" t="s">
        <v>3262</v>
      </c>
      <c r="AA45" s="176" t="s">
        <v>2775</v>
      </c>
      <c r="AB45" s="174"/>
      <c r="AC45" s="85" t="s">
        <v>891</v>
      </c>
      <c r="AD45" s="287" t="s">
        <v>201</v>
      </c>
      <c r="AE45" s="302" t="s">
        <v>24</v>
      </c>
      <c r="AF45" s="303" t="s">
        <v>153</v>
      </c>
      <c r="AG45" s="304" t="s">
        <v>892</v>
      </c>
      <c r="AH45" s="86" t="s">
        <v>245</v>
      </c>
      <c r="AI45" s="326"/>
      <c r="AJ45" s="85" t="s">
        <v>893</v>
      </c>
      <c r="AK45" s="287" t="s">
        <v>201</v>
      </c>
      <c r="AL45" s="314" t="s">
        <v>220</v>
      </c>
      <c r="AM45" s="85" t="s">
        <v>492</v>
      </c>
      <c r="AN45" s="288"/>
      <c r="AO45" s="289"/>
      <c r="AP45" s="290"/>
      <c r="AQ45" s="242" t="s">
        <v>894</v>
      </c>
      <c r="AR45" s="242" t="s">
        <v>895</v>
      </c>
      <c r="AS45" s="87" t="s">
        <v>31</v>
      </c>
      <c r="AT45" s="243">
        <v>29632</v>
      </c>
      <c r="AU45" s="243"/>
      <c r="AV45" s="242" t="s">
        <v>889</v>
      </c>
      <c r="AW45" s="242" t="s">
        <v>58</v>
      </c>
      <c r="AX45" s="243">
        <v>30233</v>
      </c>
      <c r="AY45" s="177"/>
      <c r="AZ45" s="291"/>
      <c r="BA45" s="287" t="s">
        <v>201</v>
      </c>
      <c r="BB45" s="290"/>
      <c r="BC45" s="291"/>
      <c r="BD45" s="291"/>
      <c r="BE45" s="290"/>
      <c r="BF45" s="292"/>
      <c r="BG45" s="293"/>
      <c r="BH45" s="247" t="s">
        <v>3304</v>
      </c>
      <c r="BI45" s="246">
        <v>991772</v>
      </c>
      <c r="BJ45" s="164" t="s">
        <v>3301</v>
      </c>
      <c r="BK45" s="164" t="s">
        <v>3302</v>
      </c>
    </row>
    <row r="46" spans="1:63" s="54" customFormat="1" ht="52.5" customHeight="1" thickBot="1">
      <c r="A46" s="53">
        <v>19</v>
      </c>
      <c r="B46" s="19" t="s">
        <v>132</v>
      </c>
      <c r="C46" s="19" t="s">
        <v>132</v>
      </c>
      <c r="D46" s="147">
        <v>11361</v>
      </c>
      <c r="E46" s="91" t="s">
        <v>896</v>
      </c>
      <c r="F46" s="93" t="s">
        <v>897</v>
      </c>
      <c r="G46" s="141" t="s">
        <v>563</v>
      </c>
      <c r="H46" s="142">
        <v>2022</v>
      </c>
      <c r="I46" s="143" t="s">
        <v>2489</v>
      </c>
      <c r="J46" s="170">
        <v>1</v>
      </c>
      <c r="K46" s="50">
        <v>4</v>
      </c>
      <c r="L46" s="49">
        <v>22230048</v>
      </c>
      <c r="M46" s="171" t="s">
        <v>200</v>
      </c>
      <c r="N46" s="178" t="s">
        <v>56</v>
      </c>
      <c r="O46" s="161">
        <v>39969</v>
      </c>
      <c r="P46" s="180">
        <v>39969</v>
      </c>
      <c r="Q46" s="162" t="s">
        <v>898</v>
      </c>
      <c r="R46" s="46" t="s">
        <v>899</v>
      </c>
      <c r="S46" s="172" t="s">
        <v>201</v>
      </c>
      <c r="T46" s="165" t="s">
        <v>900</v>
      </c>
      <c r="U46" s="173">
        <v>74712</v>
      </c>
      <c r="V46" s="8" t="s">
        <v>2726</v>
      </c>
      <c r="W46" s="61" t="s">
        <v>763</v>
      </c>
      <c r="X46" s="61" t="s">
        <v>763</v>
      </c>
      <c r="Y46" s="160" t="s">
        <v>44</v>
      </c>
      <c r="Z46" s="164" t="s">
        <v>3262</v>
      </c>
      <c r="AA46" s="176" t="s">
        <v>2727</v>
      </c>
      <c r="AB46" s="174"/>
      <c r="AC46" s="85" t="s">
        <v>901</v>
      </c>
      <c r="AD46" s="287" t="s">
        <v>201</v>
      </c>
      <c r="AE46" s="302" t="s">
        <v>30</v>
      </c>
      <c r="AF46" s="303" t="s">
        <v>22</v>
      </c>
      <c r="AG46" s="304" t="s">
        <v>564</v>
      </c>
      <c r="AH46" s="86" t="s">
        <v>329</v>
      </c>
      <c r="AI46" s="286"/>
      <c r="AJ46" s="85" t="s">
        <v>902</v>
      </c>
      <c r="AK46" s="287" t="s">
        <v>201</v>
      </c>
      <c r="AL46" s="314" t="s">
        <v>220</v>
      </c>
      <c r="AM46" s="85" t="s">
        <v>490</v>
      </c>
      <c r="AN46" s="304"/>
      <c r="AO46" s="289"/>
      <c r="AP46" s="290"/>
      <c r="AQ46" s="242" t="s">
        <v>903</v>
      </c>
      <c r="AR46" s="242" t="s">
        <v>904</v>
      </c>
      <c r="AS46" s="87" t="s">
        <v>56</v>
      </c>
      <c r="AT46" s="243">
        <v>27480</v>
      </c>
      <c r="AU46" s="243"/>
      <c r="AV46" s="242" t="s">
        <v>905</v>
      </c>
      <c r="AW46" s="242" t="s">
        <v>56</v>
      </c>
      <c r="AX46" s="243">
        <v>30502</v>
      </c>
      <c r="AY46" s="177"/>
      <c r="AZ46" s="291"/>
      <c r="BA46" s="287" t="s">
        <v>201</v>
      </c>
      <c r="BB46" s="290"/>
      <c r="BC46" s="291"/>
      <c r="BD46" s="291"/>
      <c r="BE46" s="290"/>
      <c r="BF46" s="292"/>
      <c r="BG46" s="293"/>
      <c r="BH46" s="247" t="s">
        <v>3304</v>
      </c>
      <c r="BI46" s="246">
        <v>991772</v>
      </c>
      <c r="BJ46" s="164" t="s">
        <v>3301</v>
      </c>
      <c r="BK46" s="164" t="s">
        <v>3302</v>
      </c>
    </row>
    <row r="47" spans="1:63" s="54" customFormat="1" ht="52.5" customHeight="1" thickBot="1">
      <c r="A47" s="53">
        <v>20</v>
      </c>
      <c r="B47" s="19" t="s">
        <v>132</v>
      </c>
      <c r="C47" s="19" t="s">
        <v>132</v>
      </c>
      <c r="D47" s="147">
        <v>11362</v>
      </c>
      <c r="E47" s="98" t="s">
        <v>906</v>
      </c>
      <c r="F47" s="93" t="s">
        <v>907</v>
      </c>
      <c r="G47" s="141" t="s">
        <v>563</v>
      </c>
      <c r="H47" s="142">
        <v>2022</v>
      </c>
      <c r="I47" s="143" t="s">
        <v>2490</v>
      </c>
      <c r="J47" s="170">
        <v>3</v>
      </c>
      <c r="K47" s="50">
        <v>3</v>
      </c>
      <c r="L47" s="49">
        <v>22230045</v>
      </c>
      <c r="M47" s="171" t="s">
        <v>200</v>
      </c>
      <c r="N47" s="178" t="s">
        <v>246</v>
      </c>
      <c r="O47" s="161">
        <v>40120</v>
      </c>
      <c r="P47" s="180">
        <v>40120</v>
      </c>
      <c r="Q47" s="162" t="s">
        <v>908</v>
      </c>
      <c r="R47" s="44" t="s">
        <v>909</v>
      </c>
      <c r="S47" s="172" t="s">
        <v>201</v>
      </c>
      <c r="T47" s="165" t="s">
        <v>910</v>
      </c>
      <c r="U47" s="173">
        <v>57178</v>
      </c>
      <c r="V47" s="8" t="s">
        <v>2776</v>
      </c>
      <c r="W47" s="61" t="s">
        <v>2777</v>
      </c>
      <c r="X47" s="61" t="s">
        <v>2778</v>
      </c>
      <c r="Y47" s="160" t="s">
        <v>28</v>
      </c>
      <c r="Z47" s="164" t="s">
        <v>3262</v>
      </c>
      <c r="AA47" s="176" t="s">
        <v>2779</v>
      </c>
      <c r="AB47" s="174"/>
      <c r="AC47" s="85" t="s">
        <v>911</v>
      </c>
      <c r="AD47" s="287" t="s">
        <v>201</v>
      </c>
      <c r="AE47" s="302" t="s">
        <v>220</v>
      </c>
      <c r="AF47" s="303" t="s">
        <v>153</v>
      </c>
      <c r="AG47" s="304" t="s">
        <v>564</v>
      </c>
      <c r="AH47" s="86" t="s">
        <v>247</v>
      </c>
      <c r="AI47" s="286"/>
      <c r="AJ47" s="85" t="s">
        <v>912</v>
      </c>
      <c r="AK47" s="287" t="s">
        <v>201</v>
      </c>
      <c r="AL47" s="314" t="s">
        <v>220</v>
      </c>
      <c r="AM47" s="85" t="s">
        <v>492</v>
      </c>
      <c r="AN47" s="288"/>
      <c r="AO47" s="289"/>
      <c r="AP47" s="286"/>
      <c r="AQ47" s="242" t="s">
        <v>913</v>
      </c>
      <c r="AR47" s="242" t="s">
        <v>914</v>
      </c>
      <c r="AS47" s="87" t="s">
        <v>54</v>
      </c>
      <c r="AT47" s="243">
        <v>26070</v>
      </c>
      <c r="AU47" s="243"/>
      <c r="AV47" s="242" t="s">
        <v>915</v>
      </c>
      <c r="AW47" s="242" t="s">
        <v>85</v>
      </c>
      <c r="AX47" s="243">
        <v>27571</v>
      </c>
      <c r="AY47" s="177"/>
      <c r="AZ47" s="291"/>
      <c r="BA47" s="287" t="s">
        <v>201</v>
      </c>
      <c r="BB47" s="290"/>
      <c r="BC47" s="291"/>
      <c r="BD47" s="291"/>
      <c r="BE47" s="290"/>
      <c r="BF47" s="292"/>
      <c r="BG47" s="293"/>
      <c r="BH47" s="247" t="s">
        <v>3304</v>
      </c>
      <c r="BI47" s="246">
        <v>991772</v>
      </c>
      <c r="BJ47" s="164" t="s">
        <v>3301</v>
      </c>
      <c r="BK47" s="164" t="s">
        <v>3302</v>
      </c>
    </row>
    <row r="48" spans="1:63" s="54" customFormat="1" ht="52.5" customHeight="1" thickBot="1">
      <c r="A48" s="53">
        <v>21</v>
      </c>
      <c r="B48" s="13" t="s">
        <v>129</v>
      </c>
      <c r="C48" s="19" t="s">
        <v>132</v>
      </c>
      <c r="D48" s="146">
        <v>11372</v>
      </c>
      <c r="E48" s="91" t="s">
        <v>1129</v>
      </c>
      <c r="F48" s="93" t="s">
        <v>1130</v>
      </c>
      <c r="G48" s="141" t="s">
        <v>563</v>
      </c>
      <c r="H48" s="142">
        <v>2022</v>
      </c>
      <c r="I48" s="143" t="s">
        <v>2491</v>
      </c>
      <c r="J48" s="170">
        <v>1</v>
      </c>
      <c r="K48" s="50">
        <v>2</v>
      </c>
      <c r="L48" s="49">
        <v>22230060</v>
      </c>
      <c r="M48" s="171" t="s">
        <v>200</v>
      </c>
      <c r="N48" s="104" t="s">
        <v>1131</v>
      </c>
      <c r="O48" s="161">
        <v>40274</v>
      </c>
      <c r="P48" s="105">
        <v>40274</v>
      </c>
      <c r="Q48" s="162" t="s">
        <v>1132</v>
      </c>
      <c r="R48" s="44" t="s">
        <v>1133</v>
      </c>
      <c r="S48" s="172" t="s">
        <v>201</v>
      </c>
      <c r="T48" s="88" t="s">
        <v>1222</v>
      </c>
      <c r="U48" s="173">
        <v>31114</v>
      </c>
      <c r="V48" s="8" t="s">
        <v>2780</v>
      </c>
      <c r="W48" s="61" t="s">
        <v>2781</v>
      </c>
      <c r="X48" s="61" t="s">
        <v>1131</v>
      </c>
      <c r="Y48" s="160" t="s">
        <v>62</v>
      </c>
      <c r="Z48" s="164" t="s">
        <v>3262</v>
      </c>
      <c r="AA48" s="176" t="s">
        <v>2782</v>
      </c>
      <c r="AB48" s="174"/>
      <c r="AC48" s="88" t="s">
        <v>1134</v>
      </c>
      <c r="AD48" s="287" t="s">
        <v>201</v>
      </c>
      <c r="AE48" s="103" t="s">
        <v>21</v>
      </c>
      <c r="AF48" s="114" t="s">
        <v>154</v>
      </c>
      <c r="AG48" s="288" t="s">
        <v>564</v>
      </c>
      <c r="AH48" s="104" t="s">
        <v>403</v>
      </c>
      <c r="AI48" s="286"/>
      <c r="AJ48" s="85" t="s">
        <v>1135</v>
      </c>
      <c r="AK48" s="287" t="s">
        <v>201</v>
      </c>
      <c r="AL48" s="290" t="s">
        <v>30</v>
      </c>
      <c r="AM48" s="291" t="s">
        <v>158</v>
      </c>
      <c r="AN48" s="291"/>
      <c r="AO48" s="289"/>
      <c r="AP48" s="290"/>
      <c r="AQ48" s="242" t="s">
        <v>1136</v>
      </c>
      <c r="AR48" s="242" t="s">
        <v>1137</v>
      </c>
      <c r="AS48" s="87" t="s">
        <v>1138</v>
      </c>
      <c r="AT48" s="243">
        <v>29076</v>
      </c>
      <c r="AU48" s="243"/>
      <c r="AV48" s="242" t="s">
        <v>1139</v>
      </c>
      <c r="AW48" s="242" t="s">
        <v>1140</v>
      </c>
      <c r="AX48" s="243">
        <v>29307</v>
      </c>
      <c r="AY48" s="177"/>
      <c r="AZ48" s="291"/>
      <c r="BA48" s="287" t="s">
        <v>201</v>
      </c>
      <c r="BB48" s="290"/>
      <c r="BC48" s="291"/>
      <c r="BD48" s="291"/>
      <c r="BE48" s="290"/>
      <c r="BF48" s="292"/>
      <c r="BG48" s="293"/>
      <c r="BH48" s="247" t="s">
        <v>3304</v>
      </c>
      <c r="BI48" s="246">
        <v>991772</v>
      </c>
      <c r="BJ48" s="164" t="s">
        <v>3301</v>
      </c>
      <c r="BK48" s="164" t="s">
        <v>3302</v>
      </c>
    </row>
    <row r="49" spans="1:63" s="54" customFormat="1" ht="52.5" customHeight="1" thickBot="1">
      <c r="A49" s="53">
        <v>22</v>
      </c>
      <c r="B49" s="19" t="s">
        <v>132</v>
      </c>
      <c r="C49" s="19" t="s">
        <v>132</v>
      </c>
      <c r="D49" s="147">
        <v>11414</v>
      </c>
      <c r="E49" s="148" t="s">
        <v>654</v>
      </c>
      <c r="F49" s="95" t="s">
        <v>944</v>
      </c>
      <c r="G49" s="141" t="s">
        <v>563</v>
      </c>
      <c r="H49" s="142">
        <v>2022</v>
      </c>
      <c r="I49" s="143" t="s">
        <v>2492</v>
      </c>
      <c r="J49" s="170">
        <v>1</v>
      </c>
      <c r="K49" s="50">
        <v>2</v>
      </c>
      <c r="L49" s="49">
        <v>22230067</v>
      </c>
      <c r="M49" s="171" t="s">
        <v>200</v>
      </c>
      <c r="N49" s="178" t="s">
        <v>68</v>
      </c>
      <c r="O49" s="161">
        <v>39963</v>
      </c>
      <c r="P49" s="180">
        <v>39963</v>
      </c>
      <c r="Q49" s="162" t="s">
        <v>2308</v>
      </c>
      <c r="R49" s="44" t="s">
        <v>946</v>
      </c>
      <c r="S49" s="172" t="s">
        <v>201</v>
      </c>
      <c r="T49" s="165" t="s">
        <v>947</v>
      </c>
      <c r="U49" s="173">
        <v>56111</v>
      </c>
      <c r="V49" s="8" t="s">
        <v>68</v>
      </c>
      <c r="W49" s="61" t="s">
        <v>2783</v>
      </c>
      <c r="X49" s="61" t="s">
        <v>948</v>
      </c>
      <c r="Y49" s="160" t="s">
        <v>28</v>
      </c>
      <c r="Z49" s="164" t="s">
        <v>3262</v>
      </c>
      <c r="AA49" s="176" t="s">
        <v>2699</v>
      </c>
      <c r="AB49" s="174"/>
      <c r="AC49" s="85" t="s">
        <v>949</v>
      </c>
      <c r="AD49" s="287" t="s">
        <v>201</v>
      </c>
      <c r="AE49" s="302" t="s">
        <v>21</v>
      </c>
      <c r="AF49" s="303" t="s">
        <v>22</v>
      </c>
      <c r="AG49" s="304" t="s">
        <v>564</v>
      </c>
      <c r="AH49" s="86" t="s">
        <v>254</v>
      </c>
      <c r="AI49" s="286"/>
      <c r="AJ49" s="85" t="s">
        <v>2310</v>
      </c>
      <c r="AK49" s="287" t="s">
        <v>201</v>
      </c>
      <c r="AL49" s="314" t="s">
        <v>24</v>
      </c>
      <c r="AM49" s="85" t="s">
        <v>490</v>
      </c>
      <c r="AN49" s="288"/>
      <c r="AO49" s="289"/>
      <c r="AP49" s="290"/>
      <c r="AQ49" s="242" t="s">
        <v>950</v>
      </c>
      <c r="AR49" s="242" t="s">
        <v>951</v>
      </c>
      <c r="AS49" s="87" t="s">
        <v>68</v>
      </c>
      <c r="AT49" s="243">
        <v>29763</v>
      </c>
      <c r="AU49" s="243"/>
      <c r="AV49" s="242" t="s">
        <v>952</v>
      </c>
      <c r="AW49" s="242" t="s">
        <v>103</v>
      </c>
      <c r="AX49" s="243">
        <v>31955</v>
      </c>
      <c r="AY49" s="177"/>
      <c r="AZ49" s="291"/>
      <c r="BA49" s="287" t="s">
        <v>201</v>
      </c>
      <c r="BB49" s="290"/>
      <c r="BC49" s="291"/>
      <c r="BD49" s="291"/>
      <c r="BE49" s="290"/>
      <c r="BF49" s="292"/>
      <c r="BG49" s="293"/>
      <c r="BH49" s="247" t="s">
        <v>3304</v>
      </c>
      <c r="BI49" s="246">
        <v>991772</v>
      </c>
      <c r="BJ49" s="164" t="s">
        <v>3301</v>
      </c>
      <c r="BK49" s="164" t="s">
        <v>3302</v>
      </c>
    </row>
    <row r="50" spans="1:63" s="54" customFormat="1" ht="52.5" customHeight="1" thickBot="1">
      <c r="A50" s="53">
        <v>23</v>
      </c>
      <c r="B50" s="16" t="s">
        <v>131</v>
      </c>
      <c r="C50" s="19" t="s">
        <v>132</v>
      </c>
      <c r="D50" s="140">
        <v>11397</v>
      </c>
      <c r="E50" s="91" t="s">
        <v>2429</v>
      </c>
      <c r="F50" s="93" t="s">
        <v>1456</v>
      </c>
      <c r="G50" s="141" t="s">
        <v>563</v>
      </c>
      <c r="H50" s="142">
        <v>2022</v>
      </c>
      <c r="I50" s="143" t="s">
        <v>2493</v>
      </c>
      <c r="J50" s="170">
        <v>1</v>
      </c>
      <c r="K50" s="50">
        <v>0</v>
      </c>
      <c r="L50" s="49">
        <v>22230123</v>
      </c>
      <c r="M50" s="171" t="s">
        <v>200</v>
      </c>
      <c r="N50" s="178" t="s">
        <v>23</v>
      </c>
      <c r="O50" s="161">
        <v>40157</v>
      </c>
      <c r="P50" s="179">
        <v>40157</v>
      </c>
      <c r="Q50" s="162" t="s">
        <v>1457</v>
      </c>
      <c r="R50" s="44" t="s">
        <v>1458</v>
      </c>
      <c r="S50" s="172" t="s">
        <v>201</v>
      </c>
      <c r="T50" s="165" t="s">
        <v>2299</v>
      </c>
      <c r="U50" s="173">
        <v>55173</v>
      </c>
      <c r="V50" s="8" t="s">
        <v>2784</v>
      </c>
      <c r="W50" s="61" t="s">
        <v>248</v>
      </c>
      <c r="X50" s="61" t="s">
        <v>23</v>
      </c>
      <c r="Y50" s="160" t="s">
        <v>20</v>
      </c>
      <c r="Z50" s="164" t="s">
        <v>3262</v>
      </c>
      <c r="AA50" s="176" t="s">
        <v>2785</v>
      </c>
      <c r="AB50" s="174"/>
      <c r="AC50" s="85" t="s">
        <v>1459</v>
      </c>
      <c r="AD50" s="287" t="s">
        <v>201</v>
      </c>
      <c r="AE50" s="302" t="s">
        <v>21</v>
      </c>
      <c r="AF50" s="303" t="s">
        <v>154</v>
      </c>
      <c r="AG50" s="304" t="s">
        <v>565</v>
      </c>
      <c r="AH50" s="86" t="s">
        <v>263</v>
      </c>
      <c r="AI50" s="286"/>
      <c r="AJ50" s="85" t="s">
        <v>1460</v>
      </c>
      <c r="AK50" s="287" t="s">
        <v>201</v>
      </c>
      <c r="AL50" s="314" t="s">
        <v>21</v>
      </c>
      <c r="AM50" s="85" t="s">
        <v>154</v>
      </c>
      <c r="AN50" s="288"/>
      <c r="AO50" s="289"/>
      <c r="AP50" s="290"/>
      <c r="AQ50" s="242" t="s">
        <v>1461</v>
      </c>
      <c r="AR50" s="242"/>
      <c r="AS50" s="87"/>
      <c r="AT50" s="243"/>
      <c r="AU50" s="243"/>
      <c r="AV50" s="242" t="s">
        <v>1462</v>
      </c>
      <c r="AW50" s="242" t="s">
        <v>60</v>
      </c>
      <c r="AX50" s="243">
        <v>25847</v>
      </c>
      <c r="AY50" s="177"/>
      <c r="AZ50" s="291"/>
      <c r="BA50" s="287" t="s">
        <v>201</v>
      </c>
      <c r="BB50" s="290"/>
      <c r="BC50" s="291"/>
      <c r="BD50" s="291"/>
      <c r="BE50" s="290"/>
      <c r="BF50" s="292"/>
      <c r="BG50" s="293"/>
      <c r="BH50" s="247" t="s">
        <v>3304</v>
      </c>
      <c r="BI50" s="246">
        <v>991772</v>
      </c>
      <c r="BJ50" s="164" t="s">
        <v>3301</v>
      </c>
      <c r="BK50" s="164" t="s">
        <v>3302</v>
      </c>
    </row>
    <row r="51" spans="1:63" s="54" customFormat="1" ht="52.5" customHeight="1" thickBot="1">
      <c r="A51" s="53">
        <v>24</v>
      </c>
      <c r="B51" s="19" t="s">
        <v>132</v>
      </c>
      <c r="C51" s="19" t="s">
        <v>132</v>
      </c>
      <c r="D51" s="147">
        <v>11391</v>
      </c>
      <c r="E51" s="91" t="s">
        <v>916</v>
      </c>
      <c r="F51" s="93" t="s">
        <v>917</v>
      </c>
      <c r="G51" s="141" t="s">
        <v>563</v>
      </c>
      <c r="H51" s="142">
        <v>2022</v>
      </c>
      <c r="I51" s="143" t="s">
        <v>2494</v>
      </c>
      <c r="J51" s="170">
        <v>2</v>
      </c>
      <c r="K51" s="50">
        <v>2</v>
      </c>
      <c r="L51" s="49">
        <v>22230070</v>
      </c>
      <c r="M51" s="171" t="s">
        <v>200</v>
      </c>
      <c r="N51" s="178" t="s">
        <v>23</v>
      </c>
      <c r="O51" s="161">
        <v>39982</v>
      </c>
      <c r="P51" s="179">
        <v>39982</v>
      </c>
      <c r="Q51" s="162" t="s">
        <v>918</v>
      </c>
      <c r="R51" s="44" t="s">
        <v>919</v>
      </c>
      <c r="S51" s="172" t="s">
        <v>201</v>
      </c>
      <c r="T51" s="165" t="s">
        <v>920</v>
      </c>
      <c r="U51" s="173">
        <v>55171</v>
      </c>
      <c r="V51" s="8" t="s">
        <v>2786</v>
      </c>
      <c r="W51" s="61" t="s">
        <v>248</v>
      </c>
      <c r="X51" s="61" t="s">
        <v>23</v>
      </c>
      <c r="Y51" s="160" t="s">
        <v>20</v>
      </c>
      <c r="Z51" s="164" t="s">
        <v>3262</v>
      </c>
      <c r="AA51" s="176" t="s">
        <v>2787</v>
      </c>
      <c r="AB51" s="174"/>
      <c r="AC51" s="85" t="s">
        <v>921</v>
      </c>
      <c r="AD51" s="287" t="s">
        <v>201</v>
      </c>
      <c r="AE51" s="302" t="s">
        <v>21</v>
      </c>
      <c r="AF51" s="303" t="s">
        <v>276</v>
      </c>
      <c r="AG51" s="304" t="s">
        <v>564</v>
      </c>
      <c r="AH51" s="86" t="s">
        <v>3278</v>
      </c>
      <c r="AI51" s="286"/>
      <c r="AJ51" s="85" t="s">
        <v>922</v>
      </c>
      <c r="AK51" s="287" t="s">
        <v>201</v>
      </c>
      <c r="AL51" s="314" t="s">
        <v>21</v>
      </c>
      <c r="AM51" s="85" t="s">
        <v>490</v>
      </c>
      <c r="AN51" s="288"/>
      <c r="AO51" s="289"/>
      <c r="AP51" s="290"/>
      <c r="AQ51" s="242" t="s">
        <v>923</v>
      </c>
      <c r="AR51" s="298" t="s">
        <v>924</v>
      </c>
      <c r="AS51" s="364" t="s">
        <v>58</v>
      </c>
      <c r="AT51" s="363">
        <v>27672</v>
      </c>
      <c r="AU51" s="243"/>
      <c r="AV51" s="242" t="s">
        <v>925</v>
      </c>
      <c r="AW51" s="364" t="s">
        <v>23</v>
      </c>
      <c r="AX51" s="243">
        <v>28491</v>
      </c>
      <c r="AY51" s="177"/>
      <c r="AZ51" s="291"/>
      <c r="BA51" s="287" t="s">
        <v>201</v>
      </c>
      <c r="BB51" s="290"/>
      <c r="BC51" s="291"/>
      <c r="BD51" s="291"/>
      <c r="BE51" s="290"/>
      <c r="BF51" s="292"/>
      <c r="BG51" s="293"/>
      <c r="BH51" s="247" t="s">
        <v>3304</v>
      </c>
      <c r="BI51" s="246">
        <v>991772</v>
      </c>
      <c r="BJ51" s="164" t="s">
        <v>3301</v>
      </c>
      <c r="BK51" s="164" t="s">
        <v>3302</v>
      </c>
    </row>
    <row r="52" spans="1:63" s="54" customFormat="1" ht="52.5" customHeight="1" thickBot="1">
      <c r="A52" s="53">
        <v>25</v>
      </c>
      <c r="B52" s="18" t="s">
        <v>127</v>
      </c>
      <c r="C52" s="19" t="s">
        <v>132</v>
      </c>
      <c r="D52" s="140">
        <v>11408</v>
      </c>
      <c r="E52" s="91" t="s">
        <v>926</v>
      </c>
      <c r="F52" s="93" t="s">
        <v>927</v>
      </c>
      <c r="G52" s="141" t="s">
        <v>563</v>
      </c>
      <c r="H52" s="142">
        <v>2022</v>
      </c>
      <c r="I52" s="143" t="s">
        <v>2495</v>
      </c>
      <c r="J52" s="170">
        <v>3</v>
      </c>
      <c r="K52" s="50">
        <v>2</v>
      </c>
      <c r="L52" s="49">
        <v>22230250</v>
      </c>
      <c r="M52" s="171" t="s">
        <v>200</v>
      </c>
      <c r="N52" s="56" t="s">
        <v>26</v>
      </c>
      <c r="O52" s="161">
        <v>40354</v>
      </c>
      <c r="P52" s="163">
        <v>40354</v>
      </c>
      <c r="Q52" s="162" t="s">
        <v>928</v>
      </c>
      <c r="R52" s="44" t="s">
        <v>929</v>
      </c>
      <c r="S52" s="172" t="s">
        <v>201</v>
      </c>
      <c r="T52" s="164" t="s">
        <v>623</v>
      </c>
      <c r="U52" s="173">
        <v>13220</v>
      </c>
      <c r="V52" s="8" t="s">
        <v>2788</v>
      </c>
      <c r="W52" s="61" t="s">
        <v>2789</v>
      </c>
      <c r="X52" s="61" t="s">
        <v>305</v>
      </c>
      <c r="Y52" s="160" t="s">
        <v>59</v>
      </c>
      <c r="Z52" s="164" t="s">
        <v>3262</v>
      </c>
      <c r="AA52" s="176" t="s">
        <v>2790</v>
      </c>
      <c r="AB52" s="174"/>
      <c r="AC52" s="88" t="s">
        <v>930</v>
      </c>
      <c r="AD52" s="287" t="s">
        <v>201</v>
      </c>
      <c r="AE52" s="103" t="s">
        <v>220</v>
      </c>
      <c r="AF52" s="114" t="s">
        <v>154</v>
      </c>
      <c r="AG52" s="288" t="s">
        <v>564</v>
      </c>
      <c r="AH52" s="104" t="s">
        <v>383</v>
      </c>
      <c r="AI52" s="286"/>
      <c r="AJ52" s="85" t="s">
        <v>931</v>
      </c>
      <c r="AK52" s="287" t="s">
        <v>201</v>
      </c>
      <c r="AL52" s="290" t="s">
        <v>21</v>
      </c>
      <c r="AM52" s="291" t="s">
        <v>490</v>
      </c>
      <c r="AN52" s="291"/>
      <c r="AO52" s="289"/>
      <c r="AP52" s="290"/>
      <c r="AQ52" s="242" t="s">
        <v>932</v>
      </c>
      <c r="AR52" s="298" t="s">
        <v>933</v>
      </c>
      <c r="AS52" s="362" t="s">
        <v>23</v>
      </c>
      <c r="AT52" s="363">
        <v>25974</v>
      </c>
      <c r="AU52" s="243"/>
      <c r="AV52" s="242" t="s">
        <v>934</v>
      </c>
      <c r="AW52" s="87" t="s">
        <v>26</v>
      </c>
      <c r="AX52" s="243">
        <v>27225</v>
      </c>
      <c r="AY52" s="177"/>
      <c r="AZ52" s="291"/>
      <c r="BA52" s="287" t="s">
        <v>201</v>
      </c>
      <c r="BB52" s="290"/>
      <c r="BC52" s="291"/>
      <c r="BD52" s="291"/>
      <c r="BE52" s="290"/>
      <c r="BF52" s="292"/>
      <c r="BG52" s="293"/>
      <c r="BH52" s="247" t="s">
        <v>3304</v>
      </c>
      <c r="BI52" s="246">
        <v>991772</v>
      </c>
      <c r="BJ52" s="164" t="s">
        <v>3301</v>
      </c>
      <c r="BK52" s="164" t="s">
        <v>3302</v>
      </c>
    </row>
    <row r="53" spans="1:63" s="54" customFormat="1" ht="52.5" customHeight="1" thickBot="1">
      <c r="A53" s="53">
        <v>26</v>
      </c>
      <c r="B53" s="19" t="s">
        <v>132</v>
      </c>
      <c r="C53" s="19" t="s">
        <v>132</v>
      </c>
      <c r="D53" s="147">
        <v>11412</v>
      </c>
      <c r="E53" s="91" t="s">
        <v>935</v>
      </c>
      <c r="F53" s="93" t="s">
        <v>936</v>
      </c>
      <c r="G53" s="141" t="s">
        <v>563</v>
      </c>
      <c r="H53" s="142">
        <v>2022</v>
      </c>
      <c r="I53" s="143" t="s">
        <v>2496</v>
      </c>
      <c r="J53" s="170">
        <v>1</v>
      </c>
      <c r="K53" s="50">
        <v>1</v>
      </c>
      <c r="L53" s="49">
        <v>22230072</v>
      </c>
      <c r="M53" s="171" t="s">
        <v>200</v>
      </c>
      <c r="N53" s="178" t="s">
        <v>66</v>
      </c>
      <c r="O53" s="161">
        <v>40163</v>
      </c>
      <c r="P53" s="180">
        <v>40163</v>
      </c>
      <c r="Q53" s="162" t="s">
        <v>937</v>
      </c>
      <c r="R53" s="44" t="s">
        <v>938</v>
      </c>
      <c r="S53" s="172" t="s">
        <v>201</v>
      </c>
      <c r="T53" s="165" t="s">
        <v>939</v>
      </c>
      <c r="U53" s="173">
        <v>61352</v>
      </c>
      <c r="V53" s="8" t="s">
        <v>2791</v>
      </c>
      <c r="W53" s="61" t="s">
        <v>2792</v>
      </c>
      <c r="X53" s="61" t="s">
        <v>940</v>
      </c>
      <c r="Y53" s="160" t="s">
        <v>38</v>
      </c>
      <c r="Z53" s="164" t="s">
        <v>3262</v>
      </c>
      <c r="AA53" s="176" t="s">
        <v>2793</v>
      </c>
      <c r="AB53" s="174"/>
      <c r="AC53" s="85" t="s">
        <v>3279</v>
      </c>
      <c r="AD53" s="287" t="s">
        <v>201</v>
      </c>
      <c r="AE53" s="302"/>
      <c r="AF53" s="303"/>
      <c r="AG53" s="287"/>
      <c r="AH53" s="86"/>
      <c r="AI53" s="286"/>
      <c r="AJ53" s="85" t="s">
        <v>2794</v>
      </c>
      <c r="AK53" s="287" t="s">
        <v>201</v>
      </c>
      <c r="AL53" s="314" t="s">
        <v>21</v>
      </c>
      <c r="AM53" s="85" t="s">
        <v>153</v>
      </c>
      <c r="AN53" s="304" t="s">
        <v>564</v>
      </c>
      <c r="AO53" s="289" t="s">
        <v>250</v>
      </c>
      <c r="AP53" s="290"/>
      <c r="AQ53" s="242" t="s">
        <v>941</v>
      </c>
      <c r="AR53" s="242"/>
      <c r="AS53" s="87"/>
      <c r="AT53" s="243"/>
      <c r="AU53" s="243"/>
      <c r="AV53" s="242" t="s">
        <v>942</v>
      </c>
      <c r="AW53" s="87" t="s">
        <v>940</v>
      </c>
      <c r="AX53" s="243">
        <v>29232</v>
      </c>
      <c r="AY53" s="177"/>
      <c r="AZ53" s="291"/>
      <c r="BA53" s="287" t="s">
        <v>201</v>
      </c>
      <c r="BB53" s="290"/>
      <c r="BC53" s="291"/>
      <c r="BD53" s="291"/>
      <c r="BE53" s="290"/>
      <c r="BF53" s="292"/>
      <c r="BG53" s="293"/>
      <c r="BH53" s="247" t="s">
        <v>3304</v>
      </c>
      <c r="BI53" s="246">
        <v>991772</v>
      </c>
      <c r="BJ53" s="164" t="s">
        <v>3301</v>
      </c>
      <c r="BK53" s="164" t="s">
        <v>3302</v>
      </c>
    </row>
    <row r="54" spans="1:63" s="54" customFormat="1" ht="52.5" customHeight="1" thickBot="1">
      <c r="A54" s="53">
        <v>27</v>
      </c>
      <c r="B54" s="15" t="s">
        <v>77</v>
      </c>
      <c r="C54" s="19" t="s">
        <v>132</v>
      </c>
      <c r="D54" s="126">
        <v>11419</v>
      </c>
      <c r="E54" s="91" t="s">
        <v>2430</v>
      </c>
      <c r="F54" s="93" t="s">
        <v>954</v>
      </c>
      <c r="G54" s="141" t="s">
        <v>563</v>
      </c>
      <c r="H54" s="142">
        <v>2022</v>
      </c>
      <c r="I54" s="143" t="s">
        <v>2497</v>
      </c>
      <c r="J54" s="170">
        <v>1</v>
      </c>
      <c r="K54" s="50">
        <v>1</v>
      </c>
      <c r="L54" s="49">
        <v>22230201</v>
      </c>
      <c r="M54" s="171" t="s">
        <v>200</v>
      </c>
      <c r="N54" s="178" t="s">
        <v>52</v>
      </c>
      <c r="O54" s="161">
        <v>39970</v>
      </c>
      <c r="P54" s="179">
        <v>39970</v>
      </c>
      <c r="Q54" s="162" t="s">
        <v>2283</v>
      </c>
      <c r="R54" s="44" t="s">
        <v>2284</v>
      </c>
      <c r="S54" s="172" t="s">
        <v>201</v>
      </c>
      <c r="T54" s="165" t="s">
        <v>955</v>
      </c>
      <c r="U54" s="173">
        <v>55252</v>
      </c>
      <c r="V54" s="8" t="s">
        <v>2795</v>
      </c>
      <c r="W54" s="61" t="s">
        <v>2795</v>
      </c>
      <c r="X54" s="61" t="s">
        <v>279</v>
      </c>
      <c r="Y54" s="160" t="s">
        <v>20</v>
      </c>
      <c r="Z54" s="164" t="s">
        <v>3262</v>
      </c>
      <c r="AA54" s="176" t="s">
        <v>2796</v>
      </c>
      <c r="AB54" s="174"/>
      <c r="AC54" s="85" t="s">
        <v>2286</v>
      </c>
      <c r="AD54" s="287" t="s">
        <v>201</v>
      </c>
      <c r="AE54" s="302" t="s">
        <v>21</v>
      </c>
      <c r="AF54" s="303" t="s">
        <v>154</v>
      </c>
      <c r="AG54" s="288" t="s">
        <v>564</v>
      </c>
      <c r="AH54" s="86" t="s">
        <v>287</v>
      </c>
      <c r="AI54" s="315"/>
      <c r="AJ54" s="85" t="s">
        <v>1195</v>
      </c>
      <c r="AK54" s="287" t="s">
        <v>201</v>
      </c>
      <c r="AL54" s="314" t="s">
        <v>21</v>
      </c>
      <c r="AM54" s="85" t="s">
        <v>154</v>
      </c>
      <c r="AN54" s="288"/>
      <c r="AO54" s="289"/>
      <c r="AP54" s="290"/>
      <c r="AQ54" s="242" t="s">
        <v>1196</v>
      </c>
      <c r="AR54" s="242" t="s">
        <v>1197</v>
      </c>
      <c r="AS54" s="87" t="s">
        <v>87</v>
      </c>
      <c r="AT54" s="243">
        <v>28192</v>
      </c>
      <c r="AU54" s="243">
        <v>28192</v>
      </c>
      <c r="AV54" s="242" t="s">
        <v>1198</v>
      </c>
      <c r="AW54" s="242" t="s">
        <v>1199</v>
      </c>
      <c r="AX54" s="243">
        <v>28292</v>
      </c>
      <c r="AY54" s="177"/>
      <c r="AZ54" s="291"/>
      <c r="BA54" s="287" t="s">
        <v>201</v>
      </c>
      <c r="BB54" s="290"/>
      <c r="BC54" s="291"/>
      <c r="BD54" s="291"/>
      <c r="BE54" s="290"/>
      <c r="BF54" s="292"/>
      <c r="BG54" s="293"/>
      <c r="BH54" s="247" t="s">
        <v>3304</v>
      </c>
      <c r="BI54" s="246">
        <v>991772</v>
      </c>
      <c r="BJ54" s="164" t="s">
        <v>3301</v>
      </c>
      <c r="BK54" s="164" t="s">
        <v>3302</v>
      </c>
    </row>
    <row r="55" spans="1:63" s="54" customFormat="1" ht="52.5" customHeight="1" thickBot="1">
      <c r="A55" s="53">
        <v>28</v>
      </c>
      <c r="B55" s="18" t="s">
        <v>127</v>
      </c>
      <c r="C55" s="19" t="s">
        <v>132</v>
      </c>
      <c r="D55" s="140">
        <v>11437</v>
      </c>
      <c r="E55" s="91" t="s">
        <v>2414</v>
      </c>
      <c r="F55" s="93" t="s">
        <v>2415</v>
      </c>
      <c r="G55" s="141" t="s">
        <v>563</v>
      </c>
      <c r="H55" s="142">
        <v>2022</v>
      </c>
      <c r="I55" s="153" t="s">
        <v>2498</v>
      </c>
      <c r="J55" s="197">
        <v>2</v>
      </c>
      <c r="K55" s="198">
        <v>2</v>
      </c>
      <c r="L55" s="199">
        <v>22230283</v>
      </c>
      <c r="M55" s="171" t="s">
        <v>200</v>
      </c>
      <c r="N55" s="56" t="s">
        <v>1484</v>
      </c>
      <c r="O55" s="161">
        <v>40210</v>
      </c>
      <c r="P55" s="163">
        <v>40210</v>
      </c>
      <c r="Q55" s="162" t="s">
        <v>1362</v>
      </c>
      <c r="R55" s="44" t="s">
        <v>2416</v>
      </c>
      <c r="S55" s="172" t="s">
        <v>201</v>
      </c>
      <c r="T55" s="164" t="s">
        <v>721</v>
      </c>
      <c r="U55" s="172">
        <v>41361</v>
      </c>
      <c r="V55" s="55" t="s">
        <v>2797</v>
      </c>
      <c r="W55" s="164" t="s">
        <v>681</v>
      </c>
      <c r="X55" s="164" t="s">
        <v>681</v>
      </c>
      <c r="Y55" s="164" t="s">
        <v>39</v>
      </c>
      <c r="Z55" s="164" t="s">
        <v>3262</v>
      </c>
      <c r="AA55" s="176" t="s">
        <v>2798</v>
      </c>
      <c r="AB55" s="55"/>
      <c r="AC55" s="88" t="s">
        <v>2418</v>
      </c>
      <c r="AD55" s="287" t="s">
        <v>201</v>
      </c>
      <c r="AE55" s="103" t="s">
        <v>220</v>
      </c>
      <c r="AF55" s="114" t="s">
        <v>153</v>
      </c>
      <c r="AG55" s="288" t="s">
        <v>564</v>
      </c>
      <c r="AH55" s="104" t="s">
        <v>2419</v>
      </c>
      <c r="AI55" s="88"/>
      <c r="AJ55" s="85" t="s">
        <v>2420</v>
      </c>
      <c r="AK55" s="287" t="s">
        <v>201</v>
      </c>
      <c r="AL55" s="290" t="s">
        <v>220</v>
      </c>
      <c r="AM55" s="291" t="s">
        <v>490</v>
      </c>
      <c r="AN55" s="291"/>
      <c r="AO55" s="289"/>
      <c r="AP55" s="290"/>
      <c r="AQ55" s="242" t="s">
        <v>2421</v>
      </c>
      <c r="AR55" s="242" t="s">
        <v>2422</v>
      </c>
      <c r="AS55" s="87" t="s">
        <v>111</v>
      </c>
      <c r="AT55" s="243">
        <v>29281</v>
      </c>
      <c r="AU55" s="243"/>
      <c r="AV55" s="242" t="s">
        <v>2423</v>
      </c>
      <c r="AW55" s="242" t="s">
        <v>1484</v>
      </c>
      <c r="AX55" s="243">
        <v>28889</v>
      </c>
      <c r="AY55" s="177"/>
      <c r="AZ55" s="291"/>
      <c r="BA55" s="287" t="s">
        <v>201</v>
      </c>
      <c r="BB55" s="290"/>
      <c r="BC55" s="291"/>
      <c r="BD55" s="291"/>
      <c r="BE55" s="290"/>
      <c r="BF55" s="292"/>
      <c r="BG55" s="293"/>
      <c r="BH55" s="247" t="s">
        <v>3304</v>
      </c>
      <c r="BI55" s="246">
        <v>991772</v>
      </c>
      <c r="BJ55" s="164" t="s">
        <v>3301</v>
      </c>
      <c r="BK55" s="164" t="s">
        <v>3302</v>
      </c>
    </row>
    <row r="56" spans="1:63" s="54" customFormat="1" ht="52.5" customHeight="1" thickBot="1">
      <c r="A56" s="53">
        <v>29</v>
      </c>
      <c r="B56" s="16" t="s">
        <v>131</v>
      </c>
      <c r="C56" s="19" t="s">
        <v>132</v>
      </c>
      <c r="D56" s="140">
        <v>11463</v>
      </c>
      <c r="E56" s="91" t="s">
        <v>970</v>
      </c>
      <c r="F56" s="93" t="s">
        <v>971</v>
      </c>
      <c r="G56" s="141" t="s">
        <v>563</v>
      </c>
      <c r="H56" s="142">
        <v>2022</v>
      </c>
      <c r="I56" s="143" t="s">
        <v>2499</v>
      </c>
      <c r="J56" s="170">
        <v>2</v>
      </c>
      <c r="K56" s="50">
        <v>4</v>
      </c>
      <c r="L56" s="49">
        <v>22230106</v>
      </c>
      <c r="M56" s="171" t="s">
        <v>200</v>
      </c>
      <c r="N56" s="178" t="s">
        <v>99</v>
      </c>
      <c r="O56" s="161">
        <v>40136</v>
      </c>
      <c r="P56" s="179">
        <v>40136</v>
      </c>
      <c r="Q56" s="162" t="s">
        <v>972</v>
      </c>
      <c r="R56" s="44" t="s">
        <v>973</v>
      </c>
      <c r="S56" s="172" t="s">
        <v>201</v>
      </c>
      <c r="T56" s="165" t="s">
        <v>983</v>
      </c>
      <c r="U56" s="173">
        <v>38222</v>
      </c>
      <c r="V56" s="8" t="s">
        <v>2799</v>
      </c>
      <c r="W56" s="61" t="s">
        <v>2800</v>
      </c>
      <c r="X56" s="61" t="s">
        <v>2801</v>
      </c>
      <c r="Y56" s="160" t="s">
        <v>63</v>
      </c>
      <c r="Z56" s="164" t="s">
        <v>3262</v>
      </c>
      <c r="AA56" s="176" t="s">
        <v>104</v>
      </c>
      <c r="AB56" s="174"/>
      <c r="AC56" s="85" t="s">
        <v>975</v>
      </c>
      <c r="AD56" s="287" t="s">
        <v>201</v>
      </c>
      <c r="AE56" s="302" t="s">
        <v>21</v>
      </c>
      <c r="AF56" s="303" t="s">
        <v>22</v>
      </c>
      <c r="AG56" s="288" t="s">
        <v>564</v>
      </c>
      <c r="AH56" s="86" t="s">
        <v>269</v>
      </c>
      <c r="AI56" s="315"/>
      <c r="AJ56" s="85" t="s">
        <v>2802</v>
      </c>
      <c r="AK56" s="287" t="s">
        <v>201</v>
      </c>
      <c r="AL56" s="327" t="s">
        <v>21</v>
      </c>
      <c r="AM56" s="328" t="s">
        <v>22</v>
      </c>
      <c r="AN56" s="329"/>
      <c r="AO56" s="330"/>
      <c r="AP56" s="290"/>
      <c r="AQ56" s="242" t="s">
        <v>976</v>
      </c>
      <c r="AR56" s="242" t="s">
        <v>977</v>
      </c>
      <c r="AS56" s="87" t="s">
        <v>63</v>
      </c>
      <c r="AT56" s="243">
        <v>28489</v>
      </c>
      <c r="AU56" s="243"/>
      <c r="AV56" s="242" t="s">
        <v>978</v>
      </c>
      <c r="AW56" s="242" t="s">
        <v>99</v>
      </c>
      <c r="AX56" s="243">
        <v>29053</v>
      </c>
      <c r="AY56" s="177"/>
      <c r="AZ56" s="291"/>
      <c r="BA56" s="287" t="s">
        <v>201</v>
      </c>
      <c r="BB56" s="290"/>
      <c r="BC56" s="291"/>
      <c r="BD56" s="291"/>
      <c r="BE56" s="290"/>
      <c r="BF56" s="292"/>
      <c r="BG56" s="293"/>
      <c r="BH56" s="247" t="s">
        <v>3304</v>
      </c>
      <c r="BI56" s="246">
        <v>991772</v>
      </c>
      <c r="BJ56" s="164" t="s">
        <v>3301</v>
      </c>
      <c r="BK56" s="164" t="s">
        <v>3302</v>
      </c>
    </row>
    <row r="57" spans="1:63" s="54" customFormat="1" ht="52.5" customHeight="1" thickBot="1">
      <c r="A57" s="53">
        <v>30</v>
      </c>
      <c r="B57" s="16" t="s">
        <v>131</v>
      </c>
      <c r="C57" s="19" t="s">
        <v>132</v>
      </c>
      <c r="D57" s="140">
        <v>11474</v>
      </c>
      <c r="E57" s="91" t="s">
        <v>979</v>
      </c>
      <c r="F57" s="93" t="s">
        <v>980</v>
      </c>
      <c r="G57" s="141" t="s">
        <v>563</v>
      </c>
      <c r="H57" s="142">
        <v>2022</v>
      </c>
      <c r="I57" s="143" t="s">
        <v>2500</v>
      </c>
      <c r="J57" s="170">
        <v>1</v>
      </c>
      <c r="K57" s="50">
        <v>1</v>
      </c>
      <c r="L57" s="49">
        <v>22230107</v>
      </c>
      <c r="M57" s="171" t="s">
        <v>200</v>
      </c>
      <c r="N57" s="178" t="s">
        <v>72</v>
      </c>
      <c r="O57" s="161">
        <v>40060</v>
      </c>
      <c r="P57" s="179">
        <v>40060</v>
      </c>
      <c r="Q57" s="162" t="s">
        <v>981</v>
      </c>
      <c r="R57" s="44" t="s">
        <v>982</v>
      </c>
      <c r="S57" s="172" t="s">
        <v>201</v>
      </c>
      <c r="T57" s="165" t="s">
        <v>2358</v>
      </c>
      <c r="U57" s="173">
        <v>68136</v>
      </c>
      <c r="V57" s="8" t="s">
        <v>2803</v>
      </c>
      <c r="W57" s="61" t="s">
        <v>2804</v>
      </c>
      <c r="X57" s="61" t="s">
        <v>72</v>
      </c>
      <c r="Y57" s="160" t="s">
        <v>38</v>
      </c>
      <c r="Z57" s="164" t="s">
        <v>3262</v>
      </c>
      <c r="AA57" s="176" t="s">
        <v>2805</v>
      </c>
      <c r="AB57" s="174"/>
      <c r="AC57" s="85" t="s">
        <v>984</v>
      </c>
      <c r="AD57" s="287" t="s">
        <v>201</v>
      </c>
      <c r="AE57" s="302" t="s">
        <v>67</v>
      </c>
      <c r="AF57" s="303" t="s">
        <v>158</v>
      </c>
      <c r="AG57" s="288" t="s">
        <v>564</v>
      </c>
      <c r="AH57" s="86" t="s">
        <v>270</v>
      </c>
      <c r="AI57" s="315"/>
      <c r="AJ57" s="85" t="s">
        <v>985</v>
      </c>
      <c r="AK57" s="287" t="s">
        <v>201</v>
      </c>
      <c r="AL57" s="314" t="s">
        <v>21</v>
      </c>
      <c r="AM57" s="85" t="s">
        <v>22</v>
      </c>
      <c r="AN57" s="288"/>
      <c r="AO57" s="289"/>
      <c r="AP57" s="290"/>
      <c r="AQ57" s="242" t="s">
        <v>986</v>
      </c>
      <c r="AR57" s="242" t="s">
        <v>987</v>
      </c>
      <c r="AS57" s="87" t="s">
        <v>95</v>
      </c>
      <c r="AT57" s="243">
        <v>26049</v>
      </c>
      <c r="AU57" s="243"/>
      <c r="AV57" s="242" t="s">
        <v>988</v>
      </c>
      <c r="AW57" s="242" t="s">
        <v>66</v>
      </c>
      <c r="AX57" s="243">
        <v>26403</v>
      </c>
      <c r="AY57" s="177"/>
      <c r="AZ57" s="291"/>
      <c r="BA57" s="287" t="s">
        <v>201</v>
      </c>
      <c r="BB57" s="290"/>
      <c r="BC57" s="291"/>
      <c r="BD57" s="291"/>
      <c r="BE57" s="290"/>
      <c r="BF57" s="292"/>
      <c r="BG57" s="293"/>
      <c r="BH57" s="247" t="s">
        <v>3304</v>
      </c>
      <c r="BI57" s="246">
        <v>991772</v>
      </c>
      <c r="BJ57" s="164" t="s">
        <v>3301</v>
      </c>
      <c r="BK57" s="164" t="s">
        <v>3302</v>
      </c>
    </row>
    <row r="58" spans="1:63" s="54" customFormat="1" ht="52.5" customHeight="1" thickBot="1">
      <c r="A58" s="53">
        <v>31</v>
      </c>
      <c r="B58" s="15" t="s">
        <v>77</v>
      </c>
      <c r="C58" s="19" t="s">
        <v>132</v>
      </c>
      <c r="D58" s="126">
        <v>11490</v>
      </c>
      <c r="E58" s="98" t="s">
        <v>989</v>
      </c>
      <c r="F58" s="93" t="s">
        <v>990</v>
      </c>
      <c r="G58" s="141" t="s">
        <v>563</v>
      </c>
      <c r="H58" s="142">
        <v>2022</v>
      </c>
      <c r="I58" s="143" t="s">
        <v>2501</v>
      </c>
      <c r="J58" s="170">
        <v>3</v>
      </c>
      <c r="K58" s="50">
        <v>2</v>
      </c>
      <c r="L58" s="49">
        <v>22230170</v>
      </c>
      <c r="M58" s="171" t="s">
        <v>200</v>
      </c>
      <c r="N58" s="83" t="s">
        <v>32</v>
      </c>
      <c r="O58" s="161">
        <v>40259</v>
      </c>
      <c r="P58" s="96">
        <v>40259</v>
      </c>
      <c r="Q58" s="162" t="s">
        <v>716</v>
      </c>
      <c r="R58" s="44" t="s">
        <v>991</v>
      </c>
      <c r="S58" s="172" t="s">
        <v>201</v>
      </c>
      <c r="T58" s="84" t="s">
        <v>1002</v>
      </c>
      <c r="U58" s="173">
        <v>76211</v>
      </c>
      <c r="V58" s="8" t="s">
        <v>2806</v>
      </c>
      <c r="W58" s="61" t="s">
        <v>32</v>
      </c>
      <c r="X58" s="61" t="s">
        <v>2807</v>
      </c>
      <c r="Y58" s="160" t="s">
        <v>33</v>
      </c>
      <c r="Z58" s="164" t="s">
        <v>3262</v>
      </c>
      <c r="AA58" s="176" t="s">
        <v>2808</v>
      </c>
      <c r="AB58" s="174"/>
      <c r="AC58" s="85" t="s">
        <v>993</v>
      </c>
      <c r="AD58" s="287" t="s">
        <v>201</v>
      </c>
      <c r="AE58" s="331" t="s">
        <v>220</v>
      </c>
      <c r="AF58" s="332" t="s">
        <v>153</v>
      </c>
      <c r="AG58" s="288" t="s">
        <v>564</v>
      </c>
      <c r="AH58" s="86" t="s">
        <v>343</v>
      </c>
      <c r="AI58" s="286"/>
      <c r="AJ58" s="85" t="s">
        <v>994</v>
      </c>
      <c r="AK58" s="287" t="s">
        <v>201</v>
      </c>
      <c r="AL58" s="314" t="s">
        <v>24</v>
      </c>
      <c r="AM58" s="85" t="s">
        <v>490</v>
      </c>
      <c r="AN58" s="288"/>
      <c r="AO58" s="289"/>
      <c r="AP58" s="290"/>
      <c r="AQ58" s="242" t="s">
        <v>995</v>
      </c>
      <c r="AR58" s="242" t="s">
        <v>996</v>
      </c>
      <c r="AS58" s="87" t="s">
        <v>997</v>
      </c>
      <c r="AT58" s="243">
        <v>25807</v>
      </c>
      <c r="AU58" s="243"/>
      <c r="AV58" s="242" t="s">
        <v>998</v>
      </c>
      <c r="AW58" s="242" t="s">
        <v>34</v>
      </c>
      <c r="AX58" s="243">
        <v>27629</v>
      </c>
      <c r="AY58" s="177"/>
      <c r="AZ58" s="291"/>
      <c r="BA58" s="287" t="s">
        <v>201</v>
      </c>
      <c r="BB58" s="290"/>
      <c r="BC58" s="291"/>
      <c r="BD58" s="291"/>
      <c r="BE58" s="290"/>
      <c r="BF58" s="292"/>
      <c r="BG58" s="293"/>
      <c r="BH58" s="247" t="s">
        <v>3304</v>
      </c>
      <c r="BI58" s="246">
        <v>991772</v>
      </c>
      <c r="BJ58" s="164" t="s">
        <v>3301</v>
      </c>
      <c r="BK58" s="164" t="s">
        <v>3302</v>
      </c>
    </row>
    <row r="59" spans="1:63" s="54" customFormat="1" ht="52.5" customHeight="1" thickBot="1">
      <c r="A59" s="53">
        <v>32</v>
      </c>
      <c r="B59" s="15" t="s">
        <v>77</v>
      </c>
      <c r="C59" s="19" t="s">
        <v>132</v>
      </c>
      <c r="D59" s="126">
        <v>11502</v>
      </c>
      <c r="E59" s="98" t="s">
        <v>999</v>
      </c>
      <c r="F59" s="93" t="s">
        <v>1000</v>
      </c>
      <c r="G59" s="141" t="s">
        <v>563</v>
      </c>
      <c r="H59" s="142">
        <v>2022</v>
      </c>
      <c r="I59" s="143" t="s">
        <v>2502</v>
      </c>
      <c r="J59" s="170">
        <v>6</v>
      </c>
      <c r="K59" s="50">
        <v>5</v>
      </c>
      <c r="L59" s="49">
        <v>22230188</v>
      </c>
      <c r="M59" s="171" t="s">
        <v>200</v>
      </c>
      <c r="N59" s="83" t="s">
        <v>103</v>
      </c>
      <c r="O59" s="161">
        <v>39943</v>
      </c>
      <c r="P59" s="96">
        <v>39943</v>
      </c>
      <c r="Q59" s="162" t="s">
        <v>2809</v>
      </c>
      <c r="R59" s="44" t="s">
        <v>1001</v>
      </c>
      <c r="S59" s="172" t="s">
        <v>201</v>
      </c>
      <c r="T59" s="84" t="s">
        <v>2664</v>
      </c>
      <c r="U59" s="173">
        <v>56224</v>
      </c>
      <c r="V59" s="8" t="s">
        <v>2810</v>
      </c>
      <c r="W59" s="61" t="s">
        <v>103</v>
      </c>
      <c r="X59" s="61" t="s">
        <v>103</v>
      </c>
      <c r="Y59" s="160" t="s">
        <v>28</v>
      </c>
      <c r="Z59" s="164" t="s">
        <v>3262</v>
      </c>
      <c r="AA59" s="176" t="s">
        <v>2811</v>
      </c>
      <c r="AB59" s="174"/>
      <c r="AC59" s="85" t="s">
        <v>1003</v>
      </c>
      <c r="AD59" s="287" t="s">
        <v>201</v>
      </c>
      <c r="AE59" s="302" t="s">
        <v>30</v>
      </c>
      <c r="AF59" s="303" t="s">
        <v>22</v>
      </c>
      <c r="AG59" s="288" t="s">
        <v>564</v>
      </c>
      <c r="AH59" s="86" t="s">
        <v>344</v>
      </c>
      <c r="AI59" s="286"/>
      <c r="AJ59" s="85" t="s">
        <v>1004</v>
      </c>
      <c r="AK59" s="287" t="s">
        <v>201</v>
      </c>
      <c r="AL59" s="314" t="s">
        <v>21</v>
      </c>
      <c r="AM59" s="85" t="s">
        <v>22</v>
      </c>
      <c r="AN59" s="288"/>
      <c r="AO59" s="289"/>
      <c r="AP59" s="290"/>
      <c r="AQ59" s="242" t="s">
        <v>1005</v>
      </c>
      <c r="AR59" s="242" t="s">
        <v>1006</v>
      </c>
      <c r="AS59" s="87" t="s">
        <v>1007</v>
      </c>
      <c r="AT59" s="243">
        <v>24639</v>
      </c>
      <c r="AU59" s="243"/>
      <c r="AV59" s="242" t="s">
        <v>1008</v>
      </c>
      <c r="AW59" s="242" t="s">
        <v>85</v>
      </c>
      <c r="AX59" s="243">
        <v>26104</v>
      </c>
      <c r="AY59" s="177"/>
      <c r="AZ59" s="291"/>
      <c r="BA59" s="287" t="s">
        <v>201</v>
      </c>
      <c r="BB59" s="290"/>
      <c r="BC59" s="291"/>
      <c r="BD59" s="291"/>
      <c r="BE59" s="290"/>
      <c r="BF59" s="292"/>
      <c r="BG59" s="293"/>
      <c r="BH59" s="247" t="s">
        <v>3304</v>
      </c>
      <c r="BI59" s="246">
        <v>991772</v>
      </c>
      <c r="BJ59" s="164" t="s">
        <v>3301</v>
      </c>
      <c r="BK59" s="164" t="s">
        <v>3302</v>
      </c>
    </row>
    <row r="60" spans="1:63" s="54" customFormat="1" ht="52.5" customHeight="1" thickBot="1">
      <c r="A60" s="53">
        <v>33</v>
      </c>
      <c r="B60" s="18" t="s">
        <v>127</v>
      </c>
      <c r="C60" s="19" t="s">
        <v>132</v>
      </c>
      <c r="D60" s="154">
        <v>11510</v>
      </c>
      <c r="E60" s="91" t="s">
        <v>1009</v>
      </c>
      <c r="F60" s="93" t="s">
        <v>1010</v>
      </c>
      <c r="G60" s="141" t="s">
        <v>563</v>
      </c>
      <c r="H60" s="142">
        <v>2022</v>
      </c>
      <c r="I60" s="143" t="s">
        <v>2503</v>
      </c>
      <c r="J60" s="170">
        <v>3</v>
      </c>
      <c r="K60" s="50">
        <v>2</v>
      </c>
      <c r="L60" s="49">
        <v>22230249</v>
      </c>
      <c r="M60" s="171" t="s">
        <v>200</v>
      </c>
      <c r="N60" s="56" t="s">
        <v>19</v>
      </c>
      <c r="O60" s="161">
        <v>40171</v>
      </c>
      <c r="P60" s="163">
        <v>40171</v>
      </c>
      <c r="Q60" s="162" t="s">
        <v>1011</v>
      </c>
      <c r="R60" s="44" t="s">
        <v>1012</v>
      </c>
      <c r="S60" s="172" t="s">
        <v>201</v>
      </c>
      <c r="T60" s="164" t="s">
        <v>2665</v>
      </c>
      <c r="U60" s="173">
        <v>55763</v>
      </c>
      <c r="V60" s="8" t="s">
        <v>624</v>
      </c>
      <c r="W60" s="61" t="s">
        <v>625</v>
      </c>
      <c r="X60" s="61" t="s">
        <v>19</v>
      </c>
      <c r="Y60" s="160" t="s">
        <v>20</v>
      </c>
      <c r="Z60" s="164" t="s">
        <v>3262</v>
      </c>
      <c r="AA60" s="176" t="s">
        <v>2812</v>
      </c>
      <c r="AB60" s="174"/>
      <c r="AC60" s="88" t="s">
        <v>1013</v>
      </c>
      <c r="AD60" s="287" t="s">
        <v>201</v>
      </c>
      <c r="AE60" s="103" t="s">
        <v>21</v>
      </c>
      <c r="AF60" s="114" t="s">
        <v>153</v>
      </c>
      <c r="AG60" s="288" t="s">
        <v>564</v>
      </c>
      <c r="AH60" s="104" t="s">
        <v>389</v>
      </c>
      <c r="AI60" s="286"/>
      <c r="AJ60" s="85" t="s">
        <v>1014</v>
      </c>
      <c r="AK60" s="287" t="s">
        <v>201</v>
      </c>
      <c r="AL60" s="290" t="s">
        <v>21</v>
      </c>
      <c r="AM60" s="291" t="s">
        <v>276</v>
      </c>
      <c r="AN60" s="291"/>
      <c r="AO60" s="289"/>
      <c r="AP60" s="290"/>
      <c r="AQ60" s="242" t="s">
        <v>1015</v>
      </c>
      <c r="AR60" s="242" t="s">
        <v>1016</v>
      </c>
      <c r="AS60" s="87" t="s">
        <v>19</v>
      </c>
      <c r="AT60" s="243">
        <v>25390</v>
      </c>
      <c r="AU60" s="243"/>
      <c r="AV60" s="242" t="s">
        <v>1017</v>
      </c>
      <c r="AW60" s="242" t="s">
        <v>19</v>
      </c>
      <c r="AX60" s="243">
        <v>26726</v>
      </c>
      <c r="AY60" s="177"/>
      <c r="AZ60" s="291"/>
      <c r="BA60" s="287" t="s">
        <v>201</v>
      </c>
      <c r="BB60" s="290"/>
      <c r="BC60" s="291"/>
      <c r="BD60" s="291"/>
      <c r="BE60" s="290"/>
      <c r="BF60" s="292"/>
      <c r="BG60" s="293"/>
      <c r="BH60" s="247" t="s">
        <v>3304</v>
      </c>
      <c r="BI60" s="246">
        <v>991772</v>
      </c>
      <c r="BJ60" s="164" t="s">
        <v>3301</v>
      </c>
      <c r="BK60" s="164" t="s">
        <v>3302</v>
      </c>
    </row>
    <row r="61" spans="1:63" s="54" customFormat="1" ht="52.5" customHeight="1" thickBot="1">
      <c r="A61" s="54">
        <v>1</v>
      </c>
      <c r="B61" s="12" t="s">
        <v>128</v>
      </c>
      <c r="C61" s="16" t="s">
        <v>131</v>
      </c>
      <c r="D61" s="131">
        <v>11515</v>
      </c>
      <c r="E61" s="98" t="s">
        <v>1323</v>
      </c>
      <c r="F61" s="92" t="s">
        <v>1324</v>
      </c>
      <c r="G61" s="141" t="s">
        <v>563</v>
      </c>
      <c r="H61" s="142">
        <v>2022</v>
      </c>
      <c r="I61" s="151" t="s">
        <v>2504</v>
      </c>
      <c r="J61" s="170">
        <v>2</v>
      </c>
      <c r="K61" s="170">
        <v>2</v>
      </c>
      <c r="L61" s="49">
        <v>22230002</v>
      </c>
      <c r="M61" s="171" t="s">
        <v>200</v>
      </c>
      <c r="N61" s="178" t="s">
        <v>105</v>
      </c>
      <c r="O61" s="200">
        <v>39961</v>
      </c>
      <c r="P61" s="201">
        <v>39961</v>
      </c>
      <c r="Q61" s="202" t="s">
        <v>1325</v>
      </c>
      <c r="R61" s="44" t="s">
        <v>1326</v>
      </c>
      <c r="S61" s="172" t="s">
        <v>201</v>
      </c>
      <c r="T61" s="165" t="s">
        <v>1327</v>
      </c>
      <c r="U61" s="173">
        <v>66292</v>
      </c>
      <c r="V61" s="8" t="s">
        <v>2813</v>
      </c>
      <c r="W61" s="61" t="s">
        <v>2813</v>
      </c>
      <c r="X61" s="61" t="s">
        <v>105</v>
      </c>
      <c r="Y61" s="160" t="s">
        <v>38</v>
      </c>
      <c r="Z61" s="164" t="s">
        <v>3262</v>
      </c>
      <c r="AA61" s="203" t="s">
        <v>2814</v>
      </c>
      <c r="AB61" s="174"/>
      <c r="AC61" s="85" t="s">
        <v>106</v>
      </c>
      <c r="AD61" s="287" t="s">
        <v>201</v>
      </c>
      <c r="AE61" s="302" t="s">
        <v>24</v>
      </c>
      <c r="AF61" s="303" t="s">
        <v>1252</v>
      </c>
      <c r="AG61" s="288" t="s">
        <v>824</v>
      </c>
      <c r="AH61" s="86" t="s">
        <v>217</v>
      </c>
      <c r="AI61" s="286"/>
      <c r="AJ61" s="85" t="s">
        <v>107</v>
      </c>
      <c r="AK61" s="287" t="s">
        <v>201</v>
      </c>
      <c r="AL61" s="314" t="s">
        <v>24</v>
      </c>
      <c r="AM61" s="85" t="s">
        <v>1252</v>
      </c>
      <c r="AN61" s="288"/>
      <c r="AO61" s="289"/>
      <c r="AP61" s="290"/>
      <c r="AQ61" s="242" t="s">
        <v>1328</v>
      </c>
      <c r="AR61" s="242" t="s">
        <v>1329</v>
      </c>
      <c r="AS61" s="87" t="s">
        <v>105</v>
      </c>
      <c r="AT61" s="243">
        <v>27427</v>
      </c>
      <c r="AU61" s="243"/>
      <c r="AV61" s="242" t="s">
        <v>1330</v>
      </c>
      <c r="AW61" s="242" t="s">
        <v>105</v>
      </c>
      <c r="AX61" s="243">
        <v>27702</v>
      </c>
      <c r="AY61" s="177"/>
      <c r="AZ61" s="291"/>
      <c r="BA61" s="287" t="s">
        <v>201</v>
      </c>
      <c r="BB61" s="290"/>
      <c r="BC61" s="291"/>
      <c r="BD61" s="291"/>
      <c r="BE61" s="290"/>
      <c r="BF61" s="292"/>
      <c r="BG61" s="293"/>
      <c r="BH61" s="247" t="s">
        <v>3305</v>
      </c>
      <c r="BI61" s="248">
        <v>1329339</v>
      </c>
      <c r="BJ61" s="164" t="s">
        <v>3301</v>
      </c>
      <c r="BK61" s="164" t="s">
        <v>3302</v>
      </c>
    </row>
    <row r="62" spans="1:63" s="54" customFormat="1" ht="52.5" customHeight="1" thickBot="1">
      <c r="A62" s="54">
        <v>2</v>
      </c>
      <c r="B62" s="19" t="s">
        <v>132</v>
      </c>
      <c r="C62" s="16" t="s">
        <v>131</v>
      </c>
      <c r="D62" s="147">
        <v>11219</v>
      </c>
      <c r="E62" s="91" t="s">
        <v>1018</v>
      </c>
      <c r="F62" s="93" t="s">
        <v>1019</v>
      </c>
      <c r="G62" s="141" t="s">
        <v>563</v>
      </c>
      <c r="H62" s="142">
        <v>2022</v>
      </c>
      <c r="I62" s="143" t="s">
        <v>2505</v>
      </c>
      <c r="J62" s="170">
        <v>4</v>
      </c>
      <c r="K62" s="50">
        <v>3</v>
      </c>
      <c r="L62" s="49">
        <v>22230056</v>
      </c>
      <c r="M62" s="171" t="s">
        <v>200</v>
      </c>
      <c r="N62" s="83" t="s">
        <v>598</v>
      </c>
      <c r="O62" s="161">
        <v>40269</v>
      </c>
      <c r="P62" s="179">
        <v>40269</v>
      </c>
      <c r="Q62" s="162" t="s">
        <v>719</v>
      </c>
      <c r="R62" s="44" t="s">
        <v>1020</v>
      </c>
      <c r="S62" s="172" t="s">
        <v>201</v>
      </c>
      <c r="T62" s="165" t="s">
        <v>1021</v>
      </c>
      <c r="U62" s="204">
        <v>73111</v>
      </c>
      <c r="V62" s="8" t="s">
        <v>2815</v>
      </c>
      <c r="W62" s="61" t="s">
        <v>2816</v>
      </c>
      <c r="X62" s="61" t="s">
        <v>598</v>
      </c>
      <c r="Y62" s="160" t="s">
        <v>44</v>
      </c>
      <c r="Z62" s="164" t="s">
        <v>3262</v>
      </c>
      <c r="AA62" s="176" t="s">
        <v>2817</v>
      </c>
      <c r="AB62" s="174"/>
      <c r="AC62" s="85" t="s">
        <v>1022</v>
      </c>
      <c r="AD62" s="287" t="s">
        <v>201</v>
      </c>
      <c r="AE62" s="302" t="s">
        <v>30</v>
      </c>
      <c r="AF62" s="303" t="s">
        <v>155</v>
      </c>
      <c r="AG62" s="304" t="s">
        <v>565</v>
      </c>
      <c r="AH62" s="86" t="s">
        <v>322</v>
      </c>
      <c r="AI62" s="286"/>
      <c r="AJ62" s="85" t="s">
        <v>2818</v>
      </c>
      <c r="AK62" s="287" t="s">
        <v>201</v>
      </c>
      <c r="AL62" s="314" t="s">
        <v>30</v>
      </c>
      <c r="AM62" s="85" t="s">
        <v>158</v>
      </c>
      <c r="AN62" s="288"/>
      <c r="AO62" s="289"/>
      <c r="AP62" s="290"/>
      <c r="AQ62" s="242" t="s">
        <v>1023</v>
      </c>
      <c r="AR62" s="242" t="s">
        <v>1024</v>
      </c>
      <c r="AS62" s="87" t="s">
        <v>95</v>
      </c>
      <c r="AT62" s="243">
        <v>23610</v>
      </c>
      <c r="AU62" s="243"/>
      <c r="AV62" s="242" t="s">
        <v>1025</v>
      </c>
      <c r="AW62" s="87" t="s">
        <v>95</v>
      </c>
      <c r="AX62" s="243">
        <v>26620</v>
      </c>
      <c r="AY62" s="177"/>
      <c r="AZ62" s="291"/>
      <c r="BA62" s="287" t="s">
        <v>201</v>
      </c>
      <c r="BB62" s="290"/>
      <c r="BC62" s="291"/>
      <c r="BD62" s="291"/>
      <c r="BE62" s="290"/>
      <c r="BF62" s="292"/>
      <c r="BG62" s="293"/>
      <c r="BH62" s="247" t="s">
        <v>3305</v>
      </c>
      <c r="BI62" s="248">
        <v>1329339</v>
      </c>
      <c r="BJ62" s="164" t="s">
        <v>3301</v>
      </c>
      <c r="BK62" s="164" t="s">
        <v>3302</v>
      </c>
    </row>
    <row r="63" spans="1:63" s="54" customFormat="1" ht="52.5" customHeight="1" thickBot="1">
      <c r="A63" s="54">
        <v>3</v>
      </c>
      <c r="B63" s="19" t="s">
        <v>132</v>
      </c>
      <c r="C63" s="16" t="s">
        <v>131</v>
      </c>
      <c r="D63" s="147">
        <v>11226</v>
      </c>
      <c r="E63" s="91" t="s">
        <v>1026</v>
      </c>
      <c r="F63" s="93" t="s">
        <v>1027</v>
      </c>
      <c r="G63" s="141" t="s">
        <v>563</v>
      </c>
      <c r="H63" s="142">
        <v>2022</v>
      </c>
      <c r="I63" s="155" t="s">
        <v>2506</v>
      </c>
      <c r="J63" s="170">
        <v>2</v>
      </c>
      <c r="K63" s="50">
        <v>2</v>
      </c>
      <c r="L63" s="49">
        <v>22230064</v>
      </c>
      <c r="M63" s="171" t="s">
        <v>200</v>
      </c>
      <c r="N63" s="178" t="s">
        <v>1028</v>
      </c>
      <c r="O63" s="161">
        <v>40291</v>
      </c>
      <c r="P63" s="180">
        <v>40291</v>
      </c>
      <c r="Q63" s="162" t="s">
        <v>1029</v>
      </c>
      <c r="R63" s="44" t="s">
        <v>1030</v>
      </c>
      <c r="S63" s="172" t="s">
        <v>201</v>
      </c>
      <c r="T63" s="165" t="s">
        <v>1031</v>
      </c>
      <c r="U63" s="173">
        <v>42313</v>
      </c>
      <c r="V63" s="173" t="s">
        <v>2819</v>
      </c>
      <c r="W63" s="61" t="s">
        <v>1032</v>
      </c>
      <c r="X63" s="61" t="s">
        <v>1028</v>
      </c>
      <c r="Y63" s="160" t="s">
        <v>42</v>
      </c>
      <c r="Z63" s="164" t="s">
        <v>3262</v>
      </c>
      <c r="AA63" s="176" t="s">
        <v>2820</v>
      </c>
      <c r="AB63" s="174"/>
      <c r="AC63" s="85" t="s">
        <v>1033</v>
      </c>
      <c r="AD63" s="287" t="s">
        <v>201</v>
      </c>
      <c r="AE63" s="302" t="s">
        <v>21</v>
      </c>
      <c r="AF63" s="303" t="s">
        <v>22</v>
      </c>
      <c r="AG63" s="288" t="s">
        <v>564</v>
      </c>
      <c r="AH63" s="86" t="s">
        <v>238</v>
      </c>
      <c r="AI63" s="286"/>
      <c r="AJ63" s="85" t="s">
        <v>1033</v>
      </c>
      <c r="AK63" s="287" t="s">
        <v>201</v>
      </c>
      <c r="AL63" s="314" t="s">
        <v>24</v>
      </c>
      <c r="AM63" s="85" t="s">
        <v>22</v>
      </c>
      <c r="AN63" s="288"/>
      <c r="AO63" s="289"/>
      <c r="AP63" s="286"/>
      <c r="AQ63" s="242" t="s">
        <v>1034</v>
      </c>
      <c r="AR63" s="242" t="s">
        <v>1035</v>
      </c>
      <c r="AS63" s="87" t="s">
        <v>1032</v>
      </c>
      <c r="AT63" s="243">
        <v>27809</v>
      </c>
      <c r="AU63" s="243"/>
      <c r="AV63" s="242" t="s">
        <v>1036</v>
      </c>
      <c r="AW63" s="242" t="s">
        <v>1032</v>
      </c>
      <c r="AX63" s="243">
        <v>30827</v>
      </c>
      <c r="AY63" s="177"/>
      <c r="AZ63" s="291"/>
      <c r="BA63" s="287" t="s">
        <v>201</v>
      </c>
      <c r="BB63" s="290"/>
      <c r="BC63" s="291"/>
      <c r="BD63" s="291"/>
      <c r="BE63" s="290"/>
      <c r="BF63" s="292"/>
      <c r="BG63" s="293"/>
      <c r="BH63" s="247" t="s">
        <v>3305</v>
      </c>
      <c r="BI63" s="248">
        <v>1329339</v>
      </c>
      <c r="BJ63" s="164" t="s">
        <v>3301</v>
      </c>
      <c r="BK63" s="164" t="s">
        <v>3302</v>
      </c>
    </row>
    <row r="64" spans="1:63" s="54" customFormat="1" ht="52.5" customHeight="1" thickBot="1">
      <c r="A64" s="54">
        <v>4</v>
      </c>
      <c r="B64" s="19" t="s">
        <v>132</v>
      </c>
      <c r="C64" s="16" t="s">
        <v>131</v>
      </c>
      <c r="D64" s="147">
        <v>11231</v>
      </c>
      <c r="E64" s="91" t="s">
        <v>1037</v>
      </c>
      <c r="F64" s="93" t="s">
        <v>1038</v>
      </c>
      <c r="G64" s="141" t="s">
        <v>563</v>
      </c>
      <c r="H64" s="142">
        <v>2022</v>
      </c>
      <c r="I64" s="155" t="s">
        <v>2507</v>
      </c>
      <c r="J64" s="170">
        <v>2</v>
      </c>
      <c r="K64" s="50">
        <v>1</v>
      </c>
      <c r="L64" s="49">
        <v>22230055</v>
      </c>
      <c r="M64" s="171" t="s">
        <v>200</v>
      </c>
      <c r="N64" s="56" t="s">
        <v>763</v>
      </c>
      <c r="O64" s="161">
        <v>40247</v>
      </c>
      <c r="P64" s="179">
        <v>40247</v>
      </c>
      <c r="Q64" s="162" t="s">
        <v>1039</v>
      </c>
      <c r="R64" s="44" t="s">
        <v>1040</v>
      </c>
      <c r="S64" s="172" t="s">
        <v>201</v>
      </c>
      <c r="T64" s="165" t="s">
        <v>1041</v>
      </c>
      <c r="U64" s="173">
        <v>74712</v>
      </c>
      <c r="V64" s="8" t="s">
        <v>2726</v>
      </c>
      <c r="W64" s="61" t="s">
        <v>763</v>
      </c>
      <c r="X64" s="61" t="s">
        <v>763</v>
      </c>
      <c r="Y64" s="160" t="s">
        <v>44</v>
      </c>
      <c r="Z64" s="164" t="s">
        <v>3262</v>
      </c>
      <c r="AA64" s="176" t="s">
        <v>2727</v>
      </c>
      <c r="AB64" s="174"/>
      <c r="AC64" s="85" t="s">
        <v>1042</v>
      </c>
      <c r="AD64" s="287" t="s">
        <v>201</v>
      </c>
      <c r="AE64" s="302" t="s">
        <v>30</v>
      </c>
      <c r="AF64" s="303" t="s">
        <v>22</v>
      </c>
      <c r="AG64" s="288" t="s">
        <v>564</v>
      </c>
      <c r="AH64" s="86" t="s">
        <v>239</v>
      </c>
      <c r="AI64" s="286"/>
      <c r="AJ64" s="85" t="s">
        <v>1043</v>
      </c>
      <c r="AK64" s="287" t="s">
        <v>201</v>
      </c>
      <c r="AL64" s="314" t="s">
        <v>21</v>
      </c>
      <c r="AM64" s="85" t="s">
        <v>22</v>
      </c>
      <c r="AN64" s="288"/>
      <c r="AO64" s="289"/>
      <c r="AP64" s="290"/>
      <c r="AQ64" s="242" t="s">
        <v>1044</v>
      </c>
      <c r="AR64" s="242" t="s">
        <v>1045</v>
      </c>
      <c r="AS64" s="87" t="s">
        <v>1046</v>
      </c>
      <c r="AT64" s="243">
        <v>28027</v>
      </c>
      <c r="AU64" s="243"/>
      <c r="AV64" s="242" t="s">
        <v>1047</v>
      </c>
      <c r="AW64" s="87" t="s">
        <v>598</v>
      </c>
      <c r="AX64" s="243">
        <v>28778</v>
      </c>
      <c r="AY64" s="177"/>
      <c r="AZ64" s="291"/>
      <c r="BA64" s="287" t="s">
        <v>201</v>
      </c>
      <c r="BB64" s="290"/>
      <c r="BC64" s="291"/>
      <c r="BD64" s="291"/>
      <c r="BE64" s="290"/>
      <c r="BF64" s="292"/>
      <c r="BG64" s="293"/>
      <c r="BH64" s="247" t="s">
        <v>3305</v>
      </c>
      <c r="BI64" s="248">
        <v>1329339</v>
      </c>
      <c r="BJ64" s="164" t="s">
        <v>3301</v>
      </c>
      <c r="BK64" s="164" t="s">
        <v>3302</v>
      </c>
    </row>
    <row r="65" spans="1:63" s="54" customFormat="1" ht="52.5" customHeight="1" thickBot="1">
      <c r="A65" s="54">
        <v>5</v>
      </c>
      <c r="B65" s="19" t="s">
        <v>132</v>
      </c>
      <c r="C65" s="16" t="s">
        <v>131</v>
      </c>
      <c r="D65" s="147">
        <v>11233</v>
      </c>
      <c r="E65" s="91" t="s">
        <v>1048</v>
      </c>
      <c r="F65" s="93" t="s">
        <v>1049</v>
      </c>
      <c r="G65" s="141" t="s">
        <v>563</v>
      </c>
      <c r="H65" s="142">
        <v>2022</v>
      </c>
      <c r="I65" s="143" t="s">
        <v>2508</v>
      </c>
      <c r="J65" s="170">
        <v>1</v>
      </c>
      <c r="K65" s="50">
        <v>0</v>
      </c>
      <c r="L65" s="49">
        <v>22230046</v>
      </c>
      <c r="M65" s="171" t="s">
        <v>200</v>
      </c>
      <c r="N65" s="178" t="s">
        <v>19</v>
      </c>
      <c r="O65" s="161">
        <v>40076</v>
      </c>
      <c r="P65" s="179">
        <v>40076</v>
      </c>
      <c r="Q65" s="162" t="s">
        <v>1050</v>
      </c>
      <c r="R65" s="44" t="s">
        <v>1051</v>
      </c>
      <c r="S65" s="172" t="s">
        <v>201</v>
      </c>
      <c r="T65" s="165" t="s">
        <v>1052</v>
      </c>
      <c r="U65" s="173">
        <v>55712</v>
      </c>
      <c r="V65" s="8" t="s">
        <v>2821</v>
      </c>
      <c r="W65" s="61" t="s">
        <v>19</v>
      </c>
      <c r="X65" s="61" t="s">
        <v>19</v>
      </c>
      <c r="Y65" s="160" t="s">
        <v>20</v>
      </c>
      <c r="Z65" s="164" t="s">
        <v>3262</v>
      </c>
      <c r="AA65" s="176" t="s">
        <v>2702</v>
      </c>
      <c r="AB65" s="181"/>
      <c r="AC65" s="85" t="s">
        <v>1053</v>
      </c>
      <c r="AD65" s="287" t="s">
        <v>201</v>
      </c>
      <c r="AE65" s="302" t="s">
        <v>30</v>
      </c>
      <c r="AF65" s="303" t="s">
        <v>153</v>
      </c>
      <c r="AG65" s="304" t="s">
        <v>564</v>
      </c>
      <c r="AH65" s="86" t="s">
        <v>241</v>
      </c>
      <c r="AI65" s="286"/>
      <c r="AJ65" s="85" t="s">
        <v>1054</v>
      </c>
      <c r="AK65" s="287" t="s">
        <v>201</v>
      </c>
      <c r="AL65" s="314" t="s">
        <v>220</v>
      </c>
      <c r="AM65" s="85" t="s">
        <v>22</v>
      </c>
      <c r="AN65" s="288"/>
      <c r="AO65" s="289"/>
      <c r="AP65" s="290"/>
      <c r="AQ65" s="242" t="s">
        <v>1055</v>
      </c>
      <c r="AR65" s="242" t="s">
        <v>1056</v>
      </c>
      <c r="AS65" s="87" t="s">
        <v>19</v>
      </c>
      <c r="AT65" s="243">
        <v>27875</v>
      </c>
      <c r="AU65" s="243"/>
      <c r="AV65" s="242" t="s">
        <v>1057</v>
      </c>
      <c r="AW65" s="242" t="s">
        <v>19</v>
      </c>
      <c r="AX65" s="243">
        <v>28556</v>
      </c>
      <c r="AY65" s="177"/>
      <c r="AZ65" s="291"/>
      <c r="BA65" s="287" t="s">
        <v>201</v>
      </c>
      <c r="BB65" s="290"/>
      <c r="BC65" s="291"/>
      <c r="BD65" s="291"/>
      <c r="BE65" s="290"/>
      <c r="BF65" s="292"/>
      <c r="BG65" s="293"/>
      <c r="BH65" s="247" t="s">
        <v>3305</v>
      </c>
      <c r="BI65" s="248">
        <v>1329339</v>
      </c>
      <c r="BJ65" s="164" t="s">
        <v>3301</v>
      </c>
      <c r="BK65" s="164" t="s">
        <v>3302</v>
      </c>
    </row>
    <row r="66" spans="1:63" s="54" customFormat="1" ht="52.5" customHeight="1" thickBot="1">
      <c r="A66" s="54">
        <v>6</v>
      </c>
      <c r="B66" s="11" t="s">
        <v>126</v>
      </c>
      <c r="C66" s="16" t="s">
        <v>131</v>
      </c>
      <c r="D66" s="147">
        <v>11285</v>
      </c>
      <c r="E66" s="91" t="s">
        <v>1058</v>
      </c>
      <c r="F66" s="93" t="s">
        <v>1059</v>
      </c>
      <c r="G66" s="141" t="s">
        <v>563</v>
      </c>
      <c r="H66" s="142">
        <v>2022</v>
      </c>
      <c r="I66" s="143" t="s">
        <v>2509</v>
      </c>
      <c r="J66" s="170">
        <v>1</v>
      </c>
      <c r="K66" s="50">
        <v>1</v>
      </c>
      <c r="L66" s="49">
        <v>22230120</v>
      </c>
      <c r="M66" s="171" t="s">
        <v>200</v>
      </c>
      <c r="N66" s="104" t="s">
        <v>1060</v>
      </c>
      <c r="O66" s="161">
        <f>P66:P355</f>
        <v>40079</v>
      </c>
      <c r="P66" s="105">
        <v>40079</v>
      </c>
      <c r="Q66" s="162" t="s">
        <v>1061</v>
      </c>
      <c r="R66" s="44" t="s">
        <v>1062</v>
      </c>
      <c r="S66" s="172" t="s">
        <v>201</v>
      </c>
      <c r="T66" s="88" t="s">
        <v>2666</v>
      </c>
      <c r="U66" s="173">
        <v>33134</v>
      </c>
      <c r="V66" s="8" t="s">
        <v>2822</v>
      </c>
      <c r="W66" s="61" t="s">
        <v>1060</v>
      </c>
      <c r="X66" s="61" t="s">
        <v>1060</v>
      </c>
      <c r="Y66" s="160" t="s">
        <v>2823</v>
      </c>
      <c r="Z66" s="164" t="s">
        <v>3262</v>
      </c>
      <c r="AA66" s="176" t="s">
        <v>2824</v>
      </c>
      <c r="AB66" s="174"/>
      <c r="AC66" s="88" t="s">
        <v>1063</v>
      </c>
      <c r="AD66" s="287" t="s">
        <v>201</v>
      </c>
      <c r="AE66" s="103" t="s">
        <v>21</v>
      </c>
      <c r="AF66" s="114" t="s">
        <v>22</v>
      </c>
      <c r="AG66" s="288" t="s">
        <v>564</v>
      </c>
      <c r="AH66" s="104" t="s">
        <v>418</v>
      </c>
      <c r="AI66" s="286"/>
      <c r="AJ66" s="85" t="s">
        <v>1064</v>
      </c>
      <c r="AK66" s="287" t="s">
        <v>201</v>
      </c>
      <c r="AL66" s="290" t="s">
        <v>220</v>
      </c>
      <c r="AM66" s="291" t="s">
        <v>22</v>
      </c>
      <c r="AN66" s="291"/>
      <c r="AO66" s="289"/>
      <c r="AP66" s="290"/>
      <c r="AQ66" s="242" t="s">
        <v>1065</v>
      </c>
      <c r="AR66" s="242" t="s">
        <v>1066</v>
      </c>
      <c r="AS66" s="87" t="s">
        <v>51</v>
      </c>
      <c r="AT66" s="243">
        <v>30496</v>
      </c>
      <c r="AU66" s="243"/>
      <c r="AV66" s="242" t="s">
        <v>1067</v>
      </c>
      <c r="AW66" s="242" t="s">
        <v>1068</v>
      </c>
      <c r="AX66" s="243">
        <v>29672</v>
      </c>
      <c r="AY66" s="177"/>
      <c r="AZ66" s="291"/>
      <c r="BA66" s="287" t="s">
        <v>201</v>
      </c>
      <c r="BB66" s="290"/>
      <c r="BC66" s="291"/>
      <c r="BD66" s="291"/>
      <c r="BE66" s="290"/>
      <c r="BF66" s="292"/>
      <c r="BG66" s="293"/>
      <c r="BH66" s="247" t="s">
        <v>3305</v>
      </c>
      <c r="BI66" s="248">
        <v>1329339</v>
      </c>
      <c r="BJ66" s="164" t="s">
        <v>3301</v>
      </c>
      <c r="BK66" s="164" t="s">
        <v>3302</v>
      </c>
    </row>
    <row r="67" spans="1:63" s="54" customFormat="1" ht="52.5" customHeight="1" thickBot="1">
      <c r="A67" s="54">
        <v>7</v>
      </c>
      <c r="B67" s="15" t="s">
        <v>77</v>
      </c>
      <c r="C67" s="16" t="s">
        <v>131</v>
      </c>
      <c r="D67" s="126">
        <v>11310</v>
      </c>
      <c r="E67" s="98" t="s">
        <v>1069</v>
      </c>
      <c r="F67" s="93" t="s">
        <v>1070</v>
      </c>
      <c r="G67" s="141" t="s">
        <v>563</v>
      </c>
      <c r="H67" s="142">
        <v>2022</v>
      </c>
      <c r="I67" s="143" t="s">
        <v>2510</v>
      </c>
      <c r="J67" s="170">
        <v>3</v>
      </c>
      <c r="K67" s="50">
        <v>2</v>
      </c>
      <c r="L67" s="49">
        <v>22230187</v>
      </c>
      <c r="M67" s="171" t="s">
        <v>200</v>
      </c>
      <c r="N67" s="83" t="s">
        <v>1071</v>
      </c>
      <c r="O67" s="161">
        <v>40257</v>
      </c>
      <c r="P67" s="96">
        <v>40257</v>
      </c>
      <c r="Q67" s="162" t="s">
        <v>1072</v>
      </c>
      <c r="R67" s="44" t="s">
        <v>1073</v>
      </c>
      <c r="S67" s="172" t="s">
        <v>201</v>
      </c>
      <c r="T67" s="84" t="s">
        <v>2667</v>
      </c>
      <c r="U67" s="173">
        <v>68467</v>
      </c>
      <c r="V67" s="8" t="s">
        <v>2825</v>
      </c>
      <c r="W67" s="61" t="s">
        <v>2826</v>
      </c>
      <c r="X67" s="61" t="s">
        <v>55</v>
      </c>
      <c r="Y67" s="160" t="s">
        <v>38</v>
      </c>
      <c r="Z67" s="164" t="s">
        <v>3262</v>
      </c>
      <c r="AA67" s="176" t="s">
        <v>2827</v>
      </c>
      <c r="AB67" s="174"/>
      <c r="AC67" s="85" t="s">
        <v>1075</v>
      </c>
      <c r="AD67" s="287" t="s">
        <v>201</v>
      </c>
      <c r="AE67" s="302" t="s">
        <v>21</v>
      </c>
      <c r="AF67" s="303" t="s">
        <v>155</v>
      </c>
      <c r="AG67" s="288" t="s">
        <v>564</v>
      </c>
      <c r="AH67" s="86" t="s">
        <v>341</v>
      </c>
      <c r="AI67" s="286"/>
      <c r="AJ67" s="85" t="s">
        <v>1076</v>
      </c>
      <c r="AK67" s="287" t="s">
        <v>201</v>
      </c>
      <c r="AL67" s="314" t="s">
        <v>30</v>
      </c>
      <c r="AM67" s="85" t="s">
        <v>22</v>
      </c>
      <c r="AN67" s="288"/>
      <c r="AO67" s="289"/>
      <c r="AP67" s="290"/>
      <c r="AQ67" s="242" t="s">
        <v>1077</v>
      </c>
      <c r="AR67" s="242" t="s">
        <v>1078</v>
      </c>
      <c r="AS67" s="87" t="s">
        <v>82</v>
      </c>
      <c r="AT67" s="243">
        <v>26337</v>
      </c>
      <c r="AU67" s="243"/>
      <c r="AV67" s="242" t="s">
        <v>1079</v>
      </c>
      <c r="AW67" s="242" t="s">
        <v>1071</v>
      </c>
      <c r="AX67" s="243">
        <v>26822</v>
      </c>
      <c r="AY67" s="177"/>
      <c r="AZ67" s="291"/>
      <c r="BA67" s="287" t="s">
        <v>201</v>
      </c>
      <c r="BB67" s="290"/>
      <c r="BC67" s="291"/>
      <c r="BD67" s="291"/>
      <c r="BE67" s="290"/>
      <c r="BF67" s="292"/>
      <c r="BG67" s="293"/>
      <c r="BH67" s="247" t="s">
        <v>3305</v>
      </c>
      <c r="BI67" s="248">
        <v>1329339</v>
      </c>
      <c r="BJ67" s="164" t="s">
        <v>3301</v>
      </c>
      <c r="BK67" s="164" t="s">
        <v>3302</v>
      </c>
    </row>
    <row r="68" spans="1:63" s="54" customFormat="1" ht="52.5" customHeight="1" thickBot="1">
      <c r="A68" s="54">
        <v>8</v>
      </c>
      <c r="B68" s="18" t="s">
        <v>127</v>
      </c>
      <c r="C68" s="16" t="s">
        <v>131</v>
      </c>
      <c r="D68" s="140">
        <v>11319</v>
      </c>
      <c r="E68" s="91" t="s">
        <v>1091</v>
      </c>
      <c r="F68" s="93" t="s">
        <v>1092</v>
      </c>
      <c r="G68" s="141" t="s">
        <v>563</v>
      </c>
      <c r="H68" s="142">
        <v>2022</v>
      </c>
      <c r="I68" s="143" t="s">
        <v>2511</v>
      </c>
      <c r="J68" s="170">
        <v>3</v>
      </c>
      <c r="K68" s="50">
        <v>2</v>
      </c>
      <c r="L68" s="49">
        <v>22230075</v>
      </c>
      <c r="M68" s="171" t="s">
        <v>200</v>
      </c>
      <c r="N68" s="56" t="s">
        <v>23</v>
      </c>
      <c r="O68" s="161">
        <v>40215</v>
      </c>
      <c r="P68" s="163">
        <v>40215</v>
      </c>
      <c r="Q68" s="161" t="s">
        <v>1093</v>
      </c>
      <c r="R68" s="44" t="s">
        <v>1094</v>
      </c>
      <c r="S68" s="172" t="s">
        <v>201</v>
      </c>
      <c r="T68" s="164" t="s">
        <v>2668</v>
      </c>
      <c r="U68" s="173">
        <v>55264</v>
      </c>
      <c r="V68" s="8" t="s">
        <v>2828</v>
      </c>
      <c r="W68" s="61" t="s">
        <v>2829</v>
      </c>
      <c r="X68" s="61" t="s">
        <v>52</v>
      </c>
      <c r="Y68" s="160" t="s">
        <v>20</v>
      </c>
      <c r="Z68" s="164" t="s">
        <v>3262</v>
      </c>
      <c r="AA68" s="176" t="s">
        <v>2830</v>
      </c>
      <c r="AB68" s="174"/>
      <c r="AC68" s="88" t="s">
        <v>1095</v>
      </c>
      <c r="AD68" s="287" t="s">
        <v>201</v>
      </c>
      <c r="AE68" s="103" t="s">
        <v>21</v>
      </c>
      <c r="AF68" s="114" t="s">
        <v>153</v>
      </c>
      <c r="AG68" s="288" t="s">
        <v>564</v>
      </c>
      <c r="AH68" s="104" t="s">
        <v>380</v>
      </c>
      <c r="AI68" s="286"/>
      <c r="AJ68" s="85" t="s">
        <v>117</v>
      </c>
      <c r="AK68" s="287" t="s">
        <v>201</v>
      </c>
      <c r="AL68" s="290" t="s">
        <v>21</v>
      </c>
      <c r="AM68" s="291" t="s">
        <v>22</v>
      </c>
      <c r="AN68" s="291"/>
      <c r="AO68" s="289"/>
      <c r="AP68" s="290"/>
      <c r="AQ68" s="242" t="s">
        <v>1096</v>
      </c>
      <c r="AR68" s="242" t="s">
        <v>1097</v>
      </c>
      <c r="AS68" s="87" t="s">
        <v>82</v>
      </c>
      <c r="AT68" s="243">
        <v>27062</v>
      </c>
      <c r="AU68" s="243"/>
      <c r="AV68" s="242" t="s">
        <v>1098</v>
      </c>
      <c r="AW68" s="242" t="s">
        <v>110</v>
      </c>
      <c r="AX68" s="243">
        <v>27454</v>
      </c>
      <c r="AY68" s="177"/>
      <c r="AZ68" s="291"/>
      <c r="BA68" s="287" t="s">
        <v>201</v>
      </c>
      <c r="BB68" s="290"/>
      <c r="BC68" s="291"/>
      <c r="BD68" s="291"/>
      <c r="BE68" s="290"/>
      <c r="BF68" s="292"/>
      <c r="BG68" s="293"/>
      <c r="BH68" s="247" t="s">
        <v>3305</v>
      </c>
      <c r="BI68" s="248">
        <v>1329339</v>
      </c>
      <c r="BJ68" s="164" t="s">
        <v>3301</v>
      </c>
      <c r="BK68" s="164" t="s">
        <v>3302</v>
      </c>
    </row>
    <row r="69" spans="1:63" s="54" customFormat="1" ht="52.5" customHeight="1" thickBot="1">
      <c r="A69" s="54">
        <v>9</v>
      </c>
      <c r="B69" s="14" t="s">
        <v>130</v>
      </c>
      <c r="C69" s="16" t="s">
        <v>131</v>
      </c>
      <c r="D69" s="147">
        <v>11349</v>
      </c>
      <c r="E69" s="156" t="s">
        <v>1109</v>
      </c>
      <c r="F69" s="93" t="s">
        <v>1110</v>
      </c>
      <c r="G69" s="141" t="s">
        <v>563</v>
      </c>
      <c r="H69" s="142">
        <v>2022</v>
      </c>
      <c r="I69" s="143" t="s">
        <v>2512</v>
      </c>
      <c r="J69" s="170">
        <v>2</v>
      </c>
      <c r="K69" s="50">
        <v>1</v>
      </c>
      <c r="L69" s="49">
        <v>22230239</v>
      </c>
      <c r="M69" s="171" t="s">
        <v>200</v>
      </c>
      <c r="N69" s="178" t="s">
        <v>53</v>
      </c>
      <c r="O69" s="161">
        <v>39897</v>
      </c>
      <c r="P69" s="179">
        <v>39897</v>
      </c>
      <c r="Q69" s="162" t="s">
        <v>1111</v>
      </c>
      <c r="R69" s="46" t="s">
        <v>1112</v>
      </c>
      <c r="S69" s="172" t="s">
        <v>201</v>
      </c>
      <c r="T69" s="165" t="s">
        <v>589</v>
      </c>
      <c r="U69" s="173">
        <v>55651</v>
      </c>
      <c r="V69" s="8" t="s">
        <v>2831</v>
      </c>
      <c r="W69" s="61" t="s">
        <v>2832</v>
      </c>
      <c r="X69" s="61" t="s">
        <v>53</v>
      </c>
      <c r="Y69" s="160" t="s">
        <v>20</v>
      </c>
      <c r="Z69" s="164" t="s">
        <v>3262</v>
      </c>
      <c r="AA69" s="176" t="s">
        <v>2833</v>
      </c>
      <c r="AB69" s="174"/>
      <c r="AC69" s="85" t="s">
        <v>1113</v>
      </c>
      <c r="AD69" s="287" t="s">
        <v>201</v>
      </c>
      <c r="AE69" s="302" t="s">
        <v>24</v>
      </c>
      <c r="AF69" s="303" t="s">
        <v>22</v>
      </c>
      <c r="AG69" s="288" t="s">
        <v>564</v>
      </c>
      <c r="AH69" s="86"/>
      <c r="AI69" s="286"/>
      <c r="AJ69" s="85" t="s">
        <v>1114</v>
      </c>
      <c r="AK69" s="287" t="s">
        <v>201</v>
      </c>
      <c r="AL69" s="290" t="s">
        <v>21</v>
      </c>
      <c r="AM69" s="139" t="s">
        <v>22</v>
      </c>
      <c r="AN69" s="291"/>
      <c r="AO69" s="86" t="s">
        <v>314</v>
      </c>
      <c r="AP69" s="290"/>
      <c r="AQ69" s="242" t="s">
        <v>1115</v>
      </c>
      <c r="AR69" s="242" t="s">
        <v>1116</v>
      </c>
      <c r="AS69" s="87" t="s">
        <v>52</v>
      </c>
      <c r="AT69" s="243">
        <v>25851</v>
      </c>
      <c r="AU69" s="243"/>
      <c r="AV69" s="242" t="s">
        <v>1117</v>
      </c>
      <c r="AW69" s="242" t="s">
        <v>53</v>
      </c>
      <c r="AX69" s="243">
        <v>25868</v>
      </c>
      <c r="AY69" s="177"/>
      <c r="AZ69" s="291"/>
      <c r="BA69" s="287" t="s">
        <v>201</v>
      </c>
      <c r="BB69" s="290"/>
      <c r="BC69" s="291"/>
      <c r="BD69" s="291"/>
      <c r="BE69" s="290"/>
      <c r="BF69" s="292"/>
      <c r="BG69" s="293"/>
      <c r="BH69" s="247" t="s">
        <v>3305</v>
      </c>
      <c r="BI69" s="248">
        <v>1329339</v>
      </c>
      <c r="BJ69" s="164" t="s">
        <v>3301</v>
      </c>
      <c r="BK69" s="164" t="s">
        <v>3302</v>
      </c>
    </row>
    <row r="70" spans="1:63" s="54" customFormat="1" ht="52.5" customHeight="1" thickBot="1">
      <c r="A70" s="54">
        <v>10</v>
      </c>
      <c r="B70" s="14" t="s">
        <v>130</v>
      </c>
      <c r="C70" s="16" t="s">
        <v>131</v>
      </c>
      <c r="D70" s="147">
        <v>11356</v>
      </c>
      <c r="E70" s="98" t="s">
        <v>315</v>
      </c>
      <c r="F70" s="93" t="s">
        <v>208</v>
      </c>
      <c r="G70" s="141" t="s">
        <v>563</v>
      </c>
      <c r="H70" s="142">
        <v>2022</v>
      </c>
      <c r="I70" s="143" t="s">
        <v>2513</v>
      </c>
      <c r="J70" s="170">
        <v>1</v>
      </c>
      <c r="K70" s="50">
        <v>1</v>
      </c>
      <c r="L70" s="49">
        <v>22230218</v>
      </c>
      <c r="M70" s="171" t="s">
        <v>200</v>
      </c>
      <c r="N70" s="178" t="s">
        <v>53</v>
      </c>
      <c r="O70" s="161">
        <v>39919</v>
      </c>
      <c r="P70" s="179">
        <v>39919</v>
      </c>
      <c r="Q70" s="162" t="s">
        <v>578</v>
      </c>
      <c r="R70" s="46" t="s">
        <v>529</v>
      </c>
      <c r="S70" s="172" t="s">
        <v>201</v>
      </c>
      <c r="T70" s="165" t="s">
        <v>1715</v>
      </c>
      <c r="U70" s="173">
        <v>55651</v>
      </c>
      <c r="V70" s="8" t="s">
        <v>2834</v>
      </c>
      <c r="W70" s="61" t="s">
        <v>2832</v>
      </c>
      <c r="X70" s="61" t="s">
        <v>53</v>
      </c>
      <c r="Y70" s="160" t="s">
        <v>20</v>
      </c>
      <c r="Z70" s="164" t="s">
        <v>3262</v>
      </c>
      <c r="AA70" s="176" t="s">
        <v>2833</v>
      </c>
      <c r="AB70" s="174"/>
      <c r="AC70" s="85" t="s">
        <v>317</v>
      </c>
      <c r="AD70" s="287" t="s">
        <v>201</v>
      </c>
      <c r="AE70" s="302" t="s">
        <v>21</v>
      </c>
      <c r="AF70" s="303" t="s">
        <v>22</v>
      </c>
      <c r="AG70" s="288" t="s">
        <v>564</v>
      </c>
      <c r="AH70" s="86" t="s">
        <v>316</v>
      </c>
      <c r="AI70" s="286"/>
      <c r="AJ70" s="85" t="s">
        <v>2835</v>
      </c>
      <c r="AK70" s="287" t="s">
        <v>201</v>
      </c>
      <c r="AL70" s="290" t="s">
        <v>21</v>
      </c>
      <c r="AM70" s="291" t="s">
        <v>492</v>
      </c>
      <c r="AN70" s="291"/>
      <c r="AO70" s="289"/>
      <c r="AP70" s="290"/>
      <c r="AQ70" s="242" t="s">
        <v>530</v>
      </c>
      <c r="AR70" s="242" t="s">
        <v>533</v>
      </c>
      <c r="AS70" s="87"/>
      <c r="AT70" s="243"/>
      <c r="AU70" s="243"/>
      <c r="AV70" s="242"/>
      <c r="AW70" s="242"/>
      <c r="AX70" s="243"/>
      <c r="AY70" s="177"/>
      <c r="AZ70" s="291"/>
      <c r="BA70" s="287" t="s">
        <v>201</v>
      </c>
      <c r="BB70" s="290"/>
      <c r="BC70" s="291"/>
      <c r="BD70" s="291"/>
      <c r="BE70" s="290"/>
      <c r="BF70" s="292"/>
      <c r="BG70" s="293"/>
      <c r="BH70" s="247" t="s">
        <v>3305</v>
      </c>
      <c r="BI70" s="248">
        <v>1329339</v>
      </c>
      <c r="BJ70" s="164" t="s">
        <v>3301</v>
      </c>
      <c r="BK70" s="164" t="s">
        <v>3302</v>
      </c>
    </row>
    <row r="71" spans="1:63" s="54" customFormat="1" ht="52.5" customHeight="1" thickBot="1">
      <c r="A71" s="54">
        <v>11</v>
      </c>
      <c r="B71" s="13" t="s">
        <v>129</v>
      </c>
      <c r="C71" s="16" t="s">
        <v>131</v>
      </c>
      <c r="D71" s="146">
        <v>11359</v>
      </c>
      <c r="E71" s="91" t="s">
        <v>1118</v>
      </c>
      <c r="F71" s="93" t="s">
        <v>1119</v>
      </c>
      <c r="G71" s="141" t="s">
        <v>563</v>
      </c>
      <c r="H71" s="142">
        <v>2022</v>
      </c>
      <c r="I71" s="143" t="s">
        <v>2514</v>
      </c>
      <c r="J71" s="170">
        <v>2</v>
      </c>
      <c r="K71" s="50">
        <v>1</v>
      </c>
      <c r="L71" s="49">
        <v>22230075</v>
      </c>
      <c r="M71" s="171" t="s">
        <v>200</v>
      </c>
      <c r="N71" s="104" t="s">
        <v>2836</v>
      </c>
      <c r="O71" s="161">
        <v>39983</v>
      </c>
      <c r="P71" s="105">
        <v>39983</v>
      </c>
      <c r="Q71" s="162" t="s">
        <v>1120</v>
      </c>
      <c r="R71" s="46" t="s">
        <v>1121</v>
      </c>
      <c r="S71" s="172" t="s">
        <v>201</v>
      </c>
      <c r="T71" s="88" t="s">
        <v>2237</v>
      </c>
      <c r="U71" s="173">
        <v>55133</v>
      </c>
      <c r="V71" s="8" t="s">
        <v>2837</v>
      </c>
      <c r="W71" s="61" t="s">
        <v>2838</v>
      </c>
      <c r="X71" s="61" t="s">
        <v>23</v>
      </c>
      <c r="Y71" s="160" t="s">
        <v>20</v>
      </c>
      <c r="Z71" s="164" t="s">
        <v>3262</v>
      </c>
      <c r="AA71" s="176" t="s">
        <v>2839</v>
      </c>
      <c r="AB71" s="174"/>
      <c r="AC71" s="88" t="s">
        <v>1122</v>
      </c>
      <c r="AD71" s="287" t="s">
        <v>201</v>
      </c>
      <c r="AE71" s="103" t="s">
        <v>21</v>
      </c>
      <c r="AF71" s="114" t="s">
        <v>710</v>
      </c>
      <c r="AG71" s="288" t="s">
        <v>564</v>
      </c>
      <c r="AH71" s="104"/>
      <c r="AI71" s="286"/>
      <c r="AJ71" s="85" t="s">
        <v>1123</v>
      </c>
      <c r="AK71" s="287" t="s">
        <v>201</v>
      </c>
      <c r="AL71" s="290" t="s">
        <v>21</v>
      </c>
      <c r="AM71" s="291" t="s">
        <v>22</v>
      </c>
      <c r="AN71" s="291"/>
      <c r="AO71" s="86" t="s">
        <v>400</v>
      </c>
      <c r="AP71" s="290"/>
      <c r="AQ71" s="242" t="s">
        <v>1124</v>
      </c>
      <c r="AR71" s="242" t="s">
        <v>1125</v>
      </c>
      <c r="AS71" s="87" t="s">
        <v>1126</v>
      </c>
      <c r="AT71" s="243">
        <v>27969</v>
      </c>
      <c r="AU71" s="243"/>
      <c r="AV71" s="242" t="s">
        <v>1127</v>
      </c>
      <c r="AW71" s="242" t="s">
        <v>1128</v>
      </c>
      <c r="AX71" s="243">
        <v>27554</v>
      </c>
      <c r="AY71" s="177"/>
      <c r="AZ71" s="291"/>
      <c r="BA71" s="287" t="s">
        <v>201</v>
      </c>
      <c r="BB71" s="290"/>
      <c r="BC71" s="291"/>
      <c r="BD71" s="291"/>
      <c r="BE71" s="290"/>
      <c r="BF71" s="292"/>
      <c r="BG71" s="293"/>
      <c r="BH71" s="247" t="s">
        <v>3305</v>
      </c>
      <c r="BI71" s="248">
        <v>1329339</v>
      </c>
      <c r="BJ71" s="164" t="s">
        <v>3301</v>
      </c>
      <c r="BK71" s="164" t="s">
        <v>3302</v>
      </c>
    </row>
    <row r="72" spans="1:63" s="54" customFormat="1" ht="52.5" customHeight="1" thickBot="1">
      <c r="A72" s="54">
        <v>12</v>
      </c>
      <c r="B72" s="13" t="s">
        <v>129</v>
      </c>
      <c r="C72" s="16" t="s">
        <v>131</v>
      </c>
      <c r="D72" s="146">
        <v>11360</v>
      </c>
      <c r="E72" s="91" t="s">
        <v>2233</v>
      </c>
      <c r="F72" s="93" t="s">
        <v>2234</v>
      </c>
      <c r="G72" s="141" t="s">
        <v>563</v>
      </c>
      <c r="H72" s="142">
        <v>2022</v>
      </c>
      <c r="I72" s="143" t="s">
        <v>2515</v>
      </c>
      <c r="J72" s="170">
        <v>2</v>
      </c>
      <c r="K72" s="50">
        <v>2</v>
      </c>
      <c r="L72" s="49">
        <v>22230019</v>
      </c>
      <c r="M72" s="171" t="s">
        <v>200</v>
      </c>
      <c r="N72" s="56" t="s">
        <v>58</v>
      </c>
      <c r="O72" s="161">
        <v>40008</v>
      </c>
      <c r="P72" s="163">
        <v>40008</v>
      </c>
      <c r="Q72" s="162" t="s">
        <v>2235</v>
      </c>
      <c r="R72" s="44" t="s">
        <v>2236</v>
      </c>
      <c r="S72" s="172" t="s">
        <v>201</v>
      </c>
      <c r="T72" s="164" t="s">
        <v>2245</v>
      </c>
      <c r="U72" s="173">
        <v>53462</v>
      </c>
      <c r="V72" s="8" t="s">
        <v>2840</v>
      </c>
      <c r="W72" s="61" t="s">
        <v>2841</v>
      </c>
      <c r="X72" s="61" t="s">
        <v>58</v>
      </c>
      <c r="Y72" s="160" t="s">
        <v>28</v>
      </c>
      <c r="Z72" s="164" t="s">
        <v>3262</v>
      </c>
      <c r="AA72" s="176" t="s">
        <v>2842</v>
      </c>
      <c r="AB72" s="174"/>
      <c r="AC72" s="88" t="s">
        <v>2238</v>
      </c>
      <c r="AD72" s="287" t="s">
        <v>201</v>
      </c>
      <c r="AE72" s="103" t="s">
        <v>21</v>
      </c>
      <c r="AF72" s="114" t="s">
        <v>22</v>
      </c>
      <c r="AG72" s="288" t="s">
        <v>564</v>
      </c>
      <c r="AH72" s="104" t="s">
        <v>401</v>
      </c>
      <c r="AI72" s="286"/>
      <c r="AJ72" s="85" t="s">
        <v>2239</v>
      </c>
      <c r="AK72" s="287" t="s">
        <v>201</v>
      </c>
      <c r="AL72" s="290" t="s">
        <v>220</v>
      </c>
      <c r="AM72" s="291" t="s">
        <v>712</v>
      </c>
      <c r="AN72" s="291"/>
      <c r="AO72" s="289"/>
      <c r="AP72" s="290"/>
      <c r="AQ72" s="242" t="s">
        <v>2240</v>
      </c>
      <c r="AR72" s="242" t="s">
        <v>2241</v>
      </c>
      <c r="AS72" s="87" t="s">
        <v>58</v>
      </c>
      <c r="AT72" s="243">
        <v>25357</v>
      </c>
      <c r="AU72" s="243"/>
      <c r="AV72" s="242" t="s">
        <v>2242</v>
      </c>
      <c r="AW72" s="87" t="s">
        <v>58</v>
      </c>
      <c r="AX72" s="243">
        <v>28117</v>
      </c>
      <c r="AY72" s="177"/>
      <c r="AZ72" s="291"/>
      <c r="BA72" s="287" t="s">
        <v>201</v>
      </c>
      <c r="BB72" s="290"/>
      <c r="BC72" s="291"/>
      <c r="BD72" s="291"/>
      <c r="BE72" s="290"/>
      <c r="BF72" s="292"/>
      <c r="BG72" s="293"/>
      <c r="BH72" s="247" t="s">
        <v>3305</v>
      </c>
      <c r="BI72" s="248">
        <v>1329339</v>
      </c>
      <c r="BJ72" s="164" t="s">
        <v>3301</v>
      </c>
      <c r="BK72" s="164" t="s">
        <v>3302</v>
      </c>
    </row>
    <row r="73" spans="1:63" s="54" customFormat="1" ht="52.5" customHeight="1" thickBot="1">
      <c r="A73" s="54">
        <v>13</v>
      </c>
      <c r="B73" s="15" t="s">
        <v>77</v>
      </c>
      <c r="C73" s="16" t="s">
        <v>131</v>
      </c>
      <c r="D73" s="126">
        <v>11373</v>
      </c>
      <c r="E73" s="91" t="s">
        <v>2431</v>
      </c>
      <c r="F73" s="93" t="s">
        <v>2424</v>
      </c>
      <c r="G73" s="141" t="s">
        <v>563</v>
      </c>
      <c r="H73" s="142">
        <v>2022</v>
      </c>
      <c r="I73" s="143" t="s">
        <v>2516</v>
      </c>
      <c r="J73" s="170">
        <v>1</v>
      </c>
      <c r="K73" s="50">
        <v>0</v>
      </c>
      <c r="L73" s="49">
        <v>22230202</v>
      </c>
      <c r="M73" s="171" t="s">
        <v>200</v>
      </c>
      <c r="N73" s="178" t="s">
        <v>41</v>
      </c>
      <c r="O73" s="161">
        <v>40102</v>
      </c>
      <c r="P73" s="179">
        <v>40102</v>
      </c>
      <c r="Q73" s="162" t="s">
        <v>2843</v>
      </c>
      <c r="R73" s="44" t="s">
        <v>2844</v>
      </c>
      <c r="S73" s="172" t="s">
        <v>201</v>
      </c>
      <c r="T73" s="165" t="s">
        <v>1143</v>
      </c>
      <c r="U73" s="173">
        <v>15122</v>
      </c>
      <c r="V73" s="8" t="s">
        <v>2845</v>
      </c>
      <c r="W73" s="61" t="s">
        <v>2846</v>
      </c>
      <c r="X73" s="61" t="s">
        <v>2847</v>
      </c>
      <c r="Y73" s="160" t="s">
        <v>39</v>
      </c>
      <c r="Z73" s="164" t="s">
        <v>3262</v>
      </c>
      <c r="AA73" s="205" t="s">
        <v>2848</v>
      </c>
      <c r="AB73" s="174"/>
      <c r="AC73" s="85" t="s">
        <v>2849</v>
      </c>
      <c r="AD73" s="287" t="s">
        <v>201</v>
      </c>
      <c r="AE73" s="302" t="s">
        <v>67</v>
      </c>
      <c r="AF73" s="303" t="s">
        <v>158</v>
      </c>
      <c r="AG73" s="288" t="s">
        <v>564</v>
      </c>
      <c r="AH73" s="86" t="s">
        <v>283</v>
      </c>
      <c r="AI73" s="286"/>
      <c r="AJ73" s="85" t="s">
        <v>2850</v>
      </c>
      <c r="AK73" s="287" t="s">
        <v>201</v>
      </c>
      <c r="AL73" s="314" t="s">
        <v>21</v>
      </c>
      <c r="AM73" s="85" t="s">
        <v>276</v>
      </c>
      <c r="AN73" s="288"/>
      <c r="AO73" s="289"/>
      <c r="AP73" s="290"/>
      <c r="AQ73" s="242" t="s">
        <v>2851</v>
      </c>
      <c r="AR73" s="242" t="s">
        <v>2852</v>
      </c>
      <c r="AS73" s="87" t="s">
        <v>2404</v>
      </c>
      <c r="AT73" s="243">
        <v>26324</v>
      </c>
      <c r="AU73" s="243"/>
      <c r="AV73" s="242" t="s">
        <v>2853</v>
      </c>
      <c r="AW73" s="242" t="s">
        <v>41</v>
      </c>
      <c r="AX73" s="243">
        <v>28814</v>
      </c>
      <c r="AY73" s="177"/>
      <c r="AZ73" s="291"/>
      <c r="BA73" s="287" t="s">
        <v>201</v>
      </c>
      <c r="BB73" s="290"/>
      <c r="BC73" s="291"/>
      <c r="BD73" s="291"/>
      <c r="BE73" s="290"/>
      <c r="BF73" s="292"/>
      <c r="BG73" s="293"/>
      <c r="BH73" s="247" t="s">
        <v>3305</v>
      </c>
      <c r="BI73" s="248">
        <v>1329339</v>
      </c>
      <c r="BJ73" s="164" t="s">
        <v>3301</v>
      </c>
      <c r="BK73" s="164" t="s">
        <v>3302</v>
      </c>
    </row>
    <row r="74" spans="1:63" s="54" customFormat="1" ht="52.5" customHeight="1" thickBot="1">
      <c r="A74" s="54">
        <v>14</v>
      </c>
      <c r="B74" s="11" t="s">
        <v>126</v>
      </c>
      <c r="C74" s="16" t="s">
        <v>131</v>
      </c>
      <c r="D74" s="147">
        <v>11416</v>
      </c>
      <c r="E74" s="91" t="s">
        <v>1717</v>
      </c>
      <c r="F74" s="93" t="s">
        <v>1718</v>
      </c>
      <c r="G74" s="141" t="s">
        <v>563</v>
      </c>
      <c r="H74" s="142">
        <v>2022</v>
      </c>
      <c r="I74" s="143" t="s">
        <v>2517</v>
      </c>
      <c r="J74" s="170">
        <v>1</v>
      </c>
      <c r="K74" s="50">
        <v>2</v>
      </c>
      <c r="L74" s="49">
        <v>22230115</v>
      </c>
      <c r="M74" s="171" t="s">
        <v>200</v>
      </c>
      <c r="N74" s="104" t="s">
        <v>97</v>
      </c>
      <c r="O74" s="161">
        <f>P74:P365</f>
        <v>40181</v>
      </c>
      <c r="P74" s="105">
        <v>40181</v>
      </c>
      <c r="Q74" s="162" t="s">
        <v>1719</v>
      </c>
      <c r="R74" s="44" t="s">
        <v>1720</v>
      </c>
      <c r="S74" s="172" t="s">
        <v>201</v>
      </c>
      <c r="T74" s="88" t="s">
        <v>2669</v>
      </c>
      <c r="U74" s="173">
        <v>90915</v>
      </c>
      <c r="V74" s="8" t="s">
        <v>2854</v>
      </c>
      <c r="W74" s="61" t="s">
        <v>2854</v>
      </c>
      <c r="X74" s="61" t="s">
        <v>2855</v>
      </c>
      <c r="Y74" s="160" t="s">
        <v>2856</v>
      </c>
      <c r="Z74" s="164" t="s">
        <v>3262</v>
      </c>
      <c r="AA74" s="176" t="s">
        <v>2857</v>
      </c>
      <c r="AB74" s="174"/>
      <c r="AC74" s="88" t="s">
        <v>1722</v>
      </c>
      <c r="AD74" s="287" t="s">
        <v>201</v>
      </c>
      <c r="AE74" s="103" t="s">
        <v>21</v>
      </c>
      <c r="AF74" s="114" t="s">
        <v>153</v>
      </c>
      <c r="AG74" s="288" t="s">
        <v>564</v>
      </c>
      <c r="AH74" s="104" t="s">
        <v>423</v>
      </c>
      <c r="AI74" s="286"/>
      <c r="AJ74" s="85" t="s">
        <v>1723</v>
      </c>
      <c r="AK74" s="287" t="s">
        <v>201</v>
      </c>
      <c r="AL74" s="290" t="s">
        <v>21</v>
      </c>
      <c r="AM74" s="291" t="s">
        <v>1724</v>
      </c>
      <c r="AN74" s="291"/>
      <c r="AO74" s="289"/>
      <c r="AP74" s="290"/>
      <c r="AQ74" s="242" t="s">
        <v>1725</v>
      </c>
      <c r="AR74" s="242" t="s">
        <v>1726</v>
      </c>
      <c r="AS74" s="87" t="s">
        <v>151</v>
      </c>
      <c r="AT74" s="243">
        <v>27847</v>
      </c>
      <c r="AU74" s="243"/>
      <c r="AV74" s="242" t="s">
        <v>1727</v>
      </c>
      <c r="AW74" s="242" t="s">
        <v>1728</v>
      </c>
      <c r="AX74" s="243">
        <v>28626</v>
      </c>
      <c r="AY74" s="177"/>
      <c r="AZ74" s="291"/>
      <c r="BA74" s="287" t="s">
        <v>201</v>
      </c>
      <c r="BB74" s="290"/>
      <c r="BC74" s="291"/>
      <c r="BD74" s="291"/>
      <c r="BE74" s="290"/>
      <c r="BF74" s="292"/>
      <c r="BG74" s="293"/>
      <c r="BH74" s="247" t="s">
        <v>3305</v>
      </c>
      <c r="BI74" s="248">
        <v>1329339</v>
      </c>
      <c r="BJ74" s="164" t="s">
        <v>3301</v>
      </c>
      <c r="BK74" s="164" t="s">
        <v>3302</v>
      </c>
    </row>
    <row r="75" spans="1:63" s="54" customFormat="1" ht="52.5" customHeight="1" thickBot="1">
      <c r="A75" s="54">
        <v>15</v>
      </c>
      <c r="B75" s="13" t="s">
        <v>129</v>
      </c>
      <c r="C75" s="16" t="s">
        <v>131</v>
      </c>
      <c r="D75" s="146">
        <v>11440</v>
      </c>
      <c r="E75" s="91" t="s">
        <v>1219</v>
      </c>
      <c r="F75" s="93" t="s">
        <v>1220</v>
      </c>
      <c r="G75" s="141" t="s">
        <v>563</v>
      </c>
      <c r="H75" s="142">
        <v>2022</v>
      </c>
      <c r="I75" s="143" t="s">
        <v>2518</v>
      </c>
      <c r="J75" s="170">
        <v>1</v>
      </c>
      <c r="K75" s="50">
        <v>0</v>
      </c>
      <c r="L75" s="49">
        <v>22230011</v>
      </c>
      <c r="M75" s="171" t="s">
        <v>200</v>
      </c>
      <c r="N75" s="104" t="s">
        <v>763</v>
      </c>
      <c r="O75" s="161">
        <v>40144</v>
      </c>
      <c r="P75" s="105">
        <v>40144</v>
      </c>
      <c r="Q75" s="162" t="s">
        <v>633</v>
      </c>
      <c r="R75" s="44" t="s">
        <v>1221</v>
      </c>
      <c r="S75" s="172" t="s">
        <v>201</v>
      </c>
      <c r="T75" s="88" t="s">
        <v>1173</v>
      </c>
      <c r="U75" s="173">
        <v>74712</v>
      </c>
      <c r="V75" s="8" t="s">
        <v>2726</v>
      </c>
      <c r="W75" s="61" t="s">
        <v>763</v>
      </c>
      <c r="X75" s="61" t="s">
        <v>763</v>
      </c>
      <c r="Y75" s="160" t="s">
        <v>2858</v>
      </c>
      <c r="Z75" s="164" t="s">
        <v>3262</v>
      </c>
      <c r="AA75" s="176" t="s">
        <v>2727</v>
      </c>
      <c r="AB75" s="174"/>
      <c r="AC75" s="88" t="s">
        <v>1223</v>
      </c>
      <c r="AD75" s="287" t="s">
        <v>201</v>
      </c>
      <c r="AE75" s="103" t="s">
        <v>24</v>
      </c>
      <c r="AF75" s="114" t="s">
        <v>276</v>
      </c>
      <c r="AG75" s="288" t="s">
        <v>564</v>
      </c>
      <c r="AH75" s="104"/>
      <c r="AI75" s="286"/>
      <c r="AJ75" s="85" t="s">
        <v>1224</v>
      </c>
      <c r="AK75" s="287" t="s">
        <v>201</v>
      </c>
      <c r="AL75" s="290" t="s">
        <v>220</v>
      </c>
      <c r="AM75" s="291" t="s">
        <v>22</v>
      </c>
      <c r="AN75" s="291"/>
      <c r="AO75" s="289" t="s">
        <v>409</v>
      </c>
      <c r="AP75" s="290"/>
      <c r="AQ75" s="242" t="s">
        <v>1225</v>
      </c>
      <c r="AR75" s="242" t="s">
        <v>1226</v>
      </c>
      <c r="AS75" s="87" t="s">
        <v>78</v>
      </c>
      <c r="AT75" s="243">
        <v>31079</v>
      </c>
      <c r="AU75" s="243"/>
      <c r="AV75" s="242" t="s">
        <v>1227</v>
      </c>
      <c r="AW75" s="242" t="s">
        <v>37</v>
      </c>
      <c r="AX75" s="243">
        <v>31313</v>
      </c>
      <c r="AY75" s="177"/>
      <c r="AZ75" s="291"/>
      <c r="BA75" s="287" t="s">
        <v>201</v>
      </c>
      <c r="BB75" s="290"/>
      <c r="BC75" s="291"/>
      <c r="BD75" s="291"/>
      <c r="BE75" s="290"/>
      <c r="BF75" s="292"/>
      <c r="BG75" s="293"/>
      <c r="BH75" s="247" t="s">
        <v>3305</v>
      </c>
      <c r="BI75" s="248">
        <v>1329339</v>
      </c>
      <c r="BJ75" s="164" t="s">
        <v>3301</v>
      </c>
      <c r="BK75" s="164" t="s">
        <v>3302</v>
      </c>
    </row>
    <row r="76" spans="1:63" s="54" customFormat="1" ht="52.5" customHeight="1" thickBot="1">
      <c r="A76" s="54">
        <v>16</v>
      </c>
      <c r="B76" s="18" t="s">
        <v>127</v>
      </c>
      <c r="C76" s="16" t="s">
        <v>131</v>
      </c>
      <c r="D76" s="140">
        <v>11385</v>
      </c>
      <c r="E76" s="91" t="s">
        <v>1149</v>
      </c>
      <c r="F76" s="93" t="s">
        <v>1150</v>
      </c>
      <c r="G76" s="141" t="s">
        <v>563</v>
      </c>
      <c r="H76" s="142">
        <v>2022</v>
      </c>
      <c r="I76" s="143" t="s">
        <v>2519</v>
      </c>
      <c r="J76" s="170">
        <v>1</v>
      </c>
      <c r="K76" s="50">
        <v>2</v>
      </c>
      <c r="L76" s="49">
        <v>22230094</v>
      </c>
      <c r="M76" s="171" t="s">
        <v>200</v>
      </c>
      <c r="N76" s="56" t="s">
        <v>52</v>
      </c>
      <c r="O76" s="161">
        <v>40264</v>
      </c>
      <c r="P76" s="163">
        <v>40264</v>
      </c>
      <c r="Q76" s="162" t="s">
        <v>1083</v>
      </c>
      <c r="R76" s="44" t="s">
        <v>1151</v>
      </c>
      <c r="S76" s="172" t="s">
        <v>201</v>
      </c>
      <c r="T76" s="164" t="s">
        <v>2670</v>
      </c>
      <c r="U76" s="173">
        <v>55562</v>
      </c>
      <c r="V76" s="8" t="s">
        <v>2859</v>
      </c>
      <c r="W76" s="61" t="s">
        <v>2860</v>
      </c>
      <c r="X76" s="61" t="s">
        <v>52</v>
      </c>
      <c r="Y76" s="160" t="s">
        <v>20</v>
      </c>
      <c r="Z76" s="164" t="s">
        <v>3262</v>
      </c>
      <c r="AA76" s="176" t="s">
        <v>2861</v>
      </c>
      <c r="AB76" s="174"/>
      <c r="AC76" s="88" t="s">
        <v>1153</v>
      </c>
      <c r="AD76" s="287" t="s">
        <v>201</v>
      </c>
      <c r="AE76" s="103" t="s">
        <v>30</v>
      </c>
      <c r="AF76" s="114" t="s">
        <v>22</v>
      </c>
      <c r="AG76" s="288" t="s">
        <v>564</v>
      </c>
      <c r="AH76" s="104" t="s">
        <v>488</v>
      </c>
      <c r="AI76" s="286"/>
      <c r="AJ76" s="85" t="s">
        <v>1154</v>
      </c>
      <c r="AK76" s="287" t="s">
        <v>201</v>
      </c>
      <c r="AL76" s="290" t="s">
        <v>21</v>
      </c>
      <c r="AM76" s="291" t="s">
        <v>1155</v>
      </c>
      <c r="AN76" s="291"/>
      <c r="AO76" s="289"/>
      <c r="AP76" s="290"/>
      <c r="AQ76" s="242" t="s">
        <v>1156</v>
      </c>
      <c r="AR76" s="242" t="s">
        <v>1157</v>
      </c>
      <c r="AS76" s="87" t="s">
        <v>52</v>
      </c>
      <c r="AT76" s="243">
        <v>29981</v>
      </c>
      <c r="AU76" s="243"/>
      <c r="AV76" s="242" t="s">
        <v>1158</v>
      </c>
      <c r="AW76" s="242" t="s">
        <v>52</v>
      </c>
      <c r="AX76" s="243">
        <v>31857</v>
      </c>
      <c r="AY76" s="177"/>
      <c r="AZ76" s="291"/>
      <c r="BA76" s="287" t="s">
        <v>201</v>
      </c>
      <c r="BB76" s="290"/>
      <c r="BC76" s="291"/>
      <c r="BD76" s="291"/>
      <c r="BE76" s="290"/>
      <c r="BF76" s="292"/>
      <c r="BG76" s="293"/>
      <c r="BH76" s="247" t="s">
        <v>3305</v>
      </c>
      <c r="BI76" s="248">
        <v>1329339</v>
      </c>
      <c r="BJ76" s="164" t="s">
        <v>3301</v>
      </c>
      <c r="BK76" s="164" t="s">
        <v>3302</v>
      </c>
    </row>
    <row r="77" spans="1:63" s="54" customFormat="1" ht="52.5" customHeight="1" thickBot="1">
      <c r="A77" s="54">
        <v>17</v>
      </c>
      <c r="B77" s="14" t="s">
        <v>130</v>
      </c>
      <c r="C77" s="16" t="s">
        <v>131</v>
      </c>
      <c r="D77" s="147">
        <v>11394</v>
      </c>
      <c r="E77" s="98" t="s">
        <v>1159</v>
      </c>
      <c r="F77" s="93" t="s">
        <v>1160</v>
      </c>
      <c r="G77" s="141" t="s">
        <v>563</v>
      </c>
      <c r="H77" s="142">
        <v>2022</v>
      </c>
      <c r="I77" s="143" t="s">
        <v>2520</v>
      </c>
      <c r="J77" s="170">
        <v>1</v>
      </c>
      <c r="K77" s="50">
        <v>1</v>
      </c>
      <c r="L77" s="49">
        <v>22230237</v>
      </c>
      <c r="M77" s="171" t="s">
        <v>200</v>
      </c>
      <c r="N77" s="56" t="s">
        <v>82</v>
      </c>
      <c r="O77" s="161">
        <v>40141</v>
      </c>
      <c r="P77" s="163">
        <v>40141</v>
      </c>
      <c r="Q77" s="162" t="s">
        <v>1161</v>
      </c>
      <c r="R77" s="44" t="s">
        <v>1162</v>
      </c>
      <c r="S77" s="172" t="s">
        <v>201</v>
      </c>
      <c r="T77" s="164" t="s">
        <v>1740</v>
      </c>
      <c r="U77" s="173">
        <v>57452</v>
      </c>
      <c r="V77" s="8" t="s">
        <v>2862</v>
      </c>
      <c r="W77" s="61" t="s">
        <v>2863</v>
      </c>
      <c r="X77" s="61" t="s">
        <v>82</v>
      </c>
      <c r="Y77" s="160" t="s">
        <v>28</v>
      </c>
      <c r="Z77" s="164" t="s">
        <v>3262</v>
      </c>
      <c r="AA77" s="176" t="s">
        <v>2864</v>
      </c>
      <c r="AB77" s="174"/>
      <c r="AC77" s="88" t="s">
        <v>1164</v>
      </c>
      <c r="AD77" s="287" t="s">
        <v>201</v>
      </c>
      <c r="AE77" s="302" t="s">
        <v>21</v>
      </c>
      <c r="AF77" s="303" t="s">
        <v>22</v>
      </c>
      <c r="AG77" s="288" t="s">
        <v>564</v>
      </c>
      <c r="AH77" s="86"/>
      <c r="AI77" s="286"/>
      <c r="AJ77" s="85" t="s">
        <v>1165</v>
      </c>
      <c r="AK77" s="287" t="s">
        <v>201</v>
      </c>
      <c r="AL77" s="290" t="s">
        <v>21</v>
      </c>
      <c r="AM77" s="291" t="s">
        <v>490</v>
      </c>
      <c r="AN77" s="291"/>
      <c r="AO77" s="289"/>
      <c r="AP77" s="290"/>
      <c r="AQ77" s="242" t="s">
        <v>1166</v>
      </c>
      <c r="AR77" s="242" t="s">
        <v>1167</v>
      </c>
      <c r="AS77" s="87" t="s">
        <v>82</v>
      </c>
      <c r="AT77" s="243">
        <v>28620</v>
      </c>
      <c r="AU77" s="243"/>
      <c r="AV77" s="242" t="s">
        <v>1168</v>
      </c>
      <c r="AW77" s="242" t="s">
        <v>27</v>
      </c>
      <c r="AX77" s="243">
        <v>30940</v>
      </c>
      <c r="AY77" s="177"/>
      <c r="AZ77" s="291"/>
      <c r="BA77" s="287" t="s">
        <v>201</v>
      </c>
      <c r="BB77" s="290"/>
      <c r="BC77" s="291"/>
      <c r="BD77" s="291"/>
      <c r="BE77" s="290"/>
      <c r="BF77" s="292"/>
      <c r="BG77" s="293"/>
      <c r="BH77" s="247" t="s">
        <v>3305</v>
      </c>
      <c r="BI77" s="248">
        <v>1329339</v>
      </c>
      <c r="BJ77" s="164" t="s">
        <v>3301</v>
      </c>
      <c r="BK77" s="164" t="s">
        <v>3302</v>
      </c>
    </row>
    <row r="78" spans="1:63" s="54" customFormat="1" ht="52.5" customHeight="1" thickBot="1">
      <c r="A78" s="54">
        <v>18</v>
      </c>
      <c r="B78" s="13" t="s">
        <v>129</v>
      </c>
      <c r="C78" s="16" t="s">
        <v>131</v>
      </c>
      <c r="D78" s="146">
        <v>11401</v>
      </c>
      <c r="E78" s="91" t="s">
        <v>1169</v>
      </c>
      <c r="F78" s="93" t="s">
        <v>1170</v>
      </c>
      <c r="G78" s="141" t="s">
        <v>563</v>
      </c>
      <c r="H78" s="142">
        <v>2022</v>
      </c>
      <c r="I78" s="143" t="s">
        <v>2521</v>
      </c>
      <c r="J78" s="170">
        <v>1</v>
      </c>
      <c r="K78" s="50">
        <v>1</v>
      </c>
      <c r="L78" s="49">
        <v>22230225</v>
      </c>
      <c r="M78" s="171" t="s">
        <v>200</v>
      </c>
      <c r="N78" s="56" t="s">
        <v>53</v>
      </c>
      <c r="O78" s="161">
        <v>39810</v>
      </c>
      <c r="P78" s="163">
        <v>39810</v>
      </c>
      <c r="Q78" s="162" t="s">
        <v>1171</v>
      </c>
      <c r="R78" s="46" t="s">
        <v>1172</v>
      </c>
      <c r="S78" s="172" t="s">
        <v>201</v>
      </c>
      <c r="T78" s="164" t="s">
        <v>635</v>
      </c>
      <c r="U78" s="173">
        <v>55651</v>
      </c>
      <c r="V78" s="8" t="s">
        <v>2832</v>
      </c>
      <c r="W78" s="61" t="s">
        <v>2832</v>
      </c>
      <c r="X78" s="61" t="s">
        <v>53</v>
      </c>
      <c r="Y78" s="160" t="s">
        <v>20</v>
      </c>
      <c r="Z78" s="164" t="s">
        <v>3262</v>
      </c>
      <c r="AA78" s="176" t="s">
        <v>2865</v>
      </c>
      <c r="AB78" s="174"/>
      <c r="AC78" s="88" t="s">
        <v>1174</v>
      </c>
      <c r="AD78" s="287" t="s">
        <v>201</v>
      </c>
      <c r="AE78" s="103" t="s">
        <v>21</v>
      </c>
      <c r="AF78" s="114" t="s">
        <v>22</v>
      </c>
      <c r="AG78" s="288" t="s">
        <v>564</v>
      </c>
      <c r="AH78" s="104"/>
      <c r="AI78" s="286"/>
      <c r="AJ78" s="85" t="s">
        <v>2866</v>
      </c>
      <c r="AK78" s="287" t="s">
        <v>201</v>
      </c>
      <c r="AL78" s="290" t="s">
        <v>21</v>
      </c>
      <c r="AM78" s="291" t="s">
        <v>22</v>
      </c>
      <c r="AN78" s="291"/>
      <c r="AO78" s="289" t="s">
        <v>404</v>
      </c>
      <c r="AP78" s="290"/>
      <c r="AQ78" s="242" t="s">
        <v>1175</v>
      </c>
      <c r="AR78" s="242" t="s">
        <v>1176</v>
      </c>
      <c r="AS78" s="87" t="s">
        <v>53</v>
      </c>
      <c r="AT78" s="243">
        <v>27877</v>
      </c>
      <c r="AU78" s="243"/>
      <c r="AV78" s="242" t="s">
        <v>1177</v>
      </c>
      <c r="AW78" s="87" t="s">
        <v>53</v>
      </c>
      <c r="AX78" s="243">
        <v>28185</v>
      </c>
      <c r="AY78" s="177"/>
      <c r="AZ78" s="291"/>
      <c r="BA78" s="287" t="s">
        <v>201</v>
      </c>
      <c r="BB78" s="290"/>
      <c r="BC78" s="291"/>
      <c r="BD78" s="291"/>
      <c r="BE78" s="290"/>
      <c r="BF78" s="292"/>
      <c r="BG78" s="293"/>
      <c r="BH78" s="247" t="s">
        <v>3305</v>
      </c>
      <c r="BI78" s="248">
        <v>1329339</v>
      </c>
      <c r="BJ78" s="164" t="s">
        <v>3301</v>
      </c>
      <c r="BK78" s="164" t="s">
        <v>3302</v>
      </c>
    </row>
    <row r="79" spans="1:63" s="54" customFormat="1" ht="52.5" customHeight="1" thickBot="1">
      <c r="A79" s="54">
        <v>19</v>
      </c>
      <c r="B79" s="15" t="s">
        <v>77</v>
      </c>
      <c r="C79" s="16" t="s">
        <v>131</v>
      </c>
      <c r="D79" s="126">
        <v>11407</v>
      </c>
      <c r="E79" s="91" t="s">
        <v>615</v>
      </c>
      <c r="F79" s="93" t="s">
        <v>1179</v>
      </c>
      <c r="G79" s="141" t="s">
        <v>563</v>
      </c>
      <c r="H79" s="142">
        <v>2022</v>
      </c>
      <c r="I79" s="143" t="s">
        <v>2522</v>
      </c>
      <c r="J79" s="170">
        <v>4</v>
      </c>
      <c r="K79" s="50">
        <v>3</v>
      </c>
      <c r="L79" s="49">
        <v>22230177</v>
      </c>
      <c r="M79" s="171" t="s">
        <v>200</v>
      </c>
      <c r="N79" s="178" t="s">
        <v>65</v>
      </c>
      <c r="O79" s="161">
        <v>40119</v>
      </c>
      <c r="P79" s="179">
        <v>40119</v>
      </c>
      <c r="Q79" s="162" t="s">
        <v>2253</v>
      </c>
      <c r="R79" s="44" t="s">
        <v>2254</v>
      </c>
      <c r="S79" s="172" t="s">
        <v>201</v>
      </c>
      <c r="T79" s="165" t="s">
        <v>1182</v>
      </c>
      <c r="U79" s="173">
        <v>17421</v>
      </c>
      <c r="V79" s="8" t="s">
        <v>2867</v>
      </c>
      <c r="W79" s="61" t="s">
        <v>2868</v>
      </c>
      <c r="X79" s="61" t="s">
        <v>65</v>
      </c>
      <c r="Y79" s="160" t="s">
        <v>39</v>
      </c>
      <c r="Z79" s="164" t="s">
        <v>3262</v>
      </c>
      <c r="AA79" s="176"/>
      <c r="AB79" s="174"/>
      <c r="AC79" s="85" t="s">
        <v>2256</v>
      </c>
      <c r="AD79" s="287" t="s">
        <v>201</v>
      </c>
      <c r="AE79" s="302" t="s">
        <v>21</v>
      </c>
      <c r="AF79" s="303" t="s">
        <v>153</v>
      </c>
      <c r="AG79" s="288" t="s">
        <v>564</v>
      </c>
      <c r="AH79" s="86" t="s">
        <v>285</v>
      </c>
      <c r="AI79" s="286"/>
      <c r="AJ79" s="85" t="s">
        <v>2257</v>
      </c>
      <c r="AK79" s="287" t="s">
        <v>201</v>
      </c>
      <c r="AL79" s="314" t="s">
        <v>21</v>
      </c>
      <c r="AM79" s="85" t="s">
        <v>490</v>
      </c>
      <c r="AN79" s="288"/>
      <c r="AO79" s="289"/>
      <c r="AP79" s="290"/>
      <c r="AQ79" s="242" t="s">
        <v>2258</v>
      </c>
      <c r="AR79" s="365" t="s">
        <v>2259</v>
      </c>
      <c r="AS79" s="364" t="s">
        <v>26</v>
      </c>
      <c r="AT79" s="363">
        <v>26736</v>
      </c>
      <c r="AU79" s="243"/>
      <c r="AV79" s="242" t="s">
        <v>2260</v>
      </c>
      <c r="AW79" s="242" t="s">
        <v>26</v>
      </c>
      <c r="AX79" s="243">
        <v>26554</v>
      </c>
      <c r="AY79" s="177"/>
      <c r="AZ79" s="291"/>
      <c r="BA79" s="287" t="s">
        <v>201</v>
      </c>
      <c r="BB79" s="290"/>
      <c r="BC79" s="291"/>
      <c r="BD79" s="291"/>
      <c r="BE79" s="290"/>
      <c r="BF79" s="292"/>
      <c r="BG79" s="293"/>
      <c r="BH79" s="247" t="s">
        <v>3305</v>
      </c>
      <c r="BI79" s="248">
        <v>1329339</v>
      </c>
      <c r="BJ79" s="164" t="s">
        <v>3301</v>
      </c>
      <c r="BK79" s="164" t="s">
        <v>3302</v>
      </c>
    </row>
    <row r="80" spans="1:63" s="54" customFormat="1" ht="52.5" customHeight="1" thickBot="1">
      <c r="A80" s="54">
        <v>20</v>
      </c>
      <c r="B80" s="16" t="s">
        <v>131</v>
      </c>
      <c r="C80" s="16" t="s">
        <v>131</v>
      </c>
      <c r="D80" s="140">
        <v>11418</v>
      </c>
      <c r="E80" s="91" t="s">
        <v>2432</v>
      </c>
      <c r="F80" s="93" t="s">
        <v>1190</v>
      </c>
      <c r="G80" s="141" t="s">
        <v>563</v>
      </c>
      <c r="H80" s="142">
        <v>2022</v>
      </c>
      <c r="I80" s="143" t="s">
        <v>2523</v>
      </c>
      <c r="J80" s="170">
        <v>2</v>
      </c>
      <c r="K80" s="50">
        <v>1</v>
      </c>
      <c r="L80" s="49">
        <v>22230200</v>
      </c>
      <c r="M80" s="171" t="s">
        <v>200</v>
      </c>
      <c r="N80" s="178" t="s">
        <v>52</v>
      </c>
      <c r="O80" s="161">
        <v>40335</v>
      </c>
      <c r="P80" s="179">
        <v>40335</v>
      </c>
      <c r="Q80" s="162" t="s">
        <v>1191</v>
      </c>
      <c r="R80" s="44" t="s">
        <v>1192</v>
      </c>
      <c r="S80" s="172" t="s">
        <v>201</v>
      </c>
      <c r="T80" s="55" t="s">
        <v>955</v>
      </c>
      <c r="U80" s="55">
        <v>55252</v>
      </c>
      <c r="V80" s="55" t="s">
        <v>2795</v>
      </c>
      <c r="W80" s="55" t="s">
        <v>2795</v>
      </c>
      <c r="X80" s="164" t="s">
        <v>279</v>
      </c>
      <c r="Y80" s="55" t="s">
        <v>20</v>
      </c>
      <c r="Z80" s="164" t="s">
        <v>3262</v>
      </c>
      <c r="AA80" s="53" t="s">
        <v>2796</v>
      </c>
      <c r="AB80" s="174"/>
      <c r="AC80" s="139" t="s">
        <v>1194</v>
      </c>
      <c r="AD80" s="139" t="s">
        <v>201</v>
      </c>
      <c r="AE80" s="139" t="s">
        <v>21</v>
      </c>
      <c r="AF80" s="139" t="s">
        <v>154</v>
      </c>
      <c r="AG80" s="288" t="s">
        <v>564</v>
      </c>
      <c r="AH80" s="333" t="s">
        <v>505</v>
      </c>
      <c r="AI80" s="139"/>
      <c r="AJ80" s="305" t="s">
        <v>1195</v>
      </c>
      <c r="AK80" s="287" t="s">
        <v>201</v>
      </c>
      <c r="AL80" s="139" t="s">
        <v>21</v>
      </c>
      <c r="AM80" s="293" t="s">
        <v>154</v>
      </c>
      <c r="AN80" s="139"/>
      <c r="AO80" s="139"/>
      <c r="AP80" s="290"/>
      <c r="AQ80" s="242" t="s">
        <v>1196</v>
      </c>
      <c r="AR80" s="242" t="s">
        <v>1197</v>
      </c>
      <c r="AS80" s="87" t="s">
        <v>87</v>
      </c>
      <c r="AT80" s="243">
        <v>28192</v>
      </c>
      <c r="AU80" s="243"/>
      <c r="AV80" s="242" t="s">
        <v>1198</v>
      </c>
      <c r="AW80" s="242" t="s">
        <v>1199</v>
      </c>
      <c r="AX80" s="243">
        <v>28292</v>
      </c>
      <c r="AY80" s="177"/>
      <c r="AZ80" s="291"/>
      <c r="BA80" s="287" t="s">
        <v>201</v>
      </c>
      <c r="BB80" s="290"/>
      <c r="BC80" s="291"/>
      <c r="BD80" s="291"/>
      <c r="BE80" s="290"/>
      <c r="BF80" s="292"/>
      <c r="BG80" s="293"/>
      <c r="BH80" s="247" t="s">
        <v>3305</v>
      </c>
      <c r="BI80" s="248">
        <v>1329339</v>
      </c>
      <c r="BJ80" s="164" t="s">
        <v>3301</v>
      </c>
      <c r="BK80" s="164" t="s">
        <v>3302</v>
      </c>
    </row>
    <row r="81" spans="1:63" s="54" customFormat="1" ht="52.5" customHeight="1" thickBot="1">
      <c r="A81" s="54">
        <v>21</v>
      </c>
      <c r="B81" s="11" t="s">
        <v>126</v>
      </c>
      <c r="C81" s="16" t="s">
        <v>131</v>
      </c>
      <c r="D81" s="147">
        <v>11421</v>
      </c>
      <c r="E81" s="91" t="s">
        <v>1200</v>
      </c>
      <c r="F81" s="93" t="s">
        <v>1201</v>
      </c>
      <c r="G81" s="141" t="s">
        <v>563</v>
      </c>
      <c r="H81" s="142">
        <v>2022</v>
      </c>
      <c r="I81" s="143" t="s">
        <v>2524</v>
      </c>
      <c r="J81" s="170">
        <v>4</v>
      </c>
      <c r="K81" s="50">
        <v>4</v>
      </c>
      <c r="L81" s="49">
        <v>22230077</v>
      </c>
      <c r="M81" s="171" t="s">
        <v>200</v>
      </c>
      <c r="N81" s="104" t="s">
        <v>149</v>
      </c>
      <c r="O81" s="161" t="str">
        <f>P81:P372</f>
        <v>01/15/20210</v>
      </c>
      <c r="P81" s="105" t="s">
        <v>2869</v>
      </c>
      <c r="Q81" s="162" t="s">
        <v>1202</v>
      </c>
      <c r="R81" s="44" t="s">
        <v>1203</v>
      </c>
      <c r="S81" s="172" t="s">
        <v>201</v>
      </c>
      <c r="T81" s="88" t="s">
        <v>2671</v>
      </c>
      <c r="U81" s="173">
        <v>53371</v>
      </c>
      <c r="V81" s="8" t="s">
        <v>2870</v>
      </c>
      <c r="W81" s="61" t="s">
        <v>2871</v>
      </c>
      <c r="X81" s="61" t="s">
        <v>93</v>
      </c>
      <c r="Y81" s="160" t="s">
        <v>2871</v>
      </c>
      <c r="Z81" s="164" t="s">
        <v>3262</v>
      </c>
      <c r="AA81" s="176" t="s">
        <v>2872</v>
      </c>
      <c r="AB81" s="174"/>
      <c r="AC81" s="88" t="s">
        <v>1205</v>
      </c>
      <c r="AD81" s="287" t="s">
        <v>201</v>
      </c>
      <c r="AE81" s="103" t="s">
        <v>21</v>
      </c>
      <c r="AF81" s="114" t="s">
        <v>153</v>
      </c>
      <c r="AG81" s="288" t="s">
        <v>564</v>
      </c>
      <c r="AH81" s="104" t="s">
        <v>426</v>
      </c>
      <c r="AI81" s="315"/>
      <c r="AJ81" s="85" t="s">
        <v>1206</v>
      </c>
      <c r="AK81" s="287" t="s">
        <v>201</v>
      </c>
      <c r="AL81" s="290" t="s">
        <v>24</v>
      </c>
      <c r="AM81" s="291" t="s">
        <v>490</v>
      </c>
      <c r="AN81" s="291"/>
      <c r="AO81" s="86"/>
      <c r="AP81" s="290"/>
      <c r="AQ81" s="242" t="s">
        <v>1207</v>
      </c>
      <c r="AR81" s="242" t="s">
        <v>1208</v>
      </c>
      <c r="AS81" s="87" t="s">
        <v>93</v>
      </c>
      <c r="AT81" s="243">
        <v>26329</v>
      </c>
      <c r="AU81" s="243"/>
      <c r="AV81" s="242" t="s">
        <v>1209</v>
      </c>
      <c r="AW81" s="242" t="s">
        <v>47</v>
      </c>
      <c r="AX81" s="243">
        <v>28655</v>
      </c>
      <c r="AY81" s="177"/>
      <c r="AZ81" s="291"/>
      <c r="BA81" s="287" t="s">
        <v>201</v>
      </c>
      <c r="BB81" s="290"/>
      <c r="BC81" s="291"/>
      <c r="BD81" s="291"/>
      <c r="BE81" s="290"/>
      <c r="BF81" s="292"/>
      <c r="BG81" s="293"/>
      <c r="BH81" s="247" t="s">
        <v>3305</v>
      </c>
      <c r="BI81" s="248">
        <v>1329339</v>
      </c>
      <c r="BJ81" s="164" t="s">
        <v>3301</v>
      </c>
      <c r="BK81" s="164" t="s">
        <v>3302</v>
      </c>
    </row>
    <row r="82" spans="1:63" s="54" customFormat="1" ht="52.5" customHeight="1" thickBot="1">
      <c r="A82" s="54">
        <v>22</v>
      </c>
      <c r="B82" s="16" t="s">
        <v>131</v>
      </c>
      <c r="C82" s="16" t="s">
        <v>131</v>
      </c>
      <c r="D82" s="140">
        <v>11435</v>
      </c>
      <c r="E82" s="91" t="s">
        <v>1210</v>
      </c>
      <c r="F82" s="93" t="s">
        <v>1211</v>
      </c>
      <c r="G82" s="141" t="s">
        <v>563</v>
      </c>
      <c r="H82" s="142">
        <v>2022</v>
      </c>
      <c r="I82" s="143" t="s">
        <v>2525</v>
      </c>
      <c r="J82" s="170">
        <v>1</v>
      </c>
      <c r="K82" s="50">
        <v>2</v>
      </c>
      <c r="L82" s="49">
        <v>22230092</v>
      </c>
      <c r="M82" s="171" t="s">
        <v>200</v>
      </c>
      <c r="N82" s="178" t="s">
        <v>66</v>
      </c>
      <c r="O82" s="161">
        <v>40226</v>
      </c>
      <c r="P82" s="179">
        <v>40226</v>
      </c>
      <c r="Q82" s="162" t="s">
        <v>1212</v>
      </c>
      <c r="R82" s="44" t="s">
        <v>1213</v>
      </c>
      <c r="S82" s="172" t="s">
        <v>201</v>
      </c>
      <c r="T82" s="165" t="s">
        <v>694</v>
      </c>
      <c r="U82" s="204">
        <v>61177</v>
      </c>
      <c r="V82" s="206" t="s">
        <v>2873</v>
      </c>
      <c r="W82" s="186" t="s">
        <v>2874</v>
      </c>
      <c r="X82" s="186" t="s">
        <v>50</v>
      </c>
      <c r="Y82" s="207" t="s">
        <v>38</v>
      </c>
      <c r="Z82" s="164" t="s">
        <v>3262</v>
      </c>
      <c r="AA82" s="176" t="s">
        <v>2875</v>
      </c>
      <c r="AB82" s="174"/>
      <c r="AC82" s="85" t="s">
        <v>1214</v>
      </c>
      <c r="AD82" s="287" t="s">
        <v>201</v>
      </c>
      <c r="AE82" s="302" t="s">
        <v>21</v>
      </c>
      <c r="AF82" s="303" t="s">
        <v>155</v>
      </c>
      <c r="AG82" s="288" t="s">
        <v>564</v>
      </c>
      <c r="AH82" s="86" t="s">
        <v>264</v>
      </c>
      <c r="AI82" s="286"/>
      <c r="AJ82" s="85" t="s">
        <v>1215</v>
      </c>
      <c r="AK82" s="287" t="s">
        <v>201</v>
      </c>
      <c r="AL82" s="314" t="s">
        <v>21</v>
      </c>
      <c r="AM82" s="85" t="s">
        <v>490</v>
      </c>
      <c r="AN82" s="288"/>
      <c r="AO82" s="289"/>
      <c r="AP82" s="290"/>
      <c r="AQ82" s="242" t="s">
        <v>1216</v>
      </c>
      <c r="AR82" s="242" t="s">
        <v>1217</v>
      </c>
      <c r="AS82" s="87" t="s">
        <v>50</v>
      </c>
      <c r="AT82" s="243">
        <v>30866</v>
      </c>
      <c r="AU82" s="243"/>
      <c r="AV82" s="242" t="s">
        <v>1218</v>
      </c>
      <c r="AW82" s="242" t="s">
        <v>46</v>
      </c>
      <c r="AX82" s="243">
        <v>31341</v>
      </c>
      <c r="AY82" s="177"/>
      <c r="AZ82" s="291"/>
      <c r="BA82" s="287" t="s">
        <v>201</v>
      </c>
      <c r="BB82" s="290"/>
      <c r="BC82" s="291"/>
      <c r="BD82" s="291"/>
      <c r="BE82" s="290"/>
      <c r="BF82" s="292"/>
      <c r="BG82" s="293"/>
      <c r="BH82" s="247" t="s">
        <v>3305</v>
      </c>
      <c r="BI82" s="248">
        <v>1329339</v>
      </c>
      <c r="BJ82" s="164" t="s">
        <v>3301</v>
      </c>
      <c r="BK82" s="164" t="s">
        <v>3302</v>
      </c>
    </row>
    <row r="83" spans="1:63" s="54" customFormat="1" ht="52.5" customHeight="1" thickBot="1">
      <c r="A83" s="54">
        <v>23</v>
      </c>
      <c r="B83" s="16" t="s">
        <v>131</v>
      </c>
      <c r="C83" s="16" t="s">
        <v>131</v>
      </c>
      <c r="D83" s="140">
        <v>11447</v>
      </c>
      <c r="E83" s="91" t="s">
        <v>2433</v>
      </c>
      <c r="F83" s="93" t="s">
        <v>1228</v>
      </c>
      <c r="G83" s="141" t="s">
        <v>563</v>
      </c>
      <c r="H83" s="142">
        <v>2022</v>
      </c>
      <c r="I83" s="143" t="s">
        <v>2526</v>
      </c>
      <c r="J83" s="170">
        <v>1</v>
      </c>
      <c r="K83" s="50">
        <v>1</v>
      </c>
      <c r="L83" s="49">
        <v>22230135</v>
      </c>
      <c r="M83" s="171" t="s">
        <v>200</v>
      </c>
      <c r="N83" s="178" t="s">
        <v>52</v>
      </c>
      <c r="O83" s="161">
        <v>39776</v>
      </c>
      <c r="P83" s="179">
        <v>39776</v>
      </c>
      <c r="Q83" s="162" t="s">
        <v>1229</v>
      </c>
      <c r="R83" s="44" t="s">
        <v>1230</v>
      </c>
      <c r="S83" s="172" t="s">
        <v>201</v>
      </c>
      <c r="T83" s="165" t="s">
        <v>1240</v>
      </c>
      <c r="U83" s="173">
        <v>55791</v>
      </c>
      <c r="V83" s="8" t="s">
        <v>2876</v>
      </c>
      <c r="W83" s="61" t="s">
        <v>2877</v>
      </c>
      <c r="X83" s="61" t="s">
        <v>19</v>
      </c>
      <c r="Y83" s="160" t="s">
        <v>20</v>
      </c>
      <c r="Z83" s="164" t="s">
        <v>3262</v>
      </c>
      <c r="AA83" s="176" t="s">
        <v>2730</v>
      </c>
      <c r="AB83" s="174"/>
      <c r="AC83" s="85" t="s">
        <v>1232</v>
      </c>
      <c r="AD83" s="287" t="s">
        <v>201</v>
      </c>
      <c r="AE83" s="321" t="s">
        <v>21</v>
      </c>
      <c r="AF83" s="303" t="s">
        <v>153</v>
      </c>
      <c r="AG83" s="288" t="s">
        <v>564</v>
      </c>
      <c r="AH83" s="86" t="s">
        <v>266</v>
      </c>
      <c r="AI83" s="286"/>
      <c r="AJ83" s="85" t="s">
        <v>1233</v>
      </c>
      <c r="AK83" s="287" t="s">
        <v>201</v>
      </c>
      <c r="AL83" s="314" t="s">
        <v>24</v>
      </c>
      <c r="AM83" s="85" t="s">
        <v>490</v>
      </c>
      <c r="AN83" s="288"/>
      <c r="AO83" s="86"/>
      <c r="AP83" s="290"/>
      <c r="AQ83" s="242" t="s">
        <v>1234</v>
      </c>
      <c r="AR83" s="242" t="s">
        <v>1235</v>
      </c>
      <c r="AS83" s="87" t="s">
        <v>60</v>
      </c>
      <c r="AT83" s="243">
        <v>31410</v>
      </c>
      <c r="AU83" s="243"/>
      <c r="AV83" s="242" t="s">
        <v>1236</v>
      </c>
      <c r="AW83" s="242" t="s">
        <v>26</v>
      </c>
      <c r="AX83" s="243">
        <v>30837</v>
      </c>
      <c r="AY83" s="177"/>
      <c r="AZ83" s="291"/>
      <c r="BA83" s="287" t="s">
        <v>201</v>
      </c>
      <c r="BB83" s="290"/>
      <c r="BC83" s="291"/>
      <c r="BD83" s="291"/>
      <c r="BE83" s="290"/>
      <c r="BF83" s="292"/>
      <c r="BG83" s="293"/>
      <c r="BH83" s="247" t="s">
        <v>3305</v>
      </c>
      <c r="BI83" s="248">
        <v>1329339</v>
      </c>
      <c r="BJ83" s="164" t="s">
        <v>3301</v>
      </c>
      <c r="BK83" s="164" t="s">
        <v>3302</v>
      </c>
    </row>
    <row r="84" spans="1:63" s="54" customFormat="1" ht="52.5" customHeight="1" thickBot="1">
      <c r="A84" s="54">
        <v>24</v>
      </c>
      <c r="B84" s="16" t="s">
        <v>131</v>
      </c>
      <c r="C84" s="16" t="s">
        <v>131</v>
      </c>
      <c r="D84" s="140">
        <v>11451</v>
      </c>
      <c r="E84" s="91" t="s">
        <v>1237</v>
      </c>
      <c r="F84" s="93" t="s">
        <v>1238</v>
      </c>
      <c r="G84" s="141" t="s">
        <v>563</v>
      </c>
      <c r="H84" s="142">
        <v>2022</v>
      </c>
      <c r="I84" s="143" t="s">
        <v>2527</v>
      </c>
      <c r="J84" s="170">
        <v>1</v>
      </c>
      <c r="K84" s="50">
        <v>2</v>
      </c>
      <c r="L84" s="49">
        <v>22230081</v>
      </c>
      <c r="M84" s="171" t="s">
        <v>200</v>
      </c>
      <c r="N84" s="178" t="s">
        <v>940</v>
      </c>
      <c r="O84" s="161">
        <v>40271</v>
      </c>
      <c r="P84" s="179">
        <v>40271</v>
      </c>
      <c r="Q84" s="162" t="s">
        <v>760</v>
      </c>
      <c r="R84" s="44" t="s">
        <v>1239</v>
      </c>
      <c r="S84" s="172" t="s">
        <v>201</v>
      </c>
      <c r="T84" s="165" t="s">
        <v>1249</v>
      </c>
      <c r="U84" s="173">
        <v>61263</v>
      </c>
      <c r="V84" s="8" t="s">
        <v>2878</v>
      </c>
      <c r="W84" s="61" t="s">
        <v>2879</v>
      </c>
      <c r="X84" s="61" t="s">
        <v>66</v>
      </c>
      <c r="Y84" s="160" t="s">
        <v>38</v>
      </c>
      <c r="Z84" s="164" t="s">
        <v>3262</v>
      </c>
      <c r="AA84" s="176" t="s">
        <v>2793</v>
      </c>
      <c r="AB84" s="174"/>
      <c r="AC84" s="85" t="s">
        <v>1241</v>
      </c>
      <c r="AD84" s="287" t="s">
        <v>201</v>
      </c>
      <c r="AE84" s="103" t="s">
        <v>21</v>
      </c>
      <c r="AF84" s="114" t="s">
        <v>276</v>
      </c>
      <c r="AG84" s="288" t="s">
        <v>564</v>
      </c>
      <c r="AH84" s="100"/>
      <c r="AI84" s="286"/>
      <c r="AJ84" s="85" t="s">
        <v>2880</v>
      </c>
      <c r="AK84" s="287" t="s">
        <v>201</v>
      </c>
      <c r="AL84" s="334" t="s">
        <v>21</v>
      </c>
      <c r="AM84" s="334" t="s">
        <v>22</v>
      </c>
      <c r="AN84" s="335"/>
      <c r="AO84" s="336" t="s">
        <v>267</v>
      </c>
      <c r="AP84" s="290"/>
      <c r="AQ84" s="242" t="s">
        <v>1242</v>
      </c>
      <c r="AR84" s="242" t="s">
        <v>1243</v>
      </c>
      <c r="AS84" s="87" t="s">
        <v>46</v>
      </c>
      <c r="AT84" s="243">
        <v>28297</v>
      </c>
      <c r="AU84" s="243"/>
      <c r="AV84" s="242" t="s">
        <v>1244</v>
      </c>
      <c r="AW84" s="242" t="s">
        <v>66</v>
      </c>
      <c r="AX84" s="243">
        <v>30724</v>
      </c>
      <c r="AY84" s="177"/>
      <c r="AZ84" s="291"/>
      <c r="BA84" s="287" t="s">
        <v>201</v>
      </c>
      <c r="BB84" s="290"/>
      <c r="BC84" s="291"/>
      <c r="BD84" s="291"/>
      <c r="BE84" s="290"/>
      <c r="BF84" s="292"/>
      <c r="BG84" s="293"/>
      <c r="BH84" s="247" t="s">
        <v>3305</v>
      </c>
      <c r="BI84" s="248">
        <v>1329339</v>
      </c>
      <c r="BJ84" s="164" t="s">
        <v>3301</v>
      </c>
      <c r="BK84" s="164" t="s">
        <v>3302</v>
      </c>
    </row>
    <row r="85" spans="1:63" s="54" customFormat="1" ht="52.5" customHeight="1" thickBot="1">
      <c r="A85" s="54">
        <v>25</v>
      </c>
      <c r="B85" s="16" t="s">
        <v>131</v>
      </c>
      <c r="C85" s="16" t="s">
        <v>131</v>
      </c>
      <c r="D85" s="140">
        <v>11453</v>
      </c>
      <c r="E85" s="98" t="s">
        <v>1245</v>
      </c>
      <c r="F85" s="93" t="s">
        <v>1246</v>
      </c>
      <c r="G85" s="141" t="s">
        <v>563</v>
      </c>
      <c r="H85" s="142">
        <v>2022</v>
      </c>
      <c r="I85" s="143" t="s">
        <v>2528</v>
      </c>
      <c r="J85" s="170">
        <v>3</v>
      </c>
      <c r="K85" s="50">
        <v>4</v>
      </c>
      <c r="L85" s="49">
        <v>22230113</v>
      </c>
      <c r="M85" s="171" t="s">
        <v>200</v>
      </c>
      <c r="N85" s="178" t="s">
        <v>68</v>
      </c>
      <c r="O85" s="161">
        <v>40169</v>
      </c>
      <c r="P85" s="179">
        <v>40169</v>
      </c>
      <c r="Q85" s="162" t="s">
        <v>1247</v>
      </c>
      <c r="R85" s="44" t="s">
        <v>1248</v>
      </c>
      <c r="S85" s="172" t="s">
        <v>201</v>
      </c>
      <c r="T85" s="165" t="s">
        <v>974</v>
      </c>
      <c r="U85" s="173">
        <v>56153</v>
      </c>
      <c r="V85" s="8" t="s">
        <v>2881</v>
      </c>
      <c r="W85" s="61" t="s">
        <v>2882</v>
      </c>
      <c r="X85" s="61" t="s">
        <v>68</v>
      </c>
      <c r="Y85" s="160" t="s">
        <v>28</v>
      </c>
      <c r="Z85" s="164" t="s">
        <v>3262</v>
      </c>
      <c r="AA85" s="176" t="s">
        <v>2883</v>
      </c>
      <c r="AB85" s="174"/>
      <c r="AC85" s="85" t="s">
        <v>1250</v>
      </c>
      <c r="AD85" s="287" t="s">
        <v>201</v>
      </c>
      <c r="AE85" s="331" t="s">
        <v>24</v>
      </c>
      <c r="AF85" s="332" t="s">
        <v>154</v>
      </c>
      <c r="AG85" s="304" t="s">
        <v>566</v>
      </c>
      <c r="AH85" s="86" t="s">
        <v>268</v>
      </c>
      <c r="AI85" s="286"/>
      <c r="AJ85" s="85" t="s">
        <v>1251</v>
      </c>
      <c r="AK85" s="301" t="s">
        <v>201</v>
      </c>
      <c r="AL85" s="293" t="s">
        <v>24</v>
      </c>
      <c r="AM85" s="293" t="s">
        <v>1252</v>
      </c>
      <c r="AN85" s="293"/>
      <c r="AO85" s="293"/>
      <c r="AP85" s="337"/>
      <c r="AQ85" s="242" t="s">
        <v>1253</v>
      </c>
      <c r="AR85" s="242" t="s">
        <v>1254</v>
      </c>
      <c r="AS85" s="87" t="s">
        <v>68</v>
      </c>
      <c r="AT85" s="243">
        <v>26207</v>
      </c>
      <c r="AU85" s="243"/>
      <c r="AV85" s="242" t="s">
        <v>1255</v>
      </c>
      <c r="AW85" s="242" t="s">
        <v>727</v>
      </c>
      <c r="AX85" s="243">
        <v>29496</v>
      </c>
      <c r="AY85" s="177"/>
      <c r="AZ85" s="291"/>
      <c r="BA85" s="287" t="s">
        <v>201</v>
      </c>
      <c r="BB85" s="290"/>
      <c r="BC85" s="291"/>
      <c r="BD85" s="291"/>
      <c r="BE85" s="290"/>
      <c r="BF85" s="292"/>
      <c r="BG85" s="293"/>
      <c r="BH85" s="247" t="s">
        <v>3305</v>
      </c>
      <c r="BI85" s="248">
        <v>1329339</v>
      </c>
      <c r="BJ85" s="164" t="s">
        <v>3301</v>
      </c>
      <c r="BK85" s="164" t="s">
        <v>3302</v>
      </c>
    </row>
    <row r="86" spans="1:63" s="54" customFormat="1" ht="52.5" customHeight="1" thickBot="1">
      <c r="A86" s="54">
        <v>26</v>
      </c>
      <c r="B86" s="14" t="s">
        <v>130</v>
      </c>
      <c r="C86" s="16" t="s">
        <v>131</v>
      </c>
      <c r="D86" s="147">
        <v>11455</v>
      </c>
      <c r="E86" s="98" t="s">
        <v>1256</v>
      </c>
      <c r="F86" s="93" t="s">
        <v>1257</v>
      </c>
      <c r="G86" s="141" t="s">
        <v>563</v>
      </c>
      <c r="H86" s="142">
        <v>2022</v>
      </c>
      <c r="I86" s="143" t="s">
        <v>2529</v>
      </c>
      <c r="J86" s="170">
        <v>1</v>
      </c>
      <c r="K86" s="50">
        <v>2</v>
      </c>
      <c r="L86" s="49">
        <v>22230227</v>
      </c>
      <c r="M86" s="171" t="s">
        <v>200</v>
      </c>
      <c r="N86" s="56" t="s">
        <v>83</v>
      </c>
      <c r="O86" s="161">
        <v>40219</v>
      </c>
      <c r="P86" s="163">
        <v>40219</v>
      </c>
      <c r="Q86" s="162" t="s">
        <v>1258</v>
      </c>
      <c r="R86" s="44" t="s">
        <v>1259</v>
      </c>
      <c r="S86" s="172" t="s">
        <v>201</v>
      </c>
      <c r="T86" s="164" t="s">
        <v>2672</v>
      </c>
      <c r="U86" s="173">
        <v>52194</v>
      </c>
      <c r="V86" s="8" t="s">
        <v>2884</v>
      </c>
      <c r="W86" s="61" t="s">
        <v>2885</v>
      </c>
      <c r="X86" s="61" t="s">
        <v>2886</v>
      </c>
      <c r="Y86" s="160" t="s">
        <v>28</v>
      </c>
      <c r="Z86" s="164" t="s">
        <v>3262</v>
      </c>
      <c r="AA86" s="176" t="s">
        <v>2887</v>
      </c>
      <c r="AB86" s="174"/>
      <c r="AC86" s="88" t="s">
        <v>1261</v>
      </c>
      <c r="AD86" s="287" t="s">
        <v>201</v>
      </c>
      <c r="AE86" s="302" t="s">
        <v>21</v>
      </c>
      <c r="AF86" s="303" t="s">
        <v>157</v>
      </c>
      <c r="AG86" s="288" t="s">
        <v>564</v>
      </c>
      <c r="AH86" s="104" t="s">
        <v>350</v>
      </c>
      <c r="AI86" s="286"/>
      <c r="AJ86" s="85" t="s">
        <v>1262</v>
      </c>
      <c r="AK86" s="287" t="s">
        <v>201</v>
      </c>
      <c r="AL86" s="290" t="s">
        <v>21</v>
      </c>
      <c r="AM86" s="291" t="s">
        <v>490</v>
      </c>
      <c r="AN86" s="291"/>
      <c r="AO86" s="289"/>
      <c r="AP86" s="290"/>
      <c r="AQ86" s="242" t="s">
        <v>1263</v>
      </c>
      <c r="AR86" s="242" t="s">
        <v>1264</v>
      </c>
      <c r="AS86" s="366" t="s">
        <v>83</v>
      </c>
      <c r="AT86" s="243">
        <v>31258</v>
      </c>
      <c r="AU86" s="243"/>
      <c r="AV86" s="242" t="s">
        <v>1265</v>
      </c>
      <c r="AW86" s="242" t="s">
        <v>83</v>
      </c>
      <c r="AX86" s="243">
        <v>31280</v>
      </c>
      <c r="AY86" s="177"/>
      <c r="AZ86" s="291"/>
      <c r="BA86" s="287" t="s">
        <v>201</v>
      </c>
      <c r="BB86" s="290"/>
      <c r="BC86" s="291"/>
      <c r="BD86" s="291"/>
      <c r="BE86" s="290"/>
      <c r="BF86" s="292"/>
      <c r="BG86" s="293"/>
      <c r="BH86" s="247" t="s">
        <v>3305</v>
      </c>
      <c r="BI86" s="248">
        <v>1329339</v>
      </c>
      <c r="BJ86" s="164" t="s">
        <v>3301</v>
      </c>
      <c r="BK86" s="164" t="s">
        <v>3302</v>
      </c>
    </row>
    <row r="87" spans="1:63" s="54" customFormat="1" ht="52.5" customHeight="1" thickBot="1">
      <c r="A87" s="54">
        <v>27</v>
      </c>
      <c r="B87" s="12" t="s">
        <v>128</v>
      </c>
      <c r="C87" s="16" t="s">
        <v>131</v>
      </c>
      <c r="D87" s="140">
        <v>11465</v>
      </c>
      <c r="E87" s="98" t="s">
        <v>1266</v>
      </c>
      <c r="F87" s="93" t="s">
        <v>1267</v>
      </c>
      <c r="G87" s="141" t="s">
        <v>563</v>
      </c>
      <c r="H87" s="142">
        <v>2022</v>
      </c>
      <c r="I87" s="143" t="s">
        <v>2530</v>
      </c>
      <c r="J87" s="170">
        <v>2</v>
      </c>
      <c r="K87" s="50">
        <v>1</v>
      </c>
      <c r="L87" s="49">
        <v>22230035</v>
      </c>
      <c r="M87" s="171" t="s">
        <v>200</v>
      </c>
      <c r="N87" s="178" t="s">
        <v>23</v>
      </c>
      <c r="O87" s="161">
        <v>39916</v>
      </c>
      <c r="P87" s="179">
        <v>39916</v>
      </c>
      <c r="Q87" s="162" t="s">
        <v>1268</v>
      </c>
      <c r="R87" s="44" t="s">
        <v>1269</v>
      </c>
      <c r="S87" s="172" t="s">
        <v>201</v>
      </c>
      <c r="T87" s="165" t="s">
        <v>1270</v>
      </c>
      <c r="U87" s="173">
        <v>55812</v>
      </c>
      <c r="V87" s="8" t="s">
        <v>2888</v>
      </c>
      <c r="W87" s="61" t="s">
        <v>2888</v>
      </c>
      <c r="X87" s="61" t="s">
        <v>727</v>
      </c>
      <c r="Y87" s="160" t="s">
        <v>20</v>
      </c>
      <c r="Z87" s="164" t="s">
        <v>3262</v>
      </c>
      <c r="AA87" s="176" t="s">
        <v>2889</v>
      </c>
      <c r="AB87" s="174"/>
      <c r="AC87" s="85" t="s">
        <v>1271</v>
      </c>
      <c r="AD87" s="287" t="s">
        <v>201</v>
      </c>
      <c r="AE87" s="302" t="s">
        <v>21</v>
      </c>
      <c r="AF87" s="303" t="s">
        <v>22</v>
      </c>
      <c r="AG87" s="304" t="s">
        <v>564</v>
      </c>
      <c r="AH87" s="86" t="s">
        <v>234</v>
      </c>
      <c r="AI87" s="286"/>
      <c r="AJ87" s="85" t="s">
        <v>1272</v>
      </c>
      <c r="AK87" s="287" t="s">
        <v>201</v>
      </c>
      <c r="AL87" s="314" t="s">
        <v>21</v>
      </c>
      <c r="AM87" s="85" t="s">
        <v>22</v>
      </c>
      <c r="AN87" s="288"/>
      <c r="AO87" s="289"/>
      <c r="AP87" s="290"/>
      <c r="AQ87" s="242" t="s">
        <v>1273</v>
      </c>
      <c r="AR87" s="242" t="s">
        <v>1274</v>
      </c>
      <c r="AS87" s="87" t="s">
        <v>727</v>
      </c>
      <c r="AT87" s="243">
        <v>27856</v>
      </c>
      <c r="AU87" s="243"/>
      <c r="AV87" s="242" t="s">
        <v>1275</v>
      </c>
      <c r="AW87" s="242" t="s">
        <v>19</v>
      </c>
      <c r="AX87" s="243">
        <v>28159</v>
      </c>
      <c r="AY87" s="177"/>
      <c r="AZ87" s="291"/>
      <c r="BA87" s="287" t="s">
        <v>201</v>
      </c>
      <c r="BB87" s="290"/>
      <c r="BC87" s="291"/>
      <c r="BD87" s="291"/>
      <c r="BE87" s="290"/>
      <c r="BF87" s="292"/>
      <c r="BG87" s="293"/>
      <c r="BH87" s="247" t="s">
        <v>3305</v>
      </c>
      <c r="BI87" s="248">
        <v>1329339</v>
      </c>
      <c r="BJ87" s="164" t="s">
        <v>3301</v>
      </c>
      <c r="BK87" s="164" t="s">
        <v>3302</v>
      </c>
    </row>
    <row r="88" spans="1:63" s="54" customFormat="1" ht="52.5" customHeight="1" thickBot="1">
      <c r="A88" s="54">
        <v>28</v>
      </c>
      <c r="B88" s="12" t="s">
        <v>128</v>
      </c>
      <c r="C88" s="16" t="s">
        <v>131</v>
      </c>
      <c r="D88" s="140">
        <v>11470</v>
      </c>
      <c r="E88" s="98" t="s">
        <v>1276</v>
      </c>
      <c r="F88" s="93" t="s">
        <v>1277</v>
      </c>
      <c r="G88" s="141" t="s">
        <v>563</v>
      </c>
      <c r="H88" s="142">
        <v>2022</v>
      </c>
      <c r="I88" s="143" t="s">
        <v>2531</v>
      </c>
      <c r="J88" s="170">
        <v>1</v>
      </c>
      <c r="K88" s="50">
        <v>1</v>
      </c>
      <c r="L88" s="49">
        <v>22230026</v>
      </c>
      <c r="M88" s="171" t="s">
        <v>200</v>
      </c>
      <c r="N88" s="178" t="s">
        <v>31</v>
      </c>
      <c r="O88" s="161">
        <v>40202</v>
      </c>
      <c r="P88" s="179">
        <v>40202</v>
      </c>
      <c r="Q88" s="162" t="s">
        <v>1278</v>
      </c>
      <c r="R88" s="44" t="s">
        <v>1279</v>
      </c>
      <c r="S88" s="172" t="s">
        <v>201</v>
      </c>
      <c r="T88" s="165" t="s">
        <v>1280</v>
      </c>
      <c r="U88" s="173">
        <v>51173</v>
      </c>
      <c r="V88" s="8" t="s">
        <v>2890</v>
      </c>
      <c r="W88" s="61" t="s">
        <v>2891</v>
      </c>
      <c r="X88" s="61" t="s">
        <v>31</v>
      </c>
      <c r="Y88" s="160" t="s">
        <v>28</v>
      </c>
      <c r="Z88" s="164" t="s">
        <v>3262</v>
      </c>
      <c r="AA88" s="176" t="s">
        <v>2892</v>
      </c>
      <c r="AB88" s="208"/>
      <c r="AC88" s="85" t="s">
        <v>1281</v>
      </c>
      <c r="AD88" s="287" t="s">
        <v>201</v>
      </c>
      <c r="AE88" s="302" t="s">
        <v>24</v>
      </c>
      <c r="AF88" s="303" t="s">
        <v>25</v>
      </c>
      <c r="AG88" s="304" t="s">
        <v>564</v>
      </c>
      <c r="AH88" s="86" t="s">
        <v>235</v>
      </c>
      <c r="AI88" s="286"/>
      <c r="AJ88" s="85" t="s">
        <v>2893</v>
      </c>
      <c r="AK88" s="287" t="s">
        <v>201</v>
      </c>
      <c r="AL88" s="314" t="s">
        <v>220</v>
      </c>
      <c r="AM88" s="85" t="s">
        <v>712</v>
      </c>
      <c r="AN88" s="288"/>
      <c r="AO88" s="289"/>
      <c r="AP88" s="286"/>
      <c r="AQ88" s="242" t="s">
        <v>1282</v>
      </c>
      <c r="AR88" s="242" t="s">
        <v>1283</v>
      </c>
      <c r="AS88" s="87" t="s">
        <v>110</v>
      </c>
      <c r="AT88" s="243">
        <v>29249</v>
      </c>
      <c r="AU88" s="243"/>
      <c r="AV88" s="242" t="s">
        <v>1284</v>
      </c>
      <c r="AW88" s="242" t="s">
        <v>31</v>
      </c>
      <c r="AX88" s="243">
        <v>31633</v>
      </c>
      <c r="AY88" s="177"/>
      <c r="AZ88" s="291"/>
      <c r="BA88" s="287" t="s">
        <v>201</v>
      </c>
      <c r="BB88" s="290"/>
      <c r="BC88" s="291"/>
      <c r="BD88" s="291"/>
      <c r="BE88" s="290"/>
      <c r="BF88" s="292"/>
      <c r="BG88" s="293"/>
      <c r="BH88" s="247" t="s">
        <v>3305</v>
      </c>
      <c r="BI88" s="248">
        <v>1329339</v>
      </c>
      <c r="BJ88" s="164" t="s">
        <v>3301</v>
      </c>
      <c r="BK88" s="164" t="s">
        <v>3302</v>
      </c>
    </row>
    <row r="89" spans="1:63" s="54" customFormat="1" ht="52.5" customHeight="1" thickBot="1">
      <c r="A89" s="54">
        <v>29</v>
      </c>
      <c r="B89" s="12" t="s">
        <v>128</v>
      </c>
      <c r="C89" s="16" t="s">
        <v>131</v>
      </c>
      <c r="D89" s="140">
        <v>11486</v>
      </c>
      <c r="E89" s="98" t="s">
        <v>1285</v>
      </c>
      <c r="F89" s="93" t="s">
        <v>1286</v>
      </c>
      <c r="G89" s="141" t="s">
        <v>563</v>
      </c>
      <c r="H89" s="142">
        <v>2022</v>
      </c>
      <c r="I89" s="143" t="s">
        <v>2532</v>
      </c>
      <c r="J89" s="170">
        <v>1</v>
      </c>
      <c r="K89" s="50">
        <v>1</v>
      </c>
      <c r="L89" s="49">
        <v>22230015</v>
      </c>
      <c r="M89" s="171" t="s">
        <v>200</v>
      </c>
      <c r="N89" s="178" t="s">
        <v>83</v>
      </c>
      <c r="O89" s="161">
        <v>40167</v>
      </c>
      <c r="P89" s="179">
        <v>40167</v>
      </c>
      <c r="Q89" s="162" t="s">
        <v>1287</v>
      </c>
      <c r="R89" s="44" t="s">
        <v>1288</v>
      </c>
      <c r="S89" s="172" t="s">
        <v>201</v>
      </c>
      <c r="T89" s="165" t="s">
        <v>1289</v>
      </c>
      <c r="U89" s="173">
        <v>52473</v>
      </c>
      <c r="V89" s="8" t="s">
        <v>2894</v>
      </c>
      <c r="W89" s="61" t="s">
        <v>2894</v>
      </c>
      <c r="X89" s="61" t="s">
        <v>83</v>
      </c>
      <c r="Y89" s="160" t="s">
        <v>28</v>
      </c>
      <c r="Z89" s="164" t="s">
        <v>3262</v>
      </c>
      <c r="AA89" s="176" t="s">
        <v>2895</v>
      </c>
      <c r="AB89" s="181"/>
      <c r="AC89" s="85" t="s">
        <v>1290</v>
      </c>
      <c r="AD89" s="287" t="s">
        <v>201</v>
      </c>
      <c r="AE89" s="302" t="s">
        <v>220</v>
      </c>
      <c r="AF89" s="303" t="s">
        <v>153</v>
      </c>
      <c r="AG89" s="288" t="s">
        <v>564</v>
      </c>
      <c r="AH89" s="86" t="s">
        <v>236</v>
      </c>
      <c r="AI89" s="286"/>
      <c r="AJ89" s="85" t="s">
        <v>1291</v>
      </c>
      <c r="AK89" s="287" t="s">
        <v>201</v>
      </c>
      <c r="AL89" s="314" t="s">
        <v>220</v>
      </c>
      <c r="AM89" s="85" t="s">
        <v>712</v>
      </c>
      <c r="AN89" s="288"/>
      <c r="AO89" s="289"/>
      <c r="AP89" s="290"/>
      <c r="AQ89" s="242" t="s">
        <v>1292</v>
      </c>
      <c r="AR89" s="242" t="s">
        <v>1293</v>
      </c>
      <c r="AS89" s="87" t="s">
        <v>83</v>
      </c>
      <c r="AT89" s="243">
        <v>29976</v>
      </c>
      <c r="AU89" s="243"/>
      <c r="AV89" s="242" t="s">
        <v>1294</v>
      </c>
      <c r="AW89" s="242" t="s">
        <v>83</v>
      </c>
      <c r="AX89" s="243">
        <v>27846</v>
      </c>
      <c r="AY89" s="177"/>
      <c r="AZ89" s="291"/>
      <c r="BA89" s="287" t="s">
        <v>201</v>
      </c>
      <c r="BB89" s="290"/>
      <c r="BC89" s="291"/>
      <c r="BD89" s="291"/>
      <c r="BE89" s="290"/>
      <c r="BF89" s="292"/>
      <c r="BG89" s="293"/>
      <c r="BH89" s="247" t="s">
        <v>3305</v>
      </c>
      <c r="BI89" s="248">
        <v>1329339</v>
      </c>
      <c r="BJ89" s="164" t="s">
        <v>3301</v>
      </c>
      <c r="BK89" s="164" t="s">
        <v>3302</v>
      </c>
    </row>
    <row r="90" spans="1:63" s="54" customFormat="1" ht="52.5" customHeight="1" thickBot="1">
      <c r="A90" s="54">
        <v>30</v>
      </c>
      <c r="B90" s="12" t="s">
        <v>128</v>
      </c>
      <c r="C90" s="16" t="s">
        <v>131</v>
      </c>
      <c r="D90" s="154">
        <v>11498</v>
      </c>
      <c r="E90" s="98" t="s">
        <v>2434</v>
      </c>
      <c r="F90" s="93" t="s">
        <v>1295</v>
      </c>
      <c r="G90" s="141" t="s">
        <v>563</v>
      </c>
      <c r="H90" s="142">
        <v>2022</v>
      </c>
      <c r="I90" s="143" t="s">
        <v>2533</v>
      </c>
      <c r="J90" s="170">
        <v>1</v>
      </c>
      <c r="K90" s="50">
        <v>0</v>
      </c>
      <c r="L90" s="49">
        <v>22230034</v>
      </c>
      <c r="M90" s="171" t="s">
        <v>200</v>
      </c>
      <c r="N90" s="178" t="s">
        <v>1296</v>
      </c>
      <c r="O90" s="161">
        <v>40209</v>
      </c>
      <c r="P90" s="180">
        <v>40209</v>
      </c>
      <c r="Q90" s="162" t="s">
        <v>1297</v>
      </c>
      <c r="R90" s="44" t="s">
        <v>1298</v>
      </c>
      <c r="S90" s="172" t="s">
        <v>201</v>
      </c>
      <c r="T90" s="165" t="s">
        <v>1299</v>
      </c>
      <c r="U90" s="209">
        <v>74183</v>
      </c>
      <c r="V90" s="8" t="s">
        <v>2896</v>
      </c>
      <c r="W90" s="61" t="s">
        <v>2897</v>
      </c>
      <c r="X90" s="61" t="s">
        <v>1296</v>
      </c>
      <c r="Y90" s="160" t="s">
        <v>44</v>
      </c>
      <c r="Z90" s="164" t="s">
        <v>3262</v>
      </c>
      <c r="AA90" s="165" t="s">
        <v>2898</v>
      </c>
      <c r="AB90" s="174"/>
      <c r="AC90" s="85" t="s">
        <v>1300</v>
      </c>
      <c r="AD90" s="287" t="s">
        <v>201</v>
      </c>
      <c r="AE90" s="302" t="s">
        <v>21</v>
      </c>
      <c r="AF90" s="303" t="s">
        <v>155</v>
      </c>
      <c r="AG90" s="304" t="s">
        <v>564</v>
      </c>
      <c r="AH90" s="86" t="s">
        <v>237</v>
      </c>
      <c r="AI90" s="286"/>
      <c r="AJ90" s="85" t="s">
        <v>2899</v>
      </c>
      <c r="AK90" s="287" t="s">
        <v>201</v>
      </c>
      <c r="AL90" s="314" t="s">
        <v>220</v>
      </c>
      <c r="AM90" s="85" t="s">
        <v>22</v>
      </c>
      <c r="AN90" s="288"/>
      <c r="AO90" s="289"/>
      <c r="AP90" s="290"/>
      <c r="AQ90" s="242" t="s">
        <v>1301</v>
      </c>
      <c r="AR90" s="242" t="s">
        <v>1302</v>
      </c>
      <c r="AS90" s="87" t="s">
        <v>19</v>
      </c>
      <c r="AT90" s="243">
        <v>25471</v>
      </c>
      <c r="AU90" s="243"/>
      <c r="AV90" s="242" t="s">
        <v>1303</v>
      </c>
      <c r="AW90" s="242" t="s">
        <v>19</v>
      </c>
      <c r="AX90" s="243">
        <v>26851</v>
      </c>
      <c r="AY90" s="177"/>
      <c r="AZ90" s="291"/>
      <c r="BA90" s="287" t="s">
        <v>201</v>
      </c>
      <c r="BB90" s="290"/>
      <c r="BC90" s="291"/>
      <c r="BD90" s="291"/>
      <c r="BE90" s="288"/>
      <c r="BF90" s="292"/>
      <c r="BG90" s="293"/>
      <c r="BH90" s="247" t="s">
        <v>3305</v>
      </c>
      <c r="BI90" s="248">
        <v>1329339</v>
      </c>
      <c r="BJ90" s="164" t="s">
        <v>3301</v>
      </c>
      <c r="BK90" s="164" t="s">
        <v>3302</v>
      </c>
    </row>
    <row r="91" spans="1:63" s="54" customFormat="1" ht="52.5" customHeight="1" thickBot="1">
      <c r="A91" s="54">
        <v>31</v>
      </c>
      <c r="B91" s="130" t="s">
        <v>126</v>
      </c>
      <c r="C91" s="16" t="s">
        <v>131</v>
      </c>
      <c r="D91" s="147">
        <v>11499</v>
      </c>
      <c r="E91" s="91" t="s">
        <v>1304</v>
      </c>
      <c r="F91" s="93" t="s">
        <v>1305</v>
      </c>
      <c r="G91" s="141" t="s">
        <v>563</v>
      </c>
      <c r="H91" s="142">
        <v>2022</v>
      </c>
      <c r="I91" s="143" t="s">
        <v>2534</v>
      </c>
      <c r="J91" s="170">
        <v>4</v>
      </c>
      <c r="K91" s="50">
        <v>4</v>
      </c>
      <c r="L91" s="49">
        <v>22230127</v>
      </c>
      <c r="M91" s="171" t="s">
        <v>200</v>
      </c>
      <c r="N91" s="56" t="s">
        <v>19</v>
      </c>
      <c r="O91" s="161">
        <f>P91:P383</f>
        <v>40037</v>
      </c>
      <c r="P91" s="163">
        <v>40037</v>
      </c>
      <c r="Q91" s="162" t="s">
        <v>1306</v>
      </c>
      <c r="R91" s="44" t="s">
        <v>1307</v>
      </c>
      <c r="S91" s="172" t="s">
        <v>201</v>
      </c>
      <c r="T91" s="164" t="s">
        <v>2387</v>
      </c>
      <c r="U91" s="173">
        <v>55197</v>
      </c>
      <c r="V91" s="8" t="s">
        <v>2900</v>
      </c>
      <c r="W91" s="8" t="s">
        <v>696</v>
      </c>
      <c r="X91" s="61" t="s">
        <v>19</v>
      </c>
      <c r="Y91" s="160" t="s">
        <v>20</v>
      </c>
      <c r="Z91" s="164" t="s">
        <v>3262</v>
      </c>
      <c r="AA91" s="176" t="s">
        <v>2901</v>
      </c>
      <c r="AB91" s="174"/>
      <c r="AC91" s="88" t="s">
        <v>1308</v>
      </c>
      <c r="AD91" s="287" t="s">
        <v>201</v>
      </c>
      <c r="AE91" s="103" t="s">
        <v>220</v>
      </c>
      <c r="AF91" s="114" t="s">
        <v>154</v>
      </c>
      <c r="AG91" s="288" t="s">
        <v>564</v>
      </c>
      <c r="AH91" s="104" t="s">
        <v>429</v>
      </c>
      <c r="AI91" s="286"/>
      <c r="AJ91" s="85" t="s">
        <v>1309</v>
      </c>
      <c r="AK91" s="287" t="s">
        <v>201</v>
      </c>
      <c r="AL91" s="290" t="s">
        <v>21</v>
      </c>
      <c r="AM91" s="291" t="s">
        <v>22</v>
      </c>
      <c r="AN91" s="291"/>
      <c r="AO91" s="289"/>
      <c r="AP91" s="290"/>
      <c r="AQ91" s="242" t="s">
        <v>1310</v>
      </c>
      <c r="AR91" s="242" t="s">
        <v>1311</v>
      </c>
      <c r="AS91" s="87" t="s">
        <v>53</v>
      </c>
      <c r="AT91" s="243">
        <v>28135</v>
      </c>
      <c r="AU91" s="243"/>
      <c r="AV91" s="242" t="s">
        <v>1312</v>
      </c>
      <c r="AW91" s="242" t="s">
        <v>19</v>
      </c>
      <c r="AX91" s="243">
        <v>28170</v>
      </c>
      <c r="AY91" s="177"/>
      <c r="AZ91" s="291"/>
      <c r="BA91" s="287" t="s">
        <v>201</v>
      </c>
      <c r="BB91" s="290"/>
      <c r="BC91" s="291"/>
      <c r="BD91" s="291"/>
      <c r="BE91" s="290"/>
      <c r="BF91" s="292"/>
      <c r="BG91" s="293"/>
      <c r="BH91" s="247" t="s">
        <v>3305</v>
      </c>
      <c r="BI91" s="248">
        <v>1329339</v>
      </c>
      <c r="BJ91" s="164" t="s">
        <v>3301</v>
      </c>
      <c r="BK91" s="164" t="s">
        <v>3302</v>
      </c>
    </row>
    <row r="92" spans="1:63" s="54" customFormat="1" ht="52.5" customHeight="1" thickBot="1">
      <c r="A92" s="54">
        <v>32</v>
      </c>
      <c r="B92" s="16" t="s">
        <v>131</v>
      </c>
      <c r="C92" s="16" t="s">
        <v>131</v>
      </c>
      <c r="D92" s="154">
        <v>11514</v>
      </c>
      <c r="E92" s="91" t="s">
        <v>1313</v>
      </c>
      <c r="F92" s="93" t="s">
        <v>1314</v>
      </c>
      <c r="G92" s="141" t="s">
        <v>563</v>
      </c>
      <c r="H92" s="142">
        <v>2022</v>
      </c>
      <c r="I92" s="143" t="s">
        <v>2535</v>
      </c>
      <c r="J92" s="170">
        <v>3</v>
      </c>
      <c r="K92" s="50">
        <v>2</v>
      </c>
      <c r="L92" s="49">
        <v>22230140</v>
      </c>
      <c r="M92" s="171" t="s">
        <v>200</v>
      </c>
      <c r="N92" s="178" t="s">
        <v>93</v>
      </c>
      <c r="O92" s="161">
        <v>40410</v>
      </c>
      <c r="P92" s="163">
        <v>40410</v>
      </c>
      <c r="Q92" s="162" t="s">
        <v>1315</v>
      </c>
      <c r="R92" s="44" t="s">
        <v>1316</v>
      </c>
      <c r="S92" s="172" t="s">
        <v>201</v>
      </c>
      <c r="T92" s="165" t="s">
        <v>274</v>
      </c>
      <c r="V92" s="8" t="s">
        <v>2902</v>
      </c>
      <c r="W92" s="61" t="s">
        <v>2903</v>
      </c>
      <c r="X92" s="61" t="s">
        <v>2904</v>
      </c>
      <c r="Y92" s="160" t="s">
        <v>71</v>
      </c>
      <c r="Z92" s="164" t="s">
        <v>3262</v>
      </c>
      <c r="AA92" s="176" t="s">
        <v>2905</v>
      </c>
      <c r="AB92" s="174"/>
      <c r="AC92" s="85" t="s">
        <v>1318</v>
      </c>
      <c r="AD92" s="287" t="s">
        <v>201</v>
      </c>
      <c r="AE92" s="302" t="s">
        <v>21</v>
      </c>
      <c r="AF92" s="303" t="s">
        <v>153</v>
      </c>
      <c r="AG92" s="288" t="s">
        <v>564</v>
      </c>
      <c r="AH92" s="86" t="s">
        <v>275</v>
      </c>
      <c r="AI92" s="286"/>
      <c r="AJ92" s="85" t="s">
        <v>1319</v>
      </c>
      <c r="AK92" s="287" t="s">
        <v>201</v>
      </c>
      <c r="AL92" s="314"/>
      <c r="AM92" s="85"/>
      <c r="AN92" s="288"/>
      <c r="AO92" s="289"/>
      <c r="AP92" s="290"/>
      <c r="AQ92" s="242" t="s">
        <v>1320</v>
      </c>
      <c r="AR92" s="242" t="s">
        <v>1321</v>
      </c>
      <c r="AS92" s="87" t="s">
        <v>93</v>
      </c>
      <c r="AT92" s="243">
        <v>27197</v>
      </c>
      <c r="AU92" s="243"/>
      <c r="AV92" s="242" t="s">
        <v>1322</v>
      </c>
      <c r="AW92" s="242" t="s">
        <v>114</v>
      </c>
      <c r="AX92" s="243">
        <v>29266</v>
      </c>
      <c r="AY92" s="177"/>
      <c r="AZ92" s="291"/>
      <c r="BA92" s="287" t="s">
        <v>201</v>
      </c>
      <c r="BB92" s="290"/>
      <c r="BC92" s="291"/>
      <c r="BD92" s="291"/>
      <c r="BE92" s="290"/>
      <c r="BF92" s="292"/>
      <c r="BG92" s="293"/>
      <c r="BH92" s="247" t="s">
        <v>3305</v>
      </c>
      <c r="BI92" s="248">
        <v>1329339</v>
      </c>
      <c r="BJ92" s="164" t="s">
        <v>3301</v>
      </c>
      <c r="BK92" s="164" t="s">
        <v>3302</v>
      </c>
    </row>
    <row r="93" spans="1:63" s="54" customFormat="1" ht="52.5" customHeight="1" thickBot="1">
      <c r="A93" s="54">
        <v>1</v>
      </c>
      <c r="B93" s="18" t="s">
        <v>127</v>
      </c>
      <c r="C93" s="15" t="s">
        <v>77</v>
      </c>
      <c r="D93" s="131">
        <v>11204</v>
      </c>
      <c r="E93" s="99" t="s">
        <v>1331</v>
      </c>
      <c r="F93" s="92" t="s">
        <v>1332</v>
      </c>
      <c r="G93" s="141" t="s">
        <v>563</v>
      </c>
      <c r="H93" s="142">
        <v>2022</v>
      </c>
      <c r="I93" s="143" t="s">
        <v>2536</v>
      </c>
      <c r="J93" s="170">
        <v>1</v>
      </c>
      <c r="K93" s="50">
        <v>1</v>
      </c>
      <c r="L93" s="49">
        <v>22230284</v>
      </c>
      <c r="M93" s="171" t="s">
        <v>200</v>
      </c>
      <c r="N93" s="56" t="s">
        <v>79</v>
      </c>
      <c r="O93" s="161">
        <v>40171</v>
      </c>
      <c r="P93" s="163">
        <v>40171</v>
      </c>
      <c r="Q93" s="162" t="s">
        <v>1011</v>
      </c>
      <c r="R93" s="44" t="s">
        <v>1333</v>
      </c>
      <c r="S93" s="172" t="s">
        <v>201</v>
      </c>
      <c r="T93" s="164" t="s">
        <v>562</v>
      </c>
      <c r="U93" s="173">
        <v>57145</v>
      </c>
      <c r="V93" s="8" t="s">
        <v>2906</v>
      </c>
      <c r="W93" s="61" t="s">
        <v>2907</v>
      </c>
      <c r="X93" s="61" t="s">
        <v>246</v>
      </c>
      <c r="Y93" s="160" t="s">
        <v>28</v>
      </c>
      <c r="Z93" s="164" t="s">
        <v>3262</v>
      </c>
      <c r="AA93" s="176" t="s">
        <v>2908</v>
      </c>
      <c r="AB93" s="174"/>
      <c r="AC93" s="88" t="s">
        <v>1334</v>
      </c>
      <c r="AD93" s="287" t="s">
        <v>201</v>
      </c>
      <c r="AE93" s="103" t="s">
        <v>21</v>
      </c>
      <c r="AF93" s="114" t="s">
        <v>153</v>
      </c>
      <c r="AG93" s="288" t="s">
        <v>564</v>
      </c>
      <c r="AH93" s="104" t="s">
        <v>375</v>
      </c>
      <c r="AI93" s="286"/>
      <c r="AJ93" s="85" t="s">
        <v>1335</v>
      </c>
      <c r="AK93" s="287" t="s">
        <v>201</v>
      </c>
      <c r="AL93" s="290" t="s">
        <v>24</v>
      </c>
      <c r="AM93" s="291" t="s">
        <v>490</v>
      </c>
      <c r="AN93" s="291"/>
      <c r="AO93" s="289"/>
      <c r="AP93" s="290"/>
      <c r="AQ93" s="242" t="s">
        <v>1336</v>
      </c>
      <c r="AR93" s="242" t="s">
        <v>1337</v>
      </c>
      <c r="AS93" s="87" t="s">
        <v>246</v>
      </c>
      <c r="AT93" s="243">
        <v>32884</v>
      </c>
      <c r="AU93" s="243"/>
      <c r="AV93" s="242" t="s">
        <v>1338</v>
      </c>
      <c r="AW93" s="242" t="s">
        <v>79</v>
      </c>
      <c r="AX93" s="243">
        <v>32472</v>
      </c>
      <c r="AY93" s="177"/>
      <c r="AZ93" s="291"/>
      <c r="BA93" s="287" t="s">
        <v>201</v>
      </c>
      <c r="BB93" s="290"/>
      <c r="BC93" s="291"/>
      <c r="BD93" s="291"/>
      <c r="BE93" s="290"/>
      <c r="BF93" s="292"/>
      <c r="BG93" s="293"/>
      <c r="BH93" s="245" t="s">
        <v>3306</v>
      </c>
      <c r="BI93" s="246">
        <v>765765</v>
      </c>
      <c r="BJ93" s="164" t="s">
        <v>3301</v>
      </c>
      <c r="BK93" s="164" t="s">
        <v>3302</v>
      </c>
    </row>
    <row r="94" spans="1:63" s="54" customFormat="1" ht="52.5" customHeight="1" thickBot="1">
      <c r="A94" s="54">
        <v>2</v>
      </c>
      <c r="B94" s="16" t="s">
        <v>131</v>
      </c>
      <c r="C94" s="15" t="s">
        <v>77</v>
      </c>
      <c r="D94" s="140">
        <v>11247</v>
      </c>
      <c r="E94" s="91" t="s">
        <v>1613</v>
      </c>
      <c r="F94" s="93" t="s">
        <v>1614</v>
      </c>
      <c r="G94" s="141" t="s">
        <v>563</v>
      </c>
      <c r="H94" s="142">
        <v>2022</v>
      </c>
      <c r="I94" s="143" t="s">
        <v>2537</v>
      </c>
      <c r="J94" s="170">
        <v>1</v>
      </c>
      <c r="K94" s="50">
        <v>1</v>
      </c>
      <c r="L94" s="49">
        <v>22230088</v>
      </c>
      <c r="M94" s="171" t="s">
        <v>200</v>
      </c>
      <c r="N94" s="178" t="s">
        <v>111</v>
      </c>
      <c r="O94" s="161">
        <v>40204</v>
      </c>
      <c r="P94" s="179">
        <v>40204</v>
      </c>
      <c r="Q94" s="162" t="s">
        <v>1615</v>
      </c>
      <c r="R94" s="44" t="s">
        <v>1616</v>
      </c>
      <c r="S94" s="172" t="s">
        <v>201</v>
      </c>
      <c r="T94" s="165" t="s">
        <v>2673</v>
      </c>
      <c r="U94" s="173">
        <v>65138</v>
      </c>
      <c r="V94" s="8" t="s">
        <v>2909</v>
      </c>
      <c r="W94" s="61" t="s">
        <v>2910</v>
      </c>
      <c r="X94" s="61" t="s">
        <v>2911</v>
      </c>
      <c r="Y94" s="160" t="s">
        <v>38</v>
      </c>
      <c r="Z94" s="164" t="s">
        <v>3262</v>
      </c>
      <c r="AA94" s="176" t="s">
        <v>2912</v>
      </c>
      <c r="AB94" s="174"/>
      <c r="AC94" s="85" t="s">
        <v>1618</v>
      </c>
      <c r="AD94" s="287" t="s">
        <v>201</v>
      </c>
      <c r="AE94" s="302" t="s">
        <v>21</v>
      </c>
      <c r="AF94" s="303" t="s">
        <v>154</v>
      </c>
      <c r="AG94" s="304" t="s">
        <v>565</v>
      </c>
      <c r="AH94" s="86"/>
      <c r="AI94" s="286"/>
      <c r="AJ94" s="85" t="s">
        <v>1619</v>
      </c>
      <c r="AK94" s="287" t="s">
        <v>201</v>
      </c>
      <c r="AL94" s="314" t="s">
        <v>21</v>
      </c>
      <c r="AM94" s="85" t="s">
        <v>153</v>
      </c>
      <c r="AN94" s="288"/>
      <c r="AO94" s="289" t="s">
        <v>260</v>
      </c>
      <c r="AP94" s="290"/>
      <c r="AQ94" s="242" t="s">
        <v>1620</v>
      </c>
      <c r="AR94" s="242" t="s">
        <v>1621</v>
      </c>
      <c r="AS94" s="87" t="s">
        <v>1622</v>
      </c>
      <c r="AT94" s="243">
        <v>29384</v>
      </c>
      <c r="AU94" s="243"/>
      <c r="AV94" s="242" t="s">
        <v>1623</v>
      </c>
      <c r="AW94" s="242" t="s">
        <v>1624</v>
      </c>
      <c r="AX94" s="243">
        <v>30298</v>
      </c>
      <c r="AY94" s="177"/>
      <c r="AZ94" s="291"/>
      <c r="BA94" s="287" t="s">
        <v>201</v>
      </c>
      <c r="BB94" s="290"/>
      <c r="BC94" s="291"/>
      <c r="BD94" s="291"/>
      <c r="BE94" s="290"/>
      <c r="BF94" s="292"/>
      <c r="BG94" s="293"/>
      <c r="BH94" s="245" t="s">
        <v>3306</v>
      </c>
      <c r="BI94" s="246">
        <v>765765</v>
      </c>
      <c r="BJ94" s="164" t="s">
        <v>3301</v>
      </c>
      <c r="BK94" s="164" t="s">
        <v>3302</v>
      </c>
    </row>
    <row r="95" spans="1:63" s="54" customFormat="1" ht="52.5" customHeight="1" thickBot="1">
      <c r="A95" s="54">
        <v>3</v>
      </c>
      <c r="B95" s="18" t="s">
        <v>127</v>
      </c>
      <c r="C95" s="15" t="s">
        <v>77</v>
      </c>
      <c r="D95" s="140">
        <v>11263</v>
      </c>
      <c r="E95" s="91" t="s">
        <v>1339</v>
      </c>
      <c r="F95" s="93" t="s">
        <v>1340</v>
      </c>
      <c r="G95" s="141" t="s">
        <v>563</v>
      </c>
      <c r="H95" s="142">
        <v>2022</v>
      </c>
      <c r="I95" s="143" t="s">
        <v>2538</v>
      </c>
      <c r="J95" s="170">
        <v>2</v>
      </c>
      <c r="K95" s="50">
        <v>2</v>
      </c>
      <c r="L95" s="49">
        <v>22230255</v>
      </c>
      <c r="M95" s="171" t="s">
        <v>200</v>
      </c>
      <c r="N95" s="56" t="s">
        <v>2913</v>
      </c>
      <c r="O95" s="161">
        <v>40478</v>
      </c>
      <c r="P95" s="163">
        <v>40478</v>
      </c>
      <c r="Q95" s="162" t="s">
        <v>1341</v>
      </c>
      <c r="R95" s="44" t="s">
        <v>1342</v>
      </c>
      <c r="S95" s="172" t="s">
        <v>201</v>
      </c>
      <c r="T95" s="164" t="s">
        <v>2674</v>
      </c>
      <c r="U95" s="173">
        <v>51353</v>
      </c>
      <c r="V95" s="8" t="s">
        <v>2914</v>
      </c>
      <c r="W95" s="61" t="s">
        <v>2915</v>
      </c>
      <c r="X95" s="61" t="s">
        <v>109</v>
      </c>
      <c r="Y95" s="160" t="s">
        <v>28</v>
      </c>
      <c r="Z95" s="164" t="s">
        <v>3262</v>
      </c>
      <c r="AA95" s="176" t="s">
        <v>2916</v>
      </c>
      <c r="AB95" s="174"/>
      <c r="AC95" s="88" t="s">
        <v>1344</v>
      </c>
      <c r="AD95" s="287" t="s">
        <v>201</v>
      </c>
      <c r="AE95" s="103" t="s">
        <v>24</v>
      </c>
      <c r="AF95" s="114" t="s">
        <v>154</v>
      </c>
      <c r="AG95" s="288" t="s">
        <v>564</v>
      </c>
      <c r="AH95" s="104"/>
      <c r="AI95" s="286"/>
      <c r="AJ95" s="88" t="s">
        <v>1345</v>
      </c>
      <c r="AK95" s="287" t="s">
        <v>201</v>
      </c>
      <c r="AL95" s="103" t="s">
        <v>24</v>
      </c>
      <c r="AM95" s="291" t="s">
        <v>490</v>
      </c>
      <c r="AN95" s="291"/>
      <c r="AO95" s="104" t="s">
        <v>378</v>
      </c>
      <c r="AP95" s="290"/>
      <c r="AQ95" s="242" t="s">
        <v>1346</v>
      </c>
      <c r="AR95" s="242" t="s">
        <v>1347</v>
      </c>
      <c r="AS95" s="87" t="s">
        <v>109</v>
      </c>
      <c r="AT95" s="243">
        <v>28584</v>
      </c>
      <c r="AU95" s="243"/>
      <c r="AV95" s="242" t="s">
        <v>1348</v>
      </c>
      <c r="AW95" s="242" t="s">
        <v>1349</v>
      </c>
      <c r="AX95" s="243">
        <v>32380</v>
      </c>
      <c r="AY95" s="177"/>
      <c r="AZ95" s="291"/>
      <c r="BA95" s="287" t="s">
        <v>201</v>
      </c>
      <c r="BB95" s="290"/>
      <c r="BC95" s="291"/>
      <c r="BD95" s="291"/>
      <c r="BE95" s="290"/>
      <c r="BF95" s="292"/>
      <c r="BG95" s="293"/>
      <c r="BH95" s="245" t="s">
        <v>3306</v>
      </c>
      <c r="BI95" s="246">
        <v>765765</v>
      </c>
      <c r="BJ95" s="164" t="s">
        <v>3301</v>
      </c>
      <c r="BK95" s="164" t="s">
        <v>3302</v>
      </c>
    </row>
    <row r="96" spans="1:63" s="54" customFormat="1" ht="52.5" customHeight="1" thickBot="1">
      <c r="A96" s="54">
        <v>4</v>
      </c>
      <c r="B96" s="19" t="s">
        <v>132</v>
      </c>
      <c r="C96" s="15" t="s">
        <v>77</v>
      </c>
      <c r="D96" s="147">
        <v>11268</v>
      </c>
      <c r="E96" s="91" t="s">
        <v>1641</v>
      </c>
      <c r="F96" s="93" t="s">
        <v>1642</v>
      </c>
      <c r="G96" s="141" t="s">
        <v>563</v>
      </c>
      <c r="H96" s="142">
        <v>2022</v>
      </c>
      <c r="I96" s="143" t="s">
        <v>2539</v>
      </c>
      <c r="J96" s="170">
        <v>1</v>
      </c>
      <c r="K96" s="50">
        <v>2</v>
      </c>
      <c r="L96" s="49">
        <v>22230074</v>
      </c>
      <c r="M96" s="171" t="s">
        <v>200</v>
      </c>
      <c r="N96" s="178" t="s">
        <v>46</v>
      </c>
      <c r="O96" s="161">
        <v>40257</v>
      </c>
      <c r="P96" s="180">
        <v>40257</v>
      </c>
      <c r="Q96" s="162" t="s">
        <v>1072</v>
      </c>
      <c r="R96" s="44" t="s">
        <v>1643</v>
      </c>
      <c r="S96" s="172" t="s">
        <v>201</v>
      </c>
      <c r="T96" s="165" t="s">
        <v>1644</v>
      </c>
      <c r="U96" s="173">
        <v>60119</v>
      </c>
      <c r="V96" s="8" t="s">
        <v>2917</v>
      </c>
      <c r="W96" s="61" t="s">
        <v>2918</v>
      </c>
      <c r="X96" s="61" t="s">
        <v>46</v>
      </c>
      <c r="Y96" s="160" t="s">
        <v>38</v>
      </c>
      <c r="Z96" s="164" t="s">
        <v>3262</v>
      </c>
      <c r="AA96" s="176" t="s">
        <v>2919</v>
      </c>
      <c r="AB96" s="181"/>
      <c r="AC96" s="85" t="s">
        <v>1645</v>
      </c>
      <c r="AD96" s="287" t="s">
        <v>201</v>
      </c>
      <c r="AE96" s="302" t="s">
        <v>67</v>
      </c>
      <c r="AF96" s="303" t="s">
        <v>158</v>
      </c>
      <c r="AG96" s="304" t="s">
        <v>564</v>
      </c>
      <c r="AH96" s="86" t="s">
        <v>242</v>
      </c>
      <c r="AI96" s="286"/>
      <c r="AJ96" s="85" t="s">
        <v>1646</v>
      </c>
      <c r="AK96" s="287" t="s">
        <v>201</v>
      </c>
      <c r="AL96" s="314" t="s">
        <v>220</v>
      </c>
      <c r="AM96" s="325" t="s">
        <v>712</v>
      </c>
      <c r="AN96" s="304"/>
      <c r="AO96" s="86"/>
      <c r="AP96" s="290"/>
      <c r="AQ96" s="242" t="s">
        <v>1647</v>
      </c>
      <c r="AR96" s="242" t="s">
        <v>1648</v>
      </c>
      <c r="AS96" s="87" t="s">
        <v>111</v>
      </c>
      <c r="AT96" s="243">
        <v>26316</v>
      </c>
      <c r="AU96" s="243"/>
      <c r="AV96" s="242" t="s">
        <v>1649</v>
      </c>
      <c r="AW96" s="242" t="s">
        <v>1071</v>
      </c>
      <c r="AX96" s="243">
        <v>29486</v>
      </c>
      <c r="AY96" s="177"/>
      <c r="AZ96" s="291"/>
      <c r="BA96" s="287" t="s">
        <v>201</v>
      </c>
      <c r="BB96" s="290"/>
      <c r="BC96" s="291"/>
      <c r="BD96" s="291"/>
      <c r="BE96" s="304"/>
      <c r="BF96" s="292"/>
      <c r="BG96" s="293"/>
      <c r="BH96" s="245" t="s">
        <v>3306</v>
      </c>
      <c r="BI96" s="246">
        <v>765765</v>
      </c>
      <c r="BJ96" s="164" t="s">
        <v>3301</v>
      </c>
      <c r="BK96" s="164" t="s">
        <v>3302</v>
      </c>
    </row>
    <row r="97" spans="1:63" s="54" customFormat="1" ht="52.5" customHeight="1" thickBot="1">
      <c r="A97" s="54">
        <v>5</v>
      </c>
      <c r="B97" s="15" t="s">
        <v>77</v>
      </c>
      <c r="C97" s="15" t="s">
        <v>77</v>
      </c>
      <c r="D97" s="126">
        <v>11287</v>
      </c>
      <c r="E97" s="98" t="s">
        <v>1350</v>
      </c>
      <c r="F97" s="93" t="s">
        <v>1351</v>
      </c>
      <c r="G97" s="141" t="s">
        <v>563</v>
      </c>
      <c r="H97" s="142">
        <v>2022</v>
      </c>
      <c r="I97" s="143" t="s">
        <v>2540</v>
      </c>
      <c r="J97" s="170">
        <v>2</v>
      </c>
      <c r="K97" s="50">
        <v>2</v>
      </c>
      <c r="L97" s="49">
        <v>22230180</v>
      </c>
      <c r="M97" s="171" t="s">
        <v>200</v>
      </c>
      <c r="N97" s="83" t="s">
        <v>90</v>
      </c>
      <c r="O97" s="161">
        <v>40277</v>
      </c>
      <c r="P97" s="96">
        <v>40277</v>
      </c>
      <c r="Q97" s="162" t="s">
        <v>1352</v>
      </c>
      <c r="R97" s="44" t="s">
        <v>1353</v>
      </c>
      <c r="S97" s="172" t="s">
        <v>201</v>
      </c>
      <c r="T97" s="84" t="s">
        <v>1364</v>
      </c>
      <c r="U97" s="173">
        <v>28269</v>
      </c>
      <c r="V97" s="8" t="s">
        <v>2920</v>
      </c>
      <c r="W97" s="61" t="s">
        <v>2921</v>
      </c>
      <c r="X97" s="61" t="s">
        <v>2922</v>
      </c>
      <c r="Y97" s="160" t="s">
        <v>73</v>
      </c>
      <c r="Z97" s="164" t="s">
        <v>3262</v>
      </c>
      <c r="AA97" s="176" t="s">
        <v>2923</v>
      </c>
      <c r="AB97" s="210"/>
      <c r="AC97" s="85" t="s">
        <v>1355</v>
      </c>
      <c r="AD97" s="287" t="s">
        <v>201</v>
      </c>
      <c r="AE97" s="302" t="s">
        <v>21</v>
      </c>
      <c r="AF97" s="303" t="s">
        <v>276</v>
      </c>
      <c r="AG97" s="288" t="s">
        <v>564</v>
      </c>
      <c r="AH97" s="86"/>
      <c r="AI97" s="286"/>
      <c r="AJ97" s="85" t="s">
        <v>1356</v>
      </c>
      <c r="AK97" s="287" t="s">
        <v>201</v>
      </c>
      <c r="AL97" s="314" t="s">
        <v>30</v>
      </c>
      <c r="AM97" s="85" t="s">
        <v>22</v>
      </c>
      <c r="AN97" s="288"/>
      <c r="AO97" s="86" t="s">
        <v>339</v>
      </c>
      <c r="AP97" s="290"/>
      <c r="AQ97" s="242" t="s">
        <v>1357</v>
      </c>
      <c r="AR97" s="242" t="s">
        <v>1358</v>
      </c>
      <c r="AS97" s="87" t="s">
        <v>681</v>
      </c>
      <c r="AT97" s="243">
        <v>29346</v>
      </c>
      <c r="AU97" s="243"/>
      <c r="AV97" s="242" t="s">
        <v>1359</v>
      </c>
      <c r="AW97" s="242" t="s">
        <v>90</v>
      </c>
      <c r="AX97" s="243">
        <v>29119</v>
      </c>
      <c r="AY97" s="177"/>
      <c r="AZ97" s="291"/>
      <c r="BA97" s="287" t="s">
        <v>201</v>
      </c>
      <c r="BB97" s="290"/>
      <c r="BC97" s="291"/>
      <c r="BD97" s="291"/>
      <c r="BE97" s="290"/>
      <c r="BF97" s="292"/>
      <c r="BG97" s="293"/>
      <c r="BH97" s="245" t="s">
        <v>3306</v>
      </c>
      <c r="BI97" s="246">
        <v>765765</v>
      </c>
      <c r="BJ97" s="164" t="s">
        <v>3301</v>
      </c>
      <c r="BK97" s="164" t="s">
        <v>3302</v>
      </c>
    </row>
    <row r="98" spans="1:63" s="54" customFormat="1" ht="52.5" customHeight="1" thickBot="1">
      <c r="A98" s="54">
        <v>6</v>
      </c>
      <c r="B98" s="15" t="s">
        <v>77</v>
      </c>
      <c r="C98" s="15" t="s">
        <v>77</v>
      </c>
      <c r="D98" s="126">
        <v>11303</v>
      </c>
      <c r="E98" s="98" t="s">
        <v>1360</v>
      </c>
      <c r="F98" s="93" t="s">
        <v>1361</v>
      </c>
      <c r="G98" s="141" t="s">
        <v>563</v>
      </c>
      <c r="H98" s="142">
        <v>2022</v>
      </c>
      <c r="I98" s="143" t="s">
        <v>2541</v>
      </c>
      <c r="J98" s="170">
        <v>2</v>
      </c>
      <c r="K98" s="50">
        <v>2</v>
      </c>
      <c r="L98" s="49">
        <v>22230149</v>
      </c>
      <c r="M98" s="171" t="s">
        <v>200</v>
      </c>
      <c r="N98" s="83" t="s">
        <v>109</v>
      </c>
      <c r="O98" s="161">
        <v>40210</v>
      </c>
      <c r="P98" s="96">
        <v>40210</v>
      </c>
      <c r="Q98" s="162" t="s">
        <v>1362</v>
      </c>
      <c r="R98" s="44" t="s">
        <v>1363</v>
      </c>
      <c r="S98" s="172" t="s">
        <v>201</v>
      </c>
      <c r="T98" s="84" t="s">
        <v>2200</v>
      </c>
      <c r="U98" s="173">
        <v>51381</v>
      </c>
      <c r="V98" s="8" t="s">
        <v>2924</v>
      </c>
      <c r="W98" s="61" t="s">
        <v>2925</v>
      </c>
      <c r="X98" s="61" t="s">
        <v>109</v>
      </c>
      <c r="Y98" s="160" t="s">
        <v>28</v>
      </c>
      <c r="Z98" s="164" t="s">
        <v>3262</v>
      </c>
      <c r="AA98" s="176" t="s">
        <v>2926</v>
      </c>
      <c r="AB98" s="211"/>
      <c r="AC98" s="85" t="s">
        <v>1365</v>
      </c>
      <c r="AD98" s="287" t="s">
        <v>201</v>
      </c>
      <c r="AE98" s="302" t="s">
        <v>220</v>
      </c>
      <c r="AF98" s="303" t="s">
        <v>22</v>
      </c>
      <c r="AG98" s="288" t="s">
        <v>564</v>
      </c>
      <c r="AH98" s="86" t="s">
        <v>340</v>
      </c>
      <c r="AI98" s="286"/>
      <c r="AJ98" s="85" t="s">
        <v>1366</v>
      </c>
      <c r="AK98" s="287" t="s">
        <v>201</v>
      </c>
      <c r="AL98" s="314" t="s">
        <v>220</v>
      </c>
      <c r="AM98" s="85" t="s">
        <v>490</v>
      </c>
      <c r="AN98" s="288"/>
      <c r="AO98" s="289"/>
      <c r="AP98" s="290"/>
      <c r="AQ98" s="242" t="s">
        <v>1367</v>
      </c>
      <c r="AR98" s="242" t="s">
        <v>1368</v>
      </c>
      <c r="AS98" s="87" t="s">
        <v>109</v>
      </c>
      <c r="AT98" s="243">
        <v>29419</v>
      </c>
      <c r="AU98" s="243"/>
      <c r="AV98" s="242" t="s">
        <v>1369</v>
      </c>
      <c r="AW98" s="242" t="s">
        <v>54</v>
      </c>
      <c r="AX98" s="243">
        <v>28212</v>
      </c>
      <c r="AY98" s="177"/>
      <c r="AZ98" s="291"/>
      <c r="BA98" s="287" t="s">
        <v>201</v>
      </c>
      <c r="BB98" s="290"/>
      <c r="BC98" s="291"/>
      <c r="BD98" s="291"/>
      <c r="BE98" s="290"/>
      <c r="BF98" s="292"/>
      <c r="BG98" s="293"/>
      <c r="BH98" s="245" t="s">
        <v>3306</v>
      </c>
      <c r="BI98" s="246">
        <v>765765</v>
      </c>
      <c r="BJ98" s="164" t="s">
        <v>3301</v>
      </c>
      <c r="BK98" s="164" t="s">
        <v>3302</v>
      </c>
    </row>
    <row r="99" spans="1:63" s="54" customFormat="1" ht="52.5" customHeight="1" thickBot="1">
      <c r="A99" s="54">
        <v>7</v>
      </c>
      <c r="B99" s="15" t="s">
        <v>77</v>
      </c>
      <c r="C99" s="15" t="s">
        <v>77</v>
      </c>
      <c r="D99" s="126">
        <v>11307</v>
      </c>
      <c r="E99" s="91" t="s">
        <v>1370</v>
      </c>
      <c r="F99" s="93" t="s">
        <v>1371</v>
      </c>
      <c r="G99" s="141" t="s">
        <v>563</v>
      </c>
      <c r="H99" s="142">
        <v>2022</v>
      </c>
      <c r="I99" s="143" t="s">
        <v>2542</v>
      </c>
      <c r="J99" s="170">
        <v>1</v>
      </c>
      <c r="K99" s="50">
        <v>2</v>
      </c>
      <c r="L99" s="49">
        <v>22230195</v>
      </c>
      <c r="M99" s="171" t="s">
        <v>200</v>
      </c>
      <c r="N99" s="178" t="s">
        <v>23</v>
      </c>
      <c r="O99" s="161">
        <v>39883</v>
      </c>
      <c r="P99" s="180">
        <v>39883</v>
      </c>
      <c r="Q99" s="162" t="s">
        <v>2927</v>
      </c>
      <c r="R99" s="44" t="s">
        <v>1372</v>
      </c>
      <c r="S99" s="172" t="s">
        <v>201</v>
      </c>
      <c r="T99" s="165" t="s">
        <v>1074</v>
      </c>
      <c r="U99" s="173">
        <v>55173</v>
      </c>
      <c r="V99" s="8" t="s">
        <v>2928</v>
      </c>
      <c r="W99" s="61" t="s">
        <v>248</v>
      </c>
      <c r="X99" s="61" t="s">
        <v>279</v>
      </c>
      <c r="Y99" s="160" t="s">
        <v>20</v>
      </c>
      <c r="Z99" s="164" t="s">
        <v>3262</v>
      </c>
      <c r="AA99" s="212" t="s">
        <v>2706</v>
      </c>
      <c r="AB99" s="210"/>
      <c r="AC99" s="85" t="s">
        <v>1374</v>
      </c>
      <c r="AD99" s="287" t="s">
        <v>201</v>
      </c>
      <c r="AE99" s="302" t="s">
        <v>30</v>
      </c>
      <c r="AF99" s="303" t="s">
        <v>154</v>
      </c>
      <c r="AG99" s="288" t="s">
        <v>564</v>
      </c>
      <c r="AH99" s="86" t="s">
        <v>282</v>
      </c>
      <c r="AI99" s="286"/>
      <c r="AJ99" s="85" t="s">
        <v>1375</v>
      </c>
      <c r="AK99" s="287" t="s">
        <v>201</v>
      </c>
      <c r="AL99" s="314" t="s">
        <v>220</v>
      </c>
      <c r="AM99" s="85" t="s">
        <v>490</v>
      </c>
      <c r="AN99" s="288"/>
      <c r="AO99" s="86"/>
      <c r="AP99" s="290"/>
      <c r="AQ99" s="242" t="s">
        <v>1376</v>
      </c>
      <c r="AR99" s="242" t="s">
        <v>1377</v>
      </c>
      <c r="AS99" s="87" t="s">
        <v>95</v>
      </c>
      <c r="AT99" s="243">
        <v>29350</v>
      </c>
      <c r="AU99" s="243"/>
      <c r="AV99" s="242" t="s">
        <v>1378</v>
      </c>
      <c r="AW99" s="242" t="s">
        <v>68</v>
      </c>
      <c r="AX99" s="243">
        <v>30552</v>
      </c>
      <c r="AY99" s="177"/>
      <c r="AZ99" s="291"/>
      <c r="BA99" s="287" t="s">
        <v>201</v>
      </c>
      <c r="BB99" s="290"/>
      <c r="BC99" s="291"/>
      <c r="BD99" s="291"/>
      <c r="BE99" s="290"/>
      <c r="BF99" s="292"/>
      <c r="BG99" s="293"/>
      <c r="BH99" s="245" t="s">
        <v>3306</v>
      </c>
      <c r="BI99" s="246">
        <v>765765</v>
      </c>
      <c r="BJ99" s="164" t="s">
        <v>3301</v>
      </c>
      <c r="BK99" s="164" t="s">
        <v>3302</v>
      </c>
    </row>
    <row r="100" spans="1:63" s="54" customFormat="1" ht="52.5" customHeight="1" thickBot="1">
      <c r="A100" s="54">
        <v>8</v>
      </c>
      <c r="B100" s="16" t="s">
        <v>131</v>
      </c>
      <c r="C100" s="15" t="s">
        <v>77</v>
      </c>
      <c r="D100" s="140">
        <v>11323</v>
      </c>
      <c r="E100" s="91" t="s">
        <v>1403</v>
      </c>
      <c r="F100" s="93" t="s">
        <v>1379</v>
      </c>
      <c r="G100" s="141" t="s">
        <v>563</v>
      </c>
      <c r="H100" s="142">
        <v>2022</v>
      </c>
      <c r="I100" s="143" t="s">
        <v>2543</v>
      </c>
      <c r="J100" s="170">
        <v>1</v>
      </c>
      <c r="K100" s="50">
        <v>1</v>
      </c>
      <c r="L100" s="49">
        <v>22230093</v>
      </c>
      <c r="M100" s="171" t="s">
        <v>200</v>
      </c>
      <c r="N100" s="178" t="s">
        <v>56</v>
      </c>
      <c r="O100" s="161">
        <v>39886</v>
      </c>
      <c r="P100" s="179">
        <v>39886</v>
      </c>
      <c r="Q100" s="162" t="s">
        <v>1380</v>
      </c>
      <c r="R100" s="44" t="s">
        <v>1381</v>
      </c>
      <c r="S100" s="172" t="s">
        <v>201</v>
      </c>
      <c r="T100" s="165" t="s">
        <v>1407</v>
      </c>
      <c r="U100" s="173">
        <v>54416</v>
      </c>
      <c r="V100" s="8" t="s">
        <v>2929</v>
      </c>
      <c r="W100" s="61" t="s">
        <v>2930</v>
      </c>
      <c r="X100" s="61" t="s">
        <v>56</v>
      </c>
      <c r="Y100" s="160" t="s">
        <v>28</v>
      </c>
      <c r="Z100" s="164" t="s">
        <v>3262</v>
      </c>
      <c r="AA100" s="176" t="s">
        <v>2760</v>
      </c>
      <c r="AB100" s="174"/>
      <c r="AC100" s="85" t="s">
        <v>1382</v>
      </c>
      <c r="AD100" s="287" t="s">
        <v>201</v>
      </c>
      <c r="AE100" s="302" t="s">
        <v>21</v>
      </c>
      <c r="AF100" s="303" t="s">
        <v>154</v>
      </c>
      <c r="AG100" s="288" t="s">
        <v>564</v>
      </c>
      <c r="AH100" s="86" t="s">
        <v>494</v>
      </c>
      <c r="AI100" s="286"/>
      <c r="AJ100" s="85" t="s">
        <v>2931</v>
      </c>
      <c r="AK100" s="287" t="s">
        <v>201</v>
      </c>
      <c r="AL100" s="314" t="s">
        <v>21</v>
      </c>
      <c r="AM100" s="85" t="s">
        <v>490</v>
      </c>
      <c r="AN100" s="288"/>
      <c r="AO100" s="289" t="s">
        <v>261</v>
      </c>
      <c r="AP100" s="290"/>
      <c r="AQ100" s="242" t="s">
        <v>1383</v>
      </c>
      <c r="AR100" s="242" t="s">
        <v>1384</v>
      </c>
      <c r="AS100" s="87" t="s">
        <v>56</v>
      </c>
      <c r="AT100" s="243">
        <v>28686</v>
      </c>
      <c r="AU100" s="243"/>
      <c r="AV100" s="242" t="s">
        <v>1385</v>
      </c>
      <c r="AW100" s="242" t="s">
        <v>56</v>
      </c>
      <c r="AX100" s="243">
        <v>30129</v>
      </c>
      <c r="AY100" s="177"/>
      <c r="AZ100" s="291"/>
      <c r="BA100" s="287" t="s">
        <v>201</v>
      </c>
      <c r="BB100" s="290"/>
      <c r="BC100" s="291"/>
      <c r="BD100" s="291"/>
      <c r="BE100" s="290"/>
      <c r="BF100" s="292"/>
      <c r="BG100" s="293"/>
      <c r="BH100" s="245" t="s">
        <v>3306</v>
      </c>
      <c r="BI100" s="246">
        <v>765765</v>
      </c>
      <c r="BJ100" s="164" t="s">
        <v>3301</v>
      </c>
      <c r="BK100" s="164" t="s">
        <v>3302</v>
      </c>
    </row>
    <row r="101" spans="1:63" s="54" customFormat="1" ht="52.5" customHeight="1" thickBot="1">
      <c r="A101" s="54">
        <v>9</v>
      </c>
      <c r="B101" s="16" t="s">
        <v>131</v>
      </c>
      <c r="C101" s="15" t="s">
        <v>77</v>
      </c>
      <c r="D101" s="140">
        <v>11331</v>
      </c>
      <c r="E101" s="91" t="s">
        <v>1690</v>
      </c>
      <c r="F101" s="93" t="s">
        <v>1404</v>
      </c>
      <c r="G101" s="141" t="s">
        <v>563</v>
      </c>
      <c r="H101" s="142">
        <v>2022</v>
      </c>
      <c r="I101" s="143" t="s">
        <v>2544</v>
      </c>
      <c r="J101" s="170">
        <v>1</v>
      </c>
      <c r="K101" s="50">
        <v>2</v>
      </c>
      <c r="L101" s="49">
        <v>22230133</v>
      </c>
      <c r="M101" s="171" t="s">
        <v>200</v>
      </c>
      <c r="N101" s="178" t="s">
        <v>40</v>
      </c>
      <c r="O101" s="161">
        <v>40090</v>
      </c>
      <c r="P101" s="213">
        <v>40090</v>
      </c>
      <c r="Q101" s="162" t="s">
        <v>1405</v>
      </c>
      <c r="R101" s="46" t="s">
        <v>1406</v>
      </c>
      <c r="S101" s="172" t="s">
        <v>201</v>
      </c>
      <c r="T101" s="167" t="s">
        <v>1694</v>
      </c>
      <c r="U101" s="214">
        <v>15148</v>
      </c>
      <c r="V101" s="215" t="s">
        <v>2932</v>
      </c>
      <c r="W101" s="216" t="s">
        <v>2933</v>
      </c>
      <c r="X101" s="216" t="s">
        <v>2847</v>
      </c>
      <c r="Y101" s="217" t="s">
        <v>42</v>
      </c>
      <c r="Z101" s="164" t="s">
        <v>3262</v>
      </c>
      <c r="AA101" s="218" t="s">
        <v>2934</v>
      </c>
      <c r="AB101" s="174"/>
      <c r="AC101" s="85" t="s">
        <v>43</v>
      </c>
      <c r="AD101" s="287" t="s">
        <v>201</v>
      </c>
      <c r="AE101" s="302" t="s">
        <v>30</v>
      </c>
      <c r="AF101" s="303" t="s">
        <v>22</v>
      </c>
      <c r="AG101" s="288" t="s">
        <v>564</v>
      </c>
      <c r="AH101" s="86" t="s">
        <v>160</v>
      </c>
      <c r="AI101" s="286"/>
      <c r="AJ101" s="85" t="s">
        <v>1408</v>
      </c>
      <c r="AK101" s="287" t="s">
        <v>201</v>
      </c>
      <c r="AL101" s="314" t="s">
        <v>220</v>
      </c>
      <c r="AM101" s="85" t="s">
        <v>22</v>
      </c>
      <c r="AN101" s="288"/>
      <c r="AO101" s="289"/>
      <c r="AP101" s="290"/>
      <c r="AQ101" s="242" t="s">
        <v>1409</v>
      </c>
      <c r="AR101" s="242" t="s">
        <v>1410</v>
      </c>
      <c r="AS101" s="87" t="s">
        <v>41</v>
      </c>
      <c r="AT101" s="243">
        <v>29774</v>
      </c>
      <c r="AU101" s="243"/>
      <c r="AV101" s="242" t="s">
        <v>1411</v>
      </c>
      <c r="AW101" s="242" t="s">
        <v>40</v>
      </c>
      <c r="AX101" s="243">
        <v>30709</v>
      </c>
      <c r="AY101" s="177"/>
      <c r="AZ101" s="291"/>
      <c r="BA101" s="287" t="s">
        <v>201</v>
      </c>
      <c r="BB101" s="290"/>
      <c r="BC101" s="291"/>
      <c r="BD101" s="291"/>
      <c r="BE101" s="290"/>
      <c r="BF101" s="292"/>
      <c r="BG101" s="293"/>
      <c r="BH101" s="245" t="s">
        <v>3306</v>
      </c>
      <c r="BI101" s="246">
        <v>765765</v>
      </c>
      <c r="BJ101" s="164" t="s">
        <v>3301</v>
      </c>
      <c r="BK101" s="164" t="s">
        <v>3302</v>
      </c>
    </row>
    <row r="102" spans="1:63" s="54" customFormat="1" ht="52.5" customHeight="1" thickBot="1">
      <c r="A102" s="54">
        <v>10</v>
      </c>
      <c r="B102" s="12" t="s">
        <v>128</v>
      </c>
      <c r="C102" s="15" t="s">
        <v>77</v>
      </c>
      <c r="D102" s="140">
        <v>11326</v>
      </c>
      <c r="E102" s="98" t="s">
        <v>1386</v>
      </c>
      <c r="F102" s="93" t="s">
        <v>1387</v>
      </c>
      <c r="G102" s="141" t="s">
        <v>563</v>
      </c>
      <c r="H102" s="142">
        <v>2022</v>
      </c>
      <c r="I102" s="143" t="s">
        <v>2545</v>
      </c>
      <c r="J102" s="170">
        <v>1</v>
      </c>
      <c r="K102" s="50">
        <v>1</v>
      </c>
      <c r="L102" s="49">
        <v>22230029</v>
      </c>
      <c r="M102" s="171" t="s">
        <v>200</v>
      </c>
      <c r="N102" s="178" t="s">
        <v>112</v>
      </c>
      <c r="O102" s="161">
        <v>39942</v>
      </c>
      <c r="P102" s="179">
        <v>39942</v>
      </c>
      <c r="Q102" s="162" t="s">
        <v>2189</v>
      </c>
      <c r="R102" s="44" t="s">
        <v>1388</v>
      </c>
      <c r="S102" s="172" t="s">
        <v>201</v>
      </c>
      <c r="T102" s="165" t="s">
        <v>1389</v>
      </c>
      <c r="U102" s="173">
        <v>97128</v>
      </c>
      <c r="V102" s="8" t="s">
        <v>2935</v>
      </c>
      <c r="W102" s="61" t="s">
        <v>2936</v>
      </c>
      <c r="X102" s="61" t="s">
        <v>2937</v>
      </c>
      <c r="Y102" s="160" t="s">
        <v>113</v>
      </c>
      <c r="Z102" s="164" t="s">
        <v>3262</v>
      </c>
      <c r="AA102" s="176" t="s">
        <v>2938</v>
      </c>
      <c r="AB102" s="219"/>
      <c r="AC102" s="85" t="s">
        <v>1390</v>
      </c>
      <c r="AD102" s="287" t="s">
        <v>201</v>
      </c>
      <c r="AE102" s="302" t="s">
        <v>21</v>
      </c>
      <c r="AF102" s="303" t="s">
        <v>22</v>
      </c>
      <c r="AG102" s="304" t="s">
        <v>564</v>
      </c>
      <c r="AH102" s="86" t="s">
        <v>228</v>
      </c>
      <c r="AI102" s="286"/>
      <c r="AJ102" s="85" t="s">
        <v>1391</v>
      </c>
      <c r="AK102" s="287" t="s">
        <v>201</v>
      </c>
      <c r="AL102" s="314" t="s">
        <v>220</v>
      </c>
      <c r="AM102" s="85" t="s">
        <v>22</v>
      </c>
      <c r="AN102" s="288"/>
      <c r="AO102" s="289"/>
      <c r="AP102" s="286"/>
      <c r="AQ102" s="242" t="s">
        <v>1392</v>
      </c>
      <c r="AR102" s="242" t="s">
        <v>1393</v>
      </c>
      <c r="AS102" s="87" t="s">
        <v>112</v>
      </c>
      <c r="AT102" s="243">
        <v>29969</v>
      </c>
      <c r="AU102" s="243"/>
      <c r="AV102" s="242" t="s">
        <v>1394</v>
      </c>
      <c r="AW102" s="242" t="s">
        <v>112</v>
      </c>
      <c r="AX102" s="243">
        <v>30087</v>
      </c>
      <c r="AY102" s="177"/>
      <c r="AZ102" s="291"/>
      <c r="BA102" s="287" t="s">
        <v>201</v>
      </c>
      <c r="BB102" s="290"/>
      <c r="BC102" s="291"/>
      <c r="BD102" s="291"/>
      <c r="BE102" s="290"/>
      <c r="BF102" s="292"/>
      <c r="BG102" s="293"/>
      <c r="BH102" s="245" t="s">
        <v>3306</v>
      </c>
      <c r="BI102" s="246">
        <v>765765</v>
      </c>
      <c r="BJ102" s="164" t="s">
        <v>3301</v>
      </c>
      <c r="BK102" s="164" t="s">
        <v>3302</v>
      </c>
    </row>
    <row r="103" spans="1:63" s="54" customFormat="1" ht="52.5" customHeight="1" thickBot="1">
      <c r="A103" s="54">
        <v>11</v>
      </c>
      <c r="B103" s="12" t="s">
        <v>128</v>
      </c>
      <c r="C103" s="15" t="s">
        <v>77</v>
      </c>
      <c r="D103" s="140">
        <v>11328</v>
      </c>
      <c r="E103" s="98" t="s">
        <v>1395</v>
      </c>
      <c r="F103" s="93" t="s">
        <v>1396</v>
      </c>
      <c r="G103" s="141" t="s">
        <v>563</v>
      </c>
      <c r="H103" s="142">
        <v>2022</v>
      </c>
      <c r="I103" s="143" t="s">
        <v>2546</v>
      </c>
      <c r="J103" s="170">
        <v>1</v>
      </c>
      <c r="K103" s="50">
        <v>0</v>
      </c>
      <c r="L103" s="49">
        <v>22230017</v>
      </c>
      <c r="M103" s="171" t="s">
        <v>200</v>
      </c>
      <c r="N103" s="178" t="s">
        <v>27</v>
      </c>
      <c r="O103" s="161">
        <v>40325</v>
      </c>
      <c r="P103" s="180">
        <v>40325</v>
      </c>
      <c r="Q103" s="162" t="s">
        <v>1397</v>
      </c>
      <c r="R103" s="44" t="s">
        <v>1398</v>
      </c>
      <c r="S103" s="172" t="s">
        <v>201</v>
      </c>
      <c r="T103" s="165" t="s">
        <v>1399</v>
      </c>
      <c r="U103" s="173">
        <v>57311</v>
      </c>
      <c r="V103" s="8" t="s">
        <v>2939</v>
      </c>
      <c r="W103" s="61" t="s">
        <v>2940</v>
      </c>
      <c r="X103" s="61" t="s">
        <v>102</v>
      </c>
      <c r="Y103" s="160" t="s">
        <v>28</v>
      </c>
      <c r="Z103" s="164" t="s">
        <v>3262</v>
      </c>
      <c r="AA103" s="220" t="s">
        <v>2941</v>
      </c>
      <c r="AB103" s="55"/>
      <c r="AC103" s="85"/>
      <c r="AD103" s="287" t="s">
        <v>201</v>
      </c>
      <c r="AE103" s="302"/>
      <c r="AF103" s="303"/>
      <c r="AG103" s="304"/>
      <c r="AH103" s="86"/>
      <c r="AI103" s="286"/>
      <c r="AJ103" s="85" t="s">
        <v>1400</v>
      </c>
      <c r="AK103" s="287" t="s">
        <v>201</v>
      </c>
      <c r="AL103" s="314" t="s">
        <v>21</v>
      </c>
      <c r="AM103" s="304" t="s">
        <v>154</v>
      </c>
      <c r="AN103" s="304" t="s">
        <v>564</v>
      </c>
      <c r="AO103" s="86" t="s">
        <v>229</v>
      </c>
      <c r="AP103" s="286"/>
      <c r="AQ103" s="242" t="s">
        <v>1401</v>
      </c>
      <c r="AR103" s="242"/>
      <c r="AS103" s="87"/>
      <c r="AT103" s="243"/>
      <c r="AU103" s="243"/>
      <c r="AV103" s="242" t="s">
        <v>1402</v>
      </c>
      <c r="AW103" s="87" t="s">
        <v>102</v>
      </c>
      <c r="AX103" s="243">
        <v>29561</v>
      </c>
      <c r="AY103" s="177"/>
      <c r="AZ103" s="291"/>
      <c r="BA103" s="287" t="s">
        <v>201</v>
      </c>
      <c r="BB103" s="290"/>
      <c r="BC103" s="291"/>
      <c r="BD103" s="291"/>
      <c r="BE103" s="290"/>
      <c r="BF103" s="292"/>
      <c r="BG103" s="293"/>
      <c r="BH103" s="245" t="s">
        <v>3306</v>
      </c>
      <c r="BI103" s="246">
        <v>765765</v>
      </c>
      <c r="BJ103" s="164" t="s">
        <v>3301</v>
      </c>
      <c r="BK103" s="164" t="s">
        <v>3302</v>
      </c>
    </row>
    <row r="104" spans="1:63" s="54" customFormat="1" ht="52.5" customHeight="1" thickBot="1">
      <c r="A104" s="54">
        <v>12</v>
      </c>
      <c r="B104" s="12" t="s">
        <v>128</v>
      </c>
      <c r="C104" s="15" t="s">
        <v>77</v>
      </c>
      <c r="D104" s="140">
        <v>11339</v>
      </c>
      <c r="E104" s="98" t="s">
        <v>1412</v>
      </c>
      <c r="F104" s="93" t="s">
        <v>1413</v>
      </c>
      <c r="G104" s="141" t="s">
        <v>563</v>
      </c>
      <c r="H104" s="142">
        <v>2022</v>
      </c>
      <c r="I104" s="143" t="s">
        <v>2547</v>
      </c>
      <c r="J104" s="170">
        <v>1</v>
      </c>
      <c r="K104" s="50"/>
      <c r="L104" s="49">
        <v>22230030</v>
      </c>
      <c r="M104" s="171" t="s">
        <v>200</v>
      </c>
      <c r="N104" s="178" t="s">
        <v>60</v>
      </c>
      <c r="O104" s="161">
        <v>40163</v>
      </c>
      <c r="P104" s="97">
        <v>40163</v>
      </c>
      <c r="Q104" s="162" t="s">
        <v>937</v>
      </c>
      <c r="R104" s="44" t="s">
        <v>1414</v>
      </c>
      <c r="S104" s="172" t="s">
        <v>201</v>
      </c>
      <c r="T104" s="168" t="s">
        <v>1415</v>
      </c>
      <c r="U104" s="173">
        <v>53257</v>
      </c>
      <c r="V104" s="8" t="s">
        <v>2942</v>
      </c>
      <c r="W104" s="61" t="s">
        <v>2943</v>
      </c>
      <c r="X104" s="61" t="s">
        <v>60</v>
      </c>
      <c r="Y104" s="160" t="s">
        <v>28</v>
      </c>
      <c r="Z104" s="164" t="s">
        <v>3262</v>
      </c>
      <c r="AA104" s="176" t="s">
        <v>2944</v>
      </c>
      <c r="AB104" s="210"/>
      <c r="AC104" s="85" t="s">
        <v>1416</v>
      </c>
      <c r="AD104" s="287" t="s">
        <v>201</v>
      </c>
      <c r="AE104" s="302" t="s">
        <v>21</v>
      </c>
      <c r="AF104" s="303"/>
      <c r="AG104" s="304"/>
      <c r="AH104" s="86"/>
      <c r="AI104" s="286"/>
      <c r="AJ104" s="85" t="s">
        <v>1417</v>
      </c>
      <c r="AK104" s="287" t="s">
        <v>201</v>
      </c>
      <c r="AL104" s="314" t="s">
        <v>24</v>
      </c>
      <c r="AM104" s="325" t="s">
        <v>153</v>
      </c>
      <c r="AN104" s="304" t="s">
        <v>564</v>
      </c>
      <c r="AO104" s="86" t="s">
        <v>320</v>
      </c>
      <c r="AP104" s="338"/>
      <c r="AQ104" s="242"/>
      <c r="AR104" s="242"/>
      <c r="AS104" s="87"/>
      <c r="AT104" s="243"/>
      <c r="AU104" s="243"/>
      <c r="AV104" s="242"/>
      <c r="AW104" s="242"/>
      <c r="AX104" s="243"/>
      <c r="AY104" s="177"/>
      <c r="AZ104" s="291"/>
      <c r="BA104" s="287" t="s">
        <v>201</v>
      </c>
      <c r="BB104" s="290"/>
      <c r="BC104" s="291"/>
      <c r="BD104" s="291"/>
      <c r="BE104" s="290"/>
      <c r="BF104" s="292"/>
      <c r="BG104" s="293"/>
      <c r="BH104" s="245" t="s">
        <v>3306</v>
      </c>
      <c r="BI104" s="246">
        <v>765765</v>
      </c>
      <c r="BJ104" s="164" t="s">
        <v>3301</v>
      </c>
      <c r="BK104" s="164" t="s">
        <v>3302</v>
      </c>
    </row>
    <row r="105" spans="1:63" s="54" customFormat="1" ht="52.5" customHeight="1" thickBot="1">
      <c r="A105" s="54">
        <v>13</v>
      </c>
      <c r="B105" s="16" t="s">
        <v>131</v>
      </c>
      <c r="C105" s="15" t="s">
        <v>77</v>
      </c>
      <c r="D105" s="140">
        <v>11363</v>
      </c>
      <c r="E105" s="98" t="s">
        <v>1428</v>
      </c>
      <c r="F105" s="93" t="s">
        <v>1429</v>
      </c>
      <c r="G105" s="141" t="s">
        <v>563</v>
      </c>
      <c r="H105" s="142">
        <v>2022</v>
      </c>
      <c r="I105" s="143" t="s">
        <v>2548</v>
      </c>
      <c r="J105" s="170">
        <v>1</v>
      </c>
      <c r="K105" s="50">
        <v>0</v>
      </c>
      <c r="L105" s="49">
        <v>22230112</v>
      </c>
      <c r="M105" s="171" t="s">
        <v>200</v>
      </c>
      <c r="N105" s="83" t="s">
        <v>1430</v>
      </c>
      <c r="O105" s="161">
        <v>39966</v>
      </c>
      <c r="P105" s="179">
        <v>39966</v>
      </c>
      <c r="Q105" s="162" t="s">
        <v>1431</v>
      </c>
      <c r="R105" s="44" t="s">
        <v>1432</v>
      </c>
      <c r="S105" s="172" t="s">
        <v>201</v>
      </c>
      <c r="T105" s="165" t="s">
        <v>2675</v>
      </c>
      <c r="U105" s="173">
        <v>54173</v>
      </c>
      <c r="V105" s="8" t="s">
        <v>672</v>
      </c>
      <c r="W105" s="61" t="s">
        <v>2945</v>
      </c>
      <c r="X105" s="61" t="s">
        <v>94</v>
      </c>
      <c r="Y105" s="160" t="s">
        <v>28</v>
      </c>
      <c r="Z105" s="164" t="s">
        <v>3262</v>
      </c>
      <c r="AA105" s="53" t="s">
        <v>2946</v>
      </c>
      <c r="AB105" s="210"/>
      <c r="AC105" s="85" t="s">
        <v>1433</v>
      </c>
      <c r="AD105" s="287" t="s">
        <v>201</v>
      </c>
      <c r="AE105" s="302" t="s">
        <v>21</v>
      </c>
      <c r="AF105" s="303" t="s">
        <v>155</v>
      </c>
      <c r="AG105" s="304" t="s">
        <v>489</v>
      </c>
      <c r="AH105" s="86" t="s">
        <v>262</v>
      </c>
      <c r="AI105" s="286"/>
      <c r="AJ105" s="85" t="s">
        <v>2947</v>
      </c>
      <c r="AK105" s="287" t="s">
        <v>201</v>
      </c>
      <c r="AL105" s="314" t="s">
        <v>24</v>
      </c>
      <c r="AM105" s="85" t="s">
        <v>490</v>
      </c>
      <c r="AN105" s="288"/>
      <c r="AO105" s="289"/>
      <c r="AP105" s="290"/>
      <c r="AQ105" s="242" t="s">
        <v>1434</v>
      </c>
      <c r="AR105" s="242" t="s">
        <v>1435</v>
      </c>
      <c r="AS105" s="87" t="s">
        <v>94</v>
      </c>
      <c r="AT105" s="243">
        <v>25580</v>
      </c>
      <c r="AU105" s="243"/>
      <c r="AV105" s="242" t="s">
        <v>1436</v>
      </c>
      <c r="AW105" s="242" t="s">
        <v>94</v>
      </c>
      <c r="AX105" s="243">
        <v>27435</v>
      </c>
      <c r="AY105" s="177"/>
      <c r="AZ105" s="291"/>
      <c r="BA105" s="287" t="s">
        <v>201</v>
      </c>
      <c r="BB105" s="290"/>
      <c r="BC105" s="291"/>
      <c r="BD105" s="291"/>
      <c r="BE105" s="290"/>
      <c r="BF105" s="292"/>
      <c r="BG105" s="293"/>
      <c r="BH105" s="245" t="s">
        <v>3306</v>
      </c>
      <c r="BI105" s="246">
        <v>765765</v>
      </c>
      <c r="BJ105" s="164" t="s">
        <v>3301</v>
      </c>
      <c r="BK105" s="164" t="s">
        <v>3302</v>
      </c>
    </row>
    <row r="106" spans="1:63" s="54" customFormat="1" ht="52.5" customHeight="1" thickBot="1">
      <c r="A106" s="54">
        <v>14</v>
      </c>
      <c r="B106" s="12" t="s">
        <v>128</v>
      </c>
      <c r="C106" s="15" t="s">
        <v>77</v>
      </c>
      <c r="D106" s="140">
        <v>11355</v>
      </c>
      <c r="E106" s="98" t="s">
        <v>1418</v>
      </c>
      <c r="F106" s="93" t="s">
        <v>1419</v>
      </c>
      <c r="G106" s="141" t="s">
        <v>563</v>
      </c>
      <c r="H106" s="142">
        <v>2022</v>
      </c>
      <c r="I106" s="143" t="s">
        <v>2549</v>
      </c>
      <c r="J106" s="187">
        <v>1</v>
      </c>
      <c r="K106" s="188">
        <v>2</v>
      </c>
      <c r="L106" s="189">
        <v>22230006</v>
      </c>
      <c r="M106" s="171" t="s">
        <v>200</v>
      </c>
      <c r="N106" s="190" t="s">
        <v>31</v>
      </c>
      <c r="O106" s="161">
        <v>40073</v>
      </c>
      <c r="P106" s="191">
        <v>40073</v>
      </c>
      <c r="Q106" s="162" t="s">
        <v>1420</v>
      </c>
      <c r="R106" s="46" t="s">
        <v>1421</v>
      </c>
      <c r="S106" s="172" t="s">
        <v>201</v>
      </c>
      <c r="T106" s="166" t="s">
        <v>1422</v>
      </c>
      <c r="U106" s="192">
        <v>51182</v>
      </c>
      <c r="V106" s="193" t="s">
        <v>2948</v>
      </c>
      <c r="W106" s="194" t="s">
        <v>2949</v>
      </c>
      <c r="X106" s="194" t="s">
        <v>31</v>
      </c>
      <c r="Y106" s="160" t="s">
        <v>28</v>
      </c>
      <c r="Z106" s="164" t="s">
        <v>3262</v>
      </c>
      <c r="AA106" s="221" t="s">
        <v>2950</v>
      </c>
      <c r="AB106" s="196"/>
      <c r="AC106" s="85" t="s">
        <v>1423</v>
      </c>
      <c r="AD106" s="287" t="s">
        <v>201</v>
      </c>
      <c r="AE106" s="302" t="s">
        <v>30</v>
      </c>
      <c r="AF106" s="303" t="s">
        <v>22</v>
      </c>
      <c r="AG106" s="304" t="s">
        <v>564</v>
      </c>
      <c r="AH106" s="86" t="s">
        <v>230</v>
      </c>
      <c r="AI106" s="286"/>
      <c r="AJ106" s="85" t="s">
        <v>1424</v>
      </c>
      <c r="AK106" s="287" t="s">
        <v>201</v>
      </c>
      <c r="AL106" s="314" t="s">
        <v>21</v>
      </c>
      <c r="AM106" s="325" t="s">
        <v>22</v>
      </c>
      <c r="AN106" s="288"/>
      <c r="AO106" s="289"/>
      <c r="AP106" s="290"/>
      <c r="AQ106" s="242" t="s">
        <v>1425</v>
      </c>
      <c r="AR106" s="242" t="s">
        <v>1426</v>
      </c>
      <c r="AS106" s="87" t="s">
        <v>31</v>
      </c>
      <c r="AT106" s="243">
        <v>28742</v>
      </c>
      <c r="AU106" s="243"/>
      <c r="AV106" s="242" t="s">
        <v>1427</v>
      </c>
      <c r="AW106" s="242" t="s">
        <v>31</v>
      </c>
      <c r="AX106" s="243">
        <v>29404</v>
      </c>
      <c r="AY106" s="243"/>
      <c r="AZ106" s="291"/>
      <c r="BA106" s="287" t="s">
        <v>201</v>
      </c>
      <c r="BB106" s="290"/>
      <c r="BC106" s="291"/>
      <c r="BD106" s="291"/>
      <c r="BE106" s="290"/>
      <c r="BF106" s="292"/>
      <c r="BG106" s="293"/>
      <c r="BH106" s="245" t="s">
        <v>3306</v>
      </c>
      <c r="BI106" s="246">
        <v>765765</v>
      </c>
      <c r="BJ106" s="164" t="s">
        <v>3301</v>
      </c>
      <c r="BK106" s="164" t="s">
        <v>3302</v>
      </c>
    </row>
    <row r="107" spans="1:63" s="54" customFormat="1" ht="52.5" customHeight="1" thickBot="1">
      <c r="A107" s="54">
        <v>15</v>
      </c>
      <c r="B107" s="11" t="s">
        <v>126</v>
      </c>
      <c r="C107" s="15" t="s">
        <v>77</v>
      </c>
      <c r="D107" s="147">
        <v>11368</v>
      </c>
      <c r="E107" s="91" t="s">
        <v>2435</v>
      </c>
      <c r="F107" s="93" t="s">
        <v>216</v>
      </c>
      <c r="G107" s="141" t="s">
        <v>563</v>
      </c>
      <c r="H107" s="142">
        <v>2022</v>
      </c>
      <c r="I107" s="143" t="s">
        <v>2550</v>
      </c>
      <c r="J107" s="170">
        <v>1</v>
      </c>
      <c r="K107" s="50">
        <v>3</v>
      </c>
      <c r="L107" s="49">
        <v>22230024</v>
      </c>
      <c r="M107" s="171" t="s">
        <v>200</v>
      </c>
      <c r="N107" s="104" t="s">
        <v>362</v>
      </c>
      <c r="O107" s="161">
        <f>P107:P398</f>
        <v>40384</v>
      </c>
      <c r="P107" s="105">
        <v>40384</v>
      </c>
      <c r="Q107" s="162" t="s">
        <v>576</v>
      </c>
      <c r="R107" s="44" t="s">
        <v>558</v>
      </c>
      <c r="S107" s="172" t="s">
        <v>201</v>
      </c>
      <c r="T107" s="88" t="s">
        <v>1721</v>
      </c>
      <c r="U107" s="173">
        <v>37055</v>
      </c>
      <c r="V107" s="8" t="s">
        <v>2951</v>
      </c>
      <c r="W107" s="61" t="s">
        <v>2952</v>
      </c>
      <c r="X107" s="61" t="s">
        <v>2953</v>
      </c>
      <c r="Y107" s="160" t="s">
        <v>62</v>
      </c>
      <c r="Z107" s="164" t="s">
        <v>3262</v>
      </c>
      <c r="AA107" s="176" t="s">
        <v>2954</v>
      </c>
      <c r="AB107" s="174"/>
      <c r="AC107" s="88" t="s">
        <v>2955</v>
      </c>
      <c r="AD107" s="287" t="s">
        <v>201</v>
      </c>
      <c r="AE107" s="103" t="s">
        <v>21</v>
      </c>
      <c r="AF107" s="114" t="s">
        <v>154</v>
      </c>
      <c r="AG107" s="288" t="s">
        <v>564</v>
      </c>
      <c r="AH107" s="104" t="s">
        <v>422</v>
      </c>
      <c r="AI107" s="286"/>
      <c r="AJ107" s="85" t="s">
        <v>504</v>
      </c>
      <c r="AK107" s="287" t="s">
        <v>201</v>
      </c>
      <c r="AL107" s="290" t="s">
        <v>24</v>
      </c>
      <c r="AM107" s="291" t="s">
        <v>490</v>
      </c>
      <c r="AN107" s="291"/>
      <c r="AO107" s="289"/>
      <c r="AP107" s="290"/>
      <c r="AQ107" s="242" t="s">
        <v>559</v>
      </c>
      <c r="AR107" s="242" t="s">
        <v>560</v>
      </c>
      <c r="AS107" s="87" t="s">
        <v>99</v>
      </c>
      <c r="AT107" s="243">
        <v>29706</v>
      </c>
      <c r="AU107" s="243"/>
      <c r="AV107" s="242" t="s">
        <v>561</v>
      </c>
      <c r="AW107" s="242" t="s">
        <v>362</v>
      </c>
      <c r="AX107" s="243">
        <v>31799</v>
      </c>
      <c r="AY107" s="177"/>
      <c r="AZ107" s="291"/>
      <c r="BA107" s="287" t="s">
        <v>201</v>
      </c>
      <c r="BB107" s="290"/>
      <c r="BC107" s="291"/>
      <c r="BD107" s="291"/>
      <c r="BE107" s="290"/>
      <c r="BF107" s="292"/>
      <c r="BG107" s="293"/>
      <c r="BH107" s="245" t="s">
        <v>3306</v>
      </c>
      <c r="BI107" s="246">
        <v>765765</v>
      </c>
      <c r="BJ107" s="164" t="s">
        <v>3301</v>
      </c>
      <c r="BK107" s="164" t="s">
        <v>3302</v>
      </c>
    </row>
    <row r="108" spans="1:63" s="54" customFormat="1" ht="52.5" customHeight="1" thickBot="1">
      <c r="A108" s="54">
        <v>16</v>
      </c>
      <c r="B108" s="12" t="s">
        <v>128</v>
      </c>
      <c r="C108" s="15" t="s">
        <v>77</v>
      </c>
      <c r="D108" s="140">
        <v>11369</v>
      </c>
      <c r="E108" s="98" t="s">
        <v>1437</v>
      </c>
      <c r="F108" s="93" t="s">
        <v>1438</v>
      </c>
      <c r="G108" s="141" t="s">
        <v>563</v>
      </c>
      <c r="H108" s="142">
        <v>2022</v>
      </c>
      <c r="I108" s="143" t="s">
        <v>2551</v>
      </c>
      <c r="J108" s="170">
        <v>1</v>
      </c>
      <c r="K108" s="50">
        <v>1</v>
      </c>
      <c r="L108" s="49">
        <v>22230014</v>
      </c>
      <c r="M108" s="171" t="s">
        <v>200</v>
      </c>
      <c r="N108" s="178" t="s">
        <v>1439</v>
      </c>
      <c r="O108" s="161">
        <v>40088</v>
      </c>
      <c r="P108" s="179">
        <v>40088</v>
      </c>
      <c r="Q108" s="162" t="s">
        <v>1440</v>
      </c>
      <c r="R108" s="44" t="s">
        <v>1441</v>
      </c>
      <c r="S108" s="172" t="s">
        <v>201</v>
      </c>
      <c r="T108" s="165" t="s">
        <v>1442</v>
      </c>
      <c r="U108" s="173">
        <v>74325</v>
      </c>
      <c r="V108" s="8" t="s">
        <v>2932</v>
      </c>
      <c r="W108" s="61" t="s">
        <v>2956</v>
      </c>
      <c r="X108" s="61" t="s">
        <v>1439</v>
      </c>
      <c r="Y108" s="160" t="s">
        <v>44</v>
      </c>
      <c r="Z108" s="164" t="s">
        <v>3262</v>
      </c>
      <c r="AA108" s="176" t="s">
        <v>2957</v>
      </c>
      <c r="AB108" s="174"/>
      <c r="AC108" s="85" t="s">
        <v>1443</v>
      </c>
      <c r="AD108" s="287" t="s">
        <v>201</v>
      </c>
      <c r="AE108" s="302" t="s">
        <v>21</v>
      </c>
      <c r="AF108" s="303" t="s">
        <v>276</v>
      </c>
      <c r="AG108" s="288" t="s">
        <v>1444</v>
      </c>
      <c r="AH108" s="86"/>
      <c r="AI108" s="286"/>
      <c r="AJ108" s="85" t="s">
        <v>2958</v>
      </c>
      <c r="AK108" s="287" t="s">
        <v>201</v>
      </c>
      <c r="AL108" s="314" t="s">
        <v>21</v>
      </c>
      <c r="AM108" s="85" t="s">
        <v>22</v>
      </c>
      <c r="AN108" s="288"/>
      <c r="AO108" s="289" t="s">
        <v>321</v>
      </c>
      <c r="AP108" s="290"/>
      <c r="AQ108" s="242" t="s">
        <v>1445</v>
      </c>
      <c r="AR108" s="242" t="s">
        <v>1446</v>
      </c>
      <c r="AS108" s="87" t="s">
        <v>100</v>
      </c>
      <c r="AT108" s="243">
        <v>26780</v>
      </c>
      <c r="AU108" s="243"/>
      <c r="AV108" s="242" t="s">
        <v>1447</v>
      </c>
      <c r="AW108" s="242" t="s">
        <v>19</v>
      </c>
      <c r="AX108" s="243">
        <v>27410</v>
      </c>
      <c r="AY108" s="177"/>
      <c r="AZ108" s="291"/>
      <c r="BA108" s="287" t="s">
        <v>201</v>
      </c>
      <c r="BB108" s="290"/>
      <c r="BC108" s="291"/>
      <c r="BD108" s="291"/>
      <c r="BE108" s="290"/>
      <c r="BF108" s="292"/>
      <c r="BG108" s="293"/>
      <c r="BH108" s="245" t="s">
        <v>3306</v>
      </c>
      <c r="BI108" s="246">
        <v>765765</v>
      </c>
      <c r="BJ108" s="164" t="s">
        <v>3301</v>
      </c>
      <c r="BK108" s="164" t="s">
        <v>3302</v>
      </c>
    </row>
    <row r="109" spans="1:63" s="54" customFormat="1" ht="52.5" customHeight="1" thickBot="1">
      <c r="A109" s="54">
        <v>17</v>
      </c>
      <c r="B109" s="18" t="s">
        <v>127</v>
      </c>
      <c r="C109" s="15" t="s">
        <v>77</v>
      </c>
      <c r="D109" s="140">
        <v>11380</v>
      </c>
      <c r="E109" s="91" t="s">
        <v>2436</v>
      </c>
      <c r="F109" s="93" t="s">
        <v>597</v>
      </c>
      <c r="G109" s="141" t="s">
        <v>563</v>
      </c>
      <c r="H109" s="142">
        <v>2022</v>
      </c>
      <c r="I109" s="143" t="s">
        <v>2552</v>
      </c>
      <c r="J109" s="170">
        <v>3</v>
      </c>
      <c r="K109" s="50">
        <v>2</v>
      </c>
      <c r="L109" s="49">
        <v>22230279</v>
      </c>
      <c r="M109" s="171" t="s">
        <v>200</v>
      </c>
      <c r="N109" s="56" t="s">
        <v>598</v>
      </c>
      <c r="O109" s="161">
        <v>40429</v>
      </c>
      <c r="P109" s="163">
        <v>40429</v>
      </c>
      <c r="Q109" s="162" t="s">
        <v>599</v>
      </c>
      <c r="R109" s="44" t="s">
        <v>600</v>
      </c>
      <c r="S109" s="172" t="s">
        <v>201</v>
      </c>
      <c r="T109" s="164" t="s">
        <v>1152</v>
      </c>
      <c r="U109" s="173">
        <v>73112</v>
      </c>
      <c r="V109" s="8" t="s">
        <v>2959</v>
      </c>
      <c r="W109" s="61" t="s">
        <v>2960</v>
      </c>
      <c r="X109" s="61" t="s">
        <v>2961</v>
      </c>
      <c r="Y109" s="160" t="s">
        <v>44</v>
      </c>
      <c r="Z109" s="164" t="s">
        <v>3262</v>
      </c>
      <c r="AA109" s="176" t="s">
        <v>2962</v>
      </c>
      <c r="AB109" s="174"/>
      <c r="AC109" s="88" t="s">
        <v>601</v>
      </c>
      <c r="AD109" s="287" t="s">
        <v>201</v>
      </c>
      <c r="AE109" s="103" t="s">
        <v>30</v>
      </c>
      <c r="AF109" s="114" t="s">
        <v>22</v>
      </c>
      <c r="AG109" s="288" t="s">
        <v>564</v>
      </c>
      <c r="AH109" s="104" t="s">
        <v>381</v>
      </c>
      <c r="AI109" s="286"/>
      <c r="AJ109" s="85" t="s">
        <v>2963</v>
      </c>
      <c r="AK109" s="287" t="s">
        <v>201</v>
      </c>
      <c r="AL109" s="290" t="s">
        <v>21</v>
      </c>
      <c r="AM109" s="291" t="s">
        <v>155</v>
      </c>
      <c r="AN109" s="291"/>
      <c r="AO109" s="289"/>
      <c r="AP109" s="290"/>
      <c r="AQ109" s="242" t="s">
        <v>602</v>
      </c>
      <c r="AR109" s="242" t="s">
        <v>603</v>
      </c>
      <c r="AS109" s="87" t="s">
        <v>604</v>
      </c>
      <c r="AT109" s="243">
        <v>28434</v>
      </c>
      <c r="AU109" s="243"/>
      <c r="AV109" s="242" t="s">
        <v>605</v>
      </c>
      <c r="AW109" s="242" t="s">
        <v>606</v>
      </c>
      <c r="AX109" s="243">
        <v>29822</v>
      </c>
      <c r="AY109" s="177"/>
      <c r="AZ109" s="291"/>
      <c r="BA109" s="287" t="s">
        <v>201</v>
      </c>
      <c r="BB109" s="290"/>
      <c r="BC109" s="291"/>
      <c r="BD109" s="291"/>
      <c r="BE109" s="290"/>
      <c r="BF109" s="292"/>
      <c r="BG109" s="293"/>
      <c r="BH109" s="245" t="s">
        <v>3306</v>
      </c>
      <c r="BI109" s="246">
        <v>765765</v>
      </c>
      <c r="BJ109" s="164" t="s">
        <v>3301</v>
      </c>
      <c r="BK109" s="164" t="s">
        <v>3302</v>
      </c>
    </row>
    <row r="110" spans="1:63" s="54" customFormat="1" ht="52.5" customHeight="1" thickBot="1">
      <c r="A110" s="54">
        <v>18</v>
      </c>
      <c r="B110" s="12" t="s">
        <v>128</v>
      </c>
      <c r="C110" s="15" t="s">
        <v>77</v>
      </c>
      <c r="D110" s="140">
        <v>11390</v>
      </c>
      <c r="E110" s="98" t="s">
        <v>1448</v>
      </c>
      <c r="F110" s="93" t="s">
        <v>1449</v>
      </c>
      <c r="G110" s="141" t="s">
        <v>563</v>
      </c>
      <c r="H110" s="142">
        <v>2022</v>
      </c>
      <c r="I110" s="143" t="s">
        <v>2553</v>
      </c>
      <c r="J110" s="170">
        <v>1</v>
      </c>
      <c r="K110" s="50">
        <v>1</v>
      </c>
      <c r="L110" s="49">
        <v>22230004</v>
      </c>
      <c r="M110" s="171" t="s">
        <v>200</v>
      </c>
      <c r="N110" s="178" t="s">
        <v>85</v>
      </c>
      <c r="O110" s="161">
        <v>40194</v>
      </c>
      <c r="P110" s="180">
        <v>40184</v>
      </c>
      <c r="Q110" s="162" t="s">
        <v>2964</v>
      </c>
      <c r="R110" s="44" t="s">
        <v>1450</v>
      </c>
      <c r="S110" s="172" t="s">
        <v>201</v>
      </c>
      <c r="T110" s="165" t="s">
        <v>1451</v>
      </c>
      <c r="U110" s="173">
        <v>53146</v>
      </c>
      <c r="V110" s="8" t="s">
        <v>2965</v>
      </c>
      <c r="W110" s="61" t="s">
        <v>2966</v>
      </c>
      <c r="X110" s="61" t="s">
        <v>85</v>
      </c>
      <c r="Y110" s="160" t="s">
        <v>28</v>
      </c>
      <c r="Z110" s="164" t="s">
        <v>3262</v>
      </c>
      <c r="AA110" s="176" t="s">
        <v>2967</v>
      </c>
      <c r="AB110" s="174"/>
      <c r="AC110" s="85" t="s">
        <v>1452</v>
      </c>
      <c r="AD110" s="287" t="s">
        <v>201</v>
      </c>
      <c r="AE110" s="302" t="s">
        <v>21</v>
      </c>
      <c r="AF110" s="303" t="s">
        <v>153</v>
      </c>
      <c r="AG110" s="304" t="s">
        <v>564</v>
      </c>
      <c r="AH110" s="86" t="s">
        <v>231</v>
      </c>
      <c r="AI110" s="286"/>
      <c r="AJ110" s="85" t="s">
        <v>2968</v>
      </c>
      <c r="AK110" s="287" t="s">
        <v>201</v>
      </c>
      <c r="AL110" s="314" t="s">
        <v>30</v>
      </c>
      <c r="AM110" s="85" t="s">
        <v>158</v>
      </c>
      <c r="AN110" s="288"/>
      <c r="AO110" s="289"/>
      <c r="AP110" s="290"/>
      <c r="AQ110" s="242" t="s">
        <v>1453</v>
      </c>
      <c r="AR110" s="242" t="s">
        <v>1454</v>
      </c>
      <c r="AS110" s="87" t="s">
        <v>85</v>
      </c>
      <c r="AT110" s="243">
        <v>27876</v>
      </c>
      <c r="AU110" s="243"/>
      <c r="AV110" s="242" t="s">
        <v>1455</v>
      </c>
      <c r="AW110" s="242" t="s">
        <v>84</v>
      </c>
      <c r="AX110" s="243">
        <v>32457</v>
      </c>
      <c r="AY110" s="177"/>
      <c r="AZ110" s="291"/>
      <c r="BA110" s="287" t="s">
        <v>201</v>
      </c>
      <c r="BB110" s="290"/>
      <c r="BC110" s="291"/>
      <c r="BD110" s="291"/>
      <c r="BE110" s="290"/>
      <c r="BF110" s="292"/>
      <c r="BG110" s="293"/>
      <c r="BH110" s="245" t="s">
        <v>3306</v>
      </c>
      <c r="BI110" s="246">
        <v>765765</v>
      </c>
      <c r="BJ110" s="164" t="s">
        <v>3301</v>
      </c>
      <c r="BK110" s="164" t="s">
        <v>3302</v>
      </c>
    </row>
    <row r="111" spans="1:63" s="54" customFormat="1" ht="52.5" customHeight="1" thickBot="1">
      <c r="A111" s="54">
        <v>19</v>
      </c>
      <c r="B111" s="18" t="s">
        <v>127</v>
      </c>
      <c r="C111" s="15" t="s">
        <v>77</v>
      </c>
      <c r="D111" s="140">
        <v>11398</v>
      </c>
      <c r="E111" s="91" t="s">
        <v>1729</v>
      </c>
      <c r="F111" s="93" t="s">
        <v>1730</v>
      </c>
      <c r="G111" s="141" t="s">
        <v>563</v>
      </c>
      <c r="H111" s="142">
        <v>2022</v>
      </c>
      <c r="I111" s="143" t="s">
        <v>2554</v>
      </c>
      <c r="J111" s="170">
        <v>1</v>
      </c>
      <c r="K111" s="50">
        <v>2</v>
      </c>
      <c r="L111" s="49">
        <v>22230251</v>
      </c>
      <c r="M111" s="171" t="s">
        <v>200</v>
      </c>
      <c r="N111" s="56" t="s">
        <v>68</v>
      </c>
      <c r="O111" s="161">
        <v>40227</v>
      </c>
      <c r="P111" s="163">
        <v>40227</v>
      </c>
      <c r="Q111" s="162" t="s">
        <v>832</v>
      </c>
      <c r="R111" s="46" t="s">
        <v>1731</v>
      </c>
      <c r="S111" s="172" t="s">
        <v>201</v>
      </c>
      <c r="T111" s="164" t="s">
        <v>2676</v>
      </c>
      <c r="U111" s="173">
        <v>56414</v>
      </c>
      <c r="V111" s="8" t="s">
        <v>2969</v>
      </c>
      <c r="W111" s="61" t="s">
        <v>218</v>
      </c>
      <c r="X111" s="61" t="s">
        <v>68</v>
      </c>
      <c r="Y111" s="160" t="s">
        <v>2970</v>
      </c>
      <c r="Z111" s="164" t="s">
        <v>3262</v>
      </c>
      <c r="AA111" s="176" t="s">
        <v>2725</v>
      </c>
      <c r="AB111" s="174"/>
      <c r="AC111" s="88" t="s">
        <v>1732</v>
      </c>
      <c r="AD111" s="287" t="s">
        <v>201</v>
      </c>
      <c r="AE111" s="103" t="s">
        <v>21</v>
      </c>
      <c r="AF111" s="114" t="s">
        <v>154</v>
      </c>
      <c r="AG111" s="288" t="s">
        <v>564</v>
      </c>
      <c r="AH111" s="104" t="s">
        <v>382</v>
      </c>
      <c r="AI111" s="286"/>
      <c r="AJ111" s="85" t="s">
        <v>2971</v>
      </c>
      <c r="AK111" s="287" t="s">
        <v>201</v>
      </c>
      <c r="AL111" s="290" t="s">
        <v>21</v>
      </c>
      <c r="AM111" s="291" t="s">
        <v>490</v>
      </c>
      <c r="AN111" s="291"/>
      <c r="AO111" s="289"/>
      <c r="AP111" s="290"/>
      <c r="AQ111" s="242" t="s">
        <v>1733</v>
      </c>
      <c r="AR111" s="242" t="s">
        <v>1734</v>
      </c>
      <c r="AS111" s="87" t="s">
        <v>68</v>
      </c>
      <c r="AT111" s="243">
        <v>30305</v>
      </c>
      <c r="AU111" s="243"/>
      <c r="AV111" s="242" t="s">
        <v>1735</v>
      </c>
      <c r="AW111" s="242" t="s">
        <v>68</v>
      </c>
      <c r="AX111" s="243">
        <v>30347</v>
      </c>
      <c r="AY111" s="177"/>
      <c r="AZ111" s="291"/>
      <c r="BA111" s="287" t="s">
        <v>201</v>
      </c>
      <c r="BB111" s="290"/>
      <c r="BC111" s="291"/>
      <c r="BD111" s="291"/>
      <c r="BE111" s="290"/>
      <c r="BF111" s="292"/>
      <c r="BG111" s="293"/>
      <c r="BH111" s="245" t="s">
        <v>3306</v>
      </c>
      <c r="BI111" s="246">
        <v>765765</v>
      </c>
      <c r="BJ111" s="164" t="s">
        <v>3301</v>
      </c>
      <c r="BK111" s="164" t="s">
        <v>3302</v>
      </c>
    </row>
    <row r="112" spans="1:63" s="54" customFormat="1" ht="52.5" customHeight="1" thickBot="1">
      <c r="A112" s="54">
        <v>20</v>
      </c>
      <c r="B112" s="11" t="s">
        <v>126</v>
      </c>
      <c r="C112" s="15" t="s">
        <v>77</v>
      </c>
      <c r="D112" s="147">
        <v>11403</v>
      </c>
      <c r="E112" s="91" t="s">
        <v>2270</v>
      </c>
      <c r="F112" s="93" t="s">
        <v>2271</v>
      </c>
      <c r="G112" s="141" t="s">
        <v>563</v>
      </c>
      <c r="H112" s="142">
        <v>2022</v>
      </c>
      <c r="I112" s="143" t="s">
        <v>2555</v>
      </c>
      <c r="J112" s="170">
        <v>2</v>
      </c>
      <c r="K112" s="50">
        <v>2</v>
      </c>
      <c r="L112" s="49">
        <v>22230141</v>
      </c>
      <c r="M112" s="171" t="s">
        <v>200</v>
      </c>
      <c r="N112" s="104" t="s">
        <v>2272</v>
      </c>
      <c r="O112" s="161">
        <f>P112:P403</f>
        <v>40183</v>
      </c>
      <c r="P112" s="105">
        <v>40183</v>
      </c>
      <c r="Q112" s="162" t="s">
        <v>2273</v>
      </c>
      <c r="R112" s="44" t="s">
        <v>2274</v>
      </c>
      <c r="S112" s="172" t="s">
        <v>201</v>
      </c>
      <c r="T112" s="88" t="s">
        <v>646</v>
      </c>
      <c r="U112" s="173">
        <v>34114</v>
      </c>
      <c r="V112" s="8" t="s">
        <v>2972</v>
      </c>
      <c r="W112" s="61" t="s">
        <v>2973</v>
      </c>
      <c r="X112" s="61" t="s">
        <v>2974</v>
      </c>
      <c r="Y112" s="160" t="s">
        <v>2975</v>
      </c>
      <c r="Z112" s="164" t="s">
        <v>3262</v>
      </c>
      <c r="AA112" s="176" t="s">
        <v>2976</v>
      </c>
      <c r="AB112" s="174"/>
      <c r="AC112" s="88" t="s">
        <v>2275</v>
      </c>
      <c r="AD112" s="287" t="s">
        <v>201</v>
      </c>
      <c r="AE112" s="103" t="s">
        <v>21</v>
      </c>
      <c r="AF112" s="114" t="s">
        <v>154</v>
      </c>
      <c r="AG112" s="288" t="s">
        <v>564</v>
      </c>
      <c r="AH112" s="104" t="s">
        <v>424</v>
      </c>
      <c r="AI112" s="286"/>
      <c r="AJ112" s="85" t="s">
        <v>2276</v>
      </c>
      <c r="AK112" s="287" t="s">
        <v>201</v>
      </c>
      <c r="AL112" s="290" t="s">
        <v>21</v>
      </c>
      <c r="AM112" s="291" t="s">
        <v>22</v>
      </c>
      <c r="AN112" s="291"/>
      <c r="AO112" s="289"/>
      <c r="AP112" s="290"/>
      <c r="AQ112" s="242" t="s">
        <v>2277</v>
      </c>
      <c r="AR112" s="242" t="s">
        <v>2278</v>
      </c>
      <c r="AS112" s="87" t="s">
        <v>2272</v>
      </c>
      <c r="AT112" s="243">
        <v>26415</v>
      </c>
      <c r="AU112" s="243"/>
      <c r="AV112" s="242" t="s">
        <v>2279</v>
      </c>
      <c r="AW112" s="242" t="s">
        <v>2280</v>
      </c>
      <c r="AX112" s="243">
        <v>27186</v>
      </c>
      <c r="AY112" s="177"/>
      <c r="AZ112" s="291"/>
      <c r="BA112" s="287" t="s">
        <v>201</v>
      </c>
      <c r="BB112" s="290"/>
      <c r="BC112" s="291"/>
      <c r="BD112" s="291"/>
      <c r="BE112" s="290"/>
      <c r="BF112" s="292"/>
      <c r="BG112" s="293"/>
      <c r="BH112" s="245" t="s">
        <v>3306</v>
      </c>
      <c r="BI112" s="246">
        <v>765765</v>
      </c>
      <c r="BJ112" s="164" t="s">
        <v>3301</v>
      </c>
      <c r="BK112" s="164" t="s">
        <v>3302</v>
      </c>
    </row>
    <row r="113" spans="1:63" s="54" customFormat="1" ht="52.5" customHeight="1" thickBot="1">
      <c r="A113" s="54">
        <v>21</v>
      </c>
      <c r="B113" s="12" t="s">
        <v>128</v>
      </c>
      <c r="C113" s="15" t="s">
        <v>77</v>
      </c>
      <c r="D113" s="140">
        <v>11409</v>
      </c>
      <c r="E113" s="98" t="s">
        <v>1463</v>
      </c>
      <c r="F113" s="93" t="s">
        <v>2437</v>
      </c>
      <c r="G113" s="141" t="s">
        <v>563</v>
      </c>
      <c r="H113" s="142">
        <v>2022</v>
      </c>
      <c r="I113" s="143" t="s">
        <v>2556</v>
      </c>
      <c r="J113" s="170">
        <v>2</v>
      </c>
      <c r="K113" s="50">
        <v>2</v>
      </c>
      <c r="L113" s="49">
        <v>22230028</v>
      </c>
      <c r="M113" s="171" t="s">
        <v>200</v>
      </c>
      <c r="N113" s="178" t="s">
        <v>48</v>
      </c>
      <c r="O113" s="161">
        <v>40036</v>
      </c>
      <c r="P113" s="179">
        <v>40036</v>
      </c>
      <c r="Q113" s="162" t="s">
        <v>2977</v>
      </c>
      <c r="R113" s="44" t="s">
        <v>1464</v>
      </c>
      <c r="S113" s="172" t="s">
        <v>201</v>
      </c>
      <c r="T113" s="165" t="s">
        <v>1465</v>
      </c>
      <c r="U113" s="173">
        <v>70129</v>
      </c>
      <c r="V113" s="8" t="s">
        <v>2978</v>
      </c>
      <c r="W113" s="61" t="s">
        <v>2979</v>
      </c>
      <c r="X113" s="61" t="s">
        <v>48</v>
      </c>
      <c r="Y113" s="160" t="s">
        <v>49</v>
      </c>
      <c r="Z113" s="164" t="s">
        <v>3262</v>
      </c>
      <c r="AA113" s="176" t="s">
        <v>2980</v>
      </c>
      <c r="AB113" s="174"/>
      <c r="AC113" s="85" t="s">
        <v>1466</v>
      </c>
      <c r="AD113" s="287" t="s">
        <v>201</v>
      </c>
      <c r="AE113" s="302" t="s">
        <v>30</v>
      </c>
      <c r="AF113" s="303" t="s">
        <v>153</v>
      </c>
      <c r="AG113" s="288" t="s">
        <v>564</v>
      </c>
      <c r="AH113" s="86" t="s">
        <v>232</v>
      </c>
      <c r="AI113" s="286"/>
      <c r="AJ113" s="85" t="s">
        <v>1467</v>
      </c>
      <c r="AK113" s="287" t="s">
        <v>201</v>
      </c>
      <c r="AL113" s="314"/>
      <c r="AM113" s="85"/>
      <c r="AN113" s="288"/>
      <c r="AO113" s="289"/>
      <c r="AP113" s="290"/>
      <c r="AQ113" s="242"/>
      <c r="AR113" s="242"/>
      <c r="AS113" s="87"/>
      <c r="AT113" s="243"/>
      <c r="AU113" s="243"/>
      <c r="AV113" s="242"/>
      <c r="AW113" s="242"/>
      <c r="AX113" s="243"/>
      <c r="AY113" s="177"/>
      <c r="AZ113" s="291"/>
      <c r="BA113" s="287" t="s">
        <v>201</v>
      </c>
      <c r="BB113" s="290"/>
      <c r="BC113" s="291"/>
      <c r="BD113" s="291"/>
      <c r="BE113" s="290"/>
      <c r="BF113" s="292"/>
      <c r="BG113" s="293"/>
      <c r="BH113" s="245" t="s">
        <v>3306</v>
      </c>
      <c r="BI113" s="246">
        <v>765765</v>
      </c>
      <c r="BJ113" s="164" t="s">
        <v>3301</v>
      </c>
      <c r="BK113" s="164" t="s">
        <v>3302</v>
      </c>
    </row>
    <row r="114" spans="1:63" s="54" customFormat="1" ht="52.5" customHeight="1" thickBot="1">
      <c r="A114" s="54">
        <v>22</v>
      </c>
      <c r="B114" s="13" t="s">
        <v>129</v>
      </c>
      <c r="C114" s="15" t="s">
        <v>77</v>
      </c>
      <c r="D114" s="146">
        <v>11415</v>
      </c>
      <c r="E114" s="91" t="s">
        <v>1468</v>
      </c>
      <c r="F114" s="93" t="s">
        <v>1469</v>
      </c>
      <c r="G114" s="141" t="s">
        <v>563</v>
      </c>
      <c r="H114" s="142">
        <v>2022</v>
      </c>
      <c r="I114" s="143" t="s">
        <v>2557</v>
      </c>
      <c r="J114" s="127">
        <v>1</v>
      </c>
      <c r="K114" s="128">
        <v>0</v>
      </c>
      <c r="L114" s="49">
        <v>22230050</v>
      </c>
      <c r="M114" s="171" t="s">
        <v>200</v>
      </c>
      <c r="N114" s="104" t="s">
        <v>27</v>
      </c>
      <c r="O114" s="161">
        <v>43922</v>
      </c>
      <c r="P114" s="105">
        <v>40269</v>
      </c>
      <c r="Q114" s="162" t="s">
        <v>719</v>
      </c>
      <c r="R114" s="44" t="s">
        <v>1470</v>
      </c>
      <c r="S114" s="172" t="s">
        <v>201</v>
      </c>
      <c r="T114" s="88" t="s">
        <v>1751</v>
      </c>
      <c r="U114" s="173">
        <v>52212</v>
      </c>
      <c r="V114" s="8" t="s">
        <v>2981</v>
      </c>
      <c r="W114" s="61" t="s">
        <v>27</v>
      </c>
      <c r="X114" s="61" t="s">
        <v>27</v>
      </c>
      <c r="Y114" s="160" t="s">
        <v>28</v>
      </c>
      <c r="Z114" s="164" t="s">
        <v>3262</v>
      </c>
      <c r="AA114" s="176" t="s">
        <v>2982</v>
      </c>
      <c r="AB114" s="174"/>
      <c r="AC114" s="88" t="s">
        <v>1472</v>
      </c>
      <c r="AD114" s="287" t="s">
        <v>201</v>
      </c>
      <c r="AE114" s="103" t="s">
        <v>21</v>
      </c>
      <c r="AF114" s="114" t="s">
        <v>155</v>
      </c>
      <c r="AG114" s="288" t="s">
        <v>564</v>
      </c>
      <c r="AH114" s="104" t="s">
        <v>406</v>
      </c>
      <c r="AI114" s="286"/>
      <c r="AJ114" s="85" t="s">
        <v>1473</v>
      </c>
      <c r="AK114" s="287" t="s">
        <v>201</v>
      </c>
      <c r="AL114" s="290"/>
      <c r="AM114" s="291"/>
      <c r="AN114" s="291"/>
      <c r="AO114" s="289"/>
      <c r="AP114" s="290"/>
      <c r="AQ114" s="242"/>
      <c r="AR114" s="242"/>
      <c r="AS114" s="87"/>
      <c r="AT114" s="243"/>
      <c r="AU114" s="243"/>
      <c r="AV114" s="242"/>
      <c r="AW114" s="242"/>
      <c r="AX114" s="243"/>
      <c r="AY114" s="177"/>
      <c r="AZ114" s="291"/>
      <c r="BA114" s="287" t="s">
        <v>201</v>
      </c>
      <c r="BB114" s="290"/>
      <c r="BC114" s="291"/>
      <c r="BD114" s="291"/>
      <c r="BE114" s="290"/>
      <c r="BF114" s="292"/>
      <c r="BG114" s="293"/>
      <c r="BH114" s="245" t="s">
        <v>3306</v>
      </c>
      <c r="BI114" s="246">
        <v>765765</v>
      </c>
      <c r="BJ114" s="164" t="s">
        <v>3301</v>
      </c>
      <c r="BK114" s="164" t="s">
        <v>3302</v>
      </c>
    </row>
    <row r="115" spans="1:63" s="54" customFormat="1" ht="52.5" customHeight="1" thickBot="1">
      <c r="A115" s="54">
        <v>23</v>
      </c>
      <c r="B115" s="12" t="s">
        <v>128</v>
      </c>
      <c r="C115" s="15" t="s">
        <v>77</v>
      </c>
      <c r="D115" s="140">
        <v>11425</v>
      </c>
      <c r="E115" s="98" t="s">
        <v>1474</v>
      </c>
      <c r="F115" s="93" t="s">
        <v>1475</v>
      </c>
      <c r="G115" s="141" t="s">
        <v>563</v>
      </c>
      <c r="H115" s="142">
        <v>2022</v>
      </c>
      <c r="I115" s="143" t="s">
        <v>2558</v>
      </c>
      <c r="J115" s="170">
        <v>3</v>
      </c>
      <c r="K115" s="50">
        <v>2</v>
      </c>
      <c r="L115" s="49">
        <v>22230016</v>
      </c>
      <c r="M115" s="171" t="s">
        <v>200</v>
      </c>
      <c r="N115" s="178" t="s">
        <v>1476</v>
      </c>
      <c r="O115" s="161">
        <v>40167</v>
      </c>
      <c r="P115" s="180">
        <v>40167</v>
      </c>
      <c r="Q115" s="162" t="s">
        <v>1287</v>
      </c>
      <c r="R115" s="44" t="s">
        <v>1477</v>
      </c>
      <c r="S115" s="172" t="s">
        <v>201</v>
      </c>
      <c r="T115" s="165" t="s">
        <v>1478</v>
      </c>
      <c r="U115" s="173">
        <v>98444</v>
      </c>
      <c r="V115" s="8" t="s">
        <v>2983</v>
      </c>
      <c r="W115" s="61" t="s">
        <v>2984</v>
      </c>
      <c r="X115" s="61" t="s">
        <v>1476</v>
      </c>
      <c r="Y115" s="160" t="s">
        <v>91</v>
      </c>
      <c r="Z115" s="164" t="s">
        <v>3262</v>
      </c>
      <c r="AA115" s="176" t="s">
        <v>2985</v>
      </c>
      <c r="AB115" s="174"/>
      <c r="AC115" s="85" t="s">
        <v>1479</v>
      </c>
      <c r="AD115" s="287" t="s">
        <v>201</v>
      </c>
      <c r="AE115" s="302" t="s">
        <v>21</v>
      </c>
      <c r="AF115" s="303" t="s">
        <v>154</v>
      </c>
      <c r="AG115" s="288" t="s">
        <v>564</v>
      </c>
      <c r="AH115" s="86" t="s">
        <v>233</v>
      </c>
      <c r="AI115" s="286"/>
      <c r="AJ115" s="85" t="s">
        <v>1480</v>
      </c>
      <c r="AK115" s="287" t="s">
        <v>201</v>
      </c>
      <c r="AL115" s="314" t="s">
        <v>21</v>
      </c>
      <c r="AM115" s="85" t="s">
        <v>154</v>
      </c>
      <c r="AN115" s="288"/>
      <c r="AO115" s="289"/>
      <c r="AP115" s="290"/>
      <c r="AQ115" s="242" t="s">
        <v>1481</v>
      </c>
      <c r="AR115" s="242" t="s">
        <v>1482</v>
      </c>
      <c r="AS115" s="87" t="s">
        <v>92</v>
      </c>
      <c r="AT115" s="243">
        <v>24150</v>
      </c>
      <c r="AU115" s="243"/>
      <c r="AV115" s="242" t="s">
        <v>1483</v>
      </c>
      <c r="AW115" s="242" t="s">
        <v>1484</v>
      </c>
      <c r="AX115" s="243">
        <v>24929</v>
      </c>
      <c r="AY115" s="177"/>
      <c r="AZ115" s="291"/>
      <c r="BA115" s="287" t="s">
        <v>201</v>
      </c>
      <c r="BB115" s="290"/>
      <c r="BC115" s="291"/>
      <c r="BD115" s="291"/>
      <c r="BE115" s="290"/>
      <c r="BF115" s="292"/>
      <c r="BG115" s="293"/>
      <c r="BH115" s="245" t="s">
        <v>3306</v>
      </c>
      <c r="BI115" s="246">
        <v>765765</v>
      </c>
      <c r="BJ115" s="164" t="s">
        <v>3301</v>
      </c>
      <c r="BK115" s="164" t="s">
        <v>3302</v>
      </c>
    </row>
    <row r="116" spans="1:63" s="54" customFormat="1" ht="52.5" customHeight="1" thickBot="1">
      <c r="A116" s="54">
        <v>24</v>
      </c>
      <c r="B116" s="13" t="s">
        <v>129</v>
      </c>
      <c r="C116" s="15" t="s">
        <v>77</v>
      </c>
      <c r="D116" s="146">
        <v>11436</v>
      </c>
      <c r="E116" s="91" t="s">
        <v>1485</v>
      </c>
      <c r="F116" s="93" t="s">
        <v>1486</v>
      </c>
      <c r="G116" s="141" t="s">
        <v>563</v>
      </c>
      <c r="H116" s="142">
        <v>2022</v>
      </c>
      <c r="I116" s="143" t="s">
        <v>2559</v>
      </c>
      <c r="J116" s="170">
        <v>3</v>
      </c>
      <c r="K116" s="50">
        <v>4</v>
      </c>
      <c r="L116" s="49">
        <v>22230035</v>
      </c>
      <c r="M116" s="171" t="s">
        <v>200</v>
      </c>
      <c r="N116" s="56" t="s">
        <v>52</v>
      </c>
      <c r="O116" s="161">
        <v>39930</v>
      </c>
      <c r="P116" s="163">
        <v>39930</v>
      </c>
      <c r="Q116" s="162" t="s">
        <v>1487</v>
      </c>
      <c r="R116" s="44" t="s">
        <v>1488</v>
      </c>
      <c r="S116" s="172" t="s">
        <v>201</v>
      </c>
      <c r="T116" s="164" t="s">
        <v>2677</v>
      </c>
      <c r="U116" s="173">
        <v>55561</v>
      </c>
      <c r="V116" s="8" t="s">
        <v>2986</v>
      </c>
      <c r="W116" s="61" t="s">
        <v>481</v>
      </c>
      <c r="X116" s="61" t="s">
        <v>52</v>
      </c>
      <c r="Y116" s="160" t="s">
        <v>20</v>
      </c>
      <c r="Z116" s="164" t="s">
        <v>3262</v>
      </c>
      <c r="AA116" s="176" t="s">
        <v>2987</v>
      </c>
      <c r="AB116" s="174"/>
      <c r="AC116" s="88" t="s">
        <v>1490</v>
      </c>
      <c r="AD116" s="287" t="s">
        <v>201</v>
      </c>
      <c r="AE116" s="103" t="s">
        <v>67</v>
      </c>
      <c r="AF116" s="114" t="s">
        <v>158</v>
      </c>
      <c r="AG116" s="288" t="s">
        <v>564</v>
      </c>
      <c r="AH116" s="104" t="s">
        <v>408</v>
      </c>
      <c r="AI116" s="286"/>
      <c r="AJ116" s="85" t="s">
        <v>1491</v>
      </c>
      <c r="AK116" s="287" t="s">
        <v>201</v>
      </c>
      <c r="AL116" s="290" t="s">
        <v>21</v>
      </c>
      <c r="AM116" s="291" t="s">
        <v>276</v>
      </c>
      <c r="AN116" s="291"/>
      <c r="AO116" s="289"/>
      <c r="AP116" s="290"/>
      <c r="AQ116" s="242" t="s">
        <v>1492</v>
      </c>
      <c r="AR116" s="242" t="s">
        <v>1493</v>
      </c>
      <c r="AS116" s="87" t="s">
        <v>52</v>
      </c>
      <c r="AT116" s="243">
        <v>27105</v>
      </c>
      <c r="AU116" s="243"/>
      <c r="AV116" s="242" t="s">
        <v>1494</v>
      </c>
      <c r="AW116" s="87" t="s">
        <v>52</v>
      </c>
      <c r="AX116" s="243">
        <v>27950</v>
      </c>
      <c r="AY116" s="177"/>
      <c r="AZ116" s="291"/>
      <c r="BA116" s="287" t="s">
        <v>201</v>
      </c>
      <c r="BB116" s="290"/>
      <c r="BC116" s="291"/>
      <c r="BD116" s="291"/>
      <c r="BE116" s="290"/>
      <c r="BF116" s="292"/>
      <c r="BG116" s="293"/>
      <c r="BH116" s="245" t="s">
        <v>3306</v>
      </c>
      <c r="BI116" s="246">
        <v>765765</v>
      </c>
      <c r="BJ116" s="164" t="s">
        <v>3301</v>
      </c>
      <c r="BK116" s="164" t="s">
        <v>3302</v>
      </c>
    </row>
    <row r="117" spans="1:63" s="54" customFormat="1" ht="52.5" customHeight="1" thickBot="1">
      <c r="A117" s="54">
        <v>25</v>
      </c>
      <c r="B117" s="13" t="s">
        <v>129</v>
      </c>
      <c r="C117" s="15" t="s">
        <v>77</v>
      </c>
      <c r="D117" s="146">
        <v>11449</v>
      </c>
      <c r="E117" s="91" t="s">
        <v>1495</v>
      </c>
      <c r="F117" s="93" t="s">
        <v>1496</v>
      </c>
      <c r="G117" s="141" t="s">
        <v>563</v>
      </c>
      <c r="H117" s="142">
        <v>2022</v>
      </c>
      <c r="I117" s="143" t="s">
        <v>2560</v>
      </c>
      <c r="J117" s="170">
        <v>3</v>
      </c>
      <c r="K117" s="50">
        <v>3</v>
      </c>
      <c r="L117" s="49">
        <v>22230066</v>
      </c>
      <c r="M117" s="171" t="s">
        <v>200</v>
      </c>
      <c r="N117" s="104" t="s">
        <v>35</v>
      </c>
      <c r="O117" s="161">
        <v>40175</v>
      </c>
      <c r="P117" s="105">
        <v>40175</v>
      </c>
      <c r="Q117" s="162" t="s">
        <v>1497</v>
      </c>
      <c r="R117" s="44" t="s">
        <v>1498</v>
      </c>
      <c r="S117" s="172" t="s">
        <v>201</v>
      </c>
      <c r="T117" s="88" t="s">
        <v>1767</v>
      </c>
      <c r="U117" s="173">
        <v>75124</v>
      </c>
      <c r="V117" s="8" t="s">
        <v>2988</v>
      </c>
      <c r="W117" s="61" t="s">
        <v>2989</v>
      </c>
      <c r="X117" s="61" t="s">
        <v>2990</v>
      </c>
      <c r="Y117" s="160" t="s">
        <v>33</v>
      </c>
      <c r="Z117" s="164" t="s">
        <v>3262</v>
      </c>
      <c r="AA117" s="176" t="s">
        <v>36</v>
      </c>
      <c r="AB117" s="174"/>
      <c r="AC117" s="88" t="s">
        <v>1499</v>
      </c>
      <c r="AD117" s="287" t="s">
        <v>201</v>
      </c>
      <c r="AE117" s="103" t="s">
        <v>30</v>
      </c>
      <c r="AF117" s="114" t="s">
        <v>22</v>
      </c>
      <c r="AG117" s="288" t="s">
        <v>564</v>
      </c>
      <c r="AH117" s="104" t="s">
        <v>410</v>
      </c>
      <c r="AI117" s="286"/>
      <c r="AJ117" s="85" t="s">
        <v>1500</v>
      </c>
      <c r="AK117" s="287" t="s">
        <v>201</v>
      </c>
      <c r="AL117" s="290" t="s">
        <v>21</v>
      </c>
      <c r="AM117" s="291" t="s">
        <v>490</v>
      </c>
      <c r="AN117" s="291"/>
      <c r="AO117" s="289"/>
      <c r="AP117" s="290"/>
      <c r="AQ117" s="242" t="s">
        <v>1501</v>
      </c>
      <c r="AR117" s="242" t="s">
        <v>1502</v>
      </c>
      <c r="AS117" s="87" t="s">
        <v>35</v>
      </c>
      <c r="AT117" s="243">
        <v>24278</v>
      </c>
      <c r="AU117" s="243"/>
      <c r="AV117" s="242" t="s">
        <v>1503</v>
      </c>
      <c r="AW117" s="242" t="s">
        <v>1504</v>
      </c>
      <c r="AX117" s="243">
        <v>28241</v>
      </c>
      <c r="AY117" s="177"/>
      <c r="AZ117" s="291"/>
      <c r="BA117" s="287" t="s">
        <v>201</v>
      </c>
      <c r="BB117" s="290"/>
      <c r="BC117" s="291"/>
      <c r="BD117" s="291"/>
      <c r="BE117" s="290"/>
      <c r="BF117" s="292"/>
      <c r="BG117" s="293"/>
      <c r="BH117" s="245" t="s">
        <v>3306</v>
      </c>
      <c r="BI117" s="246">
        <v>765765</v>
      </c>
      <c r="BJ117" s="164" t="s">
        <v>3301</v>
      </c>
      <c r="BK117" s="164" t="s">
        <v>3302</v>
      </c>
    </row>
    <row r="118" spans="1:63" s="54" customFormat="1" ht="52.5" customHeight="1" thickBot="1">
      <c r="A118" s="54">
        <v>26</v>
      </c>
      <c r="B118" s="13" t="s">
        <v>129</v>
      </c>
      <c r="C118" s="15" t="s">
        <v>77</v>
      </c>
      <c r="D118" s="146">
        <v>11459</v>
      </c>
      <c r="E118" s="91" t="s">
        <v>2394</v>
      </c>
      <c r="F118" s="93" t="s">
        <v>2395</v>
      </c>
      <c r="G118" s="141" t="s">
        <v>563</v>
      </c>
      <c r="H118" s="142">
        <v>2022</v>
      </c>
      <c r="I118" s="143" t="s">
        <v>2561</v>
      </c>
      <c r="J118" s="170">
        <v>2</v>
      </c>
      <c r="K118" s="50">
        <v>2</v>
      </c>
      <c r="L118" s="49">
        <v>22230016</v>
      </c>
      <c r="M118" s="171" t="s">
        <v>200</v>
      </c>
      <c r="N118" s="56" t="s">
        <v>41</v>
      </c>
      <c r="O118" s="161">
        <v>40424</v>
      </c>
      <c r="P118" s="163">
        <v>40424</v>
      </c>
      <c r="Q118" s="162" t="s">
        <v>2396</v>
      </c>
      <c r="R118" s="44" t="s">
        <v>2397</v>
      </c>
      <c r="S118" s="172" t="s">
        <v>201</v>
      </c>
      <c r="T118" s="164" t="s">
        <v>1779</v>
      </c>
      <c r="U118" s="173">
        <v>15610</v>
      </c>
      <c r="V118" s="8" t="s">
        <v>2991</v>
      </c>
      <c r="W118" s="61" t="s">
        <v>2992</v>
      </c>
      <c r="X118" s="61" t="s">
        <v>41</v>
      </c>
      <c r="Y118" s="160" t="s">
        <v>42</v>
      </c>
      <c r="Z118" s="164" t="s">
        <v>3262</v>
      </c>
      <c r="AA118" s="176" t="s">
        <v>2743</v>
      </c>
      <c r="AB118" s="174"/>
      <c r="AC118" s="88" t="s">
        <v>2399</v>
      </c>
      <c r="AD118" s="287" t="s">
        <v>201</v>
      </c>
      <c r="AE118" s="103" t="s">
        <v>24</v>
      </c>
      <c r="AF118" s="114" t="s">
        <v>153</v>
      </c>
      <c r="AG118" s="288" t="s">
        <v>564</v>
      </c>
      <c r="AH118" s="104" t="s">
        <v>412</v>
      </c>
      <c r="AI118" s="286"/>
      <c r="AJ118" s="85" t="s">
        <v>2400</v>
      </c>
      <c r="AK118" s="287" t="s">
        <v>201</v>
      </c>
      <c r="AL118" s="290" t="s">
        <v>24</v>
      </c>
      <c r="AM118" s="291" t="s">
        <v>490</v>
      </c>
      <c r="AN118" s="291"/>
      <c r="AO118" s="289"/>
      <c r="AP118" s="290"/>
      <c r="AQ118" s="242" t="s">
        <v>2401</v>
      </c>
      <c r="AR118" s="242" t="s">
        <v>2402</v>
      </c>
      <c r="AS118" s="87" t="s">
        <v>19</v>
      </c>
      <c r="AT118" s="243">
        <v>28904</v>
      </c>
      <c r="AU118" s="243"/>
      <c r="AV118" s="242" t="s">
        <v>2403</v>
      </c>
      <c r="AW118" s="242" t="s">
        <v>2404</v>
      </c>
      <c r="AX118" s="243">
        <v>30044</v>
      </c>
      <c r="AY118" s="177"/>
      <c r="AZ118" s="291"/>
      <c r="BA118" s="287" t="s">
        <v>201</v>
      </c>
      <c r="BB118" s="290"/>
      <c r="BC118" s="291"/>
      <c r="BD118" s="291"/>
      <c r="BE118" s="290"/>
      <c r="BF118" s="292"/>
      <c r="BG118" s="293"/>
      <c r="BH118" s="245" t="s">
        <v>3306</v>
      </c>
      <c r="BI118" s="246">
        <v>765765</v>
      </c>
      <c r="BJ118" s="164" t="s">
        <v>3301</v>
      </c>
      <c r="BK118" s="164" t="s">
        <v>3302</v>
      </c>
    </row>
    <row r="119" spans="1:63" s="54" customFormat="1" ht="52.5" customHeight="1" thickBot="1">
      <c r="A119" s="54">
        <v>27</v>
      </c>
      <c r="B119" s="19" t="s">
        <v>132</v>
      </c>
      <c r="C119" s="15" t="s">
        <v>77</v>
      </c>
      <c r="D119" s="147">
        <v>11467</v>
      </c>
      <c r="E119" s="91" t="s">
        <v>1505</v>
      </c>
      <c r="F119" s="93" t="s">
        <v>1506</v>
      </c>
      <c r="G119" s="141" t="s">
        <v>563</v>
      </c>
      <c r="H119" s="142">
        <v>2022</v>
      </c>
      <c r="I119" s="143" t="s">
        <v>2562</v>
      </c>
      <c r="J119" s="170">
        <v>2</v>
      </c>
      <c r="K119" s="50">
        <v>1</v>
      </c>
      <c r="L119" s="49">
        <v>22230057</v>
      </c>
      <c r="M119" s="171" t="s">
        <v>200</v>
      </c>
      <c r="N119" s="178" t="s">
        <v>1507</v>
      </c>
      <c r="O119" s="161">
        <v>40407</v>
      </c>
      <c r="P119" s="179">
        <v>40407</v>
      </c>
      <c r="Q119" s="162" t="s">
        <v>1508</v>
      </c>
      <c r="R119" s="44" t="s">
        <v>1509</v>
      </c>
      <c r="S119" s="172" t="s">
        <v>201</v>
      </c>
      <c r="T119" s="165" t="s">
        <v>1526</v>
      </c>
      <c r="U119" s="173">
        <v>63319</v>
      </c>
      <c r="V119" s="8" t="s">
        <v>2993</v>
      </c>
      <c r="W119" s="61" t="s">
        <v>84</v>
      </c>
      <c r="X119" s="61" t="s">
        <v>84</v>
      </c>
      <c r="Y119" s="160" t="s">
        <v>38</v>
      </c>
      <c r="Z119" s="164" t="s">
        <v>3262</v>
      </c>
      <c r="AA119" s="176" t="s">
        <v>2994</v>
      </c>
      <c r="AB119" s="174"/>
      <c r="AC119" s="85" t="s">
        <v>2309</v>
      </c>
      <c r="AD119" s="287" t="s">
        <v>201</v>
      </c>
      <c r="AE119" s="302" t="s">
        <v>24</v>
      </c>
      <c r="AF119" s="303" t="s">
        <v>710</v>
      </c>
      <c r="AG119" s="304" t="s">
        <v>565</v>
      </c>
      <c r="AH119" s="86" t="s">
        <v>255</v>
      </c>
      <c r="AI119" s="286"/>
      <c r="AJ119" s="85" t="s">
        <v>1510</v>
      </c>
      <c r="AK119" s="287" t="s">
        <v>201</v>
      </c>
      <c r="AL119" s="314" t="s">
        <v>24</v>
      </c>
      <c r="AM119" s="85" t="s">
        <v>22</v>
      </c>
      <c r="AN119" s="288"/>
      <c r="AO119" s="289"/>
      <c r="AP119" s="290"/>
      <c r="AQ119" s="242" t="s">
        <v>1511</v>
      </c>
      <c r="AR119" s="242" t="s">
        <v>1512</v>
      </c>
      <c r="AS119" s="87" t="s">
        <v>84</v>
      </c>
      <c r="AT119" s="243">
        <v>28503</v>
      </c>
      <c r="AU119" s="243"/>
      <c r="AV119" s="242" t="s">
        <v>1513</v>
      </c>
      <c r="AW119" s="242" t="s">
        <v>92</v>
      </c>
      <c r="AX119" s="243">
        <v>31585</v>
      </c>
      <c r="AY119" s="177"/>
      <c r="AZ119" s="291"/>
      <c r="BA119" s="287" t="s">
        <v>201</v>
      </c>
      <c r="BB119" s="290"/>
      <c r="BC119" s="291"/>
      <c r="BD119" s="291"/>
      <c r="BE119" s="290"/>
      <c r="BF119" s="292"/>
      <c r="BG119" s="293"/>
      <c r="BH119" s="245" t="s">
        <v>3306</v>
      </c>
      <c r="BI119" s="246">
        <v>765765</v>
      </c>
      <c r="BJ119" s="164" t="s">
        <v>3301</v>
      </c>
      <c r="BK119" s="164" t="s">
        <v>3302</v>
      </c>
    </row>
    <row r="120" spans="1:63" s="54" customFormat="1" ht="52.5" customHeight="1" thickBot="1">
      <c r="A120" s="54">
        <v>28</v>
      </c>
      <c r="B120" s="14" t="s">
        <v>130</v>
      </c>
      <c r="C120" s="15" t="s">
        <v>77</v>
      </c>
      <c r="D120" s="147">
        <v>11468</v>
      </c>
      <c r="E120" s="98" t="s">
        <v>1514</v>
      </c>
      <c r="F120" s="93" t="s">
        <v>1515</v>
      </c>
      <c r="G120" s="141" t="s">
        <v>563</v>
      </c>
      <c r="H120" s="142">
        <v>2022</v>
      </c>
      <c r="I120" s="143" t="s">
        <v>2563</v>
      </c>
      <c r="J120" s="170">
        <v>1</v>
      </c>
      <c r="K120" s="50">
        <v>2</v>
      </c>
      <c r="L120" s="49">
        <v>22230222</v>
      </c>
      <c r="M120" s="171" t="s">
        <v>200</v>
      </c>
      <c r="N120" s="56" t="s">
        <v>54</v>
      </c>
      <c r="O120" s="161">
        <v>40314</v>
      </c>
      <c r="P120" s="163">
        <v>40314</v>
      </c>
      <c r="Q120" s="162" t="s">
        <v>1516</v>
      </c>
      <c r="R120" s="44" t="s">
        <v>1517</v>
      </c>
      <c r="S120" s="172" t="s">
        <v>201</v>
      </c>
      <c r="T120" s="164" t="s">
        <v>2349</v>
      </c>
      <c r="U120" s="173">
        <v>56312</v>
      </c>
      <c r="V120" s="8" t="s">
        <v>2995</v>
      </c>
      <c r="W120" s="61" t="s">
        <v>54</v>
      </c>
      <c r="X120" s="61" t="s">
        <v>54</v>
      </c>
      <c r="Y120" s="160" t="s">
        <v>28</v>
      </c>
      <c r="Z120" s="164" t="s">
        <v>3262</v>
      </c>
      <c r="AA120" s="176" t="s">
        <v>108</v>
      </c>
      <c r="AB120" s="174"/>
      <c r="AC120" s="88" t="s">
        <v>1518</v>
      </c>
      <c r="AD120" s="287" t="s">
        <v>201</v>
      </c>
      <c r="AE120" s="302" t="s">
        <v>24</v>
      </c>
      <c r="AF120" s="303" t="s">
        <v>154</v>
      </c>
      <c r="AG120" s="288" t="s">
        <v>564</v>
      </c>
      <c r="AH120" s="104" t="s">
        <v>351</v>
      </c>
      <c r="AI120" s="286"/>
      <c r="AJ120" s="85" t="s">
        <v>2996</v>
      </c>
      <c r="AK120" s="287" t="s">
        <v>201</v>
      </c>
      <c r="AL120" s="290" t="s">
        <v>29</v>
      </c>
      <c r="AM120" s="291" t="s">
        <v>490</v>
      </c>
      <c r="AN120" s="291"/>
      <c r="AO120" s="289"/>
      <c r="AP120" s="290"/>
      <c r="AQ120" s="242" t="s">
        <v>1519</v>
      </c>
      <c r="AR120" s="242" t="s">
        <v>1520</v>
      </c>
      <c r="AS120" s="87" t="s">
        <v>54</v>
      </c>
      <c r="AT120" s="243">
        <v>31714</v>
      </c>
      <c r="AU120" s="243"/>
      <c r="AV120" s="242" t="s">
        <v>1521</v>
      </c>
      <c r="AW120" s="242" t="s">
        <v>54</v>
      </c>
      <c r="AX120" s="243">
        <v>32497</v>
      </c>
      <c r="AY120" s="177"/>
      <c r="AZ120" s="291"/>
      <c r="BA120" s="287" t="s">
        <v>201</v>
      </c>
      <c r="BB120" s="290"/>
      <c r="BC120" s="291"/>
      <c r="BD120" s="291"/>
      <c r="BE120" s="290"/>
      <c r="BF120" s="292"/>
      <c r="BG120" s="293"/>
      <c r="BH120" s="245" t="s">
        <v>3306</v>
      </c>
      <c r="BI120" s="246">
        <v>765765</v>
      </c>
      <c r="BJ120" s="164" t="s">
        <v>3301</v>
      </c>
      <c r="BK120" s="164" t="s">
        <v>3302</v>
      </c>
    </row>
    <row r="121" spans="1:63" s="54" customFormat="1" ht="52.5" customHeight="1" thickBot="1">
      <c r="A121" s="54">
        <v>29</v>
      </c>
      <c r="B121" s="19" t="s">
        <v>132</v>
      </c>
      <c r="C121" s="15" t="s">
        <v>77</v>
      </c>
      <c r="D121" s="147">
        <v>11480</v>
      </c>
      <c r="E121" s="91" t="s">
        <v>1522</v>
      </c>
      <c r="F121" s="93" t="s">
        <v>1523</v>
      </c>
      <c r="G121" s="141" t="s">
        <v>563</v>
      </c>
      <c r="H121" s="142">
        <v>2022</v>
      </c>
      <c r="I121" s="143" t="s">
        <v>2564</v>
      </c>
      <c r="J121" s="170">
        <v>1</v>
      </c>
      <c r="K121" s="50">
        <v>1</v>
      </c>
      <c r="L121" s="49">
        <v>22230058</v>
      </c>
      <c r="M121" s="171" t="s">
        <v>200</v>
      </c>
      <c r="N121" s="178" t="s">
        <v>41</v>
      </c>
      <c r="O121" s="161">
        <v>40324</v>
      </c>
      <c r="P121" s="179">
        <v>40324</v>
      </c>
      <c r="Q121" s="162" t="s">
        <v>1524</v>
      </c>
      <c r="R121" s="44" t="s">
        <v>1525</v>
      </c>
      <c r="S121" s="172" t="s">
        <v>201</v>
      </c>
      <c r="T121" s="165" t="s">
        <v>2368</v>
      </c>
      <c r="U121" s="173">
        <v>15730</v>
      </c>
      <c r="V121" s="8" t="s">
        <v>2997</v>
      </c>
      <c r="W121" s="61" t="s">
        <v>2741</v>
      </c>
      <c r="X121" s="61" t="s">
        <v>41</v>
      </c>
      <c r="Y121" s="160" t="s">
        <v>42</v>
      </c>
      <c r="Z121" s="164" t="s">
        <v>3262</v>
      </c>
      <c r="AA121" s="176" t="s">
        <v>2743</v>
      </c>
      <c r="AB121" s="174"/>
      <c r="AC121" s="85" t="s">
        <v>1527</v>
      </c>
      <c r="AD121" s="287" t="s">
        <v>201</v>
      </c>
      <c r="AE121" s="302" t="s">
        <v>24</v>
      </c>
      <c r="AF121" s="303" t="s">
        <v>276</v>
      </c>
      <c r="AG121" s="304" t="s">
        <v>564</v>
      </c>
      <c r="AH121" s="86"/>
      <c r="AI121" s="286"/>
      <c r="AJ121" s="85" t="s">
        <v>1528</v>
      </c>
      <c r="AK121" s="287" t="s">
        <v>201</v>
      </c>
      <c r="AL121" s="314" t="s">
        <v>220</v>
      </c>
      <c r="AM121" s="85" t="s">
        <v>153</v>
      </c>
      <c r="AN121" s="288"/>
      <c r="AO121" s="289" t="s">
        <v>256</v>
      </c>
      <c r="AP121" s="290"/>
      <c r="AQ121" s="242" t="s">
        <v>1529</v>
      </c>
      <c r="AR121" s="242" t="s">
        <v>1530</v>
      </c>
      <c r="AS121" s="87" t="s">
        <v>19</v>
      </c>
      <c r="AT121" s="243">
        <v>27526</v>
      </c>
      <c r="AU121" s="243"/>
      <c r="AV121" s="242" t="s">
        <v>1531</v>
      </c>
      <c r="AW121" s="242" t="s">
        <v>23</v>
      </c>
      <c r="AX121" s="243">
        <v>29813</v>
      </c>
      <c r="AY121" s="177"/>
      <c r="AZ121" s="291"/>
      <c r="BA121" s="287" t="s">
        <v>201</v>
      </c>
      <c r="BB121" s="290"/>
      <c r="BC121" s="291"/>
      <c r="BD121" s="291"/>
      <c r="BE121" s="290"/>
      <c r="BF121" s="292"/>
      <c r="BG121" s="293"/>
      <c r="BH121" s="245" t="s">
        <v>3306</v>
      </c>
      <c r="BI121" s="246">
        <v>765765</v>
      </c>
      <c r="BJ121" s="164" t="s">
        <v>3301</v>
      </c>
      <c r="BK121" s="164" t="s">
        <v>3302</v>
      </c>
    </row>
    <row r="122" spans="1:63" s="54" customFormat="1" ht="52.5" customHeight="1" thickBot="1">
      <c r="A122" s="54">
        <v>30</v>
      </c>
      <c r="B122" s="19" t="s">
        <v>132</v>
      </c>
      <c r="C122" s="15" t="s">
        <v>77</v>
      </c>
      <c r="D122" s="147">
        <v>11496</v>
      </c>
      <c r="E122" s="91" t="s">
        <v>1532</v>
      </c>
      <c r="F122" s="93" t="s">
        <v>1533</v>
      </c>
      <c r="G122" s="141" t="s">
        <v>563</v>
      </c>
      <c r="H122" s="142">
        <v>2022</v>
      </c>
      <c r="I122" s="143" t="s">
        <v>2565</v>
      </c>
      <c r="J122" s="170">
        <v>2</v>
      </c>
      <c r="K122" s="50">
        <v>1</v>
      </c>
      <c r="L122" s="49">
        <v>22230078</v>
      </c>
      <c r="M122" s="171" t="s">
        <v>200</v>
      </c>
      <c r="N122" s="178" t="s">
        <v>31</v>
      </c>
      <c r="O122" s="161">
        <v>40291</v>
      </c>
      <c r="P122" s="179">
        <v>40291</v>
      </c>
      <c r="Q122" s="162" t="s">
        <v>1029</v>
      </c>
      <c r="R122" s="44" t="s">
        <v>1534</v>
      </c>
      <c r="S122" s="172" t="s">
        <v>201</v>
      </c>
      <c r="T122" s="165" t="s">
        <v>1569</v>
      </c>
      <c r="U122" s="173">
        <v>14240</v>
      </c>
      <c r="V122" s="61" t="s">
        <v>2998</v>
      </c>
      <c r="W122" s="61" t="s">
        <v>2999</v>
      </c>
      <c r="X122" s="61" t="s">
        <v>3000</v>
      </c>
      <c r="Y122" s="160" t="s">
        <v>59</v>
      </c>
      <c r="Z122" s="164" t="s">
        <v>3262</v>
      </c>
      <c r="AA122" s="176" t="s">
        <v>2790</v>
      </c>
      <c r="AB122" s="174"/>
      <c r="AC122" s="85" t="s">
        <v>1536</v>
      </c>
      <c r="AD122" s="287" t="s">
        <v>201</v>
      </c>
      <c r="AE122" s="302" t="s">
        <v>220</v>
      </c>
      <c r="AF122" s="303" t="s">
        <v>154</v>
      </c>
      <c r="AG122" s="304" t="s">
        <v>564</v>
      </c>
      <c r="AH122" s="86" t="s">
        <v>259</v>
      </c>
      <c r="AI122" s="286"/>
      <c r="AJ122" s="85" t="s">
        <v>1537</v>
      </c>
      <c r="AK122" s="287" t="s">
        <v>201</v>
      </c>
      <c r="AL122" s="314" t="s">
        <v>220</v>
      </c>
      <c r="AM122" s="85" t="s">
        <v>490</v>
      </c>
      <c r="AN122" s="288"/>
      <c r="AO122" s="289"/>
      <c r="AP122" s="290"/>
      <c r="AQ122" s="242" t="s">
        <v>1538</v>
      </c>
      <c r="AR122" s="298" t="s">
        <v>1539</v>
      </c>
      <c r="AS122" s="362" t="s">
        <v>31</v>
      </c>
      <c r="AT122" s="363">
        <v>25706</v>
      </c>
      <c r="AU122" s="243"/>
      <c r="AV122" s="242" t="s">
        <v>1540</v>
      </c>
      <c r="AW122" s="242" t="s">
        <v>31</v>
      </c>
      <c r="AX122" s="243">
        <v>27816</v>
      </c>
      <c r="AY122" s="177"/>
      <c r="AZ122" s="291"/>
      <c r="BA122" s="287" t="s">
        <v>201</v>
      </c>
      <c r="BB122" s="290"/>
      <c r="BC122" s="291"/>
      <c r="BD122" s="291"/>
      <c r="BE122" s="290"/>
      <c r="BF122" s="292"/>
      <c r="BG122" s="293"/>
      <c r="BH122" s="245" t="s">
        <v>3306</v>
      </c>
      <c r="BI122" s="246">
        <v>765765</v>
      </c>
      <c r="BJ122" s="164" t="s">
        <v>3301</v>
      </c>
      <c r="BK122" s="164" t="s">
        <v>3302</v>
      </c>
    </row>
    <row r="123" spans="1:63" s="54" customFormat="1" ht="52.5" customHeight="1" thickBot="1">
      <c r="A123" s="54">
        <v>31</v>
      </c>
      <c r="B123" s="16" t="s">
        <v>131</v>
      </c>
      <c r="C123" s="15" t="s">
        <v>77</v>
      </c>
      <c r="D123" s="140">
        <v>11511</v>
      </c>
      <c r="E123" s="91" t="s">
        <v>1541</v>
      </c>
      <c r="F123" s="93" t="s">
        <v>1542</v>
      </c>
      <c r="G123" s="141" t="s">
        <v>563</v>
      </c>
      <c r="H123" s="142">
        <v>2022</v>
      </c>
      <c r="I123" s="143" t="s">
        <v>2566</v>
      </c>
      <c r="J123" s="170">
        <v>2</v>
      </c>
      <c r="K123" s="50">
        <v>1</v>
      </c>
      <c r="L123" s="49">
        <v>22230121</v>
      </c>
      <c r="M123" s="171" t="s">
        <v>200</v>
      </c>
      <c r="N123" s="178" t="s">
        <v>82</v>
      </c>
      <c r="O123" s="161">
        <v>40143</v>
      </c>
      <c r="P123" s="179">
        <v>40143</v>
      </c>
      <c r="Q123" s="162" t="s">
        <v>851</v>
      </c>
      <c r="R123" s="44" t="s">
        <v>1543</v>
      </c>
      <c r="S123" s="172" t="s">
        <v>201</v>
      </c>
      <c r="T123" s="165" t="s">
        <v>1551</v>
      </c>
      <c r="U123" s="173">
        <v>57454</v>
      </c>
      <c r="V123" s="8" t="s">
        <v>3001</v>
      </c>
      <c r="W123" s="61" t="s">
        <v>3002</v>
      </c>
      <c r="X123" s="61" t="s">
        <v>82</v>
      </c>
      <c r="Y123" s="160" t="s">
        <v>28</v>
      </c>
      <c r="Z123" s="164" t="s">
        <v>3262</v>
      </c>
      <c r="AA123" s="176" t="s">
        <v>3003</v>
      </c>
      <c r="AB123" s="174"/>
      <c r="AC123" s="85" t="s">
        <v>80</v>
      </c>
      <c r="AD123" s="287" t="s">
        <v>201</v>
      </c>
      <c r="AE123" s="302" t="s">
        <v>24</v>
      </c>
      <c r="AF123" s="303" t="s">
        <v>154</v>
      </c>
      <c r="AG123" s="288" t="s">
        <v>564</v>
      </c>
      <c r="AH123" s="86" t="s">
        <v>272</v>
      </c>
      <c r="AI123" s="286"/>
      <c r="AJ123" s="85" t="s">
        <v>1544</v>
      </c>
      <c r="AK123" s="287" t="s">
        <v>201</v>
      </c>
      <c r="AL123" s="314" t="s">
        <v>24</v>
      </c>
      <c r="AM123" s="85" t="s">
        <v>490</v>
      </c>
      <c r="AN123" s="288"/>
      <c r="AO123" s="289"/>
      <c r="AP123" s="290"/>
      <c r="AQ123" s="242" t="s">
        <v>1545</v>
      </c>
      <c r="AR123" s="242" t="s">
        <v>1546</v>
      </c>
      <c r="AS123" s="87" t="s">
        <v>147</v>
      </c>
      <c r="AT123" s="243">
        <v>28130</v>
      </c>
      <c r="AU123" s="243"/>
      <c r="AV123" s="242" t="s">
        <v>1547</v>
      </c>
      <c r="AW123" s="242" t="s">
        <v>82</v>
      </c>
      <c r="AX123" s="243">
        <v>28301</v>
      </c>
      <c r="AY123" s="177"/>
      <c r="AZ123" s="291"/>
      <c r="BA123" s="287" t="s">
        <v>201</v>
      </c>
      <c r="BB123" s="290"/>
      <c r="BC123" s="291"/>
      <c r="BD123" s="291"/>
      <c r="BE123" s="290"/>
      <c r="BF123" s="292"/>
      <c r="BG123" s="293"/>
      <c r="BH123" s="245" t="s">
        <v>3306</v>
      </c>
      <c r="BI123" s="246">
        <v>765765</v>
      </c>
      <c r="BJ123" s="164" t="s">
        <v>3301</v>
      </c>
      <c r="BK123" s="164" t="s">
        <v>3302</v>
      </c>
    </row>
    <row r="124" spans="1:63" s="139" customFormat="1" ht="52.5" customHeight="1" thickBot="1">
      <c r="A124" s="54">
        <v>32</v>
      </c>
      <c r="B124" s="16" t="s">
        <v>131</v>
      </c>
      <c r="C124" s="15" t="s">
        <v>77</v>
      </c>
      <c r="D124" s="140">
        <v>11513</v>
      </c>
      <c r="E124" s="91" t="s">
        <v>1548</v>
      </c>
      <c r="F124" s="93" t="s">
        <v>1549</v>
      </c>
      <c r="G124" s="141" t="s">
        <v>563</v>
      </c>
      <c r="H124" s="142">
        <v>2022</v>
      </c>
      <c r="I124" s="143" t="s">
        <v>2567</v>
      </c>
      <c r="J124" s="170">
        <v>2</v>
      </c>
      <c r="K124" s="50">
        <v>2</v>
      </c>
      <c r="L124" s="49">
        <v>22230116</v>
      </c>
      <c r="M124" s="171" t="s">
        <v>200</v>
      </c>
      <c r="N124" s="178" t="s">
        <v>23</v>
      </c>
      <c r="O124" s="161">
        <v>40867</v>
      </c>
      <c r="P124" s="163">
        <v>40867</v>
      </c>
      <c r="Q124" s="162" t="s">
        <v>3004</v>
      </c>
      <c r="R124" s="44" t="s">
        <v>1550</v>
      </c>
      <c r="S124" s="172" t="s">
        <v>201</v>
      </c>
      <c r="T124" s="165" t="s">
        <v>1317</v>
      </c>
      <c r="U124" s="173">
        <v>77124</v>
      </c>
      <c r="V124" s="8" t="s">
        <v>3005</v>
      </c>
      <c r="W124" s="61" t="s">
        <v>3006</v>
      </c>
      <c r="X124" s="61" t="s">
        <v>52</v>
      </c>
      <c r="Y124" s="160" t="s">
        <v>20</v>
      </c>
      <c r="Z124" s="164" t="s">
        <v>3262</v>
      </c>
      <c r="AA124" s="176" t="s">
        <v>3007</v>
      </c>
      <c r="AB124" s="174"/>
      <c r="AC124" s="85" t="s">
        <v>1552</v>
      </c>
      <c r="AD124" s="287" t="s">
        <v>201</v>
      </c>
      <c r="AE124" s="302" t="s">
        <v>220</v>
      </c>
      <c r="AF124" s="303" t="s">
        <v>154</v>
      </c>
      <c r="AG124" s="288" t="s">
        <v>564</v>
      </c>
      <c r="AH124" s="86" t="s">
        <v>273</v>
      </c>
      <c r="AI124" s="286"/>
      <c r="AJ124" s="85" t="s">
        <v>3008</v>
      </c>
      <c r="AK124" s="287" t="s">
        <v>201</v>
      </c>
      <c r="AL124" s="314" t="s">
        <v>30</v>
      </c>
      <c r="AM124" s="85" t="s">
        <v>22</v>
      </c>
      <c r="AN124" s="288"/>
      <c r="AO124" s="86"/>
      <c r="AP124" s="290"/>
      <c r="AQ124" s="242" t="s">
        <v>1553</v>
      </c>
      <c r="AR124" s="242" t="s">
        <v>1554</v>
      </c>
      <c r="AS124" s="87" t="s">
        <v>52</v>
      </c>
      <c r="AT124" s="243">
        <v>27457</v>
      </c>
      <c r="AU124" s="243"/>
      <c r="AV124" s="242" t="s">
        <v>1555</v>
      </c>
      <c r="AW124" s="242" t="s">
        <v>52</v>
      </c>
      <c r="AX124" s="243">
        <v>28128</v>
      </c>
      <c r="AY124" s="177"/>
      <c r="AZ124" s="291"/>
      <c r="BA124" s="287" t="s">
        <v>201</v>
      </c>
      <c r="BB124" s="290"/>
      <c r="BC124" s="291"/>
      <c r="BD124" s="291"/>
      <c r="BE124" s="290"/>
      <c r="BF124" s="292"/>
      <c r="BG124" s="293"/>
      <c r="BH124" s="245" t="s">
        <v>3306</v>
      </c>
      <c r="BI124" s="246">
        <v>765765</v>
      </c>
      <c r="BJ124" s="164" t="s">
        <v>3301</v>
      </c>
      <c r="BK124" s="164" t="s">
        <v>3302</v>
      </c>
    </row>
    <row r="125" spans="1:63" s="54" customFormat="1" ht="52.5" customHeight="1" thickBot="1">
      <c r="A125" s="54">
        <v>1</v>
      </c>
      <c r="B125" s="14" t="s">
        <v>130</v>
      </c>
      <c r="C125" s="14" t="s">
        <v>130</v>
      </c>
      <c r="D125" s="147">
        <v>11203</v>
      </c>
      <c r="E125" s="91" t="s">
        <v>2148</v>
      </c>
      <c r="F125" s="92" t="s">
        <v>2149</v>
      </c>
      <c r="G125" s="141" t="s">
        <v>563</v>
      </c>
      <c r="H125" s="142">
        <v>2022</v>
      </c>
      <c r="I125" s="143" t="s">
        <v>2568</v>
      </c>
      <c r="J125" s="170">
        <v>3</v>
      </c>
      <c r="K125" s="50">
        <v>3</v>
      </c>
      <c r="L125" s="49">
        <v>22230241</v>
      </c>
      <c r="M125" s="171" t="s">
        <v>200</v>
      </c>
      <c r="N125" s="178" t="s">
        <v>65</v>
      </c>
      <c r="O125" s="161">
        <v>40483</v>
      </c>
      <c r="P125" s="179">
        <v>40483</v>
      </c>
      <c r="Q125" s="162" t="s">
        <v>3009</v>
      </c>
      <c r="R125" s="44" t="s">
        <v>2150</v>
      </c>
      <c r="S125" s="172" t="s">
        <v>201</v>
      </c>
      <c r="T125" s="165" t="s">
        <v>752</v>
      </c>
      <c r="U125" s="173">
        <v>17123</v>
      </c>
      <c r="V125" s="8" t="s">
        <v>3010</v>
      </c>
      <c r="W125" s="61" t="s">
        <v>3011</v>
      </c>
      <c r="X125" s="61" t="s">
        <v>65</v>
      </c>
      <c r="Y125" s="160" t="s">
        <v>39</v>
      </c>
      <c r="Z125" s="164" t="s">
        <v>3262</v>
      </c>
      <c r="AA125" s="176" t="s">
        <v>3012</v>
      </c>
      <c r="AB125" s="174"/>
      <c r="AC125" s="85" t="s">
        <v>2151</v>
      </c>
      <c r="AD125" s="287" t="s">
        <v>201</v>
      </c>
      <c r="AE125" s="302" t="s">
        <v>24</v>
      </c>
      <c r="AF125" s="303" t="s">
        <v>153</v>
      </c>
      <c r="AG125" s="288" t="s">
        <v>564</v>
      </c>
      <c r="AH125" s="86" t="s">
        <v>291</v>
      </c>
      <c r="AI125" s="286"/>
      <c r="AJ125" s="85" t="s">
        <v>2152</v>
      </c>
      <c r="AK125" s="287" t="s">
        <v>201</v>
      </c>
      <c r="AL125" s="314" t="s">
        <v>21</v>
      </c>
      <c r="AM125" s="85" t="s">
        <v>276</v>
      </c>
      <c r="AN125" s="288"/>
      <c r="AO125" s="289"/>
      <c r="AP125" s="290"/>
      <c r="AQ125" s="242" t="s">
        <v>2153</v>
      </c>
      <c r="AR125" s="242" t="s">
        <v>2154</v>
      </c>
      <c r="AS125" s="87" t="s">
        <v>1745</v>
      </c>
      <c r="AT125" s="243">
        <v>25202</v>
      </c>
      <c r="AU125" s="243"/>
      <c r="AV125" s="242" t="s">
        <v>2155</v>
      </c>
      <c r="AW125" s="242" t="s">
        <v>85</v>
      </c>
      <c r="AX125" s="243">
        <v>25245</v>
      </c>
      <c r="AY125" s="177"/>
      <c r="AZ125" s="291"/>
      <c r="BA125" s="287" t="s">
        <v>201</v>
      </c>
      <c r="BB125" s="290"/>
      <c r="BC125" s="291"/>
      <c r="BD125" s="291"/>
      <c r="BE125" s="290"/>
      <c r="BF125" s="292"/>
      <c r="BG125" s="293"/>
      <c r="BH125" s="245" t="s">
        <v>3307</v>
      </c>
      <c r="BI125" s="249">
        <v>1257616</v>
      </c>
      <c r="BJ125" s="164" t="s">
        <v>3301</v>
      </c>
      <c r="BK125" s="164" t="s">
        <v>3302</v>
      </c>
    </row>
    <row r="126" spans="1:63" s="53" customFormat="1" ht="52.5" customHeight="1" thickBot="1">
      <c r="A126" s="53">
        <v>2</v>
      </c>
      <c r="B126" s="12" t="s">
        <v>128</v>
      </c>
      <c r="C126" s="14" t="s">
        <v>130</v>
      </c>
      <c r="D126" s="140">
        <v>11210</v>
      </c>
      <c r="E126" s="98" t="s">
        <v>2405</v>
      </c>
      <c r="F126" s="93" t="s">
        <v>2406</v>
      </c>
      <c r="G126" s="141" t="s">
        <v>563</v>
      </c>
      <c r="H126" s="142">
        <v>2022</v>
      </c>
      <c r="I126" s="151" t="s">
        <v>2569</v>
      </c>
      <c r="J126" s="170">
        <v>2</v>
      </c>
      <c r="K126" s="50">
        <v>1</v>
      </c>
      <c r="L126" s="129">
        <v>22230003</v>
      </c>
      <c r="M126" s="171" t="s">
        <v>200</v>
      </c>
      <c r="N126" s="178" t="s">
        <v>68</v>
      </c>
      <c r="O126" s="161">
        <f>P126</f>
        <v>40062</v>
      </c>
      <c r="P126" s="201">
        <v>40062</v>
      </c>
      <c r="Q126" s="162" t="s">
        <v>669</v>
      </c>
      <c r="R126" s="44" t="s">
        <v>2407</v>
      </c>
      <c r="S126" s="172" t="s">
        <v>201</v>
      </c>
      <c r="T126" s="165" t="s">
        <v>2408</v>
      </c>
      <c r="U126" s="173">
        <v>56451</v>
      </c>
      <c r="V126" s="8" t="s">
        <v>3013</v>
      </c>
      <c r="W126" s="61" t="s">
        <v>218</v>
      </c>
      <c r="X126" s="61" t="s">
        <v>68</v>
      </c>
      <c r="Y126" s="160" t="s">
        <v>28</v>
      </c>
      <c r="Z126" s="164" t="s">
        <v>3262</v>
      </c>
      <c r="AA126" s="176" t="s">
        <v>3014</v>
      </c>
      <c r="AB126" s="181"/>
      <c r="AC126" s="85" t="s">
        <v>2409</v>
      </c>
      <c r="AD126" s="287" t="s">
        <v>201</v>
      </c>
      <c r="AE126" s="302" t="s">
        <v>24</v>
      </c>
      <c r="AF126" s="303" t="s">
        <v>153</v>
      </c>
      <c r="AG126" s="288" t="s">
        <v>489</v>
      </c>
      <c r="AH126" s="86" t="s">
        <v>219</v>
      </c>
      <c r="AI126" s="286"/>
      <c r="AJ126" s="85" t="s">
        <v>2410</v>
      </c>
      <c r="AK126" s="287" t="s">
        <v>201</v>
      </c>
      <c r="AL126" s="314" t="s">
        <v>24</v>
      </c>
      <c r="AM126" s="85" t="s">
        <v>1252</v>
      </c>
      <c r="AN126" s="288"/>
      <c r="AO126" s="289"/>
      <c r="AP126" s="324"/>
      <c r="AQ126" s="242" t="s">
        <v>2411</v>
      </c>
      <c r="AR126" s="242" t="s">
        <v>2412</v>
      </c>
      <c r="AS126" s="87" t="s">
        <v>68</v>
      </c>
      <c r="AT126" s="243">
        <v>25815</v>
      </c>
      <c r="AU126" s="243"/>
      <c r="AV126" s="242" t="s">
        <v>2413</v>
      </c>
      <c r="AW126" s="242" t="s">
        <v>68</v>
      </c>
      <c r="AX126" s="243">
        <v>26456</v>
      </c>
      <c r="AY126" s="177"/>
      <c r="AZ126" s="291"/>
      <c r="BA126" s="287" t="s">
        <v>201</v>
      </c>
      <c r="BB126" s="290"/>
      <c r="BC126" s="291"/>
      <c r="BD126" s="291"/>
      <c r="BE126" s="290"/>
      <c r="BF126" s="292"/>
      <c r="BG126" s="293"/>
      <c r="BH126" s="245" t="s">
        <v>3307</v>
      </c>
      <c r="BI126" s="249">
        <v>1257616</v>
      </c>
      <c r="BJ126" s="164" t="s">
        <v>3301</v>
      </c>
      <c r="BK126" s="164" t="s">
        <v>3302</v>
      </c>
    </row>
    <row r="127" spans="1:63" s="54" customFormat="1" ht="52.5" customHeight="1" thickBot="1">
      <c r="A127" s="54">
        <v>3</v>
      </c>
      <c r="B127" s="12" t="s">
        <v>128</v>
      </c>
      <c r="C127" s="14" t="s">
        <v>130</v>
      </c>
      <c r="D127" s="140">
        <v>11213</v>
      </c>
      <c r="E127" s="98" t="s">
        <v>2438</v>
      </c>
      <c r="F127" s="93" t="s">
        <v>1556</v>
      </c>
      <c r="G127" s="141" t="s">
        <v>563</v>
      </c>
      <c r="H127" s="142">
        <v>2022</v>
      </c>
      <c r="I127" s="151" t="s">
        <v>2570</v>
      </c>
      <c r="J127" s="170">
        <v>2</v>
      </c>
      <c r="K127" s="50">
        <v>2</v>
      </c>
      <c r="L127" s="129">
        <v>22230012</v>
      </c>
      <c r="M127" s="171" t="s">
        <v>200</v>
      </c>
      <c r="N127" s="178" t="s">
        <v>763</v>
      </c>
      <c r="O127" s="161">
        <f>P127</f>
        <v>39979</v>
      </c>
      <c r="P127" s="179">
        <v>39979</v>
      </c>
      <c r="Q127" s="162" t="s">
        <v>1557</v>
      </c>
      <c r="R127" s="44" t="s">
        <v>1558</v>
      </c>
      <c r="S127" s="172" t="s">
        <v>201</v>
      </c>
      <c r="T127" s="165" t="s">
        <v>1559</v>
      </c>
      <c r="U127" s="173">
        <v>74712</v>
      </c>
      <c r="V127" s="8" t="s">
        <v>2726</v>
      </c>
      <c r="W127" s="61" t="s">
        <v>763</v>
      </c>
      <c r="X127" s="61" t="s">
        <v>763</v>
      </c>
      <c r="Y127" s="160" t="s">
        <v>44</v>
      </c>
      <c r="Z127" s="164" t="s">
        <v>3262</v>
      </c>
      <c r="AA127" s="176" t="s">
        <v>2727</v>
      </c>
      <c r="AB127" s="181"/>
      <c r="AC127" s="85" t="s">
        <v>1560</v>
      </c>
      <c r="AD127" s="287" t="s">
        <v>201</v>
      </c>
      <c r="AE127" s="302" t="s">
        <v>21</v>
      </c>
      <c r="AF127" s="303" t="s">
        <v>22</v>
      </c>
      <c r="AG127" s="288" t="s">
        <v>564</v>
      </c>
      <c r="AH127" s="86"/>
      <c r="AI127" s="286"/>
      <c r="AJ127" s="85" t="s">
        <v>1561</v>
      </c>
      <c r="AK127" s="287" t="s">
        <v>201</v>
      </c>
      <c r="AL127" s="314" t="s">
        <v>220</v>
      </c>
      <c r="AM127" s="85" t="s">
        <v>22</v>
      </c>
      <c r="AN127" s="288"/>
      <c r="AO127" s="289" t="s">
        <v>221</v>
      </c>
      <c r="AP127" s="290"/>
      <c r="AQ127" s="242" t="s">
        <v>1562</v>
      </c>
      <c r="AR127" s="242" t="s">
        <v>1563</v>
      </c>
      <c r="AS127" s="87" t="s">
        <v>82</v>
      </c>
      <c r="AT127" s="243">
        <v>24749</v>
      </c>
      <c r="AU127" s="243"/>
      <c r="AV127" s="298" t="s">
        <v>1564</v>
      </c>
      <c r="AW127" s="298" t="s">
        <v>763</v>
      </c>
      <c r="AX127" s="363">
        <v>30540</v>
      </c>
      <c r="AY127" s="177"/>
      <c r="AZ127" s="291"/>
      <c r="BA127" s="287" t="s">
        <v>201</v>
      </c>
      <c r="BB127" s="290"/>
      <c r="BC127" s="291"/>
      <c r="BD127" s="291"/>
      <c r="BE127" s="290"/>
      <c r="BF127" s="292"/>
      <c r="BG127" s="293"/>
      <c r="BH127" s="245" t="s">
        <v>3307</v>
      </c>
      <c r="BI127" s="249">
        <v>1257616</v>
      </c>
      <c r="BJ127" s="164" t="s">
        <v>3301</v>
      </c>
      <c r="BK127" s="164" t="s">
        <v>3302</v>
      </c>
    </row>
    <row r="128" spans="1:63" s="54" customFormat="1" ht="52.5" customHeight="1" thickBot="1">
      <c r="A128" s="53">
        <v>4</v>
      </c>
      <c r="B128" s="16" t="s">
        <v>131</v>
      </c>
      <c r="C128" s="14" t="s">
        <v>130</v>
      </c>
      <c r="D128" s="131">
        <v>11220</v>
      </c>
      <c r="E128" s="99" t="s">
        <v>2439</v>
      </c>
      <c r="F128" s="92" t="s">
        <v>1566</v>
      </c>
      <c r="G128" s="141" t="s">
        <v>563</v>
      </c>
      <c r="H128" s="142">
        <v>2022</v>
      </c>
      <c r="I128" s="143" t="s">
        <v>2571</v>
      </c>
      <c r="J128" s="170">
        <v>1</v>
      </c>
      <c r="K128" s="50">
        <v>1</v>
      </c>
      <c r="L128" s="49">
        <v>22230139</v>
      </c>
      <c r="M128" s="171" t="s">
        <v>200</v>
      </c>
      <c r="N128" s="83" t="s">
        <v>95</v>
      </c>
      <c r="O128" s="161">
        <v>40440</v>
      </c>
      <c r="P128" s="96">
        <v>40440</v>
      </c>
      <c r="Q128" s="162" t="s">
        <v>1567</v>
      </c>
      <c r="R128" s="46" t="s">
        <v>1568</v>
      </c>
      <c r="S128" s="172" t="s">
        <v>201</v>
      </c>
      <c r="T128" s="84" t="s">
        <v>485</v>
      </c>
      <c r="U128" s="173">
        <v>62253</v>
      </c>
      <c r="V128" s="8" t="s">
        <v>3016</v>
      </c>
      <c r="W128" s="61" t="s">
        <v>3017</v>
      </c>
      <c r="X128" s="61" t="s">
        <v>95</v>
      </c>
      <c r="Y128" s="160" t="s">
        <v>38</v>
      </c>
      <c r="Z128" s="164" t="s">
        <v>3262</v>
      </c>
      <c r="AA128" s="176" t="s">
        <v>3018</v>
      </c>
      <c r="AB128" s="174"/>
      <c r="AC128" s="85" t="s">
        <v>1570</v>
      </c>
      <c r="AD128" s="287" t="s">
        <v>201</v>
      </c>
      <c r="AE128" s="302" t="s">
        <v>21</v>
      </c>
      <c r="AF128" s="303" t="s">
        <v>156</v>
      </c>
      <c r="AG128" s="304" t="s">
        <v>1571</v>
      </c>
      <c r="AH128" s="86" t="s">
        <v>330</v>
      </c>
      <c r="AI128" s="286"/>
      <c r="AJ128" s="85" t="s">
        <v>1572</v>
      </c>
      <c r="AK128" s="287" t="s">
        <v>201</v>
      </c>
      <c r="AL128" s="314" t="s">
        <v>21</v>
      </c>
      <c r="AM128" s="85" t="s">
        <v>490</v>
      </c>
      <c r="AN128" s="288"/>
      <c r="AO128" s="289"/>
      <c r="AP128" s="324"/>
      <c r="AQ128" s="242" t="s">
        <v>1573</v>
      </c>
      <c r="AR128" s="242" t="s">
        <v>1574</v>
      </c>
      <c r="AS128" s="87" t="s">
        <v>95</v>
      </c>
      <c r="AT128" s="243">
        <v>29259</v>
      </c>
      <c r="AU128" s="243"/>
      <c r="AV128" s="242" t="s">
        <v>1575</v>
      </c>
      <c r="AW128" s="87" t="s">
        <v>95</v>
      </c>
      <c r="AX128" s="243">
        <v>29176</v>
      </c>
      <c r="AY128" s="177"/>
      <c r="AZ128" s="291"/>
      <c r="BA128" s="287" t="s">
        <v>201</v>
      </c>
      <c r="BB128" s="290"/>
      <c r="BC128" s="291"/>
      <c r="BD128" s="291"/>
      <c r="BE128" s="290"/>
      <c r="BF128" s="292"/>
      <c r="BG128" s="293"/>
      <c r="BH128" s="245" t="s">
        <v>3307</v>
      </c>
      <c r="BI128" s="249">
        <v>1257616</v>
      </c>
      <c r="BJ128" s="164" t="s">
        <v>3301</v>
      </c>
      <c r="BK128" s="164" t="s">
        <v>3302</v>
      </c>
    </row>
    <row r="129" spans="1:63" s="54" customFormat="1" ht="52.5" customHeight="1" thickBot="1">
      <c r="A129" s="54">
        <v>5</v>
      </c>
      <c r="B129" s="11" t="s">
        <v>126</v>
      </c>
      <c r="C129" s="14" t="s">
        <v>130</v>
      </c>
      <c r="D129" s="147">
        <v>11230</v>
      </c>
      <c r="E129" s="91" t="s">
        <v>1576</v>
      </c>
      <c r="F129" s="93" t="s">
        <v>1577</v>
      </c>
      <c r="G129" s="141" t="s">
        <v>563</v>
      </c>
      <c r="H129" s="142">
        <v>2022</v>
      </c>
      <c r="I129" s="143" t="s">
        <v>2572</v>
      </c>
      <c r="J129" s="170">
        <v>1</v>
      </c>
      <c r="K129" s="50">
        <v>3</v>
      </c>
      <c r="L129" s="49">
        <v>22230080</v>
      </c>
      <c r="M129" s="171" t="s">
        <v>200</v>
      </c>
      <c r="N129" s="104" t="s">
        <v>1578</v>
      </c>
      <c r="O129" s="161">
        <f>P129:P419</f>
        <v>40104</v>
      </c>
      <c r="P129" s="105">
        <v>40104</v>
      </c>
      <c r="Q129" s="162" t="s">
        <v>1579</v>
      </c>
      <c r="R129" s="44" t="s">
        <v>1580</v>
      </c>
      <c r="S129" s="172" t="s">
        <v>201</v>
      </c>
      <c r="T129" s="88" t="s">
        <v>2678</v>
      </c>
      <c r="U129" s="173">
        <v>74111</v>
      </c>
      <c r="V129" s="8" t="s">
        <v>3019</v>
      </c>
      <c r="W129" s="61" t="s">
        <v>3020</v>
      </c>
      <c r="X129" s="61" t="s">
        <v>3020</v>
      </c>
      <c r="Y129" s="160" t="s">
        <v>44</v>
      </c>
      <c r="Z129" s="164" t="s">
        <v>3262</v>
      </c>
      <c r="AA129" s="176" t="s">
        <v>3021</v>
      </c>
      <c r="AB129" s="174"/>
      <c r="AC129" s="88" t="s">
        <v>1581</v>
      </c>
      <c r="AD129" s="287" t="s">
        <v>201</v>
      </c>
      <c r="AE129" s="103" t="s">
        <v>21</v>
      </c>
      <c r="AF129" s="114" t="s">
        <v>22</v>
      </c>
      <c r="AG129" s="288" t="s">
        <v>564</v>
      </c>
      <c r="AH129" s="104" t="s">
        <v>414</v>
      </c>
      <c r="AI129" s="286"/>
      <c r="AJ129" s="85" t="s">
        <v>1582</v>
      </c>
      <c r="AK129" s="287" t="s">
        <v>201</v>
      </c>
      <c r="AL129" s="290" t="s">
        <v>220</v>
      </c>
      <c r="AM129" s="291" t="s">
        <v>22</v>
      </c>
      <c r="AN129" s="291"/>
      <c r="AO129" s="289"/>
      <c r="AP129" s="290"/>
      <c r="AQ129" s="242"/>
      <c r="AR129" s="242" t="s">
        <v>1583</v>
      </c>
      <c r="AS129" s="87" t="s">
        <v>1578</v>
      </c>
      <c r="AT129" s="243">
        <v>30504</v>
      </c>
      <c r="AU129" s="243"/>
      <c r="AV129" s="242" t="s">
        <v>1584</v>
      </c>
      <c r="AW129" s="242" t="s">
        <v>53</v>
      </c>
      <c r="AX129" s="243">
        <v>30935</v>
      </c>
      <c r="AY129" s="177"/>
      <c r="AZ129" s="291"/>
      <c r="BA129" s="287" t="s">
        <v>201</v>
      </c>
      <c r="BB129" s="290"/>
      <c r="BC129" s="291"/>
      <c r="BD129" s="291"/>
      <c r="BE129" s="290"/>
      <c r="BF129" s="292"/>
      <c r="BG129" s="293"/>
      <c r="BH129" s="245" t="s">
        <v>3307</v>
      </c>
      <c r="BI129" s="249">
        <v>1257616</v>
      </c>
      <c r="BJ129" s="164" t="s">
        <v>3301</v>
      </c>
      <c r="BK129" s="164" t="s">
        <v>3302</v>
      </c>
    </row>
    <row r="130" spans="1:63" s="54" customFormat="1" ht="52.5" customHeight="1" thickBot="1">
      <c r="A130" s="53">
        <v>6</v>
      </c>
      <c r="B130" s="19" t="s">
        <v>132</v>
      </c>
      <c r="C130" s="14" t="s">
        <v>130</v>
      </c>
      <c r="D130" s="147">
        <v>11233</v>
      </c>
      <c r="E130" s="91" t="s">
        <v>1585</v>
      </c>
      <c r="F130" s="93" t="s">
        <v>1586</v>
      </c>
      <c r="G130" s="141" t="s">
        <v>563</v>
      </c>
      <c r="H130" s="142">
        <v>2022</v>
      </c>
      <c r="I130" s="143" t="s">
        <v>2573</v>
      </c>
      <c r="J130" s="170">
        <v>3</v>
      </c>
      <c r="K130" s="50">
        <v>3</v>
      </c>
      <c r="L130" s="49">
        <v>22230062</v>
      </c>
      <c r="M130" s="171" t="s">
        <v>200</v>
      </c>
      <c r="N130" s="178" t="s">
        <v>82</v>
      </c>
      <c r="O130" s="161">
        <v>40070</v>
      </c>
      <c r="P130" s="180">
        <v>40070</v>
      </c>
      <c r="Q130" s="162" t="s">
        <v>1587</v>
      </c>
      <c r="R130" s="44" t="s">
        <v>1588</v>
      </c>
      <c r="S130" s="172" t="s">
        <v>201</v>
      </c>
      <c r="T130" s="165" t="s">
        <v>1589</v>
      </c>
      <c r="U130" s="173">
        <v>57466</v>
      </c>
      <c r="V130" s="8" t="s">
        <v>3022</v>
      </c>
      <c r="W130" s="61" t="s">
        <v>3023</v>
      </c>
      <c r="X130" s="61" t="s">
        <v>82</v>
      </c>
      <c r="Y130" s="160" t="s">
        <v>28</v>
      </c>
      <c r="Z130" s="164" t="s">
        <v>3262</v>
      </c>
      <c r="AA130" s="176" t="s">
        <v>3024</v>
      </c>
      <c r="AB130" s="174"/>
      <c r="AC130" s="85" t="s">
        <v>1590</v>
      </c>
      <c r="AD130" s="287" t="s">
        <v>201</v>
      </c>
      <c r="AE130" s="302" t="s">
        <v>21</v>
      </c>
      <c r="AF130" s="303" t="s">
        <v>153</v>
      </c>
      <c r="AG130" s="288" t="s">
        <v>824</v>
      </c>
      <c r="AH130" s="86" t="s">
        <v>240</v>
      </c>
      <c r="AI130" s="286"/>
      <c r="AJ130" s="85" t="s">
        <v>1591</v>
      </c>
      <c r="AK130" s="287" t="s">
        <v>201</v>
      </c>
      <c r="AL130" s="314" t="s">
        <v>24</v>
      </c>
      <c r="AM130" s="325" t="s">
        <v>154</v>
      </c>
      <c r="AN130" s="288"/>
      <c r="AO130" s="289"/>
      <c r="AP130" s="290"/>
      <c r="AQ130" s="242" t="s">
        <v>1592</v>
      </c>
      <c r="AR130" s="242" t="s">
        <v>1593</v>
      </c>
      <c r="AS130" s="87" t="s">
        <v>82</v>
      </c>
      <c r="AT130" s="243">
        <v>26300</v>
      </c>
      <c r="AU130" s="243"/>
      <c r="AV130" s="242" t="s">
        <v>1594</v>
      </c>
      <c r="AW130" s="242" t="s">
        <v>82</v>
      </c>
      <c r="AX130" s="243">
        <v>29459</v>
      </c>
      <c r="AY130" s="177"/>
      <c r="AZ130" s="291"/>
      <c r="BA130" s="287" t="s">
        <v>201</v>
      </c>
      <c r="BB130" s="290"/>
      <c r="BC130" s="291"/>
      <c r="BD130" s="291"/>
      <c r="BE130" s="290"/>
      <c r="BF130" s="292"/>
      <c r="BG130" s="293"/>
      <c r="BH130" s="245" t="s">
        <v>3307</v>
      </c>
      <c r="BI130" s="249">
        <v>1257616</v>
      </c>
      <c r="BJ130" s="164" t="s">
        <v>3301</v>
      </c>
      <c r="BK130" s="164" t="s">
        <v>3302</v>
      </c>
    </row>
    <row r="131" spans="1:63" s="54" customFormat="1" ht="52.5" customHeight="1" thickBot="1">
      <c r="A131" s="54">
        <v>7</v>
      </c>
      <c r="B131" s="12" t="s">
        <v>128</v>
      </c>
      <c r="C131" s="14" t="s">
        <v>130</v>
      </c>
      <c r="D131" s="140">
        <v>11237</v>
      </c>
      <c r="E131" s="98" t="s">
        <v>1595</v>
      </c>
      <c r="F131" s="93" t="s">
        <v>1596</v>
      </c>
      <c r="G131" s="141" t="s">
        <v>563</v>
      </c>
      <c r="H131" s="142">
        <v>2022</v>
      </c>
      <c r="I131" s="151" t="s">
        <v>2574</v>
      </c>
      <c r="J131" s="170">
        <v>1</v>
      </c>
      <c r="K131" s="50">
        <v>1</v>
      </c>
      <c r="L131" s="129">
        <v>22230008</v>
      </c>
      <c r="M131" s="171" t="s">
        <v>200</v>
      </c>
      <c r="N131" s="178" t="s">
        <v>26</v>
      </c>
      <c r="O131" s="161">
        <f>P131:P411</f>
        <v>40243</v>
      </c>
      <c r="P131" s="179">
        <v>40243</v>
      </c>
      <c r="Q131" s="162" t="s">
        <v>3025</v>
      </c>
      <c r="R131" s="46" t="s">
        <v>1597</v>
      </c>
      <c r="S131" s="172" t="s">
        <v>201</v>
      </c>
      <c r="T131" s="165" t="s">
        <v>1598</v>
      </c>
      <c r="U131" s="173">
        <v>16923</v>
      </c>
      <c r="V131" s="8" t="s">
        <v>3026</v>
      </c>
      <c r="W131" s="61" t="s">
        <v>3027</v>
      </c>
      <c r="X131" s="61" t="s">
        <v>74</v>
      </c>
      <c r="Y131" s="160" t="s">
        <v>39</v>
      </c>
      <c r="Z131" s="164" t="s">
        <v>3262</v>
      </c>
      <c r="AA131" s="176" t="s">
        <v>3028</v>
      </c>
      <c r="AB131" s="174"/>
      <c r="AC131" s="85" t="s">
        <v>1599</v>
      </c>
      <c r="AD131" s="287" t="s">
        <v>201</v>
      </c>
      <c r="AE131" s="302" t="s">
        <v>21</v>
      </c>
      <c r="AF131" s="303" t="s">
        <v>153</v>
      </c>
      <c r="AG131" s="288" t="s">
        <v>824</v>
      </c>
      <c r="AH131" s="86" t="s">
        <v>222</v>
      </c>
      <c r="AI131" s="326"/>
      <c r="AJ131" s="85" t="s">
        <v>3029</v>
      </c>
      <c r="AK131" s="287" t="s">
        <v>201</v>
      </c>
      <c r="AL131" s="314" t="s">
        <v>21</v>
      </c>
      <c r="AM131" s="339" t="s">
        <v>155</v>
      </c>
      <c r="AN131" s="288"/>
      <c r="AO131" s="289"/>
      <c r="AP131" s="290"/>
      <c r="AQ131" s="242" t="s">
        <v>1600</v>
      </c>
      <c r="AR131" s="242" t="s">
        <v>1601</v>
      </c>
      <c r="AS131" s="87" t="s">
        <v>103</v>
      </c>
      <c r="AT131" s="243">
        <v>27046</v>
      </c>
      <c r="AU131" s="243"/>
      <c r="AV131" s="242" t="s">
        <v>1602</v>
      </c>
      <c r="AW131" s="242" t="s">
        <v>26</v>
      </c>
      <c r="AX131" s="243">
        <v>30128</v>
      </c>
      <c r="AY131" s="177"/>
      <c r="AZ131" s="291"/>
      <c r="BA131" s="287" t="s">
        <v>201</v>
      </c>
      <c r="BB131" s="290"/>
      <c r="BC131" s="291"/>
      <c r="BD131" s="291"/>
      <c r="BE131" s="290"/>
      <c r="BF131" s="292"/>
      <c r="BG131" s="293"/>
      <c r="BH131" s="245" t="s">
        <v>3307</v>
      </c>
      <c r="BI131" s="249">
        <v>1257616</v>
      </c>
      <c r="BJ131" s="164" t="s">
        <v>3301</v>
      </c>
      <c r="BK131" s="164" t="s">
        <v>3302</v>
      </c>
    </row>
    <row r="132" spans="1:63" s="54" customFormat="1" ht="52.5" customHeight="1" thickBot="1">
      <c r="A132" s="53">
        <v>8</v>
      </c>
      <c r="B132" s="11" t="s">
        <v>126</v>
      </c>
      <c r="C132" s="14" t="s">
        <v>130</v>
      </c>
      <c r="D132" s="147">
        <v>11241</v>
      </c>
      <c r="E132" s="91" t="s">
        <v>1603</v>
      </c>
      <c r="F132" s="93" t="s">
        <v>1604</v>
      </c>
      <c r="G132" s="141" t="s">
        <v>563</v>
      </c>
      <c r="H132" s="142">
        <v>2022</v>
      </c>
      <c r="I132" s="143" t="s">
        <v>2575</v>
      </c>
      <c r="J132" s="170">
        <v>1</v>
      </c>
      <c r="K132" s="50">
        <v>1</v>
      </c>
      <c r="L132" s="49">
        <v>22230146</v>
      </c>
      <c r="M132" s="171" t="s">
        <v>200</v>
      </c>
      <c r="N132" s="104" t="s">
        <v>41</v>
      </c>
      <c r="O132" s="161">
        <f>P132:P422</f>
        <v>40456</v>
      </c>
      <c r="P132" s="105">
        <v>40456</v>
      </c>
      <c r="Q132" s="162" t="s">
        <v>1605</v>
      </c>
      <c r="R132" s="44" t="s">
        <v>1606</v>
      </c>
      <c r="S132" s="172" t="s">
        <v>201</v>
      </c>
      <c r="T132" s="88" t="s">
        <v>789</v>
      </c>
      <c r="U132" s="173">
        <v>15446</v>
      </c>
      <c r="V132" s="8" t="s">
        <v>3030</v>
      </c>
      <c r="W132" s="61" t="s">
        <v>3031</v>
      </c>
      <c r="X132" s="61" t="s">
        <v>3032</v>
      </c>
      <c r="Y132" s="160" t="s">
        <v>42</v>
      </c>
      <c r="Z132" s="164" t="s">
        <v>3262</v>
      </c>
      <c r="AA132" s="176" t="s">
        <v>3033</v>
      </c>
      <c r="AB132" s="174"/>
      <c r="AC132" s="88" t="s">
        <v>1607</v>
      </c>
      <c r="AD132" s="287" t="s">
        <v>201</v>
      </c>
      <c r="AE132" s="103" t="s">
        <v>24</v>
      </c>
      <c r="AF132" s="114" t="s">
        <v>154</v>
      </c>
      <c r="AG132" s="288" t="s">
        <v>564</v>
      </c>
      <c r="AH132" s="104"/>
      <c r="AI132" s="286"/>
      <c r="AJ132" s="85" t="s">
        <v>1608</v>
      </c>
      <c r="AK132" s="287" t="s">
        <v>201</v>
      </c>
      <c r="AL132" s="290" t="s">
        <v>21</v>
      </c>
      <c r="AM132" s="291" t="s">
        <v>22</v>
      </c>
      <c r="AN132" s="291"/>
      <c r="AO132" s="289" t="s">
        <v>415</v>
      </c>
      <c r="AP132" s="290"/>
      <c r="AQ132" s="242" t="s">
        <v>1609</v>
      </c>
      <c r="AR132" s="242" t="s">
        <v>1610</v>
      </c>
      <c r="AS132" s="87" t="s">
        <v>1611</v>
      </c>
      <c r="AT132" s="243">
        <v>26522</v>
      </c>
      <c r="AU132" s="243"/>
      <c r="AV132" s="242" t="s">
        <v>1612</v>
      </c>
      <c r="AW132" s="242" t="s">
        <v>83</v>
      </c>
      <c r="AX132" s="243">
        <v>27250</v>
      </c>
      <c r="AY132" s="177"/>
      <c r="AZ132" s="291"/>
      <c r="BA132" s="287" t="s">
        <v>201</v>
      </c>
      <c r="BB132" s="290"/>
      <c r="BC132" s="291"/>
      <c r="BD132" s="291"/>
      <c r="BE132" s="290"/>
      <c r="BF132" s="292"/>
      <c r="BG132" s="293"/>
      <c r="BH132" s="245" t="s">
        <v>3307</v>
      </c>
      <c r="BI132" s="249">
        <v>1257616</v>
      </c>
      <c r="BJ132" s="164" t="s">
        <v>3301</v>
      </c>
      <c r="BK132" s="164" t="s">
        <v>3302</v>
      </c>
    </row>
    <row r="133" spans="1:63" s="54" customFormat="1" ht="52.5" customHeight="1" thickBot="1">
      <c r="A133" s="54">
        <v>9</v>
      </c>
      <c r="B133" s="11" t="s">
        <v>126</v>
      </c>
      <c r="C133" s="14" t="s">
        <v>130</v>
      </c>
      <c r="D133" s="147">
        <v>11248</v>
      </c>
      <c r="E133" s="91" t="s">
        <v>1625</v>
      </c>
      <c r="F133" s="93" t="s">
        <v>1626</v>
      </c>
      <c r="G133" s="141" t="s">
        <v>563</v>
      </c>
      <c r="H133" s="142">
        <v>2022</v>
      </c>
      <c r="I133" s="143" t="s">
        <v>2576</v>
      </c>
      <c r="J133" s="127">
        <v>1</v>
      </c>
      <c r="K133" s="128">
        <v>1</v>
      </c>
      <c r="L133" s="294">
        <v>22230076</v>
      </c>
      <c r="M133" s="295" t="s">
        <v>200</v>
      </c>
      <c r="N133" s="104" t="s">
        <v>74</v>
      </c>
      <c r="O133" s="296">
        <f>P133:P423</f>
        <v>40360</v>
      </c>
      <c r="P133" s="105">
        <v>40360</v>
      </c>
      <c r="Q133" s="297" t="s">
        <v>1627</v>
      </c>
      <c r="R133" s="298" t="s">
        <v>1628</v>
      </c>
      <c r="S133" s="299" t="s">
        <v>201</v>
      </c>
      <c r="T133" s="88" t="s">
        <v>2679</v>
      </c>
      <c r="U133" s="300">
        <v>16680</v>
      </c>
      <c r="V133" s="290" t="s">
        <v>3034</v>
      </c>
      <c r="W133" s="291" t="s">
        <v>3034</v>
      </c>
      <c r="X133" s="291" t="s">
        <v>74</v>
      </c>
      <c r="Y133" s="286" t="s">
        <v>39</v>
      </c>
      <c r="Z133" s="88" t="s">
        <v>3262</v>
      </c>
      <c r="AA133" s="85" t="s">
        <v>3035</v>
      </c>
      <c r="AB133" s="301"/>
      <c r="AC133" s="88" t="s">
        <v>1629</v>
      </c>
      <c r="AD133" s="287" t="s">
        <v>201</v>
      </c>
      <c r="AE133" s="103" t="s">
        <v>21</v>
      </c>
      <c r="AF133" s="114" t="s">
        <v>153</v>
      </c>
      <c r="AG133" s="288" t="s">
        <v>564</v>
      </c>
      <c r="AH133" s="104" t="s">
        <v>417</v>
      </c>
      <c r="AI133" s="286"/>
      <c r="AJ133" s="85" t="s">
        <v>1630</v>
      </c>
      <c r="AK133" s="287" t="s">
        <v>201</v>
      </c>
      <c r="AL133" s="290" t="s">
        <v>21</v>
      </c>
      <c r="AM133" s="291" t="s">
        <v>490</v>
      </c>
      <c r="AN133" s="291"/>
      <c r="AO133" s="86"/>
      <c r="AP133" s="290"/>
      <c r="AQ133" s="242" t="s">
        <v>1631</v>
      </c>
      <c r="AR133" s="242" t="s">
        <v>1632</v>
      </c>
      <c r="AS133" s="87" t="s">
        <v>1633</v>
      </c>
      <c r="AT133" s="243">
        <v>29334</v>
      </c>
      <c r="AU133" s="243"/>
      <c r="AV133" s="242" t="s">
        <v>1634</v>
      </c>
      <c r="AW133" s="242" t="s">
        <v>23</v>
      </c>
      <c r="AX133" s="243">
        <v>31249</v>
      </c>
      <c r="AY133" s="177"/>
      <c r="AZ133" s="291"/>
      <c r="BA133" s="287" t="s">
        <v>201</v>
      </c>
      <c r="BB133" s="290"/>
      <c r="BC133" s="291"/>
      <c r="BD133" s="291"/>
      <c r="BE133" s="290"/>
      <c r="BF133" s="292"/>
      <c r="BG133" s="293"/>
      <c r="BH133" s="245" t="s">
        <v>3307</v>
      </c>
      <c r="BI133" s="249">
        <v>1257616</v>
      </c>
      <c r="BJ133" s="164" t="s">
        <v>3301</v>
      </c>
      <c r="BK133" s="164" t="s">
        <v>3302</v>
      </c>
    </row>
    <row r="134" spans="1:63" s="54" customFormat="1" ht="52.5" customHeight="1" thickBot="1">
      <c r="A134" s="53">
        <v>10</v>
      </c>
      <c r="B134" s="15" t="s">
        <v>77</v>
      </c>
      <c r="C134" s="14" t="s">
        <v>130</v>
      </c>
      <c r="D134" s="126">
        <v>11252</v>
      </c>
      <c r="E134" s="91" t="s">
        <v>1635</v>
      </c>
      <c r="F134" s="93" t="s">
        <v>1636</v>
      </c>
      <c r="G134" s="141" t="s">
        <v>563</v>
      </c>
      <c r="H134" s="142">
        <v>2022</v>
      </c>
      <c r="I134" s="143" t="s">
        <v>2577</v>
      </c>
      <c r="J134" s="127">
        <v>1</v>
      </c>
      <c r="K134" s="128">
        <v>3</v>
      </c>
      <c r="L134" s="49">
        <v>22230198</v>
      </c>
      <c r="M134" s="171" t="s">
        <v>200</v>
      </c>
      <c r="N134" s="178" t="s">
        <v>103</v>
      </c>
      <c r="O134" s="161">
        <v>39804</v>
      </c>
      <c r="P134" s="179">
        <v>39804</v>
      </c>
      <c r="Q134" s="162" t="s">
        <v>1637</v>
      </c>
      <c r="R134" s="44" t="s">
        <v>1638</v>
      </c>
      <c r="S134" s="172" t="s">
        <v>201</v>
      </c>
      <c r="T134" s="165" t="s">
        <v>2680</v>
      </c>
      <c r="U134" s="173">
        <v>55172</v>
      </c>
      <c r="V134" s="8" t="s">
        <v>278</v>
      </c>
      <c r="W134" s="61" t="s">
        <v>248</v>
      </c>
      <c r="X134" s="61" t="s">
        <v>279</v>
      </c>
      <c r="Y134" s="160" t="s">
        <v>20</v>
      </c>
      <c r="Z134" s="164" t="s">
        <v>3262</v>
      </c>
      <c r="AA134" s="222" t="s">
        <v>3036</v>
      </c>
      <c r="AB134" s="55"/>
      <c r="AC134" s="85" t="s">
        <v>1639</v>
      </c>
      <c r="AD134" s="287" t="s">
        <v>201</v>
      </c>
      <c r="AE134" s="302" t="s">
        <v>220</v>
      </c>
      <c r="AF134" s="303" t="s">
        <v>22</v>
      </c>
      <c r="AG134" s="287"/>
      <c r="AH134" s="86"/>
      <c r="AI134" s="286"/>
      <c r="AJ134" s="85" t="s">
        <v>1640</v>
      </c>
      <c r="AK134" s="287" t="s">
        <v>201</v>
      </c>
      <c r="AL134" s="314" t="s">
        <v>21</v>
      </c>
      <c r="AM134" s="85" t="s">
        <v>153</v>
      </c>
      <c r="AN134" s="288"/>
      <c r="AO134" s="289" t="s">
        <v>277</v>
      </c>
      <c r="AP134" s="290"/>
      <c r="AQ134" s="242"/>
      <c r="AR134" s="242"/>
      <c r="AS134" s="87"/>
      <c r="AT134" s="243"/>
      <c r="AU134" s="243"/>
      <c r="AV134" s="242"/>
      <c r="AW134" s="242"/>
      <c r="AX134" s="243"/>
      <c r="AY134" s="177"/>
      <c r="AZ134" s="291"/>
      <c r="BA134" s="287" t="s">
        <v>201</v>
      </c>
      <c r="BB134" s="290"/>
      <c r="BC134" s="291"/>
      <c r="BD134" s="291"/>
      <c r="BE134" s="290"/>
      <c r="BF134" s="292"/>
      <c r="BG134" s="293"/>
      <c r="BH134" s="245" t="s">
        <v>3307</v>
      </c>
      <c r="BI134" s="249">
        <v>1257616</v>
      </c>
      <c r="BJ134" s="164" t="s">
        <v>3301</v>
      </c>
      <c r="BK134" s="164" t="s">
        <v>3302</v>
      </c>
    </row>
    <row r="135" spans="1:63" s="54" customFormat="1" ht="52.5" customHeight="1" thickBot="1">
      <c r="A135" s="54">
        <v>11</v>
      </c>
      <c r="B135" s="15" t="s">
        <v>77</v>
      </c>
      <c r="C135" s="14" t="s">
        <v>130</v>
      </c>
      <c r="D135" s="126">
        <v>11282</v>
      </c>
      <c r="E135" s="91" t="s">
        <v>1650</v>
      </c>
      <c r="F135" s="93" t="s">
        <v>1651</v>
      </c>
      <c r="G135" s="141" t="s">
        <v>563</v>
      </c>
      <c r="H135" s="142">
        <v>2022</v>
      </c>
      <c r="I135" s="143" t="s">
        <v>2578</v>
      </c>
      <c r="J135" s="170">
        <v>2</v>
      </c>
      <c r="K135" s="50">
        <v>1</v>
      </c>
      <c r="L135" s="49">
        <v>22230146</v>
      </c>
      <c r="M135" s="171" t="s">
        <v>200</v>
      </c>
      <c r="N135" s="178" t="s">
        <v>23</v>
      </c>
      <c r="O135" s="161">
        <v>39855</v>
      </c>
      <c r="P135" s="179">
        <v>39855</v>
      </c>
      <c r="Q135" s="162" t="s">
        <v>3037</v>
      </c>
      <c r="R135" s="44" t="s">
        <v>1652</v>
      </c>
      <c r="S135" s="172" t="s">
        <v>201</v>
      </c>
      <c r="T135" s="165" t="s">
        <v>1354</v>
      </c>
      <c r="U135" s="173">
        <v>55184</v>
      </c>
      <c r="V135" s="8" t="s">
        <v>3038</v>
      </c>
      <c r="W135" s="61" t="s">
        <v>3039</v>
      </c>
      <c r="X135" s="61" t="s">
        <v>19</v>
      </c>
      <c r="Y135" s="160" t="s">
        <v>20</v>
      </c>
      <c r="Z135" s="164" t="s">
        <v>3262</v>
      </c>
      <c r="AA135" s="223" t="s">
        <v>3015</v>
      </c>
      <c r="AB135" s="55"/>
      <c r="AC135" s="85" t="s">
        <v>1653</v>
      </c>
      <c r="AD135" s="287" t="s">
        <v>201</v>
      </c>
      <c r="AE135" s="302" t="s">
        <v>24</v>
      </c>
      <c r="AF135" s="303" t="s">
        <v>153</v>
      </c>
      <c r="AG135" s="288" t="s">
        <v>564</v>
      </c>
      <c r="AH135" s="86" t="s">
        <v>280</v>
      </c>
      <c r="AI135" s="286"/>
      <c r="AJ135" s="85" t="s">
        <v>1654</v>
      </c>
      <c r="AK135" s="287" t="s">
        <v>201</v>
      </c>
      <c r="AL135" s="314" t="s">
        <v>220</v>
      </c>
      <c r="AM135" s="85" t="s">
        <v>276</v>
      </c>
      <c r="AN135" s="288"/>
      <c r="AO135" s="289"/>
      <c r="AP135" s="290"/>
      <c r="AQ135" s="242" t="s">
        <v>1655</v>
      </c>
      <c r="AR135" s="242" t="s">
        <v>1656</v>
      </c>
      <c r="AS135" s="87" t="s">
        <v>23</v>
      </c>
      <c r="AT135" s="243">
        <v>25417</v>
      </c>
      <c r="AU135" s="243"/>
      <c r="AV135" s="242" t="s">
        <v>1657</v>
      </c>
      <c r="AW135" s="242" t="s">
        <v>53</v>
      </c>
      <c r="AX135" s="243">
        <v>27461</v>
      </c>
      <c r="AY135" s="177"/>
      <c r="AZ135" s="291"/>
      <c r="BA135" s="287" t="s">
        <v>201</v>
      </c>
      <c r="BB135" s="290"/>
      <c r="BC135" s="291"/>
      <c r="BD135" s="291"/>
      <c r="BE135" s="290"/>
      <c r="BF135" s="292"/>
      <c r="BG135" s="293"/>
      <c r="BH135" s="245" t="s">
        <v>3307</v>
      </c>
      <c r="BI135" s="249">
        <v>1257616</v>
      </c>
      <c r="BJ135" s="164" t="s">
        <v>3301</v>
      </c>
      <c r="BK135" s="164" t="s">
        <v>3302</v>
      </c>
    </row>
    <row r="136" spans="1:63" s="54" customFormat="1" ht="52.5" customHeight="1" thickBot="1">
      <c r="A136" s="53">
        <v>12</v>
      </c>
      <c r="B136" s="12" t="s">
        <v>128</v>
      </c>
      <c r="C136" s="14" t="s">
        <v>130</v>
      </c>
      <c r="D136" s="140">
        <v>11286</v>
      </c>
      <c r="E136" s="98" t="s">
        <v>1658</v>
      </c>
      <c r="F136" s="93" t="s">
        <v>1659</v>
      </c>
      <c r="G136" s="141" t="s">
        <v>563</v>
      </c>
      <c r="H136" s="142">
        <v>2022</v>
      </c>
      <c r="I136" s="143" t="s">
        <v>2579</v>
      </c>
      <c r="J136" s="170">
        <v>1</v>
      </c>
      <c r="K136" s="50">
        <v>1</v>
      </c>
      <c r="L136" s="49">
        <v>22230041</v>
      </c>
      <c r="M136" s="171" t="s">
        <v>200</v>
      </c>
      <c r="N136" s="224" t="s">
        <v>99</v>
      </c>
      <c r="O136" s="161">
        <v>40096</v>
      </c>
      <c r="P136" s="180">
        <v>40096</v>
      </c>
      <c r="Q136" s="162" t="s">
        <v>1660</v>
      </c>
      <c r="R136" s="44" t="s">
        <v>1661</v>
      </c>
      <c r="S136" s="172" t="s">
        <v>201</v>
      </c>
      <c r="T136" s="165" t="s">
        <v>1662</v>
      </c>
      <c r="U136" s="173">
        <v>36129</v>
      </c>
      <c r="V136" s="8" t="s">
        <v>3040</v>
      </c>
      <c r="W136" s="61" t="s">
        <v>3041</v>
      </c>
      <c r="X136" s="61" t="s">
        <v>3042</v>
      </c>
      <c r="Y136" s="160" t="s">
        <v>1663</v>
      </c>
      <c r="Z136" s="164" t="s">
        <v>3262</v>
      </c>
      <c r="AA136" s="176" t="s">
        <v>3043</v>
      </c>
      <c r="AB136" s="174"/>
      <c r="AC136" s="85" t="s">
        <v>1664</v>
      </c>
      <c r="AD136" s="287" t="s">
        <v>201</v>
      </c>
      <c r="AE136" s="302" t="s">
        <v>24</v>
      </c>
      <c r="AF136" s="303" t="s">
        <v>154</v>
      </c>
      <c r="AG136" s="288" t="s">
        <v>824</v>
      </c>
      <c r="AH136" s="86"/>
      <c r="AI136" s="286"/>
      <c r="AJ136" s="85" t="s">
        <v>1665</v>
      </c>
      <c r="AK136" s="287" t="s">
        <v>201</v>
      </c>
      <c r="AL136" s="314" t="s">
        <v>30</v>
      </c>
      <c r="AM136" s="85" t="s">
        <v>22</v>
      </c>
      <c r="AN136" s="288"/>
      <c r="AO136" s="289" t="s">
        <v>1666</v>
      </c>
      <c r="AP136" s="286"/>
      <c r="AQ136" s="242" t="s">
        <v>1667</v>
      </c>
      <c r="AR136" s="242" t="s">
        <v>1668</v>
      </c>
      <c r="AS136" s="87" t="s">
        <v>52</v>
      </c>
      <c r="AT136" s="243">
        <v>30258</v>
      </c>
      <c r="AU136" s="243"/>
      <c r="AV136" s="242" t="s">
        <v>1669</v>
      </c>
      <c r="AW136" s="242" t="s">
        <v>1670</v>
      </c>
      <c r="AX136" s="243">
        <v>31758</v>
      </c>
      <c r="AY136" s="177"/>
      <c r="AZ136" s="291"/>
      <c r="BA136" s="287" t="s">
        <v>201</v>
      </c>
      <c r="BB136" s="290"/>
      <c r="BC136" s="291"/>
      <c r="BD136" s="291"/>
      <c r="BE136" s="288"/>
      <c r="BF136" s="292"/>
      <c r="BG136" s="286"/>
      <c r="BH136" s="245" t="s">
        <v>3307</v>
      </c>
      <c r="BI136" s="249">
        <v>1257616</v>
      </c>
      <c r="BJ136" s="164" t="s">
        <v>3301</v>
      </c>
      <c r="BK136" s="164" t="s">
        <v>3302</v>
      </c>
    </row>
    <row r="137" spans="1:63" s="54" customFormat="1" ht="52.5" customHeight="1" thickBot="1">
      <c r="A137" s="54">
        <v>13</v>
      </c>
      <c r="B137" s="12" t="s">
        <v>128</v>
      </c>
      <c r="C137" s="14" t="s">
        <v>130</v>
      </c>
      <c r="D137" s="140">
        <v>11291</v>
      </c>
      <c r="E137" s="98" t="s">
        <v>1671</v>
      </c>
      <c r="F137" s="93" t="s">
        <v>1672</v>
      </c>
      <c r="G137" s="141" t="s">
        <v>563</v>
      </c>
      <c r="H137" s="142">
        <v>2022</v>
      </c>
      <c r="I137" s="143" t="s">
        <v>2580</v>
      </c>
      <c r="J137" s="170">
        <v>2</v>
      </c>
      <c r="K137" s="50">
        <v>2</v>
      </c>
      <c r="L137" s="49">
        <v>22230036</v>
      </c>
      <c r="M137" s="171" t="s">
        <v>200</v>
      </c>
      <c r="N137" s="178" t="s">
        <v>54</v>
      </c>
      <c r="O137" s="161">
        <v>40266</v>
      </c>
      <c r="P137" s="180">
        <v>40266</v>
      </c>
      <c r="Q137" s="162" t="s">
        <v>1673</v>
      </c>
      <c r="R137" s="44" t="s">
        <v>1674</v>
      </c>
      <c r="S137" s="172" t="s">
        <v>201</v>
      </c>
      <c r="T137" s="165" t="s">
        <v>1675</v>
      </c>
      <c r="U137" s="209">
        <v>56311</v>
      </c>
      <c r="V137" s="61" t="s">
        <v>1184</v>
      </c>
      <c r="W137" s="61" t="s">
        <v>54</v>
      </c>
      <c r="X137" s="61" t="s">
        <v>54</v>
      </c>
      <c r="Y137" s="160" t="s">
        <v>28</v>
      </c>
      <c r="Z137" s="164" t="s">
        <v>3262</v>
      </c>
      <c r="AA137" s="176" t="s">
        <v>2703</v>
      </c>
      <c r="AB137" s="219"/>
      <c r="AC137" s="85" t="s">
        <v>1676</v>
      </c>
      <c r="AD137" s="287" t="s">
        <v>201</v>
      </c>
      <c r="AE137" s="302" t="s">
        <v>21</v>
      </c>
      <c r="AF137" s="303" t="s">
        <v>153</v>
      </c>
      <c r="AG137" s="288" t="s">
        <v>564</v>
      </c>
      <c r="AH137" s="86" t="s">
        <v>225</v>
      </c>
      <c r="AI137" s="286"/>
      <c r="AJ137" s="85" t="s">
        <v>1677</v>
      </c>
      <c r="AK137" s="287" t="s">
        <v>201</v>
      </c>
      <c r="AL137" s="314" t="s">
        <v>24</v>
      </c>
      <c r="AM137" s="85" t="s">
        <v>490</v>
      </c>
      <c r="AN137" s="288"/>
      <c r="AO137" s="289"/>
      <c r="AP137" s="290"/>
      <c r="AQ137" s="242" t="s">
        <v>1678</v>
      </c>
      <c r="AR137" s="242" t="s">
        <v>1679</v>
      </c>
      <c r="AS137" s="87" t="s">
        <v>54</v>
      </c>
      <c r="AT137" s="243">
        <v>26837</v>
      </c>
      <c r="AU137" s="243"/>
      <c r="AV137" s="242" t="s">
        <v>1680</v>
      </c>
      <c r="AW137" s="87" t="s">
        <v>54</v>
      </c>
      <c r="AX137" s="243">
        <v>31010</v>
      </c>
      <c r="AY137" s="177"/>
      <c r="AZ137" s="291"/>
      <c r="BA137" s="287" t="s">
        <v>201</v>
      </c>
      <c r="BB137" s="290"/>
      <c r="BC137" s="291"/>
      <c r="BD137" s="291"/>
      <c r="BE137" s="290"/>
      <c r="BF137" s="292"/>
      <c r="BG137" s="293"/>
      <c r="BH137" s="245" t="s">
        <v>3307</v>
      </c>
      <c r="BI137" s="249">
        <v>1257616</v>
      </c>
      <c r="BJ137" s="164" t="s">
        <v>3301</v>
      </c>
      <c r="BK137" s="164" t="s">
        <v>3302</v>
      </c>
    </row>
    <row r="138" spans="1:63" s="54" customFormat="1" ht="52.5" customHeight="1" thickBot="1">
      <c r="A138" s="53">
        <v>14</v>
      </c>
      <c r="B138" s="19" t="s">
        <v>132</v>
      </c>
      <c r="C138" s="14" t="s">
        <v>130</v>
      </c>
      <c r="D138" s="147">
        <v>11312</v>
      </c>
      <c r="E138" s="91" t="s">
        <v>1681</v>
      </c>
      <c r="F138" s="93" t="s">
        <v>1682</v>
      </c>
      <c r="G138" s="141" t="s">
        <v>563</v>
      </c>
      <c r="H138" s="142">
        <v>2022</v>
      </c>
      <c r="I138" s="143" t="s">
        <v>2581</v>
      </c>
      <c r="J138" s="170">
        <v>1</v>
      </c>
      <c r="K138" s="50">
        <v>1</v>
      </c>
      <c r="L138" s="49">
        <v>22230059</v>
      </c>
      <c r="M138" s="171" t="s">
        <v>200</v>
      </c>
      <c r="N138" s="178" t="s">
        <v>19</v>
      </c>
      <c r="O138" s="161">
        <v>40272</v>
      </c>
      <c r="P138" s="180">
        <v>40272</v>
      </c>
      <c r="Q138" s="162" t="s">
        <v>1683</v>
      </c>
      <c r="R138" s="44" t="s">
        <v>1684</v>
      </c>
      <c r="S138" s="172" t="s">
        <v>201</v>
      </c>
      <c r="T138" s="165" t="s">
        <v>1685</v>
      </c>
      <c r="U138" s="173">
        <v>57552</v>
      </c>
      <c r="V138" s="8" t="s">
        <v>3044</v>
      </c>
      <c r="W138" s="61" t="s">
        <v>3045</v>
      </c>
      <c r="X138" s="61" t="s">
        <v>79</v>
      </c>
      <c r="Y138" s="160" t="s">
        <v>28</v>
      </c>
      <c r="Z138" s="164" t="s">
        <v>3262</v>
      </c>
      <c r="AA138" s="176" t="s">
        <v>3046</v>
      </c>
      <c r="AB138" s="181"/>
      <c r="AC138" s="85" t="s">
        <v>1686</v>
      </c>
      <c r="AD138" s="287" t="s">
        <v>201</v>
      </c>
      <c r="AE138" s="302" t="s">
        <v>21</v>
      </c>
      <c r="AF138" s="303" t="s">
        <v>154</v>
      </c>
      <c r="AG138" s="288" t="s">
        <v>564</v>
      </c>
      <c r="AH138" s="86" t="s">
        <v>244</v>
      </c>
      <c r="AI138" s="315"/>
      <c r="AJ138" s="85" t="s">
        <v>3047</v>
      </c>
      <c r="AK138" s="287" t="s">
        <v>201</v>
      </c>
      <c r="AL138" s="314" t="s">
        <v>21</v>
      </c>
      <c r="AM138" s="85" t="s">
        <v>490</v>
      </c>
      <c r="AN138" s="288"/>
      <c r="AO138" s="289"/>
      <c r="AP138" s="290"/>
      <c r="AQ138" s="242" t="s">
        <v>1687</v>
      </c>
      <c r="AR138" s="242" t="s">
        <v>1688</v>
      </c>
      <c r="AS138" s="87" t="s">
        <v>79</v>
      </c>
      <c r="AT138" s="243">
        <v>29786</v>
      </c>
      <c r="AU138" s="243"/>
      <c r="AV138" s="242" t="s">
        <v>1689</v>
      </c>
      <c r="AW138" s="242" t="s">
        <v>19</v>
      </c>
      <c r="AX138" s="243">
        <v>30140</v>
      </c>
      <c r="AY138" s="177"/>
      <c r="AZ138" s="291"/>
      <c r="BA138" s="287" t="s">
        <v>201</v>
      </c>
      <c r="BB138" s="290"/>
      <c r="BC138" s="291"/>
      <c r="BD138" s="291"/>
      <c r="BE138" s="290"/>
      <c r="BF138" s="292"/>
      <c r="BG138" s="293"/>
      <c r="BH138" s="245" t="s">
        <v>3307</v>
      </c>
      <c r="BI138" s="249">
        <v>1257616</v>
      </c>
      <c r="BJ138" s="164" t="s">
        <v>3301</v>
      </c>
      <c r="BK138" s="164" t="s">
        <v>3302</v>
      </c>
    </row>
    <row r="139" spans="1:63" s="54" customFormat="1" ht="52.5" customHeight="1" thickBot="1">
      <c r="A139" s="54">
        <v>15</v>
      </c>
      <c r="B139" s="16" t="s">
        <v>131</v>
      </c>
      <c r="C139" s="14" t="s">
        <v>130</v>
      </c>
      <c r="D139" s="140">
        <v>11340</v>
      </c>
      <c r="E139" s="91" t="s">
        <v>2223</v>
      </c>
      <c r="F139" s="93" t="s">
        <v>1691</v>
      </c>
      <c r="G139" s="141" t="s">
        <v>563</v>
      </c>
      <c r="H139" s="142">
        <v>2022</v>
      </c>
      <c r="I139" s="143" t="s">
        <v>2582</v>
      </c>
      <c r="J139" s="225">
        <v>2</v>
      </c>
      <c r="K139" s="226">
        <v>2</v>
      </c>
      <c r="L139" s="227">
        <v>22230100</v>
      </c>
      <c r="M139" s="171" t="s">
        <v>200</v>
      </c>
      <c r="N139" s="228" t="s">
        <v>54</v>
      </c>
      <c r="O139" s="229">
        <v>40239</v>
      </c>
      <c r="P139" s="179">
        <v>40239</v>
      </c>
      <c r="Q139" s="230" t="s">
        <v>1692</v>
      </c>
      <c r="R139" s="231" t="s">
        <v>1693</v>
      </c>
      <c r="S139" s="172" t="s">
        <v>201</v>
      </c>
      <c r="T139" s="165" t="s">
        <v>2226</v>
      </c>
      <c r="U139" s="173">
        <v>56314</v>
      </c>
      <c r="V139" s="8" t="s">
        <v>3048</v>
      </c>
      <c r="W139" s="61" t="s">
        <v>54</v>
      </c>
      <c r="X139" s="61" t="s">
        <v>54</v>
      </c>
      <c r="Y139" s="160" t="s">
        <v>28</v>
      </c>
      <c r="Z139" s="164" t="s">
        <v>3262</v>
      </c>
      <c r="AA139" s="176" t="s">
        <v>2703</v>
      </c>
      <c r="AB139" s="232"/>
      <c r="AC139" s="85" t="s">
        <v>1695</v>
      </c>
      <c r="AD139" s="287" t="s">
        <v>201</v>
      </c>
      <c r="AE139" s="302" t="s">
        <v>220</v>
      </c>
      <c r="AF139" s="303" t="s">
        <v>153</v>
      </c>
      <c r="AG139" s="288" t="s">
        <v>564</v>
      </c>
      <c r="AH139" s="86" t="s">
        <v>1696</v>
      </c>
      <c r="AI139" s="139"/>
      <c r="AJ139" s="286" t="s">
        <v>1697</v>
      </c>
      <c r="AK139" s="287" t="s">
        <v>201</v>
      </c>
      <c r="AL139" s="139" t="s">
        <v>21</v>
      </c>
      <c r="AM139" s="85" t="s">
        <v>22</v>
      </c>
      <c r="AN139" s="288"/>
      <c r="AO139" s="289"/>
      <c r="AP139" s="290"/>
      <c r="AQ139" s="242" t="s">
        <v>1698</v>
      </c>
      <c r="AR139" s="242" t="s">
        <v>1699</v>
      </c>
      <c r="AS139" s="87" t="s">
        <v>54</v>
      </c>
      <c r="AT139" s="243">
        <v>28284</v>
      </c>
      <c r="AU139" s="243"/>
      <c r="AV139" s="242" t="s">
        <v>1700</v>
      </c>
      <c r="AW139" s="242" t="s">
        <v>26</v>
      </c>
      <c r="AX139" s="243">
        <v>28356</v>
      </c>
      <c r="AY139" s="243"/>
      <c r="AZ139" s="291"/>
      <c r="BA139" s="287" t="s">
        <v>201</v>
      </c>
      <c r="BB139" s="290"/>
      <c r="BC139" s="291"/>
      <c r="BD139" s="291"/>
      <c r="BE139" s="290"/>
      <c r="BF139" s="292"/>
      <c r="BG139" s="293"/>
      <c r="BH139" s="245" t="s">
        <v>3307</v>
      </c>
      <c r="BI139" s="249">
        <v>1257616</v>
      </c>
      <c r="BJ139" s="164" t="s">
        <v>3301</v>
      </c>
      <c r="BK139" s="164" t="s">
        <v>3302</v>
      </c>
    </row>
    <row r="140" spans="1:63" s="54" customFormat="1" ht="48" thickBot="1">
      <c r="A140" s="53">
        <v>16</v>
      </c>
      <c r="B140" s="13" t="s">
        <v>129</v>
      </c>
      <c r="C140" s="14" t="s">
        <v>130</v>
      </c>
      <c r="D140" s="146">
        <v>11334</v>
      </c>
      <c r="E140" s="91" t="s">
        <v>1099</v>
      </c>
      <c r="F140" s="93" t="s">
        <v>1100</v>
      </c>
      <c r="G140" s="141" t="s">
        <v>563</v>
      </c>
      <c r="H140" s="142">
        <v>2022</v>
      </c>
      <c r="I140" s="143" t="s">
        <v>2583</v>
      </c>
      <c r="J140" s="170">
        <v>1</v>
      </c>
      <c r="K140" s="50">
        <v>1</v>
      </c>
      <c r="L140" s="49">
        <v>22230061</v>
      </c>
      <c r="M140" s="171" t="s">
        <v>200</v>
      </c>
      <c r="N140" s="104" t="s">
        <v>68</v>
      </c>
      <c r="O140" s="161">
        <v>40018</v>
      </c>
      <c r="P140" s="105">
        <v>40018</v>
      </c>
      <c r="Q140" s="162" t="s">
        <v>1101</v>
      </c>
      <c r="R140" s="44" t="s">
        <v>1102</v>
      </c>
      <c r="S140" s="172" t="s">
        <v>201</v>
      </c>
      <c r="T140" s="88" t="s">
        <v>2681</v>
      </c>
      <c r="U140" s="173">
        <v>56512</v>
      </c>
      <c r="V140" s="8" t="s">
        <v>3049</v>
      </c>
      <c r="W140" s="61" t="s">
        <v>3050</v>
      </c>
      <c r="X140" s="61" t="s">
        <v>68</v>
      </c>
      <c r="Y140" s="160" t="s">
        <v>28</v>
      </c>
      <c r="Z140" s="164" t="s">
        <v>3262</v>
      </c>
      <c r="AA140" s="176" t="s">
        <v>3051</v>
      </c>
      <c r="AB140" s="174"/>
      <c r="AC140" s="88" t="s">
        <v>1104</v>
      </c>
      <c r="AD140" s="287" t="s">
        <v>201</v>
      </c>
      <c r="AE140" s="103" t="s">
        <v>21</v>
      </c>
      <c r="AF140" s="114" t="s">
        <v>22</v>
      </c>
      <c r="AG140" s="288" t="s">
        <v>564</v>
      </c>
      <c r="AH140" s="104" t="s">
        <v>399</v>
      </c>
      <c r="AI140" s="286"/>
      <c r="AJ140" s="85" t="s">
        <v>1105</v>
      </c>
      <c r="AK140" s="287" t="s">
        <v>201</v>
      </c>
      <c r="AL140" s="290" t="s">
        <v>21</v>
      </c>
      <c r="AM140" s="291" t="s">
        <v>155</v>
      </c>
      <c r="AN140" s="291"/>
      <c r="AO140" s="289"/>
      <c r="AP140" s="290"/>
      <c r="AQ140" s="242" t="s">
        <v>1106</v>
      </c>
      <c r="AR140" s="242" t="s">
        <v>1107</v>
      </c>
      <c r="AS140" s="87" t="s">
        <v>68</v>
      </c>
      <c r="AT140" s="243">
        <v>27774</v>
      </c>
      <c r="AU140" s="243"/>
      <c r="AV140" s="242" t="s">
        <v>1108</v>
      </c>
      <c r="AW140" s="242" t="s">
        <v>68</v>
      </c>
      <c r="AX140" s="243">
        <v>30954</v>
      </c>
      <c r="AY140" s="177"/>
      <c r="AZ140" s="291"/>
      <c r="BA140" s="287" t="s">
        <v>201</v>
      </c>
      <c r="BB140" s="290"/>
      <c r="BC140" s="291"/>
      <c r="BD140" s="291"/>
      <c r="BE140" s="290"/>
      <c r="BF140" s="292"/>
      <c r="BG140" s="293"/>
      <c r="BH140" s="245" t="s">
        <v>3307</v>
      </c>
      <c r="BI140" s="249">
        <v>1257616</v>
      </c>
      <c r="BJ140" s="164" t="s">
        <v>3301</v>
      </c>
      <c r="BK140" s="164" t="s">
        <v>3302</v>
      </c>
    </row>
    <row r="141" spans="1:63" s="54" customFormat="1" ht="52.5" customHeight="1" thickBot="1">
      <c r="A141" s="54">
        <v>17</v>
      </c>
      <c r="B141" s="11" t="s">
        <v>126</v>
      </c>
      <c r="C141" s="14" t="s">
        <v>130</v>
      </c>
      <c r="D141" s="147">
        <v>11344</v>
      </c>
      <c r="E141" s="91" t="s">
        <v>1701</v>
      </c>
      <c r="F141" s="93" t="s">
        <v>2425</v>
      </c>
      <c r="G141" s="141" t="s">
        <v>563</v>
      </c>
      <c r="H141" s="142">
        <v>2022</v>
      </c>
      <c r="I141" s="143" t="s">
        <v>2584</v>
      </c>
      <c r="J141" s="170">
        <v>7</v>
      </c>
      <c r="K141" s="50">
        <v>6</v>
      </c>
      <c r="L141" s="49">
        <v>22230154</v>
      </c>
      <c r="M141" s="171" t="s">
        <v>200</v>
      </c>
      <c r="N141" s="104" t="s">
        <v>23</v>
      </c>
      <c r="O141" s="161">
        <f>P141:P435</f>
        <v>40203</v>
      </c>
      <c r="P141" s="105">
        <v>40203</v>
      </c>
      <c r="Q141" s="162" t="s">
        <v>1702</v>
      </c>
      <c r="R141" s="46" t="s">
        <v>1703</v>
      </c>
      <c r="S141" s="172" t="s">
        <v>201</v>
      </c>
      <c r="T141" s="88" t="s">
        <v>366</v>
      </c>
      <c r="U141" s="173">
        <v>55262</v>
      </c>
      <c r="V141" s="8" t="s">
        <v>468</v>
      </c>
      <c r="W141" s="61" t="s">
        <v>470</v>
      </c>
      <c r="X141" s="61" t="s">
        <v>23</v>
      </c>
      <c r="Y141" s="160" t="s">
        <v>20</v>
      </c>
      <c r="Z141" s="164" t="s">
        <v>3262</v>
      </c>
      <c r="AA141" s="176" t="s">
        <v>3052</v>
      </c>
      <c r="AB141" s="174"/>
      <c r="AC141" s="88" t="s">
        <v>1705</v>
      </c>
      <c r="AD141" s="287" t="s">
        <v>201</v>
      </c>
      <c r="AE141" s="103" t="s">
        <v>21</v>
      </c>
      <c r="AF141" s="114" t="s">
        <v>155</v>
      </c>
      <c r="AG141" s="288" t="s">
        <v>564</v>
      </c>
      <c r="AH141" s="104" t="s">
        <v>420</v>
      </c>
      <c r="AI141" s="286"/>
      <c r="AJ141" s="85" t="s">
        <v>1706</v>
      </c>
      <c r="AK141" s="287" t="s">
        <v>201</v>
      </c>
      <c r="AL141" s="290" t="s">
        <v>24</v>
      </c>
      <c r="AM141" s="291" t="s">
        <v>490</v>
      </c>
      <c r="AN141" s="291"/>
      <c r="AO141" s="289"/>
      <c r="AP141" s="290"/>
      <c r="AQ141" s="242" t="s">
        <v>1707</v>
      </c>
      <c r="AR141" s="242" t="s">
        <v>1708</v>
      </c>
      <c r="AS141" s="87" t="s">
        <v>226</v>
      </c>
      <c r="AT141" s="243">
        <v>24623</v>
      </c>
      <c r="AU141" s="243"/>
      <c r="AV141" s="242" t="s">
        <v>1709</v>
      </c>
      <c r="AW141" s="242" t="s">
        <v>1710</v>
      </c>
      <c r="AX141" s="243">
        <v>25950</v>
      </c>
      <c r="AY141" s="177"/>
      <c r="AZ141" s="291"/>
      <c r="BA141" s="287" t="s">
        <v>201</v>
      </c>
      <c r="BB141" s="290"/>
      <c r="BC141" s="291"/>
      <c r="BD141" s="291"/>
      <c r="BE141" s="290"/>
      <c r="BF141" s="292"/>
      <c r="BG141" s="293"/>
      <c r="BH141" s="245" t="s">
        <v>3307</v>
      </c>
      <c r="BI141" s="249">
        <v>1257616</v>
      </c>
      <c r="BJ141" s="164" t="s">
        <v>3301</v>
      </c>
      <c r="BK141" s="164" t="s">
        <v>3302</v>
      </c>
    </row>
    <row r="142" spans="1:63" s="54" customFormat="1" ht="52.5" customHeight="1" thickBot="1">
      <c r="A142" s="53">
        <v>18</v>
      </c>
      <c r="B142" s="14" t="s">
        <v>130</v>
      </c>
      <c r="C142" s="14" t="s">
        <v>130</v>
      </c>
      <c r="D142" s="147">
        <v>11358</v>
      </c>
      <c r="E142" s="91" t="s">
        <v>1711</v>
      </c>
      <c r="F142" s="93" t="s">
        <v>1712</v>
      </c>
      <c r="G142" s="141" t="s">
        <v>563</v>
      </c>
      <c r="H142" s="142">
        <v>2022</v>
      </c>
      <c r="I142" s="143" t="s">
        <v>2585</v>
      </c>
      <c r="J142" s="127">
        <v>1</v>
      </c>
      <c r="K142" s="128">
        <v>1</v>
      </c>
      <c r="L142" s="49">
        <v>22230207</v>
      </c>
      <c r="M142" s="171" t="s">
        <v>200</v>
      </c>
      <c r="N142" s="178" t="s">
        <v>54</v>
      </c>
      <c r="O142" s="161">
        <v>40117</v>
      </c>
      <c r="P142" s="179">
        <v>40117</v>
      </c>
      <c r="Q142" s="162" t="s">
        <v>1713</v>
      </c>
      <c r="R142" s="44" t="s">
        <v>1714</v>
      </c>
      <c r="S142" s="172" t="s">
        <v>201</v>
      </c>
      <c r="T142" s="165" t="s">
        <v>1163</v>
      </c>
      <c r="U142" s="173">
        <v>56354</v>
      </c>
      <c r="V142" s="8" t="s">
        <v>3053</v>
      </c>
      <c r="W142" s="61" t="s">
        <v>3054</v>
      </c>
      <c r="X142" s="61" t="s">
        <v>54</v>
      </c>
      <c r="Y142" s="160" t="s">
        <v>28</v>
      </c>
      <c r="Z142" s="164" t="s">
        <v>3262</v>
      </c>
      <c r="AA142" s="176" t="s">
        <v>3055</v>
      </c>
      <c r="AB142" s="174"/>
      <c r="AC142" s="85" t="s">
        <v>1716</v>
      </c>
      <c r="AD142" s="287" t="s">
        <v>201</v>
      </c>
      <c r="AE142" s="302" t="s">
        <v>21</v>
      </c>
      <c r="AF142" s="303" t="s">
        <v>156</v>
      </c>
      <c r="AG142" s="287"/>
      <c r="AH142" s="86" t="s">
        <v>318</v>
      </c>
      <c r="AI142" s="286"/>
      <c r="AJ142" s="85" t="s">
        <v>3056</v>
      </c>
      <c r="AK142" s="287" t="s">
        <v>201</v>
      </c>
      <c r="AL142" s="290"/>
      <c r="AM142" s="291"/>
      <c r="AN142" s="291"/>
      <c r="AO142" s="340" t="s">
        <v>345</v>
      </c>
      <c r="AP142" s="290"/>
      <c r="AQ142" s="242"/>
      <c r="AR142" s="242"/>
      <c r="AS142" s="87"/>
      <c r="AT142" s="243"/>
      <c r="AU142" s="243"/>
      <c r="AV142" s="242"/>
      <c r="AW142" s="242"/>
      <c r="AX142" s="243"/>
      <c r="AY142" s="177"/>
      <c r="AZ142" s="291"/>
      <c r="BA142" s="287" t="s">
        <v>201</v>
      </c>
      <c r="BB142" s="290"/>
      <c r="BC142" s="291"/>
      <c r="BD142" s="291"/>
      <c r="BE142" s="290"/>
      <c r="BF142" s="292"/>
      <c r="BG142" s="293"/>
      <c r="BH142" s="245" t="s">
        <v>3307</v>
      </c>
      <c r="BI142" s="249">
        <v>1257616</v>
      </c>
      <c r="BJ142" s="164" t="s">
        <v>3301</v>
      </c>
      <c r="BK142" s="164" t="s">
        <v>3302</v>
      </c>
    </row>
    <row r="143" spans="1:63" s="54" customFormat="1" ht="52.5" customHeight="1" thickBot="1">
      <c r="A143" s="54">
        <v>19</v>
      </c>
      <c r="B143" s="14" t="s">
        <v>130</v>
      </c>
      <c r="C143" s="14" t="s">
        <v>130</v>
      </c>
      <c r="D143" s="147">
        <v>11399</v>
      </c>
      <c r="E143" s="98" t="s">
        <v>1736</v>
      </c>
      <c r="F143" s="93" t="s">
        <v>1737</v>
      </c>
      <c r="G143" s="141" t="s">
        <v>563</v>
      </c>
      <c r="H143" s="142">
        <v>2022</v>
      </c>
      <c r="I143" s="143" t="s">
        <v>2586</v>
      </c>
      <c r="J143" s="170">
        <v>3</v>
      </c>
      <c r="K143" s="50">
        <v>2</v>
      </c>
      <c r="L143" s="49">
        <v>22230244</v>
      </c>
      <c r="M143" s="171" t="s">
        <v>200</v>
      </c>
      <c r="N143" s="56" t="s">
        <v>19</v>
      </c>
      <c r="O143" s="161">
        <v>40344</v>
      </c>
      <c r="P143" s="163">
        <v>40344</v>
      </c>
      <c r="Q143" s="162" t="s">
        <v>1738</v>
      </c>
      <c r="R143" s="44" t="s">
        <v>1739</v>
      </c>
      <c r="S143" s="172" t="s">
        <v>201</v>
      </c>
      <c r="T143" s="164" t="s">
        <v>611</v>
      </c>
      <c r="U143" s="173">
        <v>55122</v>
      </c>
      <c r="V143" s="8" t="s">
        <v>3057</v>
      </c>
      <c r="W143" s="61" t="s">
        <v>3058</v>
      </c>
      <c r="X143" s="61" t="s">
        <v>279</v>
      </c>
      <c r="Y143" s="160" t="s">
        <v>20</v>
      </c>
      <c r="Z143" s="164" t="s">
        <v>3262</v>
      </c>
      <c r="AA143" s="176" t="s">
        <v>3059</v>
      </c>
      <c r="AB143" s="174"/>
      <c r="AC143" s="88" t="s">
        <v>1741</v>
      </c>
      <c r="AD143" s="287" t="s">
        <v>201</v>
      </c>
      <c r="AE143" s="302" t="s">
        <v>67</v>
      </c>
      <c r="AF143" s="303" t="s">
        <v>158</v>
      </c>
      <c r="AG143" s="288" t="s">
        <v>564</v>
      </c>
      <c r="AH143" s="104" t="s">
        <v>347</v>
      </c>
      <c r="AI143" s="315"/>
      <c r="AJ143" s="85" t="s">
        <v>1742</v>
      </c>
      <c r="AK143" s="287" t="s">
        <v>201</v>
      </c>
      <c r="AL143" s="290" t="s">
        <v>21</v>
      </c>
      <c r="AM143" s="291" t="s">
        <v>490</v>
      </c>
      <c r="AN143" s="291"/>
      <c r="AO143" s="289"/>
      <c r="AP143" s="290"/>
      <c r="AQ143" s="242" t="s">
        <v>1743</v>
      </c>
      <c r="AR143" s="242" t="s">
        <v>1744</v>
      </c>
      <c r="AS143" s="87" t="s">
        <v>1745</v>
      </c>
      <c r="AT143" s="243">
        <v>23678</v>
      </c>
      <c r="AU143" s="243"/>
      <c r="AV143" s="242" t="s">
        <v>1746</v>
      </c>
      <c r="AW143" s="242" t="s">
        <v>23</v>
      </c>
      <c r="AX143" s="243">
        <v>24871</v>
      </c>
      <c r="AY143" s="177"/>
      <c r="AZ143" s="291"/>
      <c r="BA143" s="287" t="s">
        <v>201</v>
      </c>
      <c r="BB143" s="290"/>
      <c r="BC143" s="291"/>
      <c r="BD143" s="291"/>
      <c r="BE143" s="290"/>
      <c r="BF143" s="292"/>
      <c r="BG143" s="293"/>
      <c r="BH143" s="245" t="s">
        <v>3307</v>
      </c>
      <c r="BI143" s="249">
        <v>1257616</v>
      </c>
      <c r="BJ143" s="164" t="s">
        <v>3301</v>
      </c>
      <c r="BK143" s="164" t="s">
        <v>3302</v>
      </c>
    </row>
    <row r="144" spans="1:63" s="54" customFormat="1" ht="52.5" customHeight="1" thickBot="1">
      <c r="A144" s="53">
        <v>20</v>
      </c>
      <c r="B144" s="13" t="s">
        <v>129</v>
      </c>
      <c r="C144" s="14" t="s">
        <v>130</v>
      </c>
      <c r="D144" s="146">
        <v>11432</v>
      </c>
      <c r="E144" s="91" t="s">
        <v>1747</v>
      </c>
      <c r="F144" s="93" t="s">
        <v>1748</v>
      </c>
      <c r="G144" s="141" t="s">
        <v>563</v>
      </c>
      <c r="H144" s="142">
        <v>2022</v>
      </c>
      <c r="I144" s="143" t="s">
        <v>2587</v>
      </c>
      <c r="J144" s="170">
        <v>1</v>
      </c>
      <c r="K144" s="50">
        <v>0</v>
      </c>
      <c r="L144" s="49">
        <v>22230064</v>
      </c>
      <c r="M144" s="171" t="s">
        <v>200</v>
      </c>
      <c r="N144" s="104" t="s">
        <v>40</v>
      </c>
      <c r="O144" s="161">
        <v>40279</v>
      </c>
      <c r="P144" s="105">
        <v>40279</v>
      </c>
      <c r="Q144" s="162" t="s">
        <v>1749</v>
      </c>
      <c r="R144" s="44" t="s">
        <v>1750</v>
      </c>
      <c r="S144" s="172" t="s">
        <v>201</v>
      </c>
      <c r="T144" s="88" t="s">
        <v>1489</v>
      </c>
      <c r="U144" s="173">
        <v>50187</v>
      </c>
      <c r="V144" s="8" t="s">
        <v>3060</v>
      </c>
      <c r="W144" s="61" t="s">
        <v>471</v>
      </c>
      <c r="X144" s="61" t="s">
        <v>40</v>
      </c>
      <c r="Y144" s="160" t="s">
        <v>28</v>
      </c>
      <c r="Z144" s="164" t="s">
        <v>3262</v>
      </c>
      <c r="AA144" s="176" t="s">
        <v>3061</v>
      </c>
      <c r="AB144" s="174"/>
      <c r="AC144" s="88" t="s">
        <v>1752</v>
      </c>
      <c r="AD144" s="287" t="s">
        <v>201</v>
      </c>
      <c r="AE144" s="103" t="s">
        <v>21</v>
      </c>
      <c r="AF144" s="114" t="s">
        <v>153</v>
      </c>
      <c r="AG144" s="288" t="s">
        <v>564</v>
      </c>
      <c r="AH144" s="104" t="s">
        <v>407</v>
      </c>
      <c r="AI144" s="286"/>
      <c r="AJ144" s="85" t="s">
        <v>3062</v>
      </c>
      <c r="AK144" s="287" t="s">
        <v>201</v>
      </c>
      <c r="AL144" s="290" t="s">
        <v>21</v>
      </c>
      <c r="AM144" s="291" t="s">
        <v>22</v>
      </c>
      <c r="AN144" s="291"/>
      <c r="AO144" s="289"/>
      <c r="AP144" s="290"/>
      <c r="AQ144" s="242" t="s">
        <v>1753</v>
      </c>
      <c r="AR144" s="242" t="s">
        <v>1754</v>
      </c>
      <c r="AS144" s="87" t="s">
        <v>54</v>
      </c>
      <c r="AT144" s="243">
        <v>27145</v>
      </c>
      <c r="AU144" s="243"/>
      <c r="AV144" s="242" t="s">
        <v>1755</v>
      </c>
      <c r="AW144" s="242" t="s">
        <v>40</v>
      </c>
      <c r="AX144" s="243">
        <v>28347</v>
      </c>
      <c r="AY144" s="177"/>
      <c r="AZ144" s="291"/>
      <c r="BA144" s="287" t="s">
        <v>201</v>
      </c>
      <c r="BB144" s="290"/>
      <c r="BC144" s="291"/>
      <c r="BD144" s="291"/>
      <c r="BE144" s="290"/>
      <c r="BF144" s="292"/>
      <c r="BG144" s="293"/>
      <c r="BH144" s="245" t="s">
        <v>3307</v>
      </c>
      <c r="BI144" s="249">
        <v>1257616</v>
      </c>
      <c r="BJ144" s="164" t="s">
        <v>3301</v>
      </c>
      <c r="BK144" s="164" t="s">
        <v>3302</v>
      </c>
    </row>
    <row r="145" spans="1:63" s="54" customFormat="1" ht="52.5" customHeight="1" thickBot="1">
      <c r="A145" s="54">
        <v>21</v>
      </c>
      <c r="B145" s="14" t="s">
        <v>130</v>
      </c>
      <c r="C145" s="14" t="s">
        <v>130</v>
      </c>
      <c r="D145" s="147">
        <v>11434</v>
      </c>
      <c r="E145" s="99" t="s">
        <v>1756</v>
      </c>
      <c r="F145" s="93" t="s">
        <v>1757</v>
      </c>
      <c r="G145" s="141" t="s">
        <v>563</v>
      </c>
      <c r="H145" s="142">
        <v>2022</v>
      </c>
      <c r="I145" s="143" t="s">
        <v>2588</v>
      </c>
      <c r="J145" s="170">
        <v>1</v>
      </c>
      <c r="K145" s="50">
        <v>1</v>
      </c>
      <c r="L145" s="49">
        <v>22230221</v>
      </c>
      <c r="M145" s="171" t="s">
        <v>200</v>
      </c>
      <c r="N145" s="56" t="s">
        <v>82</v>
      </c>
      <c r="O145" s="161">
        <v>40381</v>
      </c>
      <c r="P145" s="163">
        <v>40381</v>
      </c>
      <c r="Q145" s="162" t="s">
        <v>1758</v>
      </c>
      <c r="R145" s="44" t="s">
        <v>1759</v>
      </c>
      <c r="S145" s="172" t="s">
        <v>201</v>
      </c>
      <c r="T145" s="164" t="s">
        <v>706</v>
      </c>
      <c r="U145" s="173">
        <v>57472</v>
      </c>
      <c r="V145" s="8" t="s">
        <v>3063</v>
      </c>
      <c r="W145" s="61" t="s">
        <v>3064</v>
      </c>
      <c r="X145" s="61" t="s">
        <v>82</v>
      </c>
      <c r="Y145" s="160" t="s">
        <v>28</v>
      </c>
      <c r="Z145" s="164" t="s">
        <v>3262</v>
      </c>
      <c r="AA145" s="176" t="s">
        <v>3065</v>
      </c>
      <c r="AB145" s="174"/>
      <c r="AC145" s="88" t="s">
        <v>3281</v>
      </c>
      <c r="AD145" s="287" t="s">
        <v>201</v>
      </c>
      <c r="AE145" s="302"/>
      <c r="AF145" s="303"/>
      <c r="AG145" s="287"/>
      <c r="AH145" s="86"/>
      <c r="AI145" s="286"/>
      <c r="AJ145" s="85" t="s">
        <v>1761</v>
      </c>
      <c r="AK145" s="287" t="s">
        <v>201</v>
      </c>
      <c r="AL145" s="290" t="s">
        <v>21</v>
      </c>
      <c r="AM145" s="291" t="s">
        <v>490</v>
      </c>
      <c r="AN145" s="288" t="s">
        <v>564</v>
      </c>
      <c r="AO145" s="340" t="s">
        <v>346</v>
      </c>
      <c r="AP145" s="290"/>
      <c r="AQ145" s="242" t="s">
        <v>1762</v>
      </c>
      <c r="AR145" s="242"/>
      <c r="AS145" s="87"/>
      <c r="AT145" s="243"/>
      <c r="AU145" s="243"/>
      <c r="AV145" s="242" t="s">
        <v>1763</v>
      </c>
      <c r="AW145" s="242" t="s">
        <v>82</v>
      </c>
      <c r="AX145" s="243">
        <v>25861</v>
      </c>
      <c r="AY145" s="177"/>
      <c r="AZ145" s="291"/>
      <c r="BA145" s="287" t="s">
        <v>201</v>
      </c>
      <c r="BB145" s="290"/>
      <c r="BC145" s="291"/>
      <c r="BD145" s="291"/>
      <c r="BE145" s="290"/>
      <c r="BF145" s="292"/>
      <c r="BG145" s="293"/>
      <c r="BH145" s="245" t="s">
        <v>3307</v>
      </c>
      <c r="BI145" s="249">
        <v>1257616</v>
      </c>
      <c r="BJ145" s="164" t="s">
        <v>3301</v>
      </c>
      <c r="BK145" s="164" t="s">
        <v>3302</v>
      </c>
    </row>
    <row r="146" spans="1:63" s="54" customFormat="1" ht="52.5" customHeight="1" thickBot="1">
      <c r="A146" s="53">
        <v>22</v>
      </c>
      <c r="B146" s="13" t="s">
        <v>129</v>
      </c>
      <c r="C146" s="14" t="s">
        <v>130</v>
      </c>
      <c r="D146" s="146">
        <v>11452</v>
      </c>
      <c r="E146" s="91" t="s">
        <v>1764</v>
      </c>
      <c r="F146" s="93" t="s">
        <v>1765</v>
      </c>
      <c r="G146" s="141" t="s">
        <v>563</v>
      </c>
      <c r="H146" s="142">
        <v>2022</v>
      </c>
      <c r="I146" s="143" t="s">
        <v>2589</v>
      </c>
      <c r="J146" s="170">
        <v>2</v>
      </c>
      <c r="K146" s="50">
        <v>2</v>
      </c>
      <c r="L146" s="49">
        <v>22230048</v>
      </c>
      <c r="M146" s="171" t="s">
        <v>200</v>
      </c>
      <c r="N146" s="104" t="s">
        <v>99</v>
      </c>
      <c r="O146" s="161">
        <v>40070</v>
      </c>
      <c r="P146" s="105">
        <v>40070</v>
      </c>
      <c r="Q146" s="162" t="s">
        <v>1587</v>
      </c>
      <c r="R146" s="44" t="s">
        <v>1766</v>
      </c>
      <c r="S146" s="172" t="s">
        <v>201</v>
      </c>
      <c r="T146" s="88" t="s">
        <v>2398</v>
      </c>
      <c r="U146" s="173">
        <v>30137</v>
      </c>
      <c r="V146" s="61" t="s">
        <v>3066</v>
      </c>
      <c r="W146" s="61" t="s">
        <v>3067</v>
      </c>
      <c r="X146" s="61" t="s">
        <v>99</v>
      </c>
      <c r="Y146" s="160" t="s">
        <v>62</v>
      </c>
      <c r="Z146" s="164" t="s">
        <v>3262</v>
      </c>
      <c r="AA146" s="176" t="s">
        <v>3068</v>
      </c>
      <c r="AB146" s="174"/>
      <c r="AC146" s="88" t="s">
        <v>1768</v>
      </c>
      <c r="AD146" s="287" t="s">
        <v>201</v>
      </c>
      <c r="AE146" s="103" t="s">
        <v>21</v>
      </c>
      <c r="AF146" s="114" t="s">
        <v>153</v>
      </c>
      <c r="AG146" s="288" t="s">
        <v>564</v>
      </c>
      <c r="AH146" s="104" t="s">
        <v>411</v>
      </c>
      <c r="AI146" s="286"/>
      <c r="AJ146" s="85" t="s">
        <v>1769</v>
      </c>
      <c r="AK146" s="287" t="s">
        <v>201</v>
      </c>
      <c r="AL146" s="290" t="s">
        <v>21</v>
      </c>
      <c r="AM146" s="291" t="s">
        <v>276</v>
      </c>
      <c r="AN146" s="291"/>
      <c r="AO146" s="86"/>
      <c r="AP146" s="290"/>
      <c r="AQ146" s="242" t="s">
        <v>1770</v>
      </c>
      <c r="AR146" s="242" t="s">
        <v>1771</v>
      </c>
      <c r="AS146" s="87" t="s">
        <v>118</v>
      </c>
      <c r="AT146" s="243">
        <v>26574</v>
      </c>
      <c r="AU146" s="243"/>
      <c r="AV146" s="242" t="s">
        <v>1772</v>
      </c>
      <c r="AW146" s="242" t="s">
        <v>1773</v>
      </c>
      <c r="AX146" s="243">
        <v>29430</v>
      </c>
      <c r="AY146" s="177"/>
      <c r="AZ146" s="291"/>
      <c r="BA146" s="287" t="s">
        <v>201</v>
      </c>
      <c r="BB146" s="290"/>
      <c r="BC146" s="291"/>
      <c r="BD146" s="291"/>
      <c r="BE146" s="290"/>
      <c r="BF146" s="292"/>
      <c r="BG146" s="293"/>
      <c r="BH146" s="245" t="s">
        <v>3307</v>
      </c>
      <c r="BI146" s="249">
        <v>1257616</v>
      </c>
      <c r="BJ146" s="164" t="s">
        <v>3301</v>
      </c>
      <c r="BK146" s="164" t="s">
        <v>3302</v>
      </c>
    </row>
    <row r="147" spans="1:63" s="54" customFormat="1" ht="52.5" customHeight="1" thickBot="1">
      <c r="A147" s="54">
        <v>23</v>
      </c>
      <c r="B147" s="13" t="s">
        <v>129</v>
      </c>
      <c r="C147" s="14" t="s">
        <v>130</v>
      </c>
      <c r="D147" s="157">
        <v>11469</v>
      </c>
      <c r="E147" s="91" t="s">
        <v>1774</v>
      </c>
      <c r="F147" s="93" t="s">
        <v>1775</v>
      </c>
      <c r="G147" s="141" t="s">
        <v>563</v>
      </c>
      <c r="H147" s="142">
        <v>2022</v>
      </c>
      <c r="I147" s="143" t="s">
        <v>2590</v>
      </c>
      <c r="J147" s="170">
        <v>1</v>
      </c>
      <c r="K147" s="50">
        <v>2</v>
      </c>
      <c r="L147" s="49">
        <v>22230046</v>
      </c>
      <c r="M147" s="171" t="s">
        <v>200</v>
      </c>
      <c r="N147" s="104" t="s">
        <v>1776</v>
      </c>
      <c r="O147" s="161">
        <v>40220</v>
      </c>
      <c r="P147" s="105">
        <v>40220</v>
      </c>
      <c r="Q147" s="162" t="s">
        <v>1777</v>
      </c>
      <c r="R147" s="44" t="s">
        <v>1778</v>
      </c>
      <c r="S147" s="172" t="s">
        <v>201</v>
      </c>
      <c r="T147" s="87" t="s">
        <v>1565</v>
      </c>
      <c r="U147" s="173">
        <v>74411</v>
      </c>
      <c r="V147" s="8" t="s">
        <v>3069</v>
      </c>
      <c r="W147" s="61" t="s">
        <v>3070</v>
      </c>
      <c r="X147" s="61" t="s">
        <v>3071</v>
      </c>
      <c r="Y147" s="160" t="s">
        <v>44</v>
      </c>
      <c r="Z147" s="164" t="s">
        <v>3262</v>
      </c>
      <c r="AA147" s="176" t="s">
        <v>3072</v>
      </c>
      <c r="AB147" s="174"/>
      <c r="AC147" s="88" t="s">
        <v>1780</v>
      </c>
      <c r="AD147" s="287" t="s">
        <v>201</v>
      </c>
      <c r="AE147" s="103" t="s">
        <v>21</v>
      </c>
      <c r="AF147" s="114" t="s">
        <v>22</v>
      </c>
      <c r="AG147" s="288" t="s">
        <v>564</v>
      </c>
      <c r="AH147" s="104" t="s">
        <v>413</v>
      </c>
      <c r="AI147" s="286"/>
      <c r="AJ147" s="85" t="s">
        <v>3073</v>
      </c>
      <c r="AK147" s="287" t="s">
        <v>201</v>
      </c>
      <c r="AL147" s="290" t="s">
        <v>21</v>
      </c>
      <c r="AM147" s="291" t="s">
        <v>22</v>
      </c>
      <c r="AN147" s="291"/>
      <c r="AO147" s="289"/>
      <c r="AP147" s="290"/>
      <c r="AQ147" s="242" t="s">
        <v>1781</v>
      </c>
      <c r="AR147" s="242" t="s">
        <v>1782</v>
      </c>
      <c r="AS147" s="87" t="s">
        <v>1783</v>
      </c>
      <c r="AT147" s="243">
        <v>30305</v>
      </c>
      <c r="AU147" s="243"/>
      <c r="AV147" s="242" t="s">
        <v>1784</v>
      </c>
      <c r="AW147" s="242" t="s">
        <v>1776</v>
      </c>
      <c r="AX147" s="243">
        <v>30630</v>
      </c>
      <c r="AY147" s="177"/>
      <c r="AZ147" s="291"/>
      <c r="BA147" s="287" t="s">
        <v>201</v>
      </c>
      <c r="BB147" s="290"/>
      <c r="BC147" s="291"/>
      <c r="BD147" s="291"/>
      <c r="BE147" s="290"/>
      <c r="BF147" s="292"/>
      <c r="BG147" s="293"/>
      <c r="BH147" s="245" t="s">
        <v>3307</v>
      </c>
      <c r="BI147" s="249">
        <v>1257616</v>
      </c>
      <c r="BJ147" s="164" t="s">
        <v>3301</v>
      </c>
      <c r="BK147" s="164" t="s">
        <v>3302</v>
      </c>
    </row>
    <row r="148" spans="1:63" s="54" customFormat="1" ht="52.5" customHeight="1" thickBot="1">
      <c r="A148" s="54">
        <v>1</v>
      </c>
      <c r="B148" s="14" t="s">
        <v>130</v>
      </c>
      <c r="C148" s="18" t="s">
        <v>127</v>
      </c>
      <c r="D148" s="147">
        <v>11223</v>
      </c>
      <c r="E148" s="91" t="s">
        <v>2156</v>
      </c>
      <c r="F148" s="93" t="s">
        <v>2157</v>
      </c>
      <c r="G148" s="141" t="s">
        <v>563</v>
      </c>
      <c r="H148" s="142">
        <v>2022</v>
      </c>
      <c r="I148" s="143" t="s">
        <v>2591</v>
      </c>
      <c r="J148" s="170">
        <v>2</v>
      </c>
      <c r="K148" s="50">
        <v>1</v>
      </c>
      <c r="L148" s="49">
        <v>22230245</v>
      </c>
      <c r="M148" s="171" t="s">
        <v>200</v>
      </c>
      <c r="N148" s="178" t="s">
        <v>97</v>
      </c>
      <c r="O148" s="161">
        <v>39902</v>
      </c>
      <c r="P148" s="179">
        <v>40267</v>
      </c>
      <c r="Q148" s="162" t="s">
        <v>2158</v>
      </c>
      <c r="R148" s="44" t="s">
        <v>2159</v>
      </c>
      <c r="S148" s="172" t="s">
        <v>201</v>
      </c>
      <c r="T148" s="165" t="s">
        <v>2171</v>
      </c>
      <c r="U148" s="173">
        <v>90134</v>
      </c>
      <c r="V148" s="8" t="s">
        <v>3074</v>
      </c>
      <c r="W148" s="61" t="s">
        <v>3075</v>
      </c>
      <c r="X148" s="61" t="s">
        <v>97</v>
      </c>
      <c r="Y148" s="160" t="s">
        <v>98</v>
      </c>
      <c r="Z148" s="164" t="s">
        <v>3262</v>
      </c>
      <c r="AA148" s="176" t="s">
        <v>3076</v>
      </c>
      <c r="AB148" s="174"/>
      <c r="AC148" s="85" t="s">
        <v>2161</v>
      </c>
      <c r="AD148" s="287" t="s">
        <v>201</v>
      </c>
      <c r="AE148" s="302" t="s">
        <v>67</v>
      </c>
      <c r="AF148" s="303" t="s">
        <v>22</v>
      </c>
      <c r="AG148" s="288" t="s">
        <v>564</v>
      </c>
      <c r="AH148" s="86" t="s">
        <v>296</v>
      </c>
      <c r="AI148" s="286"/>
      <c r="AJ148" s="85" t="s">
        <v>2162</v>
      </c>
      <c r="AK148" s="287" t="s">
        <v>201</v>
      </c>
      <c r="AL148" s="290" t="s">
        <v>21</v>
      </c>
      <c r="AM148" s="291" t="s">
        <v>154</v>
      </c>
      <c r="AN148" s="291"/>
      <c r="AO148" s="289"/>
      <c r="AP148" s="290"/>
      <c r="AQ148" s="242" t="s">
        <v>2163</v>
      </c>
      <c r="AR148" s="242" t="s">
        <v>2164</v>
      </c>
      <c r="AS148" s="87" t="s">
        <v>97</v>
      </c>
      <c r="AT148" s="243">
        <v>25008</v>
      </c>
      <c r="AU148" s="243"/>
      <c r="AV148" s="242" t="s">
        <v>2165</v>
      </c>
      <c r="AW148" s="242" t="s">
        <v>2166</v>
      </c>
      <c r="AX148" s="243">
        <v>27194</v>
      </c>
      <c r="AY148" s="177"/>
      <c r="AZ148" s="291"/>
      <c r="BA148" s="287" t="s">
        <v>201</v>
      </c>
      <c r="BB148" s="290"/>
      <c r="BC148" s="291"/>
      <c r="BD148" s="291"/>
      <c r="BE148" s="290"/>
      <c r="BF148" s="292"/>
      <c r="BG148" s="293"/>
      <c r="BH148" s="245" t="s">
        <v>3308</v>
      </c>
      <c r="BI148" s="246">
        <v>1095601</v>
      </c>
      <c r="BJ148" s="164" t="s">
        <v>3301</v>
      </c>
      <c r="BK148" s="164" t="s">
        <v>3302</v>
      </c>
    </row>
    <row r="149" spans="1:63" s="54" customFormat="1" ht="52.5" customHeight="1" thickBot="1">
      <c r="A149" s="54">
        <v>2</v>
      </c>
      <c r="B149" s="14" t="s">
        <v>130</v>
      </c>
      <c r="C149" s="18" t="s">
        <v>127</v>
      </c>
      <c r="D149" s="147">
        <v>11224</v>
      </c>
      <c r="E149" s="91" t="s">
        <v>2167</v>
      </c>
      <c r="F149" s="93" t="s">
        <v>2168</v>
      </c>
      <c r="G149" s="141" t="s">
        <v>563</v>
      </c>
      <c r="H149" s="142">
        <v>2022</v>
      </c>
      <c r="I149" s="143" t="s">
        <v>2592</v>
      </c>
      <c r="J149" s="170">
        <v>1</v>
      </c>
      <c r="K149" s="50">
        <v>0</v>
      </c>
      <c r="L149" s="49">
        <v>22230204</v>
      </c>
      <c r="M149" s="171" t="s">
        <v>200</v>
      </c>
      <c r="N149" s="178" t="s">
        <v>23</v>
      </c>
      <c r="O149" s="161">
        <v>39920</v>
      </c>
      <c r="P149" s="179">
        <v>39920</v>
      </c>
      <c r="Q149" s="162" t="s">
        <v>2169</v>
      </c>
      <c r="R149" s="44" t="s">
        <v>2170</v>
      </c>
      <c r="S149" s="172" t="s">
        <v>201</v>
      </c>
      <c r="T149" s="165" t="s">
        <v>2682</v>
      </c>
      <c r="U149" s="173">
        <v>55661</v>
      </c>
      <c r="V149" s="8" t="s">
        <v>3077</v>
      </c>
      <c r="W149" s="61" t="s">
        <v>3078</v>
      </c>
      <c r="X149" s="61" t="s">
        <v>53</v>
      </c>
      <c r="Y149" s="160" t="s">
        <v>20</v>
      </c>
      <c r="Z149" s="164" t="s">
        <v>3262</v>
      </c>
      <c r="AA149" s="176" t="s">
        <v>3079</v>
      </c>
      <c r="AB149" s="174"/>
      <c r="AC149" s="85" t="s">
        <v>2172</v>
      </c>
      <c r="AD149" s="287" t="s">
        <v>201</v>
      </c>
      <c r="AE149" s="302" t="s">
        <v>24</v>
      </c>
      <c r="AF149" s="303" t="s">
        <v>154</v>
      </c>
      <c r="AG149" s="304" t="s">
        <v>566</v>
      </c>
      <c r="AH149" s="86" t="s">
        <v>297</v>
      </c>
      <c r="AI149" s="286"/>
      <c r="AJ149" s="85" t="s">
        <v>2173</v>
      </c>
      <c r="AK149" s="287" t="s">
        <v>201</v>
      </c>
      <c r="AL149" s="290" t="s">
        <v>21</v>
      </c>
      <c r="AM149" s="291" t="s">
        <v>22</v>
      </c>
      <c r="AN149" s="291"/>
      <c r="AO149" s="289"/>
      <c r="AP149" s="290"/>
      <c r="AQ149" s="242" t="s">
        <v>2174</v>
      </c>
      <c r="AR149" s="242" t="s">
        <v>2175</v>
      </c>
      <c r="AS149" s="87" t="s">
        <v>53</v>
      </c>
      <c r="AT149" s="243">
        <v>26978</v>
      </c>
      <c r="AU149" s="243"/>
      <c r="AV149" s="242" t="s">
        <v>2176</v>
      </c>
      <c r="AW149" s="242" t="s">
        <v>53</v>
      </c>
      <c r="AX149" s="243">
        <v>27400</v>
      </c>
      <c r="AY149" s="177"/>
      <c r="AZ149" s="291"/>
      <c r="BA149" s="287" t="s">
        <v>201</v>
      </c>
      <c r="BB149" s="290"/>
      <c r="BC149" s="291"/>
      <c r="BD149" s="291"/>
      <c r="BE149" s="290"/>
      <c r="BF149" s="292"/>
      <c r="BG149" s="293"/>
      <c r="BH149" s="245" t="s">
        <v>3308</v>
      </c>
      <c r="BI149" s="246">
        <v>1095601</v>
      </c>
      <c r="BJ149" s="164" t="s">
        <v>3301</v>
      </c>
      <c r="BK149" s="164" t="s">
        <v>3302</v>
      </c>
    </row>
    <row r="150" spans="1:63" s="54" customFormat="1" ht="52.5" customHeight="1" thickBot="1">
      <c r="A150" s="54">
        <v>3</v>
      </c>
      <c r="B150" s="13" t="s">
        <v>129</v>
      </c>
      <c r="C150" s="18" t="s">
        <v>127</v>
      </c>
      <c r="D150" s="146">
        <v>11290</v>
      </c>
      <c r="E150" s="91" t="s">
        <v>2177</v>
      </c>
      <c r="F150" s="93" t="s">
        <v>2178</v>
      </c>
      <c r="G150" s="141" t="s">
        <v>563</v>
      </c>
      <c r="H150" s="142">
        <v>2022</v>
      </c>
      <c r="I150" s="143" t="s">
        <v>2593</v>
      </c>
      <c r="J150" s="170">
        <v>1</v>
      </c>
      <c r="K150" s="50">
        <v>2</v>
      </c>
      <c r="L150" s="49">
        <v>22230043</v>
      </c>
      <c r="M150" s="171" t="s">
        <v>200</v>
      </c>
      <c r="N150" s="104" t="s">
        <v>103</v>
      </c>
      <c r="O150" s="161">
        <v>40356</v>
      </c>
      <c r="P150" s="105">
        <v>40356</v>
      </c>
      <c r="Q150" s="162" t="s">
        <v>2179</v>
      </c>
      <c r="R150" s="44" t="s">
        <v>2180</v>
      </c>
      <c r="S150" s="172" t="s">
        <v>201</v>
      </c>
      <c r="T150" s="88" t="s">
        <v>365</v>
      </c>
      <c r="U150" s="173">
        <v>56257</v>
      </c>
      <c r="V150" s="8" t="s">
        <v>3080</v>
      </c>
      <c r="W150" s="61" t="s">
        <v>3080</v>
      </c>
      <c r="X150" s="61" t="s">
        <v>103</v>
      </c>
      <c r="Y150" s="160" t="s">
        <v>28</v>
      </c>
      <c r="Z150" s="164" t="s">
        <v>3262</v>
      </c>
      <c r="AA150" s="176" t="s">
        <v>3081</v>
      </c>
      <c r="AB150" s="174"/>
      <c r="AC150" s="88" t="s">
        <v>2182</v>
      </c>
      <c r="AD150" s="287" t="s">
        <v>201</v>
      </c>
      <c r="AE150" s="103" t="s">
        <v>24</v>
      </c>
      <c r="AF150" s="114" t="s">
        <v>154</v>
      </c>
      <c r="AG150" s="288" t="s">
        <v>564</v>
      </c>
      <c r="AH150" s="104" t="s">
        <v>396</v>
      </c>
      <c r="AI150" s="286"/>
      <c r="AJ150" s="85" t="s">
        <v>2183</v>
      </c>
      <c r="AK150" s="287" t="s">
        <v>201</v>
      </c>
      <c r="AL150" s="290" t="s">
        <v>21</v>
      </c>
      <c r="AM150" s="291" t="s">
        <v>276</v>
      </c>
      <c r="AN150" s="291"/>
      <c r="AO150" s="86"/>
      <c r="AP150" s="290"/>
      <c r="AQ150" s="242" t="s">
        <v>2184</v>
      </c>
      <c r="AR150" s="242" t="s">
        <v>2185</v>
      </c>
      <c r="AS150" s="87" t="s">
        <v>103</v>
      </c>
      <c r="AT150" s="243">
        <v>30354</v>
      </c>
      <c r="AU150" s="243"/>
      <c r="AV150" s="242" t="s">
        <v>2186</v>
      </c>
      <c r="AW150" s="87" t="s">
        <v>103</v>
      </c>
      <c r="AX150" s="243">
        <v>30721</v>
      </c>
      <c r="AY150" s="177"/>
      <c r="AZ150" s="291"/>
      <c r="BA150" s="287" t="s">
        <v>201</v>
      </c>
      <c r="BB150" s="290"/>
      <c r="BC150" s="291"/>
      <c r="BD150" s="291"/>
      <c r="BE150" s="290"/>
      <c r="BF150" s="292"/>
      <c r="BG150" s="293"/>
      <c r="BH150" s="245" t="s">
        <v>3308</v>
      </c>
      <c r="BI150" s="246">
        <v>1095601</v>
      </c>
      <c r="BJ150" s="164" t="s">
        <v>3301</v>
      </c>
      <c r="BK150" s="164" t="s">
        <v>3302</v>
      </c>
    </row>
    <row r="151" spans="1:63" s="54" customFormat="1" ht="52.5" customHeight="1" thickBot="1">
      <c r="A151" s="54">
        <v>4</v>
      </c>
      <c r="B151" s="14" t="s">
        <v>130</v>
      </c>
      <c r="C151" s="18" t="s">
        <v>127</v>
      </c>
      <c r="D151" s="147">
        <v>11298</v>
      </c>
      <c r="E151" s="91" t="s">
        <v>2187</v>
      </c>
      <c r="F151" s="93" t="s">
        <v>2188</v>
      </c>
      <c r="G151" s="141" t="s">
        <v>563</v>
      </c>
      <c r="H151" s="142">
        <v>2022</v>
      </c>
      <c r="I151" s="143" t="s">
        <v>2594</v>
      </c>
      <c r="J151" s="170">
        <v>2</v>
      </c>
      <c r="K151" s="50">
        <v>2</v>
      </c>
      <c r="L151" s="49">
        <v>22230217</v>
      </c>
      <c r="M151" s="171" t="s">
        <v>200</v>
      </c>
      <c r="N151" s="178" t="s">
        <v>26</v>
      </c>
      <c r="O151" s="161">
        <v>40307</v>
      </c>
      <c r="P151" s="179">
        <v>40307</v>
      </c>
      <c r="Q151" s="162" t="s">
        <v>2189</v>
      </c>
      <c r="R151" s="44" t="s">
        <v>2190</v>
      </c>
      <c r="S151" s="172" t="s">
        <v>201</v>
      </c>
      <c r="T151" s="165" t="s">
        <v>880</v>
      </c>
      <c r="U151" s="173">
        <v>13760</v>
      </c>
      <c r="V151" s="8" t="s">
        <v>3082</v>
      </c>
      <c r="W151" s="61" t="s">
        <v>3083</v>
      </c>
      <c r="X151" s="61" t="s">
        <v>305</v>
      </c>
      <c r="Y151" s="160" t="s">
        <v>59</v>
      </c>
      <c r="Z151" s="164" t="s">
        <v>3262</v>
      </c>
      <c r="AA151" s="176" t="s">
        <v>2748</v>
      </c>
      <c r="AB151" s="174"/>
      <c r="AC151" s="85" t="s">
        <v>2192</v>
      </c>
      <c r="AD151" s="287" t="s">
        <v>201</v>
      </c>
      <c r="AE151" s="302" t="s">
        <v>21</v>
      </c>
      <c r="AF151" s="303" t="s">
        <v>154</v>
      </c>
      <c r="AG151" s="288" t="s">
        <v>564</v>
      </c>
      <c r="AH151" s="86" t="s">
        <v>304</v>
      </c>
      <c r="AI151" s="286"/>
      <c r="AJ151" s="85" t="s">
        <v>2193</v>
      </c>
      <c r="AK151" s="287" t="s">
        <v>201</v>
      </c>
      <c r="AL151" s="290" t="s">
        <v>21</v>
      </c>
      <c r="AM151" s="291" t="s">
        <v>276</v>
      </c>
      <c r="AN151" s="291"/>
      <c r="AO151" s="289"/>
      <c r="AP151" s="290"/>
      <c r="AQ151" s="242" t="s">
        <v>2194</v>
      </c>
      <c r="AR151" s="242" t="s">
        <v>2195</v>
      </c>
      <c r="AS151" s="87" t="s">
        <v>55</v>
      </c>
      <c r="AT151" s="243">
        <v>26460</v>
      </c>
      <c r="AU151" s="243"/>
      <c r="AV151" s="242" t="s">
        <v>2196</v>
      </c>
      <c r="AW151" s="242" t="s">
        <v>26</v>
      </c>
      <c r="AX151" s="243">
        <v>27838</v>
      </c>
      <c r="AY151" s="177"/>
      <c r="AZ151" s="291"/>
      <c r="BA151" s="287" t="s">
        <v>201</v>
      </c>
      <c r="BB151" s="290"/>
      <c r="BC151" s="291"/>
      <c r="BD151" s="291"/>
      <c r="BE151" s="290"/>
      <c r="BF151" s="292"/>
      <c r="BG151" s="293"/>
      <c r="BH151" s="245" t="s">
        <v>3308</v>
      </c>
      <c r="BI151" s="246">
        <v>1095601</v>
      </c>
      <c r="BJ151" s="164" t="s">
        <v>3301</v>
      </c>
      <c r="BK151" s="164" t="s">
        <v>3302</v>
      </c>
    </row>
    <row r="152" spans="1:63" s="54" customFormat="1" ht="52.5" customHeight="1" thickBot="1">
      <c r="A152" s="54">
        <v>5</v>
      </c>
      <c r="B152" s="15" t="s">
        <v>77</v>
      </c>
      <c r="C152" s="18" t="s">
        <v>127</v>
      </c>
      <c r="D152" s="126">
        <v>11306</v>
      </c>
      <c r="E152" s="99" t="s">
        <v>2197</v>
      </c>
      <c r="F152" s="93" t="s">
        <v>2198</v>
      </c>
      <c r="G152" s="141" t="s">
        <v>563</v>
      </c>
      <c r="H152" s="142">
        <v>2022</v>
      </c>
      <c r="I152" s="143" t="s">
        <v>2595</v>
      </c>
      <c r="J152" s="170">
        <v>2</v>
      </c>
      <c r="K152" s="50">
        <v>1</v>
      </c>
      <c r="L152" s="49">
        <v>22230178</v>
      </c>
      <c r="M152" s="171" t="s">
        <v>200</v>
      </c>
      <c r="N152" s="178" t="s">
        <v>23</v>
      </c>
      <c r="O152" s="161">
        <v>40488</v>
      </c>
      <c r="P152" s="179">
        <v>40488</v>
      </c>
      <c r="Q152" s="162" t="s">
        <v>3084</v>
      </c>
      <c r="R152" s="44" t="s">
        <v>2199</v>
      </c>
      <c r="S152" s="172" t="s">
        <v>201</v>
      </c>
      <c r="T152" s="165" t="s">
        <v>1373</v>
      </c>
      <c r="U152" s="173">
        <v>55294</v>
      </c>
      <c r="V152" s="8" t="s">
        <v>2731</v>
      </c>
      <c r="W152" s="61" t="s">
        <v>2732</v>
      </c>
      <c r="X152" s="61" t="s">
        <v>52</v>
      </c>
      <c r="Y152" s="160" t="s">
        <v>20</v>
      </c>
      <c r="Z152" s="164" t="s">
        <v>3262</v>
      </c>
      <c r="AA152" s="223" t="s">
        <v>3085</v>
      </c>
      <c r="AB152" s="55"/>
      <c r="AC152" s="85" t="s">
        <v>2201</v>
      </c>
      <c r="AD152" s="287" t="s">
        <v>201</v>
      </c>
      <c r="AE152" s="302" t="s">
        <v>67</v>
      </c>
      <c r="AF152" s="303" t="s">
        <v>158</v>
      </c>
      <c r="AG152" s="288" t="s">
        <v>564</v>
      </c>
      <c r="AH152" s="86" t="s">
        <v>281</v>
      </c>
      <c r="AI152" s="286"/>
      <c r="AJ152" s="85" t="s">
        <v>2202</v>
      </c>
      <c r="AK152" s="287" t="s">
        <v>201</v>
      </c>
      <c r="AL152" s="314" t="s">
        <v>21</v>
      </c>
      <c r="AM152" s="85" t="s">
        <v>154</v>
      </c>
      <c r="AN152" s="288"/>
      <c r="AO152" s="289"/>
      <c r="AP152" s="290"/>
      <c r="AQ152" s="242" t="s">
        <v>2203</v>
      </c>
      <c r="AR152" s="242" t="s">
        <v>2204</v>
      </c>
      <c r="AS152" s="87" t="s">
        <v>97</v>
      </c>
      <c r="AT152" s="243">
        <v>25131</v>
      </c>
      <c r="AU152" s="243"/>
      <c r="AV152" s="242" t="s">
        <v>2205</v>
      </c>
      <c r="AW152" s="242" t="s">
        <v>68</v>
      </c>
      <c r="AX152" s="243">
        <v>26779</v>
      </c>
      <c r="AY152" s="177"/>
      <c r="AZ152" s="291"/>
      <c r="BA152" s="287" t="s">
        <v>201</v>
      </c>
      <c r="BB152" s="290"/>
      <c r="BC152" s="291"/>
      <c r="BD152" s="291"/>
      <c r="BE152" s="290"/>
      <c r="BF152" s="292"/>
      <c r="BG152" s="293"/>
      <c r="BH152" s="245" t="s">
        <v>3308</v>
      </c>
      <c r="BI152" s="246">
        <v>1095601</v>
      </c>
      <c r="BJ152" s="164" t="s">
        <v>3301</v>
      </c>
      <c r="BK152" s="164" t="s">
        <v>3302</v>
      </c>
    </row>
    <row r="153" spans="1:63" s="54" customFormat="1" ht="52.5" customHeight="1" thickBot="1">
      <c r="A153" s="54">
        <v>6</v>
      </c>
      <c r="B153" s="12" t="s">
        <v>128</v>
      </c>
      <c r="C153" s="18" t="s">
        <v>127</v>
      </c>
      <c r="D153" s="140">
        <v>11308</v>
      </c>
      <c r="E153" s="98" t="s">
        <v>2206</v>
      </c>
      <c r="F153" s="93" t="s">
        <v>2207</v>
      </c>
      <c r="G153" s="141" t="s">
        <v>563</v>
      </c>
      <c r="H153" s="142">
        <v>2022</v>
      </c>
      <c r="I153" s="143" t="s">
        <v>2596</v>
      </c>
      <c r="J153" s="170">
        <v>1</v>
      </c>
      <c r="K153" s="50">
        <v>2</v>
      </c>
      <c r="L153" s="49">
        <v>22230024</v>
      </c>
      <c r="M153" s="171" t="s">
        <v>200</v>
      </c>
      <c r="N153" s="178" t="s">
        <v>40</v>
      </c>
      <c r="O153" s="161">
        <v>39853</v>
      </c>
      <c r="P153" s="179">
        <v>39853</v>
      </c>
      <c r="Q153" s="162" t="s">
        <v>3086</v>
      </c>
      <c r="R153" s="44" t="s">
        <v>2208</v>
      </c>
      <c r="S153" s="172" t="s">
        <v>201</v>
      </c>
      <c r="T153" s="164" t="s">
        <v>2209</v>
      </c>
      <c r="U153" s="204">
        <v>59567</v>
      </c>
      <c r="V153" s="8" t="s">
        <v>3087</v>
      </c>
      <c r="W153" s="61" t="s">
        <v>3088</v>
      </c>
      <c r="X153" s="61" t="s">
        <v>226</v>
      </c>
      <c r="Y153" s="160" t="s">
        <v>28</v>
      </c>
      <c r="Z153" s="164" t="s">
        <v>3262</v>
      </c>
      <c r="AA153" s="176" t="s">
        <v>3089</v>
      </c>
      <c r="AB153" s="210"/>
      <c r="AC153" s="85" t="s">
        <v>2210</v>
      </c>
      <c r="AD153" s="287" t="s">
        <v>201</v>
      </c>
      <c r="AE153" s="302" t="s">
        <v>21</v>
      </c>
      <c r="AF153" s="303" t="s">
        <v>153</v>
      </c>
      <c r="AG153" s="304"/>
      <c r="AH153" s="86" t="s">
        <v>227</v>
      </c>
      <c r="AI153" s="286"/>
      <c r="AJ153" s="85" t="s">
        <v>2211</v>
      </c>
      <c r="AK153" s="287" t="s">
        <v>201</v>
      </c>
      <c r="AL153" s="314" t="s">
        <v>220</v>
      </c>
      <c r="AM153" s="85" t="s">
        <v>490</v>
      </c>
      <c r="AN153" s="288" t="s">
        <v>564</v>
      </c>
      <c r="AO153" s="289"/>
      <c r="AP153" s="290"/>
      <c r="AQ153" s="242" t="s">
        <v>2212</v>
      </c>
      <c r="AR153" s="242" t="s">
        <v>2213</v>
      </c>
      <c r="AS153" s="87" t="s">
        <v>147</v>
      </c>
      <c r="AT153" s="243">
        <v>30626</v>
      </c>
      <c r="AU153" s="243"/>
      <c r="AV153" s="242" t="s">
        <v>2214</v>
      </c>
      <c r="AW153" s="242" t="s">
        <v>147</v>
      </c>
      <c r="AX153" s="243">
        <v>30205</v>
      </c>
      <c r="AY153" s="177"/>
      <c r="AZ153" s="291"/>
      <c r="BA153" s="287" t="s">
        <v>201</v>
      </c>
      <c r="BB153" s="290"/>
      <c r="BC153" s="291"/>
      <c r="BD153" s="291"/>
      <c r="BE153" s="290"/>
      <c r="BF153" s="292"/>
      <c r="BG153" s="293"/>
      <c r="BH153" s="245" t="s">
        <v>3308</v>
      </c>
      <c r="BI153" s="246">
        <v>1095601</v>
      </c>
      <c r="BJ153" s="164" t="s">
        <v>3301</v>
      </c>
      <c r="BK153" s="164" t="s">
        <v>3302</v>
      </c>
    </row>
    <row r="154" spans="1:63" s="54" customFormat="1" ht="52.5" customHeight="1" thickBot="1">
      <c r="A154" s="54">
        <v>7</v>
      </c>
      <c r="B154" s="13" t="s">
        <v>129</v>
      </c>
      <c r="C154" s="18" t="s">
        <v>127</v>
      </c>
      <c r="D154" s="146">
        <v>11315</v>
      </c>
      <c r="E154" s="91" t="s">
        <v>2440</v>
      </c>
      <c r="F154" s="93" t="s">
        <v>2215</v>
      </c>
      <c r="G154" s="141" t="s">
        <v>563</v>
      </c>
      <c r="H154" s="142">
        <v>2022</v>
      </c>
      <c r="I154" s="143" t="s">
        <v>2597</v>
      </c>
      <c r="J154" s="170">
        <v>2</v>
      </c>
      <c r="K154" s="50">
        <v>3</v>
      </c>
      <c r="L154" s="49">
        <v>22230097</v>
      </c>
      <c r="M154" s="171" t="s">
        <v>200</v>
      </c>
      <c r="N154" s="56" t="s">
        <v>41</v>
      </c>
      <c r="O154" s="161">
        <v>40445</v>
      </c>
      <c r="P154" s="163">
        <v>40445</v>
      </c>
      <c r="Q154" s="162" t="s">
        <v>577</v>
      </c>
      <c r="R154" s="44" t="s">
        <v>2216</v>
      </c>
      <c r="S154" s="172" t="s">
        <v>201</v>
      </c>
      <c r="T154" s="164" t="s">
        <v>1103</v>
      </c>
      <c r="U154" s="173">
        <v>15148</v>
      </c>
      <c r="V154" s="8" t="s">
        <v>2933</v>
      </c>
      <c r="W154" s="61" t="s">
        <v>2933</v>
      </c>
      <c r="X154" s="61" t="s">
        <v>3090</v>
      </c>
      <c r="Y154" s="160" t="s">
        <v>42</v>
      </c>
      <c r="Z154" s="164" t="s">
        <v>3262</v>
      </c>
      <c r="AA154" s="176" t="s">
        <v>2848</v>
      </c>
      <c r="AB154" s="174"/>
      <c r="AC154" s="88" t="s">
        <v>2218</v>
      </c>
      <c r="AD154" s="287" t="s">
        <v>201</v>
      </c>
      <c r="AE154" s="103" t="s">
        <v>21</v>
      </c>
      <c r="AF154" s="114" t="s">
        <v>22</v>
      </c>
      <c r="AG154" s="288" t="s">
        <v>564</v>
      </c>
      <c r="AH154" s="104"/>
      <c r="AI154" s="286"/>
      <c r="AJ154" s="85" t="s">
        <v>2219</v>
      </c>
      <c r="AK154" s="287" t="s">
        <v>201</v>
      </c>
      <c r="AL154" s="290" t="s">
        <v>21</v>
      </c>
      <c r="AM154" s="291" t="s">
        <v>22</v>
      </c>
      <c r="AN154" s="291"/>
      <c r="AO154" s="289" t="s">
        <v>398</v>
      </c>
      <c r="AP154" s="290"/>
      <c r="AQ154" s="242" t="s">
        <v>2220</v>
      </c>
      <c r="AR154" s="242" t="s">
        <v>2221</v>
      </c>
      <c r="AS154" s="87" t="s">
        <v>118</v>
      </c>
      <c r="AT154" s="243">
        <v>25461</v>
      </c>
      <c r="AU154" s="243"/>
      <c r="AV154" s="242" t="s">
        <v>2222</v>
      </c>
      <c r="AW154" s="242" t="s">
        <v>94</v>
      </c>
      <c r="AX154" s="243">
        <v>28027</v>
      </c>
      <c r="AY154" s="177"/>
      <c r="AZ154" s="291"/>
      <c r="BA154" s="287" t="s">
        <v>201</v>
      </c>
      <c r="BB154" s="290"/>
      <c r="BC154" s="291"/>
      <c r="BD154" s="291"/>
      <c r="BE154" s="290"/>
      <c r="BF154" s="292"/>
      <c r="BG154" s="293"/>
      <c r="BH154" s="245" t="s">
        <v>3308</v>
      </c>
      <c r="BI154" s="246">
        <v>1095601</v>
      </c>
      <c r="BJ154" s="164" t="s">
        <v>3301</v>
      </c>
      <c r="BK154" s="164" t="s">
        <v>3302</v>
      </c>
    </row>
    <row r="155" spans="1:63" s="54" customFormat="1" ht="52.5" customHeight="1" thickBot="1">
      <c r="A155" s="54">
        <v>8</v>
      </c>
      <c r="B155" s="16" t="s">
        <v>131</v>
      </c>
      <c r="C155" s="18" t="s">
        <v>127</v>
      </c>
      <c r="D155" s="140">
        <v>11351</v>
      </c>
      <c r="E155" s="91" t="s">
        <v>2441</v>
      </c>
      <c r="F155" s="93" t="s">
        <v>2224</v>
      </c>
      <c r="G155" s="141" t="s">
        <v>563</v>
      </c>
      <c r="H155" s="142">
        <v>2022</v>
      </c>
      <c r="I155" s="143" t="s">
        <v>2598</v>
      </c>
      <c r="J155" s="170">
        <v>3</v>
      </c>
      <c r="K155" s="50">
        <v>4</v>
      </c>
      <c r="L155" s="49">
        <v>22230111</v>
      </c>
      <c r="M155" s="171" t="s">
        <v>200</v>
      </c>
      <c r="N155" s="178" t="s">
        <v>23</v>
      </c>
      <c r="O155" s="161">
        <v>40090</v>
      </c>
      <c r="P155" s="233">
        <v>40090</v>
      </c>
      <c r="Q155" s="162" t="s">
        <v>1405</v>
      </c>
      <c r="R155" s="44" t="s">
        <v>2225</v>
      </c>
      <c r="S155" s="172" t="s">
        <v>201</v>
      </c>
      <c r="T155" s="165" t="s">
        <v>2683</v>
      </c>
      <c r="U155" s="173">
        <v>55183</v>
      </c>
      <c r="W155" s="61" t="s">
        <v>3039</v>
      </c>
      <c r="X155" s="61" t="s">
        <v>19</v>
      </c>
      <c r="Y155" s="160" t="s">
        <v>20</v>
      </c>
      <c r="Z155" s="164" t="s">
        <v>3262</v>
      </c>
      <c r="AA155" s="176" t="s">
        <v>3091</v>
      </c>
      <c r="AB155" s="211"/>
      <c r="AC155" s="85" t="s">
        <v>2227</v>
      </c>
      <c r="AD155" s="287" t="s">
        <v>201</v>
      </c>
      <c r="AE155" s="302" t="s">
        <v>30</v>
      </c>
      <c r="AF155" s="303" t="s">
        <v>154</v>
      </c>
      <c r="AG155" s="288" t="s">
        <v>564</v>
      </c>
      <c r="AH155" s="86" t="s">
        <v>2228</v>
      </c>
      <c r="AI155" s="286"/>
      <c r="AJ155" s="85" t="s">
        <v>2229</v>
      </c>
      <c r="AK155" s="287" t="s">
        <v>201</v>
      </c>
      <c r="AL155" s="314" t="s">
        <v>21</v>
      </c>
      <c r="AM155" s="85" t="s">
        <v>22</v>
      </c>
      <c r="AN155" s="288"/>
      <c r="AO155" s="289"/>
      <c r="AP155" s="290"/>
      <c r="AQ155" s="242" t="s">
        <v>2230</v>
      </c>
      <c r="AR155" s="242" t="s">
        <v>2231</v>
      </c>
      <c r="AS155" s="87" t="s">
        <v>55</v>
      </c>
      <c r="AT155" s="243">
        <v>27554</v>
      </c>
      <c r="AU155" s="243"/>
      <c r="AV155" s="242" t="s">
        <v>2232</v>
      </c>
      <c r="AW155" s="242" t="s">
        <v>19</v>
      </c>
      <c r="AX155" s="243">
        <v>28329</v>
      </c>
      <c r="AY155" s="177"/>
      <c r="AZ155" s="291"/>
      <c r="BA155" s="287" t="s">
        <v>201</v>
      </c>
      <c r="BB155" s="290"/>
      <c r="BC155" s="291"/>
      <c r="BD155" s="291"/>
      <c r="BE155" s="290"/>
      <c r="BF155" s="292"/>
      <c r="BG155" s="293"/>
      <c r="BH155" s="245" t="s">
        <v>3308</v>
      </c>
      <c r="BI155" s="246">
        <v>1095601</v>
      </c>
      <c r="BJ155" s="164" t="s">
        <v>3301</v>
      </c>
      <c r="BK155" s="164" t="s">
        <v>3302</v>
      </c>
    </row>
    <row r="156" spans="1:63" s="54" customFormat="1" ht="52.5" customHeight="1" thickBot="1">
      <c r="A156" s="54">
        <v>9</v>
      </c>
      <c r="B156" s="13" t="s">
        <v>129</v>
      </c>
      <c r="C156" s="18" t="s">
        <v>127</v>
      </c>
      <c r="D156" s="146">
        <v>11364</v>
      </c>
      <c r="E156" s="91" t="s">
        <v>2442</v>
      </c>
      <c r="F156" s="93" t="s">
        <v>2243</v>
      </c>
      <c r="G156" s="141" t="s">
        <v>563</v>
      </c>
      <c r="H156" s="142">
        <v>2022</v>
      </c>
      <c r="I156" s="143" t="s">
        <v>2599</v>
      </c>
      <c r="J156" s="170">
        <v>1</v>
      </c>
      <c r="K156" s="50">
        <v>1</v>
      </c>
      <c r="L156" s="49">
        <v>22230037</v>
      </c>
      <c r="M156" s="171" t="s">
        <v>200</v>
      </c>
      <c r="N156" s="56" t="s">
        <v>46</v>
      </c>
      <c r="O156" s="161">
        <v>39942</v>
      </c>
      <c r="P156" s="163">
        <v>39942</v>
      </c>
      <c r="Q156" s="162" t="s">
        <v>3092</v>
      </c>
      <c r="R156" s="44" t="s">
        <v>2244</v>
      </c>
      <c r="S156" s="172" t="s">
        <v>201</v>
      </c>
      <c r="T156" s="164" t="s">
        <v>2684</v>
      </c>
      <c r="U156" s="173">
        <v>55791</v>
      </c>
      <c r="V156" s="8" t="s">
        <v>2876</v>
      </c>
      <c r="W156" s="61" t="s">
        <v>2877</v>
      </c>
      <c r="X156" s="61" t="s">
        <v>19</v>
      </c>
      <c r="Y156" s="160" t="s">
        <v>20</v>
      </c>
      <c r="Z156" s="164" t="s">
        <v>3262</v>
      </c>
      <c r="AA156" s="176" t="s">
        <v>3093</v>
      </c>
      <c r="AB156" s="174"/>
      <c r="AC156" s="88" t="s">
        <v>2246</v>
      </c>
      <c r="AD156" s="287" t="s">
        <v>201</v>
      </c>
      <c r="AE156" s="103" t="s">
        <v>21</v>
      </c>
      <c r="AF156" s="114" t="s">
        <v>153</v>
      </c>
      <c r="AG156" s="288" t="s">
        <v>564</v>
      </c>
      <c r="AH156" s="104" t="s">
        <v>402</v>
      </c>
      <c r="AI156" s="286"/>
      <c r="AJ156" s="85" t="s">
        <v>2247</v>
      </c>
      <c r="AK156" s="287" t="s">
        <v>201</v>
      </c>
      <c r="AL156" s="290" t="s">
        <v>21</v>
      </c>
      <c r="AM156" s="291" t="s">
        <v>2248</v>
      </c>
      <c r="AN156" s="291"/>
      <c r="AO156" s="289"/>
      <c r="AP156" s="290"/>
      <c r="AQ156" s="242" t="s">
        <v>2249</v>
      </c>
      <c r="AR156" s="242" t="s">
        <v>2250</v>
      </c>
      <c r="AS156" s="87" t="s">
        <v>23</v>
      </c>
      <c r="AT156" s="243">
        <v>27549</v>
      </c>
      <c r="AU156" s="243"/>
      <c r="AV156" s="242" t="s">
        <v>2251</v>
      </c>
      <c r="AW156" s="242" t="s">
        <v>2252</v>
      </c>
      <c r="AX156" s="243">
        <v>29031</v>
      </c>
      <c r="AY156" s="177"/>
      <c r="AZ156" s="291"/>
      <c r="BA156" s="287" t="s">
        <v>201</v>
      </c>
      <c r="BB156" s="290"/>
      <c r="BC156" s="291"/>
      <c r="BD156" s="291"/>
      <c r="BE156" s="290"/>
      <c r="BF156" s="292"/>
      <c r="BG156" s="293"/>
      <c r="BH156" s="245" t="s">
        <v>3308</v>
      </c>
      <c r="BI156" s="246">
        <v>1095601</v>
      </c>
      <c r="BJ156" s="164" t="s">
        <v>3301</v>
      </c>
      <c r="BK156" s="164" t="s">
        <v>3302</v>
      </c>
    </row>
    <row r="157" spans="1:63" s="54" customFormat="1" ht="52.5" customHeight="1" thickBot="1">
      <c r="A157" s="54">
        <v>10</v>
      </c>
      <c r="B157" s="15" t="s">
        <v>77</v>
      </c>
      <c r="C157" s="18" t="s">
        <v>127</v>
      </c>
      <c r="D157" s="126">
        <v>11384</v>
      </c>
      <c r="E157" s="91" t="s">
        <v>1178</v>
      </c>
      <c r="F157" s="93" t="s">
        <v>1150</v>
      </c>
      <c r="G157" s="141" t="s">
        <v>563</v>
      </c>
      <c r="H157" s="142">
        <v>2022</v>
      </c>
      <c r="I157" s="143" t="s">
        <v>2600</v>
      </c>
      <c r="J157" s="170">
        <v>4</v>
      </c>
      <c r="K157" s="50">
        <v>4</v>
      </c>
      <c r="L157" s="49">
        <v>22230203</v>
      </c>
      <c r="M157" s="171" t="s">
        <v>200</v>
      </c>
      <c r="N157" s="178" t="s">
        <v>1141</v>
      </c>
      <c r="O157" s="161">
        <v>39941</v>
      </c>
      <c r="P157" s="179">
        <v>39941</v>
      </c>
      <c r="Q157" s="162" t="s">
        <v>3094</v>
      </c>
      <c r="R157" s="46" t="s">
        <v>1142</v>
      </c>
      <c r="S157" s="172" t="s">
        <v>201</v>
      </c>
      <c r="T157" s="165" t="s">
        <v>2255</v>
      </c>
      <c r="U157" s="173">
        <v>84151</v>
      </c>
      <c r="V157" s="8" t="s">
        <v>3095</v>
      </c>
      <c r="W157" s="61" t="s">
        <v>3096</v>
      </c>
      <c r="X157" s="61" t="s">
        <v>1141</v>
      </c>
      <c r="Y157" s="160" t="s">
        <v>3097</v>
      </c>
      <c r="Z157" s="164" t="s">
        <v>3262</v>
      </c>
      <c r="AA157" s="176" t="s">
        <v>3098</v>
      </c>
      <c r="AB157" s="174"/>
      <c r="AC157" s="85" t="s">
        <v>1144</v>
      </c>
      <c r="AD157" s="287" t="s">
        <v>201</v>
      </c>
      <c r="AE157" s="302" t="s">
        <v>21</v>
      </c>
      <c r="AF157" s="303" t="s">
        <v>154</v>
      </c>
      <c r="AG157" s="304" t="s">
        <v>566</v>
      </c>
      <c r="AH157" s="86" t="s">
        <v>284</v>
      </c>
      <c r="AI157" s="315"/>
      <c r="AJ157" s="85" t="s">
        <v>1145</v>
      </c>
      <c r="AK157" s="287" t="s">
        <v>201</v>
      </c>
      <c r="AL157" s="314" t="s">
        <v>24</v>
      </c>
      <c r="AM157" s="85" t="s">
        <v>490</v>
      </c>
      <c r="AN157" s="288"/>
      <c r="AO157" s="289"/>
      <c r="AP157" s="290"/>
      <c r="AQ157" s="242" t="s">
        <v>1146</v>
      </c>
      <c r="AR157" s="242" t="s">
        <v>1147</v>
      </c>
      <c r="AS157" s="87" t="s">
        <v>88</v>
      </c>
      <c r="AT157" s="243">
        <v>26128</v>
      </c>
      <c r="AU157" s="243"/>
      <c r="AV157" s="242" t="s">
        <v>1148</v>
      </c>
      <c r="AW157" s="242" t="s">
        <v>88</v>
      </c>
      <c r="AX157" s="243">
        <v>26421</v>
      </c>
      <c r="AY157" s="177"/>
      <c r="AZ157" s="291"/>
      <c r="BA157" s="287" t="s">
        <v>201</v>
      </c>
      <c r="BB157" s="290"/>
      <c r="BC157" s="291"/>
      <c r="BD157" s="291"/>
      <c r="BE157" s="290"/>
      <c r="BF157" s="292"/>
      <c r="BG157" s="293"/>
      <c r="BH157" s="245" t="s">
        <v>3308</v>
      </c>
      <c r="BI157" s="246">
        <v>1095601</v>
      </c>
      <c r="BJ157" s="164" t="s">
        <v>3301</v>
      </c>
      <c r="BK157" s="164" t="s">
        <v>3302</v>
      </c>
    </row>
    <row r="158" spans="1:63" s="54" customFormat="1" ht="52.5" customHeight="1" thickBot="1">
      <c r="A158" s="54">
        <v>11</v>
      </c>
      <c r="B158" s="16" t="s">
        <v>131</v>
      </c>
      <c r="C158" s="18" t="s">
        <v>127</v>
      </c>
      <c r="D158" s="140">
        <v>11431</v>
      </c>
      <c r="E158" s="91" t="s">
        <v>1189</v>
      </c>
      <c r="F158" s="93" t="s">
        <v>2296</v>
      </c>
      <c r="G158" s="141" t="s">
        <v>563</v>
      </c>
      <c r="H158" s="142">
        <v>2022</v>
      </c>
      <c r="I158" s="143" t="s">
        <v>2601</v>
      </c>
      <c r="J158" s="170">
        <v>3</v>
      </c>
      <c r="K158" s="50">
        <v>2</v>
      </c>
      <c r="L158" s="49">
        <v>22230118</v>
      </c>
      <c r="M158" s="171" t="s">
        <v>200</v>
      </c>
      <c r="N158" s="178" t="s">
        <v>109</v>
      </c>
      <c r="O158" s="161">
        <v>40139</v>
      </c>
      <c r="P158" s="179">
        <v>40139</v>
      </c>
      <c r="Q158" s="162" t="s">
        <v>2297</v>
      </c>
      <c r="R158" s="44" t="s">
        <v>2298</v>
      </c>
      <c r="S158" s="172" t="s">
        <v>201</v>
      </c>
      <c r="T158" s="165" t="s">
        <v>1193</v>
      </c>
      <c r="U158" s="209">
        <v>51355</v>
      </c>
      <c r="V158" s="184" t="s">
        <v>3099</v>
      </c>
      <c r="W158" s="185" t="s">
        <v>3100</v>
      </c>
      <c r="X158" s="185" t="s">
        <v>109</v>
      </c>
      <c r="Y158" s="234" t="s">
        <v>28</v>
      </c>
      <c r="Z158" s="164" t="s">
        <v>3262</v>
      </c>
      <c r="AA158" s="176" t="s">
        <v>2300</v>
      </c>
      <c r="AB158" s="174"/>
      <c r="AC158" s="85" t="s">
        <v>2301</v>
      </c>
      <c r="AD158" s="287" t="s">
        <v>201</v>
      </c>
      <c r="AE158" s="302" t="s">
        <v>29</v>
      </c>
      <c r="AF158" s="303" t="s">
        <v>154</v>
      </c>
      <c r="AG158" s="288" t="s">
        <v>564</v>
      </c>
      <c r="AH158" s="86" t="s">
        <v>592</v>
      </c>
      <c r="AI158" s="315"/>
      <c r="AJ158" s="85" t="s">
        <v>2302</v>
      </c>
      <c r="AK158" s="287" t="s">
        <v>201</v>
      </c>
      <c r="AL158" s="314" t="s">
        <v>24</v>
      </c>
      <c r="AM158" s="85" t="s">
        <v>490</v>
      </c>
      <c r="AN158" s="288"/>
      <c r="AO158" s="289"/>
      <c r="AP158" s="341"/>
      <c r="AQ158" s="242" t="s">
        <v>2303</v>
      </c>
      <c r="AR158" s="242" t="s">
        <v>2304</v>
      </c>
      <c r="AS158" s="87" t="s">
        <v>31</v>
      </c>
      <c r="AT158" s="243">
        <v>27223</v>
      </c>
      <c r="AU158" s="243"/>
      <c r="AV158" s="242" t="s">
        <v>2305</v>
      </c>
      <c r="AW158" s="242" t="s">
        <v>109</v>
      </c>
      <c r="AX158" s="243">
        <v>27344</v>
      </c>
      <c r="AY158" s="177"/>
      <c r="AZ158" s="291" t="s">
        <v>2301</v>
      </c>
      <c r="BA158" s="287" t="s">
        <v>201</v>
      </c>
      <c r="BB158" s="290" t="s">
        <v>29</v>
      </c>
      <c r="BC158" s="291" t="s">
        <v>154</v>
      </c>
      <c r="BD158" s="85" t="s">
        <v>2300</v>
      </c>
      <c r="BE158" s="290"/>
      <c r="BF158" s="292"/>
      <c r="BG158" s="293"/>
      <c r="BH158" s="245" t="s">
        <v>3308</v>
      </c>
      <c r="BI158" s="246">
        <v>1095601</v>
      </c>
      <c r="BJ158" s="164" t="s">
        <v>3301</v>
      </c>
      <c r="BK158" s="164" t="s">
        <v>3302</v>
      </c>
    </row>
    <row r="159" spans="1:63" s="54" customFormat="1" ht="52.5" customHeight="1" thickBot="1">
      <c r="A159" s="54">
        <v>12</v>
      </c>
      <c r="B159" s="19" t="s">
        <v>132</v>
      </c>
      <c r="C159" s="18" t="s">
        <v>127</v>
      </c>
      <c r="D159" s="147">
        <v>11402</v>
      </c>
      <c r="E159" s="91" t="s">
        <v>2261</v>
      </c>
      <c r="F159" s="93" t="s">
        <v>2262</v>
      </c>
      <c r="G159" s="141" t="s">
        <v>563</v>
      </c>
      <c r="H159" s="142">
        <v>2022</v>
      </c>
      <c r="I159" s="143" t="s">
        <v>2602</v>
      </c>
      <c r="J159" s="170">
        <v>1</v>
      </c>
      <c r="K159" s="50">
        <v>1</v>
      </c>
      <c r="L159" s="49">
        <v>22230063</v>
      </c>
      <c r="M159" s="171" t="s">
        <v>200</v>
      </c>
      <c r="N159" s="178" t="s">
        <v>19</v>
      </c>
      <c r="O159" s="161">
        <v>39916</v>
      </c>
      <c r="P159" s="180">
        <v>39916</v>
      </c>
      <c r="Q159" s="162" t="s">
        <v>1268</v>
      </c>
      <c r="R159" s="44" t="s">
        <v>2263</v>
      </c>
      <c r="S159" s="172" t="s">
        <v>201</v>
      </c>
      <c r="T159" s="165" t="s">
        <v>2264</v>
      </c>
      <c r="U159" s="173">
        <v>55792</v>
      </c>
      <c r="V159" s="8" t="s">
        <v>3101</v>
      </c>
      <c r="W159" s="61" t="s">
        <v>3102</v>
      </c>
      <c r="X159" s="61" t="s">
        <v>19</v>
      </c>
      <c r="Y159" s="160" t="s">
        <v>20</v>
      </c>
      <c r="Z159" s="164" t="s">
        <v>3262</v>
      </c>
      <c r="AA159" s="176" t="s">
        <v>3103</v>
      </c>
      <c r="AB159" s="174"/>
      <c r="AC159" s="85" t="s">
        <v>2265</v>
      </c>
      <c r="AD159" s="287" t="s">
        <v>201</v>
      </c>
      <c r="AE159" s="302" t="s">
        <v>21</v>
      </c>
      <c r="AF159" s="303" t="s">
        <v>22</v>
      </c>
      <c r="AG159" s="304" t="s">
        <v>564</v>
      </c>
      <c r="AH159" s="86" t="s">
        <v>249</v>
      </c>
      <c r="AI159" s="286"/>
      <c r="AJ159" s="85" t="s">
        <v>2266</v>
      </c>
      <c r="AK159" s="287" t="s">
        <v>201</v>
      </c>
      <c r="AL159" s="314" t="s">
        <v>220</v>
      </c>
      <c r="AM159" s="85" t="s">
        <v>22</v>
      </c>
      <c r="AN159" s="288"/>
      <c r="AO159" s="289"/>
      <c r="AP159" s="290"/>
      <c r="AQ159" s="242" t="s">
        <v>2267</v>
      </c>
      <c r="AR159" s="242" t="s">
        <v>2268</v>
      </c>
      <c r="AS159" s="87" t="s">
        <v>19</v>
      </c>
      <c r="AT159" s="243">
        <v>22576</v>
      </c>
      <c r="AU159" s="243"/>
      <c r="AV159" s="242" t="s">
        <v>2269</v>
      </c>
      <c r="AW159" s="242" t="s">
        <v>218</v>
      </c>
      <c r="AX159" s="243">
        <v>25586</v>
      </c>
      <c r="AY159" s="177"/>
      <c r="AZ159" s="291"/>
      <c r="BA159" s="287" t="s">
        <v>201</v>
      </c>
      <c r="BB159" s="290"/>
      <c r="BC159" s="291"/>
      <c r="BD159" s="291"/>
      <c r="BE159" s="290"/>
      <c r="BF159" s="292"/>
      <c r="BG159" s="293"/>
      <c r="BH159" s="245" t="s">
        <v>3308</v>
      </c>
      <c r="BI159" s="246">
        <v>1095601</v>
      </c>
      <c r="BJ159" s="164" t="s">
        <v>3301</v>
      </c>
      <c r="BK159" s="164" t="s">
        <v>3302</v>
      </c>
    </row>
    <row r="160" spans="1:63" s="54" customFormat="1" ht="52.5" customHeight="1" thickBot="1">
      <c r="A160" s="54">
        <v>13</v>
      </c>
      <c r="B160" s="13" t="s">
        <v>129</v>
      </c>
      <c r="C160" s="18" t="s">
        <v>127</v>
      </c>
      <c r="D160" s="146">
        <v>11413</v>
      </c>
      <c r="E160" s="91" t="s">
        <v>631</v>
      </c>
      <c r="F160" s="93" t="s">
        <v>632</v>
      </c>
      <c r="G160" s="141" t="s">
        <v>563</v>
      </c>
      <c r="H160" s="142">
        <v>2022</v>
      </c>
      <c r="I160" s="143" t="s">
        <v>2603</v>
      </c>
      <c r="J160" s="170">
        <v>2</v>
      </c>
      <c r="K160" s="50">
        <v>3</v>
      </c>
      <c r="L160" s="49">
        <v>22230065</v>
      </c>
      <c r="M160" s="171" t="s">
        <v>200</v>
      </c>
      <c r="N160" s="104" t="s">
        <v>58</v>
      </c>
      <c r="O160" s="161">
        <v>40144</v>
      </c>
      <c r="P160" s="105">
        <v>40144</v>
      </c>
      <c r="Q160" s="162" t="s">
        <v>633</v>
      </c>
      <c r="R160" s="44" t="s">
        <v>634</v>
      </c>
      <c r="S160" s="172" t="s">
        <v>201</v>
      </c>
      <c r="T160" s="88" t="s">
        <v>1471</v>
      </c>
      <c r="U160" s="173">
        <v>53454</v>
      </c>
      <c r="V160" s="8" t="s">
        <v>3104</v>
      </c>
      <c r="W160" s="61" t="s">
        <v>3105</v>
      </c>
      <c r="X160" s="61" t="s">
        <v>58</v>
      </c>
      <c r="Y160" s="160" t="s">
        <v>28</v>
      </c>
      <c r="Z160" s="164" t="s">
        <v>3262</v>
      </c>
      <c r="AA160" s="176" t="s">
        <v>3106</v>
      </c>
      <c r="AB160" s="174"/>
      <c r="AC160" s="88" t="s">
        <v>636</v>
      </c>
      <c r="AD160" s="287" t="s">
        <v>201</v>
      </c>
      <c r="AE160" s="103" t="s">
        <v>29</v>
      </c>
      <c r="AF160" s="114" t="s">
        <v>156</v>
      </c>
      <c r="AG160" s="288" t="s">
        <v>564</v>
      </c>
      <c r="AH160" s="104"/>
      <c r="AI160" s="286"/>
      <c r="AJ160" s="85" t="s">
        <v>637</v>
      </c>
      <c r="AK160" s="287" t="s">
        <v>201</v>
      </c>
      <c r="AL160" s="290" t="s">
        <v>220</v>
      </c>
      <c r="AM160" s="291" t="s">
        <v>638</v>
      </c>
      <c r="AN160" s="291"/>
      <c r="AO160" s="86" t="s">
        <v>405</v>
      </c>
      <c r="AP160" s="290"/>
      <c r="AQ160" s="242" t="s">
        <v>639</v>
      </c>
      <c r="AR160" s="242" t="s">
        <v>640</v>
      </c>
      <c r="AS160" s="87" t="s">
        <v>58</v>
      </c>
      <c r="AT160" s="243">
        <v>30770</v>
      </c>
      <c r="AU160" s="243"/>
      <c r="AV160" s="242" t="s">
        <v>641</v>
      </c>
      <c r="AW160" s="242" t="s">
        <v>58</v>
      </c>
      <c r="AX160" s="243">
        <v>28622</v>
      </c>
      <c r="AY160" s="177"/>
      <c r="AZ160" s="291"/>
      <c r="BA160" s="287" t="s">
        <v>201</v>
      </c>
      <c r="BB160" s="290"/>
      <c r="BC160" s="291"/>
      <c r="BD160" s="291"/>
      <c r="BE160" s="290"/>
      <c r="BF160" s="292"/>
      <c r="BG160" s="293"/>
      <c r="BH160" s="245" t="s">
        <v>3308</v>
      </c>
      <c r="BI160" s="246">
        <v>1095601</v>
      </c>
      <c r="BJ160" s="164" t="s">
        <v>3301</v>
      </c>
      <c r="BK160" s="164" t="s">
        <v>3302</v>
      </c>
    </row>
    <row r="161" spans="1:63" s="54" customFormat="1" ht="52.5" customHeight="1" thickBot="1">
      <c r="A161" s="54">
        <v>14</v>
      </c>
      <c r="B161" s="15" t="s">
        <v>77</v>
      </c>
      <c r="C161" s="18" t="s">
        <v>127</v>
      </c>
      <c r="D161" s="126">
        <v>11417</v>
      </c>
      <c r="E161" s="91" t="s">
        <v>953</v>
      </c>
      <c r="F161" s="93" t="s">
        <v>2282</v>
      </c>
      <c r="G161" s="141" t="s">
        <v>563</v>
      </c>
      <c r="H161" s="142">
        <v>2022</v>
      </c>
      <c r="I161" s="143" t="s">
        <v>2604</v>
      </c>
      <c r="J161" s="170">
        <v>1</v>
      </c>
      <c r="K161" s="50">
        <v>0</v>
      </c>
      <c r="L161" s="49">
        <v>22230155</v>
      </c>
      <c r="M161" s="171" t="s">
        <v>200</v>
      </c>
      <c r="N161" s="178" t="s">
        <v>86</v>
      </c>
      <c r="O161" s="161">
        <v>40270</v>
      </c>
      <c r="P161" s="179">
        <v>40270</v>
      </c>
      <c r="Q161" s="162" t="s">
        <v>617</v>
      </c>
      <c r="R161" s="44" t="s">
        <v>3107</v>
      </c>
      <c r="S161" s="172" t="s">
        <v>201</v>
      </c>
      <c r="T161" s="165" t="s">
        <v>2285</v>
      </c>
      <c r="U161" s="173">
        <v>57211</v>
      </c>
      <c r="V161" s="8" t="s">
        <v>3108</v>
      </c>
      <c r="W161" s="61" t="s">
        <v>3109</v>
      </c>
      <c r="X161" s="61" t="s">
        <v>86</v>
      </c>
      <c r="Y161" s="160" t="s">
        <v>28</v>
      </c>
      <c r="Z161" s="164" t="s">
        <v>3262</v>
      </c>
      <c r="AA161" s="176" t="s">
        <v>3110</v>
      </c>
      <c r="AB161" s="174"/>
      <c r="AC161" s="85" t="s">
        <v>3111</v>
      </c>
      <c r="AD161" s="287" t="s">
        <v>201</v>
      </c>
      <c r="AE161" s="302" t="s">
        <v>21</v>
      </c>
      <c r="AF161" s="303" t="s">
        <v>22</v>
      </c>
      <c r="AG161" s="288" t="s">
        <v>564</v>
      </c>
      <c r="AH161" s="86" t="s">
        <v>286</v>
      </c>
      <c r="AI161" s="286"/>
      <c r="AJ161" s="85" t="s">
        <v>3112</v>
      </c>
      <c r="AK161" s="287" t="s">
        <v>201</v>
      </c>
      <c r="AL161" s="314" t="s">
        <v>24</v>
      </c>
      <c r="AM161" s="85" t="s">
        <v>3113</v>
      </c>
      <c r="AN161" s="288"/>
      <c r="AO161" s="289"/>
      <c r="AP161" s="290"/>
      <c r="AQ161" s="242" t="s">
        <v>3114</v>
      </c>
      <c r="AR161" s="242" t="s">
        <v>3115</v>
      </c>
      <c r="AS161" s="87" t="s">
        <v>86</v>
      </c>
      <c r="AT161" s="243">
        <v>22897</v>
      </c>
      <c r="AU161" s="243"/>
      <c r="AV161" s="242" t="s">
        <v>3116</v>
      </c>
      <c r="AW161" s="242" t="s">
        <v>82</v>
      </c>
      <c r="AX161" s="243">
        <v>25324</v>
      </c>
      <c r="AY161" s="177"/>
      <c r="AZ161" s="291"/>
      <c r="BA161" s="287" t="s">
        <v>201</v>
      </c>
      <c r="BB161" s="290"/>
      <c r="BC161" s="291"/>
      <c r="BD161" s="291"/>
      <c r="BE161" s="290"/>
      <c r="BF161" s="292"/>
      <c r="BG161" s="293"/>
      <c r="BH161" s="245" t="s">
        <v>3308</v>
      </c>
      <c r="BI161" s="246">
        <v>1095601</v>
      </c>
      <c r="BJ161" s="164" t="s">
        <v>3301</v>
      </c>
      <c r="BK161" s="164" t="s">
        <v>3302</v>
      </c>
    </row>
    <row r="162" spans="1:63" s="54" customFormat="1" ht="52.5" customHeight="1" thickBot="1">
      <c r="A162" s="54">
        <v>15</v>
      </c>
      <c r="B162" s="18" t="s">
        <v>127</v>
      </c>
      <c r="C162" s="18" t="s">
        <v>127</v>
      </c>
      <c r="D162" s="140">
        <v>11420</v>
      </c>
      <c r="E162" s="91" t="s">
        <v>2287</v>
      </c>
      <c r="F162" s="93" t="s">
        <v>2288</v>
      </c>
      <c r="G162" s="141" t="s">
        <v>563</v>
      </c>
      <c r="H162" s="142">
        <v>2022</v>
      </c>
      <c r="I162" s="143" t="s">
        <v>2605</v>
      </c>
      <c r="J162" s="170">
        <v>2</v>
      </c>
      <c r="K162" s="50">
        <v>3</v>
      </c>
      <c r="L162" s="49">
        <v>22230254</v>
      </c>
      <c r="M162" s="171" t="s">
        <v>200</v>
      </c>
      <c r="N162" s="56" t="s">
        <v>2289</v>
      </c>
      <c r="O162" s="161">
        <v>40226</v>
      </c>
      <c r="P162" s="163">
        <v>40226</v>
      </c>
      <c r="Q162" s="162" t="s">
        <v>1212</v>
      </c>
      <c r="R162" s="44" t="s">
        <v>2290</v>
      </c>
      <c r="S162" s="172" t="s">
        <v>201</v>
      </c>
      <c r="T162" s="164" t="s">
        <v>671</v>
      </c>
      <c r="U162" s="209">
        <v>55195</v>
      </c>
      <c r="V162" s="184" t="s">
        <v>3117</v>
      </c>
      <c r="W162" s="185" t="s">
        <v>696</v>
      </c>
      <c r="X162" s="185" t="s">
        <v>19</v>
      </c>
      <c r="Y162" s="234" t="s">
        <v>20</v>
      </c>
      <c r="Z162" s="164" t="s">
        <v>3262</v>
      </c>
      <c r="AA162" s="235" t="s">
        <v>3118</v>
      </c>
      <c r="AB162" s="211"/>
      <c r="AC162" s="88" t="s">
        <v>3280</v>
      </c>
      <c r="AD162" s="287" t="s">
        <v>201</v>
      </c>
      <c r="AE162" s="103" t="s">
        <v>21</v>
      </c>
      <c r="AF162" s="114" t="s">
        <v>22</v>
      </c>
      <c r="AG162" s="288" t="s">
        <v>564</v>
      </c>
      <c r="AH162" s="104"/>
      <c r="AI162" s="342"/>
      <c r="AJ162" s="343" t="s">
        <v>2292</v>
      </c>
      <c r="AK162" s="287" t="s">
        <v>201</v>
      </c>
      <c r="AL162" s="290" t="s">
        <v>30</v>
      </c>
      <c r="AM162" s="291" t="s">
        <v>22</v>
      </c>
      <c r="AN162" s="291"/>
      <c r="AO162" s="289" t="s">
        <v>385</v>
      </c>
      <c r="AP162" s="290"/>
      <c r="AQ162" s="242" t="s">
        <v>2293</v>
      </c>
      <c r="AR162" s="242" t="s">
        <v>2294</v>
      </c>
      <c r="AS162" s="87" t="s">
        <v>75</v>
      </c>
      <c r="AT162" s="243">
        <v>29189</v>
      </c>
      <c r="AU162" s="243"/>
      <c r="AV162" s="242" t="s">
        <v>2295</v>
      </c>
      <c r="AW162" s="242" t="s">
        <v>46</v>
      </c>
      <c r="AX162" s="243">
        <v>30028</v>
      </c>
      <c r="AY162" s="177"/>
      <c r="AZ162" s="291"/>
      <c r="BA162" s="287" t="s">
        <v>201</v>
      </c>
      <c r="BB162" s="290"/>
      <c r="BC162" s="291"/>
      <c r="BD162" s="291"/>
      <c r="BE162" s="290"/>
      <c r="BF162" s="292"/>
      <c r="BG162" s="293"/>
      <c r="BH162" s="245" t="s">
        <v>3308</v>
      </c>
      <c r="BI162" s="246">
        <v>1095601</v>
      </c>
      <c r="BJ162" s="164" t="s">
        <v>3301</v>
      </c>
      <c r="BK162" s="164" t="s">
        <v>3302</v>
      </c>
    </row>
    <row r="163" spans="1:63" s="54" customFormat="1" ht="52.5" customHeight="1" thickBot="1">
      <c r="A163" s="54">
        <v>16</v>
      </c>
      <c r="B163" s="19" t="s">
        <v>132</v>
      </c>
      <c r="C163" s="18" t="s">
        <v>127</v>
      </c>
      <c r="D163" s="147">
        <v>11457</v>
      </c>
      <c r="E163" s="91" t="s">
        <v>2306</v>
      </c>
      <c r="F163" s="93" t="s">
        <v>2307</v>
      </c>
      <c r="G163" s="141" t="s">
        <v>563</v>
      </c>
      <c r="H163" s="142">
        <v>2022</v>
      </c>
      <c r="I163" s="143" t="s">
        <v>2466</v>
      </c>
      <c r="J163" s="170">
        <v>1</v>
      </c>
      <c r="K163" s="50">
        <v>1</v>
      </c>
      <c r="L163" s="49">
        <v>22230047</v>
      </c>
      <c r="M163" s="171" t="s">
        <v>200</v>
      </c>
      <c r="N163" s="178" t="s">
        <v>110</v>
      </c>
      <c r="O163" s="161">
        <v>40297</v>
      </c>
      <c r="P163" s="179">
        <v>40297</v>
      </c>
      <c r="Q163" s="162" t="s">
        <v>3119</v>
      </c>
      <c r="R163" s="44" t="s">
        <v>677</v>
      </c>
      <c r="S163" s="172" t="s">
        <v>201</v>
      </c>
      <c r="T163" s="165" t="s">
        <v>678</v>
      </c>
      <c r="U163" s="173">
        <v>51118</v>
      </c>
      <c r="V163" s="8" t="s">
        <v>3120</v>
      </c>
      <c r="W163" s="61" t="s">
        <v>31</v>
      </c>
      <c r="X163" s="61" t="s">
        <v>3121</v>
      </c>
      <c r="Y163" s="160" t="s">
        <v>28</v>
      </c>
      <c r="Z163" s="164" t="s">
        <v>3262</v>
      </c>
      <c r="AA163" s="176" t="s">
        <v>2775</v>
      </c>
      <c r="AB163" s="174"/>
      <c r="AC163" s="85" t="s">
        <v>3122</v>
      </c>
      <c r="AD163" s="287" t="s">
        <v>201</v>
      </c>
      <c r="AE163" s="302" t="s">
        <v>67</v>
      </c>
      <c r="AF163" s="303" t="s">
        <v>158</v>
      </c>
      <c r="AG163" s="304" t="s">
        <v>564</v>
      </c>
      <c r="AH163" s="86" t="s">
        <v>253</v>
      </c>
      <c r="AI163" s="286"/>
      <c r="AJ163" s="85" t="s">
        <v>3123</v>
      </c>
      <c r="AK163" s="287" t="s">
        <v>201</v>
      </c>
      <c r="AL163" s="314" t="s">
        <v>21</v>
      </c>
      <c r="AM163" s="85" t="s">
        <v>22</v>
      </c>
      <c r="AN163" s="288"/>
      <c r="AO163" s="86"/>
      <c r="AP163" s="290"/>
      <c r="AQ163" s="242" t="s">
        <v>3124</v>
      </c>
      <c r="AR163" s="242" t="s">
        <v>3125</v>
      </c>
      <c r="AS163" s="87" t="s">
        <v>110</v>
      </c>
      <c r="AT163" s="243">
        <v>27957</v>
      </c>
      <c r="AU163" s="243"/>
      <c r="AV163" s="242" t="s">
        <v>3126</v>
      </c>
      <c r="AW163" s="242" t="s">
        <v>110</v>
      </c>
      <c r="AX163" s="243">
        <v>29063</v>
      </c>
      <c r="AY163" s="177"/>
      <c r="AZ163" s="291"/>
      <c r="BA163" s="287" t="s">
        <v>201</v>
      </c>
      <c r="BB163" s="290"/>
      <c r="BC163" s="291"/>
      <c r="BD163" s="291"/>
      <c r="BE163" s="290"/>
      <c r="BF163" s="292"/>
      <c r="BG163" s="293"/>
      <c r="BH163" s="245" t="s">
        <v>3308</v>
      </c>
      <c r="BI163" s="246">
        <v>1095601</v>
      </c>
      <c r="BJ163" s="164" t="s">
        <v>3301</v>
      </c>
      <c r="BK163" s="164" t="s">
        <v>3302</v>
      </c>
    </row>
    <row r="164" spans="1:63" s="54" customFormat="1" ht="52.5" customHeight="1" thickBot="1">
      <c r="A164" s="54">
        <v>17</v>
      </c>
      <c r="B164" s="11" t="s">
        <v>126</v>
      </c>
      <c r="C164" s="18" t="s">
        <v>127</v>
      </c>
      <c r="D164" s="147">
        <v>11461</v>
      </c>
      <c r="E164" s="91" t="s">
        <v>729</v>
      </c>
      <c r="F164" s="93" t="s">
        <v>730</v>
      </c>
      <c r="G164" s="141" t="s">
        <v>563</v>
      </c>
      <c r="H164" s="142">
        <v>2022</v>
      </c>
      <c r="I164" s="143" t="s">
        <v>2606</v>
      </c>
      <c r="J164" s="170">
        <v>1</v>
      </c>
      <c r="K164" s="50">
        <v>1</v>
      </c>
      <c r="L164" s="49">
        <v>22230153</v>
      </c>
      <c r="M164" s="171" t="s">
        <v>200</v>
      </c>
      <c r="N164" s="104" t="s">
        <v>48</v>
      </c>
      <c r="O164" s="161">
        <f>P164:P458</f>
        <v>40285</v>
      </c>
      <c r="P164" s="105">
        <v>40285</v>
      </c>
      <c r="Q164" s="162" t="s">
        <v>731</v>
      </c>
      <c r="R164" s="44" t="s">
        <v>732</v>
      </c>
      <c r="S164" s="172" t="s">
        <v>201</v>
      </c>
      <c r="T164" s="88" t="s">
        <v>2315</v>
      </c>
      <c r="U164" s="173">
        <v>70238</v>
      </c>
      <c r="V164" s="8" t="s">
        <v>3127</v>
      </c>
      <c r="W164" s="61" t="s">
        <v>3128</v>
      </c>
      <c r="X164" s="61" t="s">
        <v>48</v>
      </c>
      <c r="Y164" s="160" t="s">
        <v>49</v>
      </c>
      <c r="Z164" s="164" t="s">
        <v>3262</v>
      </c>
      <c r="AA164" s="176" t="s">
        <v>3129</v>
      </c>
      <c r="AB164" s="174"/>
      <c r="AC164" s="88" t="s">
        <v>733</v>
      </c>
      <c r="AD164" s="287" t="s">
        <v>201</v>
      </c>
      <c r="AE164" s="103" t="s">
        <v>30</v>
      </c>
      <c r="AF164" s="114" t="s">
        <v>155</v>
      </c>
      <c r="AG164" s="288" t="s">
        <v>564</v>
      </c>
      <c r="AH164" s="104" t="s">
        <v>427</v>
      </c>
      <c r="AI164" s="286"/>
      <c r="AJ164" s="85" t="s">
        <v>3130</v>
      </c>
      <c r="AK164" s="287" t="s">
        <v>201</v>
      </c>
      <c r="AL164" s="290" t="s">
        <v>21</v>
      </c>
      <c r="AM164" s="291" t="s">
        <v>158</v>
      </c>
      <c r="AN164" s="291"/>
      <c r="AO164" s="289"/>
      <c r="AP164" s="290"/>
      <c r="AQ164" s="242" t="s">
        <v>734</v>
      </c>
      <c r="AR164" s="242" t="s">
        <v>735</v>
      </c>
      <c r="AS164" s="87" t="s">
        <v>48</v>
      </c>
      <c r="AT164" s="243">
        <v>30204</v>
      </c>
      <c r="AU164" s="243"/>
      <c r="AV164" s="242" t="s">
        <v>736</v>
      </c>
      <c r="AW164" s="242" t="s">
        <v>48</v>
      </c>
      <c r="AX164" s="243">
        <v>31480</v>
      </c>
      <c r="AY164" s="177"/>
      <c r="AZ164" s="291"/>
      <c r="BA164" s="287" t="s">
        <v>201</v>
      </c>
      <c r="BB164" s="290"/>
      <c r="BC164" s="291"/>
      <c r="BD164" s="291"/>
      <c r="BE164" s="290"/>
      <c r="BF164" s="292"/>
      <c r="BG164" s="293"/>
      <c r="BH164" s="245" t="s">
        <v>3308</v>
      </c>
      <c r="BI164" s="246">
        <v>1095601</v>
      </c>
      <c r="BJ164" s="164" t="s">
        <v>3301</v>
      </c>
      <c r="BK164" s="164" t="s">
        <v>3302</v>
      </c>
    </row>
    <row r="165" spans="1:63" s="54" customFormat="1" ht="52.5" customHeight="1" thickBot="1">
      <c r="A165" s="54">
        <v>18</v>
      </c>
      <c r="B165" s="11" t="s">
        <v>126</v>
      </c>
      <c r="C165" s="18" t="s">
        <v>127</v>
      </c>
      <c r="D165" s="147">
        <v>11462</v>
      </c>
      <c r="E165" s="91" t="s">
        <v>2311</v>
      </c>
      <c r="F165" s="93" t="s">
        <v>2312</v>
      </c>
      <c r="G165" s="141" t="s">
        <v>563</v>
      </c>
      <c r="H165" s="142">
        <v>2022</v>
      </c>
      <c r="I165" s="143" t="s">
        <v>2607</v>
      </c>
      <c r="J165" s="170">
        <v>2</v>
      </c>
      <c r="K165" s="50">
        <v>2</v>
      </c>
      <c r="L165" s="49">
        <v>22230106</v>
      </c>
      <c r="M165" s="171" t="s">
        <v>200</v>
      </c>
      <c r="N165" s="56" t="s">
        <v>23</v>
      </c>
      <c r="O165" s="161">
        <f>P165:P459</f>
        <v>40221</v>
      </c>
      <c r="P165" s="163">
        <v>40221</v>
      </c>
      <c r="Q165" s="162" t="s">
        <v>2313</v>
      </c>
      <c r="R165" s="44" t="s">
        <v>2314</v>
      </c>
      <c r="S165" s="172" t="s">
        <v>201</v>
      </c>
      <c r="T165" s="164" t="s">
        <v>2685</v>
      </c>
      <c r="U165" s="173">
        <v>55262</v>
      </c>
      <c r="V165" s="8" t="s">
        <v>468</v>
      </c>
      <c r="W165" s="61" t="s">
        <v>470</v>
      </c>
      <c r="X165" s="61" t="s">
        <v>23</v>
      </c>
      <c r="Y165" s="160" t="s">
        <v>20</v>
      </c>
      <c r="Z165" s="164" t="s">
        <v>3262</v>
      </c>
      <c r="AA165" s="176" t="s">
        <v>3131</v>
      </c>
      <c r="AB165" s="174"/>
      <c r="AC165" s="88" t="s">
        <v>2316</v>
      </c>
      <c r="AD165" s="287" t="s">
        <v>201</v>
      </c>
      <c r="AE165" s="103" t="s">
        <v>21</v>
      </c>
      <c r="AF165" s="114" t="s">
        <v>155</v>
      </c>
      <c r="AG165" s="288" t="s">
        <v>564</v>
      </c>
      <c r="AH165" s="104"/>
      <c r="AI165" s="286"/>
      <c r="AJ165" s="85" t="s">
        <v>3132</v>
      </c>
      <c r="AK165" s="287" t="s">
        <v>201</v>
      </c>
      <c r="AL165" s="290" t="s">
        <v>21</v>
      </c>
      <c r="AM165" s="291" t="s">
        <v>155</v>
      </c>
      <c r="AN165" s="291"/>
      <c r="AO165" s="344" t="s">
        <v>428</v>
      </c>
      <c r="AP165" s="290"/>
      <c r="AQ165" s="242" t="s">
        <v>2317</v>
      </c>
      <c r="AR165" s="242" t="s">
        <v>2318</v>
      </c>
      <c r="AS165" s="87" t="s">
        <v>19</v>
      </c>
      <c r="AT165" s="243">
        <v>24345</v>
      </c>
      <c r="AU165" s="243"/>
      <c r="AV165" s="242" t="s">
        <v>2319</v>
      </c>
      <c r="AW165" s="242" t="s">
        <v>23</v>
      </c>
      <c r="AX165" s="243">
        <v>27589</v>
      </c>
      <c r="AY165" s="177"/>
      <c r="AZ165" s="291"/>
      <c r="BA165" s="287" t="s">
        <v>201</v>
      </c>
      <c r="BB165" s="290"/>
      <c r="BC165" s="291"/>
      <c r="BD165" s="291"/>
      <c r="BE165" s="290"/>
      <c r="BF165" s="292"/>
      <c r="BG165" s="293"/>
      <c r="BH165" s="245" t="s">
        <v>3308</v>
      </c>
      <c r="BI165" s="246">
        <v>1095601</v>
      </c>
      <c r="BJ165" s="164" t="s">
        <v>3301</v>
      </c>
      <c r="BK165" s="164" t="s">
        <v>3302</v>
      </c>
    </row>
    <row r="166" spans="1:63" s="54" customFormat="1" ht="52.5" customHeight="1" thickBot="1">
      <c r="A166" s="54">
        <v>19</v>
      </c>
      <c r="B166" s="18" t="s">
        <v>127</v>
      </c>
      <c r="C166" s="18" t="s">
        <v>127</v>
      </c>
      <c r="D166" s="140">
        <v>11473</v>
      </c>
      <c r="E166" s="91" t="s">
        <v>2320</v>
      </c>
      <c r="F166" s="93" t="s">
        <v>2321</v>
      </c>
      <c r="G166" s="141" t="s">
        <v>563</v>
      </c>
      <c r="H166" s="142">
        <v>2022</v>
      </c>
      <c r="I166" s="143" t="s">
        <v>2608</v>
      </c>
      <c r="J166" s="183">
        <v>1</v>
      </c>
      <c r="K166" s="183">
        <v>3</v>
      </c>
      <c r="L166" s="172">
        <v>22230282</v>
      </c>
      <c r="M166" s="171" t="s">
        <v>200</v>
      </c>
      <c r="N166" s="56" t="s">
        <v>23</v>
      </c>
      <c r="O166" s="161">
        <v>40086</v>
      </c>
      <c r="P166" s="163">
        <v>40086</v>
      </c>
      <c r="Q166" s="162" t="s">
        <v>2322</v>
      </c>
      <c r="R166" s="44" t="s">
        <v>2323</v>
      </c>
      <c r="S166" s="172" t="s">
        <v>201</v>
      </c>
      <c r="T166" s="164" t="s">
        <v>2686</v>
      </c>
      <c r="U166" s="236">
        <v>55581</v>
      </c>
      <c r="V166" s="55" t="s">
        <v>79</v>
      </c>
      <c r="W166" s="164" t="s">
        <v>3133</v>
      </c>
      <c r="X166" s="164" t="s">
        <v>52</v>
      </c>
      <c r="Y166" s="237" t="s">
        <v>3134</v>
      </c>
      <c r="Z166" s="164" t="s">
        <v>3262</v>
      </c>
      <c r="AA166" s="176" t="s">
        <v>2698</v>
      </c>
      <c r="AB166" s="238"/>
      <c r="AC166" s="88" t="s">
        <v>2324</v>
      </c>
      <c r="AD166" s="287" t="s">
        <v>201</v>
      </c>
      <c r="AE166" s="103" t="s">
        <v>21</v>
      </c>
      <c r="AF166" s="114" t="s">
        <v>153</v>
      </c>
      <c r="AG166" s="288" t="s">
        <v>564</v>
      </c>
      <c r="AH166" s="104" t="s">
        <v>388</v>
      </c>
      <c r="AI166" s="345"/>
      <c r="AJ166" s="85" t="s">
        <v>2325</v>
      </c>
      <c r="AK166" s="287" t="s">
        <v>201</v>
      </c>
      <c r="AL166" s="293" t="s">
        <v>30</v>
      </c>
      <c r="AM166" s="88" t="s">
        <v>158</v>
      </c>
      <c r="AN166" s="88"/>
      <c r="AO166" s="104"/>
      <c r="AP166" s="293"/>
      <c r="AQ166" s="242" t="s">
        <v>2326</v>
      </c>
      <c r="AR166" s="242" t="s">
        <v>2327</v>
      </c>
      <c r="AS166" s="87" t="s">
        <v>727</v>
      </c>
      <c r="AT166" s="243">
        <v>30566</v>
      </c>
      <c r="AU166" s="243"/>
      <c r="AV166" s="242" t="s">
        <v>2328</v>
      </c>
      <c r="AW166" s="242" t="s">
        <v>23</v>
      </c>
      <c r="AX166" s="243">
        <v>31073</v>
      </c>
      <c r="AY166" s="177"/>
      <c r="AZ166" s="88"/>
      <c r="BA166" s="287" t="s">
        <v>201</v>
      </c>
      <c r="BB166" s="293"/>
      <c r="BC166" s="88"/>
      <c r="BD166" s="88"/>
      <c r="BE166" s="293"/>
      <c r="BF166" s="372"/>
      <c r="BG166" s="293"/>
      <c r="BH166" s="245" t="s">
        <v>3308</v>
      </c>
      <c r="BI166" s="246">
        <v>1095601</v>
      </c>
      <c r="BJ166" s="164" t="s">
        <v>3301</v>
      </c>
      <c r="BK166" s="164" t="s">
        <v>3302</v>
      </c>
    </row>
    <row r="167" spans="1:63" s="54" customFormat="1" ht="52.5" customHeight="1" thickBot="1">
      <c r="A167" s="54">
        <v>20</v>
      </c>
      <c r="B167" s="15" t="s">
        <v>77</v>
      </c>
      <c r="C167" s="18" t="s">
        <v>127</v>
      </c>
      <c r="D167" s="126">
        <v>11477</v>
      </c>
      <c r="E167" s="98" t="s">
        <v>2329</v>
      </c>
      <c r="F167" s="93" t="s">
        <v>2330</v>
      </c>
      <c r="G167" s="141" t="s">
        <v>563</v>
      </c>
      <c r="H167" s="142">
        <v>2022</v>
      </c>
      <c r="I167" s="143" t="s">
        <v>2609</v>
      </c>
      <c r="J167" s="170"/>
      <c r="K167" s="50"/>
      <c r="L167" s="49">
        <v>22230152</v>
      </c>
      <c r="M167" s="171" t="s">
        <v>200</v>
      </c>
      <c r="N167" s="83" t="s">
        <v>76</v>
      </c>
      <c r="O167" s="162" t="s">
        <v>2331</v>
      </c>
      <c r="P167" s="96">
        <v>39986</v>
      </c>
      <c r="Q167" s="162" t="s">
        <v>2332</v>
      </c>
      <c r="R167" s="46" t="s">
        <v>2333</v>
      </c>
      <c r="S167" s="172" t="s">
        <v>201</v>
      </c>
      <c r="T167" s="84" t="s">
        <v>992</v>
      </c>
      <c r="U167" s="173">
        <v>63463</v>
      </c>
      <c r="V167" s="8" t="s">
        <v>3135</v>
      </c>
      <c r="W167" s="61" t="s">
        <v>3136</v>
      </c>
      <c r="X167" s="61" t="s">
        <v>76</v>
      </c>
      <c r="Y167" s="160" t="s">
        <v>38</v>
      </c>
      <c r="Z167" s="164" t="s">
        <v>3262</v>
      </c>
      <c r="AA167" s="176" t="s">
        <v>3137</v>
      </c>
      <c r="AB167" s="174"/>
      <c r="AC167" s="85" t="s">
        <v>2334</v>
      </c>
      <c r="AD167" s="301" t="s">
        <v>201</v>
      </c>
      <c r="AE167" s="103" t="s">
        <v>21</v>
      </c>
      <c r="AF167" s="114" t="s">
        <v>154</v>
      </c>
      <c r="AG167" s="288" t="s">
        <v>564</v>
      </c>
      <c r="AH167" s="100" t="s">
        <v>342</v>
      </c>
      <c r="AI167" s="286"/>
      <c r="AJ167" s="85" t="s">
        <v>2335</v>
      </c>
      <c r="AK167" s="287" t="s">
        <v>201</v>
      </c>
      <c r="AL167" s="314"/>
      <c r="AM167" s="85"/>
      <c r="AN167" s="288"/>
      <c r="AO167" s="289"/>
      <c r="AP167" s="290"/>
      <c r="AQ167" s="242"/>
      <c r="AR167" s="242"/>
      <c r="AS167" s="87"/>
      <c r="AT167" s="243"/>
      <c r="AU167" s="243"/>
      <c r="AV167" s="242"/>
      <c r="AW167" s="242"/>
      <c r="AX167" s="243"/>
      <c r="AY167" s="177"/>
      <c r="AZ167" s="291"/>
      <c r="BA167" s="287" t="s">
        <v>201</v>
      </c>
      <c r="BB167" s="290"/>
      <c r="BC167" s="291"/>
      <c r="BD167" s="291"/>
      <c r="BE167" s="290"/>
      <c r="BF167" s="292"/>
      <c r="BG167" s="293"/>
      <c r="BH167" s="245" t="s">
        <v>3308</v>
      </c>
      <c r="BI167" s="246">
        <v>1095601</v>
      </c>
      <c r="BJ167" s="164" t="s">
        <v>3301</v>
      </c>
      <c r="BK167" s="164" t="s">
        <v>3302</v>
      </c>
    </row>
    <row r="168" spans="1:63" s="54" customFormat="1" ht="52.5" customHeight="1" thickBot="1">
      <c r="A168" s="54">
        <v>21</v>
      </c>
      <c r="B168" s="16" t="s">
        <v>131</v>
      </c>
      <c r="C168" s="18" t="s">
        <v>127</v>
      </c>
      <c r="D168" s="140">
        <v>11484</v>
      </c>
      <c r="E168" s="91" t="s">
        <v>2355</v>
      </c>
      <c r="F168" s="93" t="s">
        <v>2356</v>
      </c>
      <c r="G168" s="141" t="s">
        <v>563</v>
      </c>
      <c r="H168" s="142">
        <v>2022</v>
      </c>
      <c r="I168" s="143" t="s">
        <v>2610</v>
      </c>
      <c r="J168" s="170">
        <v>1</v>
      </c>
      <c r="K168" s="50">
        <v>1</v>
      </c>
      <c r="L168" s="49">
        <v>22230104</v>
      </c>
      <c r="M168" s="171" t="s">
        <v>200</v>
      </c>
      <c r="N168" s="178" t="s">
        <v>31</v>
      </c>
      <c r="O168" s="161">
        <v>39986</v>
      </c>
      <c r="P168" s="179">
        <v>39986</v>
      </c>
      <c r="Q168" s="162" t="s">
        <v>2331</v>
      </c>
      <c r="R168" s="44" t="s">
        <v>2357</v>
      </c>
      <c r="S168" s="172" t="s">
        <v>201</v>
      </c>
      <c r="T168" s="165" t="s">
        <v>2687</v>
      </c>
      <c r="U168" s="173">
        <v>99910</v>
      </c>
      <c r="V168" s="8" t="s">
        <v>3138</v>
      </c>
      <c r="W168" s="61" t="s">
        <v>100</v>
      </c>
      <c r="X168" s="61" t="s">
        <v>31</v>
      </c>
      <c r="Y168" s="160" t="s">
        <v>28</v>
      </c>
      <c r="Z168" s="164" t="s">
        <v>3262</v>
      </c>
      <c r="AA168" s="176" t="s">
        <v>2950</v>
      </c>
      <c r="AB168" s="174"/>
      <c r="AC168" s="85" t="s">
        <v>2359</v>
      </c>
      <c r="AD168" s="287" t="s">
        <v>201</v>
      </c>
      <c r="AE168" s="302" t="s">
        <v>21</v>
      </c>
      <c r="AF168" s="303" t="s">
        <v>22</v>
      </c>
      <c r="AG168" s="288" t="s">
        <v>564</v>
      </c>
      <c r="AH168" s="86" t="s">
        <v>271</v>
      </c>
      <c r="AI168" s="315"/>
      <c r="AJ168" s="85" t="s">
        <v>2360</v>
      </c>
      <c r="AK168" s="287" t="s">
        <v>201</v>
      </c>
      <c r="AL168" s="314" t="s">
        <v>21</v>
      </c>
      <c r="AM168" s="85" t="s">
        <v>490</v>
      </c>
      <c r="AN168" s="288"/>
      <c r="AO168" s="289"/>
      <c r="AP168" s="290"/>
      <c r="AQ168" s="242" t="s">
        <v>2361</v>
      </c>
      <c r="AR168" s="242" t="s">
        <v>2362</v>
      </c>
      <c r="AS168" s="87" t="s">
        <v>31</v>
      </c>
      <c r="AT168" s="243">
        <v>29617</v>
      </c>
      <c r="AU168" s="243"/>
      <c r="AV168" s="242" t="s">
        <v>2363</v>
      </c>
      <c r="AW168" s="242" t="s">
        <v>31</v>
      </c>
      <c r="AX168" s="243">
        <v>29711</v>
      </c>
      <c r="AY168" s="177"/>
      <c r="AZ168" s="291"/>
      <c r="BA168" s="287" t="s">
        <v>201</v>
      </c>
      <c r="BB168" s="290"/>
      <c r="BC168" s="291"/>
      <c r="BD168" s="291"/>
      <c r="BE168" s="290"/>
      <c r="BF168" s="292"/>
      <c r="BG168" s="293"/>
      <c r="BH168" s="245" t="s">
        <v>3308</v>
      </c>
      <c r="BI168" s="246">
        <v>1095601</v>
      </c>
      <c r="BJ168" s="164" t="s">
        <v>3301</v>
      </c>
      <c r="BK168" s="164" t="s">
        <v>3302</v>
      </c>
    </row>
    <row r="169" spans="1:63" s="54" customFormat="1" ht="52.5" customHeight="1" thickBot="1">
      <c r="A169" s="54">
        <v>22</v>
      </c>
      <c r="B169" s="12" t="s">
        <v>128</v>
      </c>
      <c r="C169" s="18" t="s">
        <v>127</v>
      </c>
      <c r="D169" s="140">
        <v>11481</v>
      </c>
      <c r="E169" s="98" t="s">
        <v>2336</v>
      </c>
      <c r="F169" s="93" t="s">
        <v>2443</v>
      </c>
      <c r="G169" s="141" t="s">
        <v>563</v>
      </c>
      <c r="H169" s="142">
        <v>2022</v>
      </c>
      <c r="I169" s="143" t="s">
        <v>2611</v>
      </c>
      <c r="J169" s="170">
        <v>3</v>
      </c>
      <c r="K169" s="50">
        <v>4</v>
      </c>
      <c r="L169" s="49">
        <v>22230031</v>
      </c>
      <c r="M169" s="171" t="s">
        <v>200</v>
      </c>
      <c r="N169" s="178" t="s">
        <v>66</v>
      </c>
      <c r="O169" s="161">
        <v>39889</v>
      </c>
      <c r="P169" s="180">
        <v>39889</v>
      </c>
      <c r="Q169" s="162" t="s">
        <v>2337</v>
      </c>
      <c r="R169" s="44" t="s">
        <v>2338</v>
      </c>
      <c r="S169" s="172" t="s">
        <v>201</v>
      </c>
      <c r="T169" s="165" t="s">
        <v>2339</v>
      </c>
      <c r="U169" s="173">
        <v>51256</v>
      </c>
      <c r="V169" s="8" t="s">
        <v>3139</v>
      </c>
      <c r="W169" s="61" t="s">
        <v>3140</v>
      </c>
      <c r="X169" s="61" t="s">
        <v>66</v>
      </c>
      <c r="Y169" s="160" t="s">
        <v>38</v>
      </c>
      <c r="Z169" s="164" t="s">
        <v>3262</v>
      </c>
      <c r="AA169" s="176" t="s">
        <v>3141</v>
      </c>
      <c r="AB169" s="181"/>
      <c r="AC169" s="85" t="s">
        <v>2340</v>
      </c>
      <c r="AD169" s="287" t="s">
        <v>201</v>
      </c>
      <c r="AE169" s="302" t="s">
        <v>21</v>
      </c>
      <c r="AF169" s="303" t="s">
        <v>155</v>
      </c>
      <c r="AG169" s="288" t="s">
        <v>566</v>
      </c>
      <c r="AH169" s="86" t="s">
        <v>484</v>
      </c>
      <c r="AI169" s="286"/>
      <c r="AJ169" s="85" t="s">
        <v>2341</v>
      </c>
      <c r="AK169" s="287" t="s">
        <v>201</v>
      </c>
      <c r="AL169" s="314" t="s">
        <v>220</v>
      </c>
      <c r="AM169" s="85" t="s">
        <v>276</v>
      </c>
      <c r="AN169" s="288"/>
      <c r="AO169" s="289"/>
      <c r="AP169" s="290"/>
      <c r="AQ169" s="242" t="s">
        <v>2342</v>
      </c>
      <c r="AR169" s="242" t="s">
        <v>2343</v>
      </c>
      <c r="AS169" s="87" t="s">
        <v>66</v>
      </c>
      <c r="AT169" s="243">
        <v>27082</v>
      </c>
      <c r="AU169" s="243"/>
      <c r="AV169" s="242" t="s">
        <v>2344</v>
      </c>
      <c r="AW169" s="242" t="s">
        <v>66</v>
      </c>
      <c r="AX169" s="243">
        <v>29884</v>
      </c>
      <c r="AY169" s="177"/>
      <c r="AZ169" s="291"/>
      <c r="BA169" s="287" t="s">
        <v>201</v>
      </c>
      <c r="BB169" s="290"/>
      <c r="BC169" s="291"/>
      <c r="BD169" s="291"/>
      <c r="BE169" s="290"/>
      <c r="BF169" s="292"/>
      <c r="BG169" s="293"/>
      <c r="BH169" s="245" t="s">
        <v>3308</v>
      </c>
      <c r="BI169" s="246">
        <v>1095601</v>
      </c>
      <c r="BJ169" s="164" t="s">
        <v>3301</v>
      </c>
      <c r="BK169" s="164" t="s">
        <v>3302</v>
      </c>
    </row>
    <row r="170" spans="1:63" s="54" customFormat="1" ht="52.5" customHeight="1" thickBot="1">
      <c r="A170" s="54">
        <v>23</v>
      </c>
      <c r="B170" s="14" t="s">
        <v>130</v>
      </c>
      <c r="C170" s="18" t="s">
        <v>127</v>
      </c>
      <c r="D170" s="147">
        <v>11482</v>
      </c>
      <c r="E170" s="98" t="s">
        <v>2345</v>
      </c>
      <c r="F170" s="93" t="s">
        <v>2346</v>
      </c>
      <c r="G170" s="141" t="s">
        <v>563</v>
      </c>
      <c r="H170" s="142">
        <v>2022</v>
      </c>
      <c r="I170" s="143" t="s">
        <v>2612</v>
      </c>
      <c r="J170" s="170">
        <v>2</v>
      </c>
      <c r="K170" s="50">
        <v>2</v>
      </c>
      <c r="L170" s="49">
        <v>22230205</v>
      </c>
      <c r="M170" s="171" t="s">
        <v>200</v>
      </c>
      <c r="N170" s="104" t="s">
        <v>109</v>
      </c>
      <c r="O170" s="161">
        <v>40357</v>
      </c>
      <c r="P170" s="105">
        <v>40357</v>
      </c>
      <c r="Q170" s="162" t="s">
        <v>2347</v>
      </c>
      <c r="R170" s="44" t="s">
        <v>2348</v>
      </c>
      <c r="S170" s="172" t="s">
        <v>201</v>
      </c>
      <c r="T170" s="88" t="s">
        <v>2688</v>
      </c>
      <c r="U170" s="173">
        <v>51352</v>
      </c>
      <c r="V170" s="8" t="s">
        <v>3142</v>
      </c>
      <c r="W170" s="61" t="s">
        <v>3143</v>
      </c>
      <c r="X170" s="61" t="s">
        <v>109</v>
      </c>
      <c r="Y170" s="160" t="s">
        <v>28</v>
      </c>
      <c r="Z170" s="164" t="s">
        <v>3262</v>
      </c>
      <c r="AA170" s="176" t="s">
        <v>3144</v>
      </c>
      <c r="AB170" s="174"/>
      <c r="AC170" s="88" t="s">
        <v>2350</v>
      </c>
      <c r="AD170" s="287" t="s">
        <v>201</v>
      </c>
      <c r="AE170" s="302" t="s">
        <v>21</v>
      </c>
      <c r="AF170" s="303" t="s">
        <v>22</v>
      </c>
      <c r="AG170" s="288" t="s">
        <v>564</v>
      </c>
      <c r="AH170" s="104" t="s">
        <v>352</v>
      </c>
      <c r="AI170" s="286"/>
      <c r="AJ170" s="85" t="s">
        <v>2351</v>
      </c>
      <c r="AK170" s="287" t="s">
        <v>201</v>
      </c>
      <c r="AL170" s="290" t="s">
        <v>21</v>
      </c>
      <c r="AM170" s="291" t="s">
        <v>1724</v>
      </c>
      <c r="AN170" s="291"/>
      <c r="AO170" s="289"/>
      <c r="AP170" s="290"/>
      <c r="AQ170" s="242" t="s">
        <v>2352</v>
      </c>
      <c r="AR170" s="242" t="s">
        <v>2353</v>
      </c>
      <c r="AS170" s="87" t="s">
        <v>109</v>
      </c>
      <c r="AT170" s="243">
        <v>28372</v>
      </c>
      <c r="AU170" s="243"/>
      <c r="AV170" s="242" t="s">
        <v>2354</v>
      </c>
      <c r="AW170" s="242" t="s">
        <v>109</v>
      </c>
      <c r="AX170" s="243">
        <v>28352</v>
      </c>
      <c r="AY170" s="177"/>
      <c r="AZ170" s="291"/>
      <c r="BA170" s="287" t="s">
        <v>201</v>
      </c>
      <c r="BB170" s="290"/>
      <c r="BC170" s="291"/>
      <c r="BD170" s="291"/>
      <c r="BE170" s="290"/>
      <c r="BF170" s="292"/>
      <c r="BG170" s="293"/>
      <c r="BH170" s="245" t="s">
        <v>3308</v>
      </c>
      <c r="BI170" s="246">
        <v>1095601</v>
      </c>
      <c r="BJ170" s="164" t="s">
        <v>3301</v>
      </c>
      <c r="BK170" s="164" t="s">
        <v>3302</v>
      </c>
    </row>
    <row r="171" spans="1:63" s="54" customFormat="1" ht="52.5" customHeight="1" thickBot="1">
      <c r="A171" s="54">
        <v>24</v>
      </c>
      <c r="B171" s="19" t="s">
        <v>132</v>
      </c>
      <c r="C171" s="18" t="s">
        <v>127</v>
      </c>
      <c r="D171" s="147">
        <v>11487</v>
      </c>
      <c r="E171" s="91" t="s">
        <v>2364</v>
      </c>
      <c r="F171" s="93" t="s">
        <v>2365</v>
      </c>
      <c r="G171" s="141" t="s">
        <v>563</v>
      </c>
      <c r="H171" s="142">
        <v>2022</v>
      </c>
      <c r="I171" s="143" t="s">
        <v>2613</v>
      </c>
      <c r="J171" s="170">
        <v>1</v>
      </c>
      <c r="K171" s="50">
        <v>2</v>
      </c>
      <c r="L171" s="49">
        <v>22230044</v>
      </c>
      <c r="M171" s="171" t="s">
        <v>200</v>
      </c>
      <c r="N171" s="178" t="s">
        <v>52</v>
      </c>
      <c r="O171" s="161">
        <v>40199</v>
      </c>
      <c r="P171" s="179">
        <v>40199</v>
      </c>
      <c r="Q171" s="162" t="s">
        <v>2366</v>
      </c>
      <c r="R171" s="44" t="s">
        <v>2367</v>
      </c>
      <c r="S171" s="172" t="s">
        <v>201</v>
      </c>
      <c r="T171" s="165" t="s">
        <v>2377</v>
      </c>
      <c r="U171" s="173">
        <v>55291</v>
      </c>
      <c r="V171" s="8" t="s">
        <v>3145</v>
      </c>
      <c r="W171" s="61" t="s">
        <v>2732</v>
      </c>
      <c r="X171" s="61" t="s">
        <v>52</v>
      </c>
      <c r="Y171" s="160" t="s">
        <v>20</v>
      </c>
      <c r="Z171" s="164" t="s">
        <v>3262</v>
      </c>
      <c r="AA171" s="176" t="s">
        <v>3146</v>
      </c>
      <c r="AB171" s="174"/>
      <c r="AC171" s="85" t="s">
        <v>2369</v>
      </c>
      <c r="AD171" s="287" t="s">
        <v>201</v>
      </c>
      <c r="AE171" s="302" t="s">
        <v>24</v>
      </c>
      <c r="AF171" s="303" t="s">
        <v>710</v>
      </c>
      <c r="AG171" s="304" t="s">
        <v>564</v>
      </c>
      <c r="AH171" s="86" t="s">
        <v>257</v>
      </c>
      <c r="AI171" s="286"/>
      <c r="AJ171" s="85" t="s">
        <v>3147</v>
      </c>
      <c r="AK171" s="287" t="s">
        <v>201</v>
      </c>
      <c r="AL171" s="314" t="s">
        <v>220</v>
      </c>
      <c r="AM171" s="85" t="s">
        <v>710</v>
      </c>
      <c r="AN171" s="288"/>
      <c r="AO171" s="289"/>
      <c r="AP171" s="290"/>
      <c r="AQ171" s="242" t="s">
        <v>2370</v>
      </c>
      <c r="AR171" s="242" t="s">
        <v>2371</v>
      </c>
      <c r="AS171" s="87" t="s">
        <v>114</v>
      </c>
      <c r="AT171" s="243">
        <v>30542</v>
      </c>
      <c r="AU171" s="243"/>
      <c r="AV171" s="242" t="s">
        <v>2372</v>
      </c>
      <c r="AW171" s="242" t="s">
        <v>52</v>
      </c>
      <c r="AX171" s="243">
        <v>31708</v>
      </c>
      <c r="AY171" s="177"/>
      <c r="AZ171" s="291"/>
      <c r="BA171" s="287" t="s">
        <v>201</v>
      </c>
      <c r="BB171" s="290"/>
      <c r="BC171" s="291"/>
      <c r="BD171" s="291"/>
      <c r="BE171" s="290"/>
      <c r="BF171" s="292"/>
      <c r="BG171" s="293"/>
      <c r="BH171" s="245" t="s">
        <v>3308</v>
      </c>
      <c r="BI171" s="246">
        <v>1095601</v>
      </c>
      <c r="BJ171" s="164" t="s">
        <v>3301</v>
      </c>
      <c r="BK171" s="164" t="s">
        <v>3302</v>
      </c>
    </row>
    <row r="172" spans="1:63" s="54" customFormat="1" ht="52.5" customHeight="1" thickBot="1">
      <c r="A172" s="54">
        <v>25</v>
      </c>
      <c r="B172" s="19" t="s">
        <v>132</v>
      </c>
      <c r="C172" s="18" t="s">
        <v>127</v>
      </c>
      <c r="D172" s="147">
        <v>11488</v>
      </c>
      <c r="E172" s="91" t="s">
        <v>2373</v>
      </c>
      <c r="F172" s="93" t="s">
        <v>2374</v>
      </c>
      <c r="G172" s="141" t="s">
        <v>563</v>
      </c>
      <c r="H172" s="142">
        <v>2022</v>
      </c>
      <c r="I172" s="143" t="s">
        <v>2614</v>
      </c>
      <c r="J172" s="170">
        <v>1</v>
      </c>
      <c r="K172" s="50">
        <v>1</v>
      </c>
      <c r="L172" s="49">
        <v>22230077</v>
      </c>
      <c r="M172" s="171" t="s">
        <v>200</v>
      </c>
      <c r="N172" s="178" t="s">
        <v>1622</v>
      </c>
      <c r="O172" s="161">
        <v>40228</v>
      </c>
      <c r="P172" s="179">
        <v>40228</v>
      </c>
      <c r="Q172" s="162" t="s">
        <v>2375</v>
      </c>
      <c r="R172" s="46" t="s">
        <v>2376</v>
      </c>
      <c r="S172" s="172" t="s">
        <v>201</v>
      </c>
      <c r="T172" s="165" t="s">
        <v>1535</v>
      </c>
      <c r="U172" s="173">
        <v>55791</v>
      </c>
      <c r="V172" s="8" t="s">
        <v>2876</v>
      </c>
      <c r="W172" s="61" t="s">
        <v>2877</v>
      </c>
      <c r="X172" s="61" t="s">
        <v>19</v>
      </c>
      <c r="Y172" s="160" t="s">
        <v>20</v>
      </c>
      <c r="Z172" s="164" t="s">
        <v>3262</v>
      </c>
      <c r="AA172" s="176" t="s">
        <v>2706</v>
      </c>
      <c r="AB172" s="174"/>
      <c r="AC172" s="85" t="s">
        <v>2378</v>
      </c>
      <c r="AD172" s="287" t="s">
        <v>201</v>
      </c>
      <c r="AE172" s="302" t="s">
        <v>30</v>
      </c>
      <c r="AF172" s="303" t="s">
        <v>153</v>
      </c>
      <c r="AG172" s="304" t="s">
        <v>564</v>
      </c>
      <c r="AH172" s="86" t="s">
        <v>258</v>
      </c>
      <c r="AI172" s="286"/>
      <c r="AJ172" s="85" t="s">
        <v>2379</v>
      </c>
      <c r="AK172" s="287" t="s">
        <v>201</v>
      </c>
      <c r="AL172" s="314" t="s">
        <v>21</v>
      </c>
      <c r="AM172" s="85" t="s">
        <v>490</v>
      </c>
      <c r="AN172" s="288"/>
      <c r="AO172" s="289"/>
      <c r="AP172" s="290"/>
      <c r="AQ172" s="242" t="s">
        <v>2380</v>
      </c>
      <c r="AR172" s="242" t="s">
        <v>2381</v>
      </c>
      <c r="AS172" s="87" t="s">
        <v>1622</v>
      </c>
      <c r="AT172" s="243">
        <v>27292</v>
      </c>
      <c r="AU172" s="243"/>
      <c r="AV172" s="242" t="s">
        <v>2382</v>
      </c>
      <c r="AW172" s="242" t="s">
        <v>1622</v>
      </c>
      <c r="AX172" s="243">
        <v>30430</v>
      </c>
      <c r="AY172" s="177"/>
      <c r="AZ172" s="291"/>
      <c r="BA172" s="287" t="s">
        <v>201</v>
      </c>
      <c r="BB172" s="290"/>
      <c r="BC172" s="291"/>
      <c r="BD172" s="291"/>
      <c r="BE172" s="290"/>
      <c r="BF172" s="292"/>
      <c r="BG172" s="293"/>
      <c r="BH172" s="245" t="s">
        <v>3308</v>
      </c>
      <c r="BI172" s="246">
        <v>1095601</v>
      </c>
      <c r="BJ172" s="164" t="s">
        <v>3301</v>
      </c>
      <c r="BK172" s="164" t="s">
        <v>3302</v>
      </c>
    </row>
    <row r="173" spans="1:63" s="54" customFormat="1" ht="52.5" customHeight="1" thickBot="1">
      <c r="A173" s="54">
        <v>26</v>
      </c>
      <c r="B173" s="11" t="s">
        <v>126</v>
      </c>
      <c r="C173" s="18" t="s">
        <v>127</v>
      </c>
      <c r="D173" s="147">
        <v>11509</v>
      </c>
      <c r="E173" s="91" t="s">
        <v>2383</v>
      </c>
      <c r="F173" s="93" t="s">
        <v>2384</v>
      </c>
      <c r="G173" s="141" t="s">
        <v>563</v>
      </c>
      <c r="H173" s="142">
        <v>2022</v>
      </c>
      <c r="I173" s="143" t="s">
        <v>2615</v>
      </c>
      <c r="J173" s="170">
        <v>1</v>
      </c>
      <c r="K173" s="50">
        <v>2</v>
      </c>
      <c r="L173" s="49">
        <v>22230119</v>
      </c>
      <c r="M173" s="171" t="s">
        <v>200</v>
      </c>
      <c r="N173" s="104" t="s">
        <v>1060</v>
      </c>
      <c r="O173" s="161">
        <f>P173:P468</f>
        <v>40186</v>
      </c>
      <c r="P173" s="105">
        <v>40186</v>
      </c>
      <c r="Q173" s="162" t="s">
        <v>2385</v>
      </c>
      <c r="R173" s="44" t="s">
        <v>2386</v>
      </c>
      <c r="S173" s="172" t="s">
        <v>201</v>
      </c>
      <c r="T173" s="88" t="s">
        <v>2009</v>
      </c>
      <c r="U173" s="173">
        <v>33134</v>
      </c>
      <c r="V173" s="8" t="s">
        <v>2822</v>
      </c>
      <c r="W173" s="61" t="s">
        <v>3148</v>
      </c>
      <c r="X173" s="61" t="s">
        <v>3149</v>
      </c>
      <c r="Y173" s="160" t="s">
        <v>2823</v>
      </c>
      <c r="Z173" s="164" t="s">
        <v>3262</v>
      </c>
      <c r="AA173" s="176" t="s">
        <v>3150</v>
      </c>
      <c r="AB173" s="174"/>
      <c r="AC173" s="88" t="s">
        <v>2388</v>
      </c>
      <c r="AD173" s="287" t="s">
        <v>201</v>
      </c>
      <c r="AE173" s="103" t="s">
        <v>21</v>
      </c>
      <c r="AF173" s="114" t="s">
        <v>22</v>
      </c>
      <c r="AG173" s="288" t="s">
        <v>564</v>
      </c>
      <c r="AH173" s="104" t="s">
        <v>430</v>
      </c>
      <c r="AI173" s="286"/>
      <c r="AJ173" s="85" t="s">
        <v>2389</v>
      </c>
      <c r="AK173" s="287" t="s">
        <v>201</v>
      </c>
      <c r="AL173" s="290" t="s">
        <v>21</v>
      </c>
      <c r="AM173" s="291" t="s">
        <v>22</v>
      </c>
      <c r="AN173" s="291"/>
      <c r="AO173" s="289"/>
      <c r="AP173" s="290"/>
      <c r="AQ173" s="242" t="s">
        <v>2390</v>
      </c>
      <c r="AR173" s="242" t="s">
        <v>2391</v>
      </c>
      <c r="AS173" s="87" t="s">
        <v>51</v>
      </c>
      <c r="AT173" s="243">
        <v>31312</v>
      </c>
      <c r="AU173" s="243"/>
      <c r="AV173" s="242" t="s">
        <v>2392</v>
      </c>
      <c r="AW173" s="242" t="s">
        <v>2393</v>
      </c>
      <c r="AX173" s="243">
        <v>32076</v>
      </c>
      <c r="AY173" s="177"/>
      <c r="AZ173" s="291"/>
      <c r="BA173" s="287" t="s">
        <v>201</v>
      </c>
      <c r="BB173" s="290"/>
      <c r="BC173" s="291"/>
      <c r="BD173" s="291"/>
      <c r="BE173" s="290"/>
      <c r="BF173" s="292"/>
      <c r="BG173" s="293"/>
      <c r="BH173" s="245" t="s">
        <v>3308</v>
      </c>
      <c r="BI173" s="246">
        <v>1095601</v>
      </c>
      <c r="BJ173" s="164" t="s">
        <v>3301</v>
      </c>
      <c r="BK173" s="164" t="s">
        <v>3302</v>
      </c>
    </row>
    <row r="174" spans="1:63" s="54" customFormat="1" ht="52.5" customHeight="1" thickBot="1">
      <c r="A174" s="54">
        <v>1</v>
      </c>
      <c r="B174" s="20" t="s">
        <v>1804</v>
      </c>
      <c r="C174" s="11" t="s">
        <v>3283</v>
      </c>
      <c r="D174" s="131">
        <v>11206</v>
      </c>
      <c r="E174" s="91" t="s">
        <v>2005</v>
      </c>
      <c r="F174" s="92" t="s">
        <v>2006</v>
      </c>
      <c r="G174" s="141" t="s">
        <v>563</v>
      </c>
      <c r="H174" s="142">
        <v>2022</v>
      </c>
      <c r="I174" s="143" t="s">
        <v>2616</v>
      </c>
      <c r="J174" s="170">
        <v>1</v>
      </c>
      <c r="K174" s="50">
        <v>2</v>
      </c>
      <c r="L174" s="49">
        <v>22230117</v>
      </c>
      <c r="M174" s="171" t="s">
        <v>200</v>
      </c>
      <c r="N174" s="104" t="s">
        <v>2007</v>
      </c>
      <c r="O174" s="161">
        <f>P174:P472</f>
        <v>40157</v>
      </c>
      <c r="P174" s="105">
        <v>40157</v>
      </c>
      <c r="Q174" s="162" t="s">
        <v>1457</v>
      </c>
      <c r="R174" s="44" t="s">
        <v>2008</v>
      </c>
      <c r="S174" s="172" t="s">
        <v>201</v>
      </c>
      <c r="T174" s="88" t="s">
        <v>1799</v>
      </c>
      <c r="U174" s="173">
        <v>39124</v>
      </c>
      <c r="V174" s="8" t="s">
        <v>3151</v>
      </c>
      <c r="W174" s="61" t="s">
        <v>3152</v>
      </c>
      <c r="X174" s="61" t="s">
        <v>3153</v>
      </c>
      <c r="Y174" s="160" t="s">
        <v>63</v>
      </c>
      <c r="Z174" s="164" t="s">
        <v>3262</v>
      </c>
      <c r="AA174" s="176" t="s">
        <v>3154</v>
      </c>
      <c r="AB174" s="174"/>
      <c r="AC174" s="85" t="s">
        <v>2010</v>
      </c>
      <c r="AD174" s="287" t="s">
        <v>201</v>
      </c>
      <c r="AE174" s="290" t="s">
        <v>24</v>
      </c>
      <c r="AF174" s="291" t="s">
        <v>153</v>
      </c>
      <c r="AG174" s="288" t="s">
        <v>564</v>
      </c>
      <c r="AH174" s="289" t="s">
        <v>454</v>
      </c>
      <c r="AI174" s="286"/>
      <c r="AJ174" s="85" t="s">
        <v>2011</v>
      </c>
      <c r="AK174" s="287" t="s">
        <v>201</v>
      </c>
      <c r="AL174" s="290" t="s">
        <v>21</v>
      </c>
      <c r="AM174" s="291" t="s">
        <v>22</v>
      </c>
      <c r="AN174" s="291"/>
      <c r="AO174" s="289"/>
      <c r="AP174" s="290"/>
      <c r="AQ174" s="242"/>
      <c r="AR174" s="242"/>
      <c r="AS174" s="87"/>
      <c r="AT174" s="243"/>
      <c r="AU174" s="243"/>
      <c r="AV174" s="242"/>
      <c r="AW174" s="242"/>
      <c r="AX174" s="243"/>
      <c r="AY174" s="177"/>
      <c r="AZ174" s="291"/>
      <c r="BA174" s="287" t="s">
        <v>201</v>
      </c>
      <c r="BB174" s="290"/>
      <c r="BC174" s="291"/>
      <c r="BD174" s="291"/>
      <c r="BE174" s="290"/>
      <c r="BF174" s="292"/>
      <c r="BG174" s="293"/>
      <c r="BH174" s="247" t="s">
        <v>3309</v>
      </c>
      <c r="BI174" s="248">
        <v>1290946</v>
      </c>
      <c r="BJ174" s="164" t="s">
        <v>3301</v>
      </c>
      <c r="BK174" s="164" t="s">
        <v>3302</v>
      </c>
    </row>
    <row r="175" spans="1:63" s="54" customFormat="1" ht="52.5" customHeight="1" thickBot="1">
      <c r="A175" s="54">
        <v>2</v>
      </c>
      <c r="B175" s="113" t="s">
        <v>1785</v>
      </c>
      <c r="C175" s="11" t="s">
        <v>3283</v>
      </c>
      <c r="D175" s="140">
        <v>11229</v>
      </c>
      <c r="E175" s="91" t="s">
        <v>1900</v>
      </c>
      <c r="F175" s="92" t="s">
        <v>1901</v>
      </c>
      <c r="G175" s="141" t="s">
        <v>563</v>
      </c>
      <c r="H175" s="142">
        <v>2022</v>
      </c>
      <c r="I175" s="143" t="s">
        <v>2631</v>
      </c>
      <c r="J175" s="170">
        <v>1</v>
      </c>
      <c r="K175" s="50">
        <v>1</v>
      </c>
      <c r="L175" s="49">
        <v>22230042</v>
      </c>
      <c r="M175" s="171" t="s">
        <v>200</v>
      </c>
      <c r="N175" s="56" t="s">
        <v>48</v>
      </c>
      <c r="O175" s="161">
        <f>P175:P175</f>
        <v>40247</v>
      </c>
      <c r="P175" s="163">
        <v>40247</v>
      </c>
      <c r="Q175" s="162" t="s">
        <v>1039</v>
      </c>
      <c r="R175" s="44" t="s">
        <v>1902</v>
      </c>
      <c r="S175" s="172" t="s">
        <v>201</v>
      </c>
      <c r="T175" s="164" t="s">
        <v>1911</v>
      </c>
      <c r="U175" s="173">
        <v>70249</v>
      </c>
      <c r="V175" s="8" t="s">
        <v>3196</v>
      </c>
      <c r="W175" s="61" t="s">
        <v>3128</v>
      </c>
      <c r="X175" s="61" t="s">
        <v>48</v>
      </c>
      <c r="Y175" s="160" t="s">
        <v>49</v>
      </c>
      <c r="Z175" s="164" t="s">
        <v>3262</v>
      </c>
      <c r="AA175" s="176" t="s">
        <v>3197</v>
      </c>
      <c r="AB175" s="174"/>
      <c r="AC175" s="88" t="s">
        <v>1904</v>
      </c>
      <c r="AD175" s="287" t="s">
        <v>201</v>
      </c>
      <c r="AE175" s="103" t="s">
        <v>30</v>
      </c>
      <c r="AF175" s="114" t="s">
        <v>153</v>
      </c>
      <c r="AG175" s="288" t="s">
        <v>564</v>
      </c>
      <c r="AH175" s="104" t="s">
        <v>442</v>
      </c>
      <c r="AI175" s="286"/>
      <c r="AJ175" s="85" t="s">
        <v>1905</v>
      </c>
      <c r="AK175" s="287" t="s">
        <v>201</v>
      </c>
      <c r="AL175" s="290" t="s">
        <v>21</v>
      </c>
      <c r="AM175" s="291" t="s">
        <v>276</v>
      </c>
      <c r="AN175" s="291"/>
      <c r="AO175" s="289"/>
      <c r="AP175" s="290"/>
      <c r="AQ175" s="242" t="s">
        <v>1906</v>
      </c>
      <c r="AR175" s="242" t="s">
        <v>1907</v>
      </c>
      <c r="AS175" s="87" t="s">
        <v>48</v>
      </c>
      <c r="AT175" s="243">
        <v>28871</v>
      </c>
      <c r="AU175" s="243"/>
      <c r="AV175" s="242" t="s">
        <v>1908</v>
      </c>
      <c r="AW175" s="242" t="s">
        <v>48</v>
      </c>
      <c r="AX175" s="243">
        <v>28846</v>
      </c>
      <c r="AY175" s="177"/>
      <c r="AZ175" s="291"/>
      <c r="BA175" s="287" t="s">
        <v>201</v>
      </c>
      <c r="BB175" s="290"/>
      <c r="BC175" s="291"/>
      <c r="BD175" s="291"/>
      <c r="BE175" s="290"/>
      <c r="BF175" s="292"/>
      <c r="BG175" s="293"/>
      <c r="BH175" s="247" t="s">
        <v>3309</v>
      </c>
      <c r="BI175" s="248">
        <v>1290946</v>
      </c>
      <c r="BJ175" s="164" t="s">
        <v>3301</v>
      </c>
      <c r="BK175" s="164" t="s">
        <v>3302</v>
      </c>
    </row>
    <row r="176" spans="1:63" s="54" customFormat="1" ht="52.5" customHeight="1" thickBot="1">
      <c r="A176" s="54">
        <v>3</v>
      </c>
      <c r="B176" s="113" t="s">
        <v>1785</v>
      </c>
      <c r="C176" s="11" t="s">
        <v>3283</v>
      </c>
      <c r="D176" s="140">
        <v>11236</v>
      </c>
      <c r="E176" s="91" t="s">
        <v>2444</v>
      </c>
      <c r="F176" s="93" t="s">
        <v>1909</v>
      </c>
      <c r="G176" s="141" t="s">
        <v>563</v>
      </c>
      <c r="H176" s="142">
        <v>2022</v>
      </c>
      <c r="I176" s="143" t="s">
        <v>2632</v>
      </c>
      <c r="J176" s="170"/>
      <c r="K176" s="50"/>
      <c r="L176" s="49">
        <v>22230119</v>
      </c>
      <c r="M176" s="171" t="s">
        <v>200</v>
      </c>
      <c r="N176" s="56" t="s">
        <v>3198</v>
      </c>
      <c r="O176" s="161">
        <f>P176:P176</f>
        <v>39789</v>
      </c>
      <c r="P176" s="163">
        <v>39789</v>
      </c>
      <c r="Q176" s="161" t="s">
        <v>1910</v>
      </c>
      <c r="R176" s="44"/>
      <c r="S176" s="172" t="s">
        <v>201</v>
      </c>
      <c r="T176" s="164" t="s">
        <v>1829</v>
      </c>
      <c r="U176" s="173">
        <v>62275</v>
      </c>
      <c r="V176" s="61" t="s">
        <v>3199</v>
      </c>
      <c r="W176" s="61" t="s">
        <v>3200</v>
      </c>
      <c r="X176" s="61" t="s">
        <v>3201</v>
      </c>
      <c r="Y176" s="160" t="s">
        <v>3202</v>
      </c>
      <c r="Z176" s="164" t="s">
        <v>3262</v>
      </c>
      <c r="AA176" s="176" t="s">
        <v>3203</v>
      </c>
      <c r="AB176" s="174"/>
      <c r="AC176" s="88" t="s">
        <v>1912</v>
      </c>
      <c r="AD176" s="287" t="s">
        <v>201</v>
      </c>
      <c r="AE176" s="103" t="s">
        <v>24</v>
      </c>
      <c r="AF176" s="114" t="s">
        <v>154</v>
      </c>
      <c r="AG176" s="288" t="s">
        <v>564</v>
      </c>
      <c r="AH176" s="104" t="s">
        <v>443</v>
      </c>
      <c r="AI176" s="286"/>
      <c r="AJ176" s="85" t="s">
        <v>1528</v>
      </c>
      <c r="AK176" s="287" t="s">
        <v>201</v>
      </c>
      <c r="AL176" s="290" t="s">
        <v>45</v>
      </c>
      <c r="AM176" s="291" t="s">
        <v>154</v>
      </c>
      <c r="AN176" s="291"/>
      <c r="AO176" s="289"/>
      <c r="AP176" s="290"/>
      <c r="AQ176" s="242" t="s">
        <v>1913</v>
      </c>
      <c r="AR176" s="242" t="s">
        <v>1914</v>
      </c>
      <c r="AS176" s="87" t="s">
        <v>55</v>
      </c>
      <c r="AT176" s="243">
        <v>25184</v>
      </c>
      <c r="AU176" s="243"/>
      <c r="AV176" s="242" t="s">
        <v>1915</v>
      </c>
      <c r="AW176" s="242" t="s">
        <v>55</v>
      </c>
      <c r="AX176" s="243">
        <v>28816</v>
      </c>
      <c r="AY176" s="177"/>
      <c r="AZ176" s="291"/>
      <c r="BA176" s="287" t="s">
        <v>201</v>
      </c>
      <c r="BB176" s="290"/>
      <c r="BC176" s="291"/>
      <c r="BD176" s="291"/>
      <c r="BE176" s="290"/>
      <c r="BF176" s="292"/>
      <c r="BG176" s="293"/>
      <c r="BH176" s="247" t="s">
        <v>3309</v>
      </c>
      <c r="BI176" s="248">
        <v>1290946</v>
      </c>
      <c r="BJ176" s="164" t="s">
        <v>3301</v>
      </c>
      <c r="BK176" s="164" t="s">
        <v>3302</v>
      </c>
    </row>
    <row r="177" spans="1:63" s="54" customFormat="1" ht="52.5" customHeight="1" thickBot="1">
      <c r="A177" s="54">
        <v>4</v>
      </c>
      <c r="B177" s="113" t="s">
        <v>1785</v>
      </c>
      <c r="C177" s="11" t="s">
        <v>3283</v>
      </c>
      <c r="D177" s="140">
        <v>11278</v>
      </c>
      <c r="E177" s="91" t="s">
        <v>1824</v>
      </c>
      <c r="F177" s="93" t="s">
        <v>1825</v>
      </c>
      <c r="G177" s="141" t="s">
        <v>563</v>
      </c>
      <c r="H177" s="142">
        <v>2022</v>
      </c>
      <c r="I177" s="143" t="s">
        <v>2647</v>
      </c>
      <c r="J177" s="170">
        <v>3</v>
      </c>
      <c r="K177" s="50">
        <v>2</v>
      </c>
      <c r="L177" s="49">
        <v>22230039</v>
      </c>
      <c r="M177" s="171" t="s">
        <v>200</v>
      </c>
      <c r="N177" s="104" t="s">
        <v>1826</v>
      </c>
      <c r="O177" s="161">
        <f>P177:P177</f>
        <v>40156</v>
      </c>
      <c r="P177" s="105">
        <v>40156</v>
      </c>
      <c r="Q177" s="162" t="s">
        <v>1827</v>
      </c>
      <c r="R177" s="44" t="s">
        <v>1828</v>
      </c>
      <c r="S177" s="172" t="s">
        <v>201</v>
      </c>
      <c r="T177" s="88" t="s">
        <v>1939</v>
      </c>
      <c r="U177" s="173">
        <v>16426</v>
      </c>
      <c r="V177" s="8" t="s">
        <v>3239</v>
      </c>
      <c r="W177" s="61" t="s">
        <v>3240</v>
      </c>
      <c r="X177" s="61" t="s">
        <v>1826</v>
      </c>
      <c r="Y177" s="160" t="s">
        <v>39</v>
      </c>
      <c r="Z177" s="164" t="s">
        <v>3262</v>
      </c>
      <c r="AA177" s="176" t="s">
        <v>3241</v>
      </c>
      <c r="AB177" s="174"/>
      <c r="AC177" s="88" t="s">
        <v>1830</v>
      </c>
      <c r="AD177" s="287" t="s">
        <v>201</v>
      </c>
      <c r="AE177" s="103" t="s">
        <v>21</v>
      </c>
      <c r="AF177" s="114" t="s">
        <v>154</v>
      </c>
      <c r="AG177" s="288" t="s">
        <v>564</v>
      </c>
      <c r="AH177" s="104" t="s">
        <v>444</v>
      </c>
      <c r="AI177" s="286"/>
      <c r="AJ177" s="85" t="s">
        <v>1831</v>
      </c>
      <c r="AK177" s="287" t="s">
        <v>201</v>
      </c>
      <c r="AL177" s="290" t="s">
        <v>21</v>
      </c>
      <c r="AM177" s="291" t="s">
        <v>490</v>
      </c>
      <c r="AN177" s="291"/>
      <c r="AO177" s="289"/>
      <c r="AP177" s="290"/>
      <c r="AQ177" s="242" t="s">
        <v>1832</v>
      </c>
      <c r="AR177" s="242" t="s">
        <v>1833</v>
      </c>
      <c r="AS177" s="87" t="s">
        <v>26</v>
      </c>
      <c r="AT177" s="243">
        <v>24778</v>
      </c>
      <c r="AU177" s="243"/>
      <c r="AV177" s="242" t="s">
        <v>1834</v>
      </c>
      <c r="AW177" s="242" t="s">
        <v>26</v>
      </c>
      <c r="AX177" s="243">
        <v>27107</v>
      </c>
      <c r="AY177" s="177"/>
      <c r="AZ177" s="291"/>
      <c r="BA177" s="287" t="s">
        <v>201</v>
      </c>
      <c r="BB177" s="290"/>
      <c r="BC177" s="291"/>
      <c r="BD177" s="291"/>
      <c r="BE177" s="290"/>
      <c r="BF177" s="292"/>
      <c r="BG177" s="293"/>
      <c r="BH177" s="247" t="s">
        <v>3309</v>
      </c>
      <c r="BI177" s="248">
        <v>1290946</v>
      </c>
      <c r="BJ177" s="164" t="s">
        <v>3301</v>
      </c>
      <c r="BK177" s="164" t="s">
        <v>3302</v>
      </c>
    </row>
    <row r="178" spans="1:63" s="54" customFormat="1" ht="52.5" customHeight="1" thickBot="1">
      <c r="A178" s="54">
        <v>5</v>
      </c>
      <c r="B178" s="20" t="s">
        <v>1804</v>
      </c>
      <c r="C178" s="11" t="s">
        <v>3283</v>
      </c>
      <c r="D178" s="140">
        <v>11299</v>
      </c>
      <c r="E178" s="91" t="s">
        <v>2023</v>
      </c>
      <c r="F178" s="93" t="s">
        <v>2024</v>
      </c>
      <c r="G178" s="141" t="s">
        <v>563</v>
      </c>
      <c r="H178" s="142">
        <v>2022</v>
      </c>
      <c r="I178" s="143" t="s">
        <v>2618</v>
      </c>
      <c r="J178" s="170">
        <v>1</v>
      </c>
      <c r="K178" s="50">
        <v>3</v>
      </c>
      <c r="L178" s="49">
        <v>22230028</v>
      </c>
      <c r="M178" s="171" t="s">
        <v>200</v>
      </c>
      <c r="N178" s="104" t="s">
        <v>64</v>
      </c>
      <c r="O178" s="161">
        <f>P178:P474</f>
        <v>40489</v>
      </c>
      <c r="P178" s="105">
        <v>40489</v>
      </c>
      <c r="Q178" s="162" t="s">
        <v>2025</v>
      </c>
      <c r="R178" s="46" t="s">
        <v>2026</v>
      </c>
      <c r="S178" s="172" t="s">
        <v>201</v>
      </c>
      <c r="T178" s="88" t="s">
        <v>2690</v>
      </c>
      <c r="U178" s="173">
        <v>51281</v>
      </c>
      <c r="V178" s="8" t="s">
        <v>3158</v>
      </c>
      <c r="W178" s="61" t="s">
        <v>3159</v>
      </c>
      <c r="X178" s="61" t="s">
        <v>64</v>
      </c>
      <c r="Y178" s="160" t="s">
        <v>28</v>
      </c>
      <c r="Z178" s="164" t="s">
        <v>3262</v>
      </c>
      <c r="AA178" s="176" t="s">
        <v>3160</v>
      </c>
      <c r="AB178" s="174"/>
      <c r="AC178" s="88" t="s">
        <v>2027</v>
      </c>
      <c r="AD178" s="287" t="s">
        <v>201</v>
      </c>
      <c r="AE178" s="103" t="s">
        <v>21</v>
      </c>
      <c r="AF178" s="114" t="s">
        <v>153</v>
      </c>
      <c r="AG178" s="288" t="s">
        <v>564</v>
      </c>
      <c r="AH178" s="104" t="s">
        <v>459</v>
      </c>
      <c r="AI178" s="286"/>
      <c r="AJ178" s="85" t="s">
        <v>2028</v>
      </c>
      <c r="AK178" s="287" t="s">
        <v>201</v>
      </c>
      <c r="AL178" s="290" t="s">
        <v>21</v>
      </c>
      <c r="AM178" s="291" t="s">
        <v>154</v>
      </c>
      <c r="AN178" s="291"/>
      <c r="AO178" s="289"/>
      <c r="AP178" s="290"/>
      <c r="AQ178" s="242" t="s">
        <v>2029</v>
      </c>
      <c r="AR178" s="242" t="s">
        <v>2030</v>
      </c>
      <c r="AS178" s="87" t="s">
        <v>83</v>
      </c>
      <c r="AT178" s="243">
        <v>30671</v>
      </c>
      <c r="AU178" s="243"/>
      <c r="AV178" s="242" t="s">
        <v>2031</v>
      </c>
      <c r="AW178" s="242" t="s">
        <v>64</v>
      </c>
      <c r="AX178" s="243">
        <v>30610</v>
      </c>
      <c r="AY178" s="177"/>
      <c r="AZ178" s="291"/>
      <c r="BA178" s="287" t="s">
        <v>201</v>
      </c>
      <c r="BB178" s="290"/>
      <c r="BC178" s="291"/>
      <c r="BD178" s="291"/>
      <c r="BE178" s="290"/>
      <c r="BF178" s="292"/>
      <c r="BG178" s="293"/>
      <c r="BH178" s="247" t="s">
        <v>3309</v>
      </c>
      <c r="BI178" s="248">
        <v>1290946</v>
      </c>
      <c r="BJ178" s="164" t="s">
        <v>3301</v>
      </c>
      <c r="BK178" s="164" t="s">
        <v>3302</v>
      </c>
    </row>
    <row r="179" spans="1:63" s="54" customFormat="1" ht="52.5" customHeight="1" thickBot="1">
      <c r="A179" s="54">
        <v>6</v>
      </c>
      <c r="B179" s="113" t="s">
        <v>1785</v>
      </c>
      <c r="C179" s="11" t="s">
        <v>3283</v>
      </c>
      <c r="D179" s="140">
        <v>11322</v>
      </c>
      <c r="E179" s="91" t="s">
        <v>2032</v>
      </c>
      <c r="F179" s="93" t="s">
        <v>2033</v>
      </c>
      <c r="G179" s="141" t="s">
        <v>563</v>
      </c>
      <c r="H179" s="142">
        <v>2022</v>
      </c>
      <c r="I179" s="143" t="s">
        <v>2619</v>
      </c>
      <c r="J179" s="170">
        <v>2</v>
      </c>
      <c r="K179" s="50">
        <v>2</v>
      </c>
      <c r="L179" s="49">
        <v>22230157</v>
      </c>
      <c r="M179" s="171" t="s">
        <v>200</v>
      </c>
      <c r="N179" s="56" t="s">
        <v>41</v>
      </c>
      <c r="O179" s="161">
        <f>P179:P474</f>
        <v>40025</v>
      </c>
      <c r="P179" s="163">
        <v>40025</v>
      </c>
      <c r="Q179" s="162" t="s">
        <v>2034</v>
      </c>
      <c r="R179" s="44" t="s">
        <v>2035</v>
      </c>
      <c r="S179" s="172" t="s">
        <v>201</v>
      </c>
      <c r="T179" s="164" t="s">
        <v>2691</v>
      </c>
      <c r="U179" s="173">
        <v>16517</v>
      </c>
      <c r="V179" s="8" t="s">
        <v>3161</v>
      </c>
      <c r="W179" s="61" t="s">
        <v>3162</v>
      </c>
      <c r="X179" s="61" t="s">
        <v>3163</v>
      </c>
      <c r="Y179" s="160" t="s">
        <v>3164</v>
      </c>
      <c r="Z179" s="164" t="s">
        <v>3262</v>
      </c>
      <c r="AA179" s="176" t="s">
        <v>3033</v>
      </c>
      <c r="AB179" s="174"/>
      <c r="AC179" s="88" t="s">
        <v>2036</v>
      </c>
      <c r="AD179" s="287" t="s">
        <v>201</v>
      </c>
      <c r="AE179" s="103" t="s">
        <v>67</v>
      </c>
      <c r="AF179" s="114" t="s">
        <v>158</v>
      </c>
      <c r="AG179" s="288" t="s">
        <v>564</v>
      </c>
      <c r="AH179" s="104" t="s">
        <v>445</v>
      </c>
      <c r="AI179" s="346"/>
      <c r="AJ179" s="85" t="s">
        <v>2037</v>
      </c>
      <c r="AK179" s="287" t="s">
        <v>201</v>
      </c>
      <c r="AL179" s="290" t="s">
        <v>21</v>
      </c>
      <c r="AM179" s="291" t="s">
        <v>276</v>
      </c>
      <c r="AN179" s="291"/>
      <c r="AO179" s="289"/>
      <c r="AP179" s="290"/>
      <c r="AQ179" s="242" t="s">
        <v>2038</v>
      </c>
      <c r="AR179" s="242" t="s">
        <v>2039</v>
      </c>
      <c r="AS179" s="87" t="s">
        <v>26</v>
      </c>
      <c r="AT179" s="243">
        <v>29529</v>
      </c>
      <c r="AU179" s="243"/>
      <c r="AV179" s="242" t="s">
        <v>2040</v>
      </c>
      <c r="AW179" s="242" t="s">
        <v>26</v>
      </c>
      <c r="AX179" s="243">
        <v>29601</v>
      </c>
      <c r="AY179" s="177"/>
      <c r="AZ179" s="291"/>
      <c r="BA179" s="287" t="s">
        <v>201</v>
      </c>
      <c r="BB179" s="290"/>
      <c r="BC179" s="291"/>
      <c r="BD179" s="291"/>
      <c r="BE179" s="290"/>
      <c r="BF179" s="292"/>
      <c r="BG179" s="293"/>
      <c r="BH179" s="247" t="s">
        <v>3309</v>
      </c>
      <c r="BI179" s="248">
        <v>1290946</v>
      </c>
      <c r="BJ179" s="164" t="s">
        <v>3301</v>
      </c>
      <c r="BK179" s="164" t="s">
        <v>3302</v>
      </c>
    </row>
    <row r="180" spans="1:63" s="54" customFormat="1" ht="52.5" customHeight="1" thickBot="1">
      <c r="A180" s="54">
        <v>7</v>
      </c>
      <c r="B180" s="20" t="s">
        <v>1804</v>
      </c>
      <c r="C180" s="11" t="s">
        <v>3283</v>
      </c>
      <c r="D180" s="140">
        <v>11332</v>
      </c>
      <c r="E180" s="91" t="s">
        <v>2049</v>
      </c>
      <c r="F180" s="93" t="s">
        <v>2050</v>
      </c>
      <c r="G180" s="141" t="s">
        <v>563</v>
      </c>
      <c r="H180" s="142">
        <v>2022</v>
      </c>
      <c r="I180" s="143" t="s">
        <v>2621</v>
      </c>
      <c r="J180" s="170">
        <v>1</v>
      </c>
      <c r="K180" s="50">
        <v>1</v>
      </c>
      <c r="L180" s="49">
        <v>22230194</v>
      </c>
      <c r="M180" s="171" t="s">
        <v>200</v>
      </c>
      <c r="N180" s="56" t="s">
        <v>103</v>
      </c>
      <c r="O180" s="161">
        <f>P180:P477</f>
        <v>40056</v>
      </c>
      <c r="P180" s="163">
        <v>40056</v>
      </c>
      <c r="Q180" s="162" t="s">
        <v>2051</v>
      </c>
      <c r="R180" s="46" t="s">
        <v>2052</v>
      </c>
      <c r="S180" s="172" t="s">
        <v>201</v>
      </c>
      <c r="T180" s="164" t="s">
        <v>1844</v>
      </c>
      <c r="U180" s="173">
        <v>56100</v>
      </c>
      <c r="V180" s="8" t="s">
        <v>3168</v>
      </c>
      <c r="W180" s="61" t="s">
        <v>3169</v>
      </c>
      <c r="X180" s="61" t="s">
        <v>103</v>
      </c>
      <c r="Y180" s="160" t="s">
        <v>28</v>
      </c>
      <c r="Z180" s="164" t="s">
        <v>3262</v>
      </c>
      <c r="AA180" s="176" t="s">
        <v>3170</v>
      </c>
      <c r="AB180" s="211"/>
      <c r="AC180" s="347" t="s">
        <v>2053</v>
      </c>
      <c r="AD180" s="335" t="s">
        <v>201</v>
      </c>
      <c r="AE180" s="348" t="s">
        <v>21</v>
      </c>
      <c r="AF180" s="349" t="s">
        <v>153</v>
      </c>
      <c r="AG180" s="288" t="s">
        <v>564</v>
      </c>
      <c r="AH180" s="104" t="s">
        <v>461</v>
      </c>
      <c r="AI180" s="286"/>
      <c r="AJ180" s="85" t="s">
        <v>2054</v>
      </c>
      <c r="AK180" s="287" t="s">
        <v>201</v>
      </c>
      <c r="AL180" s="290" t="s">
        <v>21</v>
      </c>
      <c r="AM180" s="291" t="s">
        <v>490</v>
      </c>
      <c r="AN180" s="291"/>
      <c r="AO180" s="289"/>
      <c r="AP180" s="290"/>
      <c r="AQ180" s="242" t="s">
        <v>2055</v>
      </c>
      <c r="AR180" s="242" t="s">
        <v>2056</v>
      </c>
      <c r="AS180" s="87" t="s">
        <v>103</v>
      </c>
      <c r="AT180" s="243">
        <v>30369</v>
      </c>
      <c r="AU180" s="243"/>
      <c r="AV180" s="242" t="s">
        <v>2057</v>
      </c>
      <c r="AW180" s="242" t="s">
        <v>34</v>
      </c>
      <c r="AX180" s="243">
        <v>30278</v>
      </c>
      <c r="AY180" s="177"/>
      <c r="AZ180" s="291"/>
      <c r="BA180" s="287" t="s">
        <v>201</v>
      </c>
      <c r="BB180" s="290"/>
      <c r="BC180" s="291"/>
      <c r="BD180" s="291"/>
      <c r="BE180" s="290"/>
      <c r="BF180" s="292"/>
      <c r="BG180" s="293"/>
      <c r="BH180" s="247" t="s">
        <v>3309</v>
      </c>
      <c r="BI180" s="248">
        <v>1290946</v>
      </c>
      <c r="BJ180" s="164" t="s">
        <v>3301</v>
      </c>
      <c r="BK180" s="164" t="s">
        <v>3302</v>
      </c>
    </row>
    <row r="181" spans="1:63" s="54" customFormat="1" ht="52.5" customHeight="1" thickBot="1">
      <c r="A181" s="54">
        <v>8</v>
      </c>
      <c r="B181" s="113" t="s">
        <v>1785</v>
      </c>
      <c r="C181" s="11" t="s">
        <v>3283</v>
      </c>
      <c r="D181" s="126">
        <v>11353</v>
      </c>
      <c r="E181" s="91" t="s">
        <v>1942</v>
      </c>
      <c r="F181" s="93" t="s">
        <v>1943</v>
      </c>
      <c r="G181" s="141" t="s">
        <v>563</v>
      </c>
      <c r="H181" s="142">
        <v>2022</v>
      </c>
      <c r="I181" s="143" t="s">
        <v>2636</v>
      </c>
      <c r="J181" s="170">
        <v>1</v>
      </c>
      <c r="K181" s="50">
        <v>1</v>
      </c>
      <c r="L181" s="49">
        <v>22230083</v>
      </c>
      <c r="M181" s="171" t="s">
        <v>200</v>
      </c>
      <c r="N181" s="56" t="s">
        <v>23</v>
      </c>
      <c r="O181" s="161">
        <f t="shared" ref="O181:O193" si="0">P181:P181</f>
        <v>40350</v>
      </c>
      <c r="P181" s="163">
        <v>40350</v>
      </c>
      <c r="Q181" s="162" t="s">
        <v>1944</v>
      </c>
      <c r="R181" s="44" t="s">
        <v>1945</v>
      </c>
      <c r="S181" s="172" t="s">
        <v>201</v>
      </c>
      <c r="T181" s="164" t="s">
        <v>2696</v>
      </c>
      <c r="U181" s="173">
        <v>55162</v>
      </c>
      <c r="V181" s="8" t="s">
        <v>477</v>
      </c>
      <c r="W181" s="61" t="s">
        <v>476</v>
      </c>
      <c r="X181" s="61" t="s">
        <v>23</v>
      </c>
      <c r="Y181" s="160" t="s">
        <v>20</v>
      </c>
      <c r="Z181" s="164" t="s">
        <v>3262</v>
      </c>
      <c r="AA181" s="176" t="s">
        <v>2725</v>
      </c>
      <c r="AB181" s="174"/>
      <c r="AC181" s="88" t="s">
        <v>1946</v>
      </c>
      <c r="AD181" s="287" t="s">
        <v>201</v>
      </c>
      <c r="AE181" s="103" t="s">
        <v>24</v>
      </c>
      <c r="AF181" s="114" t="s">
        <v>153</v>
      </c>
      <c r="AG181" s="304" t="s">
        <v>566</v>
      </c>
      <c r="AH181" s="104" t="s">
        <v>449</v>
      </c>
      <c r="AI181" s="286"/>
      <c r="AJ181" s="85" t="s">
        <v>1947</v>
      </c>
      <c r="AK181" s="287" t="s">
        <v>201</v>
      </c>
      <c r="AL181" s="290" t="s">
        <v>21</v>
      </c>
      <c r="AM181" s="291" t="s">
        <v>155</v>
      </c>
      <c r="AN181" s="291"/>
      <c r="AO181" s="289"/>
      <c r="AP181" s="290"/>
      <c r="AQ181" s="242" t="s">
        <v>1948</v>
      </c>
      <c r="AR181" s="242" t="s">
        <v>1949</v>
      </c>
      <c r="AS181" s="87" t="s">
        <v>23</v>
      </c>
      <c r="AT181" s="243">
        <v>28365</v>
      </c>
      <c r="AU181" s="243"/>
      <c r="AV181" s="242" t="s">
        <v>1950</v>
      </c>
      <c r="AW181" s="242" t="s">
        <v>58</v>
      </c>
      <c r="AX181" s="243">
        <v>30433</v>
      </c>
      <c r="AY181" s="177"/>
      <c r="AZ181" s="291"/>
      <c r="BA181" s="287" t="s">
        <v>201</v>
      </c>
      <c r="BB181" s="290"/>
      <c r="BC181" s="291"/>
      <c r="BD181" s="291"/>
      <c r="BE181" s="290"/>
      <c r="BF181" s="292"/>
      <c r="BG181" s="293"/>
      <c r="BH181" s="247" t="s">
        <v>3309</v>
      </c>
      <c r="BI181" s="248">
        <v>1290946</v>
      </c>
      <c r="BJ181" s="164" t="s">
        <v>3301</v>
      </c>
      <c r="BK181" s="164" t="s">
        <v>3302</v>
      </c>
    </row>
    <row r="182" spans="1:63" s="54" customFormat="1" ht="52.5" customHeight="1" thickBot="1">
      <c r="A182" s="54">
        <v>9</v>
      </c>
      <c r="B182" s="17" t="s">
        <v>1870</v>
      </c>
      <c r="C182" s="11" t="s">
        <v>3283</v>
      </c>
      <c r="D182" s="140">
        <v>11376</v>
      </c>
      <c r="E182" s="91" t="s">
        <v>1951</v>
      </c>
      <c r="F182" s="93" t="s">
        <v>1952</v>
      </c>
      <c r="G182" s="141" t="s">
        <v>563</v>
      </c>
      <c r="H182" s="142">
        <v>2022</v>
      </c>
      <c r="I182" s="143" t="s">
        <v>2637</v>
      </c>
      <c r="J182" s="170">
        <v>2</v>
      </c>
      <c r="K182" s="50">
        <v>1</v>
      </c>
      <c r="L182" s="49">
        <v>22230209</v>
      </c>
      <c r="M182" s="171" t="s">
        <v>200</v>
      </c>
      <c r="N182" s="56" t="s">
        <v>52</v>
      </c>
      <c r="O182" s="161">
        <f t="shared" si="0"/>
        <v>40203</v>
      </c>
      <c r="P182" s="163">
        <v>40203</v>
      </c>
      <c r="Q182" s="162" t="s">
        <v>1702</v>
      </c>
      <c r="R182" s="44" t="s">
        <v>1953</v>
      </c>
      <c r="S182" s="172" t="s">
        <v>201</v>
      </c>
      <c r="T182" s="164" t="s">
        <v>2070</v>
      </c>
      <c r="U182" s="173">
        <v>50254</v>
      </c>
      <c r="V182" s="8" t="s">
        <v>3212</v>
      </c>
      <c r="W182" s="61" t="s">
        <v>3213</v>
      </c>
      <c r="X182" s="61" t="s">
        <v>40</v>
      </c>
      <c r="Y182" s="160" t="s">
        <v>28</v>
      </c>
      <c r="Z182" s="164" t="s">
        <v>3262</v>
      </c>
      <c r="AA182" s="176" t="s">
        <v>3214</v>
      </c>
      <c r="AB182" s="174"/>
      <c r="AC182" s="88" t="s">
        <v>1955</v>
      </c>
      <c r="AD182" s="287" t="s">
        <v>201</v>
      </c>
      <c r="AE182" s="103" t="s">
        <v>21</v>
      </c>
      <c r="AF182" s="114" t="s">
        <v>154</v>
      </c>
      <c r="AG182" s="288" t="s">
        <v>564</v>
      </c>
      <c r="AH182" s="104" t="s">
        <v>433</v>
      </c>
      <c r="AI182" s="286"/>
      <c r="AJ182" s="85" t="s">
        <v>1956</v>
      </c>
      <c r="AK182" s="287" t="s">
        <v>201</v>
      </c>
      <c r="AL182" s="290" t="s">
        <v>21</v>
      </c>
      <c r="AM182" s="291" t="s">
        <v>1724</v>
      </c>
      <c r="AN182" s="291"/>
      <c r="AO182" s="86"/>
      <c r="AP182" s="290"/>
      <c r="AQ182" s="242" t="s">
        <v>1957</v>
      </c>
      <c r="AR182" s="242"/>
      <c r="AS182" s="87"/>
      <c r="AT182" s="243"/>
      <c r="AU182" s="243"/>
      <c r="AV182" s="242" t="s">
        <v>1958</v>
      </c>
      <c r="AW182" s="242" t="s">
        <v>246</v>
      </c>
      <c r="AX182" s="243">
        <v>25192</v>
      </c>
      <c r="AY182" s="177"/>
      <c r="AZ182" s="291"/>
      <c r="BA182" s="287" t="s">
        <v>201</v>
      </c>
      <c r="BB182" s="290"/>
      <c r="BC182" s="291"/>
      <c r="BD182" s="291"/>
      <c r="BE182" s="290"/>
      <c r="BF182" s="292"/>
      <c r="BG182" s="293"/>
      <c r="BH182" s="247" t="s">
        <v>3309</v>
      </c>
      <c r="BI182" s="248">
        <v>1290946</v>
      </c>
      <c r="BJ182" s="164" t="s">
        <v>3301</v>
      </c>
      <c r="BK182" s="164" t="s">
        <v>3302</v>
      </c>
    </row>
    <row r="183" spans="1:63" s="54" customFormat="1" ht="52.5" customHeight="1" thickBot="1">
      <c r="A183" s="54">
        <v>10</v>
      </c>
      <c r="B183" s="113" t="s">
        <v>1785</v>
      </c>
      <c r="C183" s="11" t="s">
        <v>3283</v>
      </c>
      <c r="D183" s="140">
        <v>11386</v>
      </c>
      <c r="E183" s="91" t="s">
        <v>1860</v>
      </c>
      <c r="F183" s="94" t="s">
        <v>1861</v>
      </c>
      <c r="G183" s="141" t="s">
        <v>563</v>
      </c>
      <c r="H183" s="142">
        <v>2022</v>
      </c>
      <c r="I183" s="143" t="s">
        <v>2651</v>
      </c>
      <c r="J183" s="170">
        <v>1</v>
      </c>
      <c r="K183" s="50">
        <v>1</v>
      </c>
      <c r="L183" s="49">
        <v>22230172</v>
      </c>
      <c r="M183" s="171" t="s">
        <v>200</v>
      </c>
      <c r="N183" s="56" t="s">
        <v>103</v>
      </c>
      <c r="O183" s="161">
        <f t="shared" si="0"/>
        <v>39949</v>
      </c>
      <c r="P183" s="163">
        <v>39949</v>
      </c>
      <c r="Q183" s="162" t="s">
        <v>1862</v>
      </c>
      <c r="R183" s="44" t="s">
        <v>1863</v>
      </c>
      <c r="S183" s="172" t="s">
        <v>201</v>
      </c>
      <c r="T183" s="164" t="s">
        <v>2697</v>
      </c>
      <c r="U183" s="173">
        <v>55183</v>
      </c>
      <c r="V183" s="8" t="s">
        <v>3251</v>
      </c>
      <c r="W183" s="61" t="s">
        <v>3039</v>
      </c>
      <c r="X183" s="61" t="s">
        <v>19</v>
      </c>
      <c r="Y183" s="160" t="s">
        <v>20</v>
      </c>
      <c r="Z183" s="164" t="s">
        <v>3262</v>
      </c>
      <c r="AA183" s="176" t="s">
        <v>3252</v>
      </c>
      <c r="AB183" s="174"/>
      <c r="AC183" s="88" t="s">
        <v>1865</v>
      </c>
      <c r="AD183" s="287" t="s">
        <v>201</v>
      </c>
      <c r="AE183" s="103" t="s">
        <v>24</v>
      </c>
      <c r="AF183" s="114" t="s">
        <v>154</v>
      </c>
      <c r="AG183" s="288" t="s">
        <v>564</v>
      </c>
      <c r="AH183" s="104"/>
      <c r="AI183" s="286"/>
      <c r="AJ183" s="85" t="s">
        <v>1866</v>
      </c>
      <c r="AK183" s="287" t="s">
        <v>201</v>
      </c>
      <c r="AL183" s="290" t="s">
        <v>220</v>
      </c>
      <c r="AM183" s="291" t="s">
        <v>154</v>
      </c>
      <c r="AN183" s="291"/>
      <c r="AO183" s="289" t="s">
        <v>450</v>
      </c>
      <c r="AP183" s="290"/>
      <c r="AQ183" s="242" t="s">
        <v>1867</v>
      </c>
      <c r="AR183" s="242" t="s">
        <v>1868</v>
      </c>
      <c r="AS183" s="87" t="s">
        <v>19</v>
      </c>
      <c r="AT183" s="243">
        <v>29752</v>
      </c>
      <c r="AU183" s="243"/>
      <c r="AV183" s="242" t="s">
        <v>1869</v>
      </c>
      <c r="AW183" s="242" t="s">
        <v>103</v>
      </c>
      <c r="AX183" s="243">
        <v>30441</v>
      </c>
      <c r="AY183" s="177"/>
      <c r="AZ183" s="291"/>
      <c r="BA183" s="287" t="s">
        <v>201</v>
      </c>
      <c r="BB183" s="290"/>
      <c r="BC183" s="291"/>
      <c r="BD183" s="291"/>
      <c r="BE183" s="290"/>
      <c r="BF183" s="292"/>
      <c r="BG183" s="293"/>
      <c r="BH183" s="247" t="s">
        <v>3309</v>
      </c>
      <c r="BI183" s="248">
        <v>1290946</v>
      </c>
      <c r="BJ183" s="164" t="s">
        <v>3301</v>
      </c>
      <c r="BK183" s="164" t="s">
        <v>3302</v>
      </c>
    </row>
    <row r="184" spans="1:63" s="54" customFormat="1" ht="52.5" customHeight="1" thickBot="1">
      <c r="A184" s="54">
        <v>11</v>
      </c>
      <c r="B184" s="17" t="s">
        <v>1870</v>
      </c>
      <c r="C184" s="11" t="s">
        <v>3283</v>
      </c>
      <c r="D184" s="147">
        <v>11392</v>
      </c>
      <c r="E184" s="91" t="s">
        <v>1871</v>
      </c>
      <c r="F184" s="93" t="s">
        <v>1872</v>
      </c>
      <c r="G184" s="141" t="s">
        <v>563</v>
      </c>
      <c r="H184" s="142">
        <v>2022</v>
      </c>
      <c r="I184" s="143" t="s">
        <v>2652</v>
      </c>
      <c r="J184" s="170">
        <v>1</v>
      </c>
      <c r="K184" s="50">
        <v>2</v>
      </c>
      <c r="L184" s="49">
        <v>22230197</v>
      </c>
      <c r="M184" s="171" t="s">
        <v>200</v>
      </c>
      <c r="N184" s="56" t="s">
        <v>68</v>
      </c>
      <c r="O184" s="161">
        <f t="shared" si="0"/>
        <v>40480</v>
      </c>
      <c r="P184" s="163">
        <v>40480</v>
      </c>
      <c r="Q184" s="162" t="s">
        <v>1873</v>
      </c>
      <c r="R184" s="44" t="s">
        <v>1874</v>
      </c>
      <c r="S184" s="172" t="s">
        <v>201</v>
      </c>
      <c r="T184" s="164" t="s">
        <v>2112</v>
      </c>
      <c r="U184" s="173">
        <v>56195</v>
      </c>
      <c r="V184" s="8" t="s">
        <v>3253</v>
      </c>
      <c r="W184" s="61" t="s">
        <v>3254</v>
      </c>
      <c r="X184" s="61" t="s">
        <v>68</v>
      </c>
      <c r="Y184" s="160" t="s">
        <v>28</v>
      </c>
      <c r="Z184" s="164" t="s">
        <v>3262</v>
      </c>
      <c r="AA184" s="176" t="s">
        <v>3255</v>
      </c>
      <c r="AB184" s="174"/>
      <c r="AC184" s="88" t="s">
        <v>1875</v>
      </c>
      <c r="AD184" s="287" t="s">
        <v>201</v>
      </c>
      <c r="AE184" s="103" t="s">
        <v>21</v>
      </c>
      <c r="AF184" s="114" t="s">
        <v>22</v>
      </c>
      <c r="AG184" s="288" t="s">
        <v>564</v>
      </c>
      <c r="AH184" s="104" t="s">
        <v>437</v>
      </c>
      <c r="AI184" s="286"/>
      <c r="AJ184" s="85" t="s">
        <v>1876</v>
      </c>
      <c r="AK184" s="287" t="s">
        <v>201</v>
      </c>
      <c r="AL184" s="290" t="s">
        <v>30</v>
      </c>
      <c r="AM184" s="291" t="s">
        <v>490</v>
      </c>
      <c r="AN184" s="291"/>
      <c r="AO184" s="350"/>
      <c r="AP184" s="290"/>
      <c r="AQ184" s="242" t="s">
        <v>1877</v>
      </c>
      <c r="AR184" s="242" t="s">
        <v>1878</v>
      </c>
      <c r="AS184" s="87" t="s">
        <v>68</v>
      </c>
      <c r="AT184" s="243">
        <v>28393</v>
      </c>
      <c r="AU184" s="243"/>
      <c r="AV184" s="242" t="s">
        <v>1879</v>
      </c>
      <c r="AW184" s="242" t="s">
        <v>68</v>
      </c>
      <c r="AX184" s="243">
        <v>30017</v>
      </c>
      <c r="AY184" s="177"/>
      <c r="AZ184" s="291"/>
      <c r="BA184" s="287" t="s">
        <v>201</v>
      </c>
      <c r="BB184" s="290"/>
      <c r="BC184" s="291"/>
      <c r="BD184" s="291"/>
      <c r="BE184" s="290"/>
      <c r="BF184" s="292"/>
      <c r="BG184" s="293"/>
      <c r="BH184" s="247" t="s">
        <v>3309</v>
      </c>
      <c r="BI184" s="248">
        <v>1290946</v>
      </c>
      <c r="BJ184" s="164" t="s">
        <v>3301</v>
      </c>
      <c r="BK184" s="164" t="s">
        <v>3302</v>
      </c>
    </row>
    <row r="185" spans="1:63" s="54" customFormat="1" ht="52.5" customHeight="1" thickBot="1">
      <c r="A185" s="54">
        <v>12</v>
      </c>
      <c r="B185" s="20" t="s">
        <v>1804</v>
      </c>
      <c r="C185" s="11" t="s">
        <v>3283</v>
      </c>
      <c r="D185" s="140">
        <v>11393</v>
      </c>
      <c r="E185" s="91" t="s">
        <v>2108</v>
      </c>
      <c r="F185" s="93" t="s">
        <v>2109</v>
      </c>
      <c r="G185" s="141" t="s">
        <v>563</v>
      </c>
      <c r="H185" s="142">
        <v>2022</v>
      </c>
      <c r="I185" s="143" t="s">
        <v>2627</v>
      </c>
      <c r="J185" s="170">
        <v>1</v>
      </c>
      <c r="K185" s="50">
        <v>0</v>
      </c>
      <c r="L185" s="49">
        <v>22230087</v>
      </c>
      <c r="M185" s="171" t="s">
        <v>200</v>
      </c>
      <c r="N185" s="56" t="s">
        <v>66</v>
      </c>
      <c r="O185" s="161">
        <f t="shared" si="0"/>
        <v>40329</v>
      </c>
      <c r="P185" s="163">
        <v>40329</v>
      </c>
      <c r="Q185" s="162" t="s">
        <v>2110</v>
      </c>
      <c r="R185" s="44" t="s">
        <v>2111</v>
      </c>
      <c r="S185" s="172" t="s">
        <v>201</v>
      </c>
      <c r="T185" s="164" t="s">
        <v>2693</v>
      </c>
      <c r="U185" s="173">
        <v>60221</v>
      </c>
      <c r="V185" s="8" t="s">
        <v>3185</v>
      </c>
      <c r="W185" s="61" t="s">
        <v>3185</v>
      </c>
      <c r="X185" s="61" t="s">
        <v>3186</v>
      </c>
      <c r="Y185" s="160" t="s">
        <v>38</v>
      </c>
      <c r="Z185" s="164" t="s">
        <v>3262</v>
      </c>
      <c r="AA185" s="176" t="s">
        <v>3187</v>
      </c>
      <c r="AB185" s="174"/>
      <c r="AC185" s="88" t="s">
        <v>2113</v>
      </c>
      <c r="AD185" s="287" t="s">
        <v>201</v>
      </c>
      <c r="AE185" s="103" t="s">
        <v>21</v>
      </c>
      <c r="AF185" s="114" t="s">
        <v>153</v>
      </c>
      <c r="AG185" s="288" t="s">
        <v>564</v>
      </c>
      <c r="AH185" s="104" t="s">
        <v>462</v>
      </c>
      <c r="AI185" s="286"/>
      <c r="AJ185" s="85" t="s">
        <v>2114</v>
      </c>
      <c r="AK185" s="287" t="s">
        <v>201</v>
      </c>
      <c r="AL185" s="290" t="s">
        <v>30</v>
      </c>
      <c r="AM185" s="291" t="s">
        <v>158</v>
      </c>
      <c r="AN185" s="291"/>
      <c r="AO185" s="289"/>
      <c r="AP185" s="290"/>
      <c r="AQ185" s="242" t="s">
        <v>2115</v>
      </c>
      <c r="AR185" s="242" t="s">
        <v>2116</v>
      </c>
      <c r="AS185" s="87" t="s">
        <v>46</v>
      </c>
      <c r="AT185" s="243">
        <v>29798</v>
      </c>
      <c r="AU185" s="243"/>
      <c r="AV185" s="242" t="s">
        <v>2117</v>
      </c>
      <c r="AW185" s="242" t="s">
        <v>46</v>
      </c>
      <c r="AX185" s="243">
        <v>29657</v>
      </c>
      <c r="AY185" s="177"/>
      <c r="AZ185" s="291"/>
      <c r="BA185" s="287" t="s">
        <v>201</v>
      </c>
      <c r="BB185" s="290"/>
      <c r="BC185" s="291"/>
      <c r="BD185" s="291"/>
      <c r="BE185" s="290"/>
      <c r="BF185" s="292"/>
      <c r="BG185" s="293"/>
      <c r="BH185" s="247" t="s">
        <v>3309</v>
      </c>
      <c r="BI185" s="248">
        <v>1290946</v>
      </c>
      <c r="BJ185" s="164" t="s">
        <v>3301</v>
      </c>
      <c r="BK185" s="164" t="s">
        <v>3302</v>
      </c>
    </row>
    <row r="186" spans="1:63" s="54" customFormat="1" ht="63.75" thickBot="1">
      <c r="A186" s="54">
        <v>13</v>
      </c>
      <c r="B186" s="17" t="s">
        <v>1870</v>
      </c>
      <c r="C186" s="11" t="s">
        <v>3283</v>
      </c>
      <c r="D186" s="140">
        <v>11450</v>
      </c>
      <c r="E186" s="91" t="s">
        <v>1959</v>
      </c>
      <c r="F186" s="93" t="s">
        <v>1960</v>
      </c>
      <c r="G186" s="141" t="s">
        <v>563</v>
      </c>
      <c r="H186" s="142">
        <v>2022</v>
      </c>
      <c r="I186" s="143" t="s">
        <v>2638</v>
      </c>
      <c r="J186" s="170">
        <v>3</v>
      </c>
      <c r="K186" s="50">
        <v>2</v>
      </c>
      <c r="L186" s="49">
        <v>22230247</v>
      </c>
      <c r="M186" s="171" t="s">
        <v>200</v>
      </c>
      <c r="N186" s="56" t="s">
        <v>60</v>
      </c>
      <c r="O186" s="161">
        <f t="shared" si="0"/>
        <v>40270</v>
      </c>
      <c r="P186" s="163">
        <v>40270</v>
      </c>
      <c r="Q186" s="162" t="s">
        <v>617</v>
      </c>
      <c r="R186" s="44" t="s">
        <v>1961</v>
      </c>
      <c r="S186" s="172" t="s">
        <v>201</v>
      </c>
      <c r="T186" s="164" t="s">
        <v>1884</v>
      </c>
      <c r="U186" s="173">
        <v>53213</v>
      </c>
      <c r="V186" s="8" t="s">
        <v>3215</v>
      </c>
      <c r="W186" s="61" t="s">
        <v>1962</v>
      </c>
      <c r="X186" s="61" t="s">
        <v>60</v>
      </c>
      <c r="Y186" s="160" t="s">
        <v>28</v>
      </c>
      <c r="Z186" s="164" t="s">
        <v>3262</v>
      </c>
      <c r="AA186" s="176" t="s">
        <v>3216</v>
      </c>
      <c r="AB186" s="174"/>
      <c r="AC186" s="88" t="s">
        <v>1963</v>
      </c>
      <c r="AD186" s="287" t="s">
        <v>201</v>
      </c>
      <c r="AE186" s="103" t="s">
        <v>30</v>
      </c>
      <c r="AF186" s="114" t="s">
        <v>153</v>
      </c>
      <c r="AG186" s="288" t="s">
        <v>564</v>
      </c>
      <c r="AH186" s="104" t="s">
        <v>438</v>
      </c>
      <c r="AI186" s="286"/>
      <c r="AJ186" s="85" t="s">
        <v>1964</v>
      </c>
      <c r="AK186" s="287" t="s">
        <v>201</v>
      </c>
      <c r="AL186" s="290" t="s">
        <v>220</v>
      </c>
      <c r="AM186" s="291" t="s">
        <v>490</v>
      </c>
      <c r="AN186" s="291"/>
      <c r="AO186" s="289"/>
      <c r="AP186" s="290"/>
      <c r="AQ186" s="242" t="s">
        <v>1965</v>
      </c>
      <c r="AR186" s="242" t="s">
        <v>1966</v>
      </c>
      <c r="AS186" s="87" t="s">
        <v>60</v>
      </c>
      <c r="AT186" s="243">
        <v>28299</v>
      </c>
      <c r="AU186" s="243"/>
      <c r="AV186" s="242" t="s">
        <v>1967</v>
      </c>
      <c r="AW186" s="242" t="s">
        <v>60</v>
      </c>
      <c r="AX186" s="243">
        <v>29162</v>
      </c>
      <c r="AY186" s="177"/>
      <c r="AZ186" s="291"/>
      <c r="BA186" s="287" t="s">
        <v>201</v>
      </c>
      <c r="BB186" s="290"/>
      <c r="BC186" s="291"/>
      <c r="BD186" s="291"/>
      <c r="BE186" s="290"/>
      <c r="BF186" s="292"/>
      <c r="BG186" s="293"/>
      <c r="BH186" s="247" t="s">
        <v>3309</v>
      </c>
      <c r="BI186" s="248">
        <v>1290946</v>
      </c>
      <c r="BJ186" s="164" t="s">
        <v>3301</v>
      </c>
      <c r="BK186" s="164" t="s">
        <v>3302</v>
      </c>
    </row>
    <row r="187" spans="1:63" s="54" customFormat="1" ht="52.5" customHeight="1" thickBot="1">
      <c r="A187" s="54">
        <v>14</v>
      </c>
      <c r="B187" s="20" t="s">
        <v>1804</v>
      </c>
      <c r="C187" s="11" t="s">
        <v>3283</v>
      </c>
      <c r="D187" s="140">
        <v>11492</v>
      </c>
      <c r="E187" s="158" t="s">
        <v>2138</v>
      </c>
      <c r="F187" s="93" t="s">
        <v>2139</v>
      </c>
      <c r="G187" s="141" t="s">
        <v>563</v>
      </c>
      <c r="H187" s="142">
        <v>2022</v>
      </c>
      <c r="I187" s="143" t="s">
        <v>2630</v>
      </c>
      <c r="J187" s="170">
        <v>3</v>
      </c>
      <c r="K187" s="50">
        <v>2</v>
      </c>
      <c r="L187" s="49">
        <v>22230181</v>
      </c>
      <c r="M187" s="171" t="s">
        <v>200</v>
      </c>
      <c r="N187" s="239" t="s">
        <v>58</v>
      </c>
      <c r="O187" s="161">
        <f t="shared" si="0"/>
        <v>40366</v>
      </c>
      <c r="P187" s="240">
        <v>40366</v>
      </c>
      <c r="Q187" s="162" t="s">
        <v>2140</v>
      </c>
      <c r="R187" s="44" t="s">
        <v>2141</v>
      </c>
      <c r="S187" s="172" t="s">
        <v>201</v>
      </c>
      <c r="T187" s="169" t="s">
        <v>2694</v>
      </c>
      <c r="U187" s="173">
        <v>53416</v>
      </c>
      <c r="V187" s="8" t="s">
        <v>3193</v>
      </c>
      <c r="W187" s="61" t="s">
        <v>58</v>
      </c>
      <c r="X187" s="61" t="s">
        <v>3194</v>
      </c>
      <c r="Y187" s="160" t="s">
        <v>28</v>
      </c>
      <c r="Z187" s="164" t="s">
        <v>3262</v>
      </c>
      <c r="AA187" s="176" t="s">
        <v>3195</v>
      </c>
      <c r="AB187" s="174"/>
      <c r="AC187" s="347" t="s">
        <v>2143</v>
      </c>
      <c r="AD187" s="287" t="s">
        <v>201</v>
      </c>
      <c r="AE187" s="348" t="s">
        <v>21</v>
      </c>
      <c r="AF187" s="349" t="s">
        <v>22</v>
      </c>
      <c r="AG187" s="288" t="s">
        <v>564</v>
      </c>
      <c r="AH187" s="351" t="s">
        <v>464</v>
      </c>
      <c r="AI187" s="286"/>
      <c r="AJ187" s="85" t="s">
        <v>2144</v>
      </c>
      <c r="AK187" s="287" t="s">
        <v>201</v>
      </c>
      <c r="AL187" s="290" t="s">
        <v>21</v>
      </c>
      <c r="AM187" s="291" t="s">
        <v>22</v>
      </c>
      <c r="AN187" s="291"/>
      <c r="AO187" s="289"/>
      <c r="AP187" s="290"/>
      <c r="AQ187" s="242" t="s">
        <v>2145</v>
      </c>
      <c r="AR187" s="242" t="s">
        <v>2146</v>
      </c>
      <c r="AS187" s="87" t="s">
        <v>116</v>
      </c>
      <c r="AT187" s="243">
        <v>27371</v>
      </c>
      <c r="AU187" s="243"/>
      <c r="AV187" s="242" t="s">
        <v>2147</v>
      </c>
      <c r="AW187" s="242" t="s">
        <v>58</v>
      </c>
      <c r="AX187" s="243">
        <v>27558</v>
      </c>
      <c r="AY187" s="177"/>
      <c r="AZ187" s="291"/>
      <c r="BA187" s="287" t="s">
        <v>201</v>
      </c>
      <c r="BB187" s="290"/>
      <c r="BC187" s="291"/>
      <c r="BD187" s="291"/>
      <c r="BE187" s="290"/>
      <c r="BF187" s="292"/>
      <c r="BG187" s="293"/>
      <c r="BH187" s="247" t="s">
        <v>3309</v>
      </c>
      <c r="BI187" s="248">
        <v>1290946</v>
      </c>
      <c r="BJ187" s="164" t="s">
        <v>3301</v>
      </c>
      <c r="BK187" s="164" t="s">
        <v>3302</v>
      </c>
    </row>
    <row r="188" spans="1:63" s="54" customFormat="1" ht="52.5" customHeight="1" thickBot="1">
      <c r="A188" s="54">
        <v>15</v>
      </c>
      <c r="B188" s="20" t="s">
        <v>1804</v>
      </c>
      <c r="C188" s="11" t="s">
        <v>3283</v>
      </c>
      <c r="D188" s="126">
        <v>11495</v>
      </c>
      <c r="E188" s="91" t="s">
        <v>1977</v>
      </c>
      <c r="F188" s="93" t="s">
        <v>1978</v>
      </c>
      <c r="G188" s="141" t="s">
        <v>563</v>
      </c>
      <c r="H188" s="142">
        <v>2022</v>
      </c>
      <c r="I188" s="143" t="s">
        <v>2640</v>
      </c>
      <c r="J188" s="170"/>
      <c r="K188" s="50"/>
      <c r="L188" s="49">
        <v>22230033</v>
      </c>
      <c r="M188" s="171" t="s">
        <v>200</v>
      </c>
      <c r="N188" s="56" t="s">
        <v>120</v>
      </c>
      <c r="O188" s="161">
        <f t="shared" si="0"/>
        <v>40055</v>
      </c>
      <c r="P188" s="163">
        <v>40055</v>
      </c>
      <c r="Q188" s="162" t="s">
        <v>1979</v>
      </c>
      <c r="R188" s="44" t="s">
        <v>1980</v>
      </c>
      <c r="S188" s="172" t="s">
        <v>201</v>
      </c>
      <c r="T188" s="164" t="s">
        <v>1986</v>
      </c>
      <c r="U188" s="173">
        <v>55185</v>
      </c>
      <c r="V188" s="61" t="s">
        <v>3220</v>
      </c>
      <c r="W188" s="61" t="s">
        <v>3221</v>
      </c>
      <c r="X188" s="61" t="s">
        <v>19</v>
      </c>
      <c r="Y188" s="160" t="s">
        <v>20</v>
      </c>
      <c r="Z188" s="164" t="s">
        <v>3262</v>
      </c>
      <c r="AA188" s="176" t="s">
        <v>3222</v>
      </c>
      <c r="AB188" s="174"/>
      <c r="AC188" s="88" t="s">
        <v>1981</v>
      </c>
      <c r="AD188" s="287" t="s">
        <v>201</v>
      </c>
      <c r="AE188" s="103" t="s">
        <v>21</v>
      </c>
      <c r="AF188" s="114" t="s">
        <v>154</v>
      </c>
      <c r="AG188" s="287"/>
      <c r="AH188" s="104" t="s">
        <v>465</v>
      </c>
      <c r="AI188" s="286"/>
      <c r="AJ188" s="85" t="s">
        <v>1982</v>
      </c>
      <c r="AK188" s="287" t="s">
        <v>201</v>
      </c>
      <c r="AL188" s="290"/>
      <c r="AM188" s="291"/>
      <c r="AN188" s="291"/>
      <c r="AO188" s="289"/>
      <c r="AP188" s="290"/>
      <c r="AQ188" s="242"/>
      <c r="AR188" s="242"/>
      <c r="AS188" s="87"/>
      <c r="AT188" s="243"/>
      <c r="AU188" s="243"/>
      <c r="AV188" s="242"/>
      <c r="AW188" s="242"/>
      <c r="AX188" s="243"/>
      <c r="AY188" s="177"/>
      <c r="AZ188" s="291"/>
      <c r="BA188" s="287" t="s">
        <v>201</v>
      </c>
      <c r="BB188" s="290"/>
      <c r="BC188" s="291"/>
      <c r="BD188" s="291"/>
      <c r="BE188" s="290"/>
      <c r="BF188" s="292"/>
      <c r="BG188" s="293"/>
      <c r="BH188" s="247" t="s">
        <v>3309</v>
      </c>
      <c r="BI188" s="248">
        <v>1290946</v>
      </c>
      <c r="BJ188" s="164" t="s">
        <v>3301</v>
      </c>
      <c r="BK188" s="164" t="s">
        <v>3302</v>
      </c>
    </row>
    <row r="189" spans="1:63" s="54" customFormat="1" ht="52.5" customHeight="1" thickBot="1">
      <c r="A189" s="54">
        <v>16</v>
      </c>
      <c r="B189" s="20" t="s">
        <v>1804</v>
      </c>
      <c r="C189" s="11" t="s">
        <v>3283</v>
      </c>
      <c r="D189" s="126">
        <v>11506</v>
      </c>
      <c r="E189" s="91" t="s">
        <v>1983</v>
      </c>
      <c r="F189" s="93" t="s">
        <v>1984</v>
      </c>
      <c r="G189" s="141" t="s">
        <v>563</v>
      </c>
      <c r="H189" s="142">
        <v>2022</v>
      </c>
      <c r="I189" s="143" t="s">
        <v>2641</v>
      </c>
      <c r="J189" s="170">
        <v>2</v>
      </c>
      <c r="K189" s="50">
        <v>3</v>
      </c>
      <c r="L189" s="49">
        <v>22230268</v>
      </c>
      <c r="M189" s="171" t="s">
        <v>200</v>
      </c>
      <c r="N189" s="56" t="s">
        <v>23</v>
      </c>
      <c r="O189" s="161">
        <f t="shared" si="0"/>
        <v>40274</v>
      </c>
      <c r="P189" s="163">
        <v>40274</v>
      </c>
      <c r="Q189" s="162" t="s">
        <v>1132</v>
      </c>
      <c r="R189" s="44" t="s">
        <v>1985</v>
      </c>
      <c r="S189" s="172" t="s">
        <v>201</v>
      </c>
      <c r="T189" s="164" t="s">
        <v>1894</v>
      </c>
      <c r="U189" s="173">
        <v>25142</v>
      </c>
      <c r="V189" s="8" t="s">
        <v>3223</v>
      </c>
      <c r="W189" s="61" t="s">
        <v>3224</v>
      </c>
      <c r="X189" s="61" t="s">
        <v>118</v>
      </c>
      <c r="Y189" s="160" t="s">
        <v>57</v>
      </c>
      <c r="Z189" s="164" t="s">
        <v>3262</v>
      </c>
      <c r="AA189" s="176"/>
      <c r="AB189" s="174"/>
      <c r="AC189" s="88" t="s">
        <v>1987</v>
      </c>
      <c r="AD189" s="287" t="s">
        <v>201</v>
      </c>
      <c r="AE189" s="103" t="s">
        <v>21</v>
      </c>
      <c r="AF189" s="114" t="s">
        <v>154</v>
      </c>
      <c r="AG189" s="288" t="s">
        <v>564</v>
      </c>
      <c r="AH189" s="104" t="s">
        <v>466</v>
      </c>
      <c r="AI189" s="286"/>
      <c r="AJ189" s="85" t="s">
        <v>1988</v>
      </c>
      <c r="AK189" s="287" t="s">
        <v>201</v>
      </c>
      <c r="AL189" s="290" t="s">
        <v>21</v>
      </c>
      <c r="AM189" s="291" t="s">
        <v>154</v>
      </c>
      <c r="AN189" s="291"/>
      <c r="AO189" s="289"/>
      <c r="AP189" s="290"/>
      <c r="AQ189" s="242" t="s">
        <v>1989</v>
      </c>
      <c r="AR189" s="242" t="s">
        <v>1990</v>
      </c>
      <c r="AS189" s="87" t="s">
        <v>1991</v>
      </c>
      <c r="AT189" s="243">
        <v>29948</v>
      </c>
      <c r="AU189" s="243"/>
      <c r="AV189" s="242" t="s">
        <v>1992</v>
      </c>
      <c r="AW189" s="242" t="s">
        <v>1993</v>
      </c>
      <c r="AX189" s="243">
        <v>29951</v>
      </c>
      <c r="AY189" s="177"/>
      <c r="AZ189" s="291"/>
      <c r="BA189" s="287" t="s">
        <v>201</v>
      </c>
      <c r="BB189" s="290"/>
      <c r="BC189" s="291"/>
      <c r="BD189" s="291"/>
      <c r="BE189" s="290"/>
      <c r="BF189" s="292"/>
      <c r="BG189" s="293"/>
      <c r="BH189" s="247" t="s">
        <v>3309</v>
      </c>
      <c r="BI189" s="248">
        <v>1290946</v>
      </c>
      <c r="BJ189" s="164" t="s">
        <v>3301</v>
      </c>
      <c r="BK189" s="164" t="s">
        <v>3302</v>
      </c>
    </row>
    <row r="190" spans="1:63" s="54" customFormat="1" ht="52.5" customHeight="1" thickBot="1">
      <c r="A190" s="54">
        <v>17</v>
      </c>
      <c r="B190" s="20" t="s">
        <v>1804</v>
      </c>
      <c r="C190" s="11" t="s">
        <v>3283</v>
      </c>
      <c r="D190" s="147">
        <v>11512</v>
      </c>
      <c r="E190" s="91" t="s">
        <v>1994</v>
      </c>
      <c r="F190" s="93" t="s">
        <v>1995</v>
      </c>
      <c r="G190" s="141" t="s">
        <v>563</v>
      </c>
      <c r="H190" s="142">
        <v>2022</v>
      </c>
      <c r="I190" s="143" t="s">
        <v>2642</v>
      </c>
      <c r="J190" s="170">
        <v>1</v>
      </c>
      <c r="K190" s="50">
        <v>2</v>
      </c>
      <c r="L190" s="49">
        <v>22230002</v>
      </c>
      <c r="M190" s="171" t="s">
        <v>200</v>
      </c>
      <c r="N190" s="104" t="s">
        <v>121</v>
      </c>
      <c r="O190" s="161">
        <f t="shared" si="0"/>
        <v>40328</v>
      </c>
      <c r="P190" s="105">
        <v>40328</v>
      </c>
      <c r="Q190" s="162" t="s">
        <v>1996</v>
      </c>
      <c r="R190" s="44" t="s">
        <v>1997</v>
      </c>
      <c r="S190" s="172" t="s">
        <v>201</v>
      </c>
      <c r="T190" s="88" t="s">
        <v>2656</v>
      </c>
      <c r="U190" s="173">
        <v>75513</v>
      </c>
      <c r="V190" s="8" t="s">
        <v>3225</v>
      </c>
      <c r="W190" s="61" t="s">
        <v>121</v>
      </c>
      <c r="X190" s="61" t="s">
        <v>3208</v>
      </c>
      <c r="Y190" s="160" t="s">
        <v>33</v>
      </c>
      <c r="Z190" s="164" t="s">
        <v>3262</v>
      </c>
      <c r="AA190" s="176" t="s">
        <v>3209</v>
      </c>
      <c r="AB190" s="174"/>
      <c r="AC190" s="88" t="s">
        <v>1999</v>
      </c>
      <c r="AD190" s="287" t="s">
        <v>201</v>
      </c>
      <c r="AE190" s="103" t="s">
        <v>21</v>
      </c>
      <c r="AF190" s="114" t="s">
        <v>154</v>
      </c>
      <c r="AG190" s="288" t="s">
        <v>564</v>
      </c>
      <c r="AH190" s="104"/>
      <c r="AI190" s="286"/>
      <c r="AJ190" s="85" t="s">
        <v>3226</v>
      </c>
      <c r="AK190" s="287" t="s">
        <v>201</v>
      </c>
      <c r="AL190" s="290" t="s">
        <v>21</v>
      </c>
      <c r="AM190" s="291" t="s">
        <v>154</v>
      </c>
      <c r="AN190" s="291"/>
      <c r="AO190" s="289" t="s">
        <v>2000</v>
      </c>
      <c r="AP190" s="290"/>
      <c r="AQ190" s="242" t="s">
        <v>2001</v>
      </c>
      <c r="AR190" s="242" t="s">
        <v>2002</v>
      </c>
      <c r="AS190" s="87" t="s">
        <v>121</v>
      </c>
      <c r="AT190" s="243">
        <v>32852</v>
      </c>
      <c r="AU190" s="243"/>
      <c r="AV190" s="242" t="s">
        <v>2003</v>
      </c>
      <c r="AW190" s="242" t="s">
        <v>2004</v>
      </c>
      <c r="AX190" s="243">
        <v>32728</v>
      </c>
      <c r="AY190" s="177"/>
      <c r="AZ190" s="291"/>
      <c r="BA190" s="287" t="s">
        <v>201</v>
      </c>
      <c r="BB190" s="290"/>
      <c r="BC190" s="291"/>
      <c r="BD190" s="291"/>
      <c r="BE190" s="290"/>
      <c r="BF190" s="292"/>
      <c r="BG190" s="293"/>
      <c r="BH190" s="247" t="s">
        <v>3309</v>
      </c>
      <c r="BI190" s="248">
        <v>1290946</v>
      </c>
      <c r="BJ190" s="164" t="s">
        <v>3301</v>
      </c>
      <c r="BK190" s="164" t="s">
        <v>3302</v>
      </c>
    </row>
    <row r="191" spans="1:63" s="54" customFormat="1" ht="52.5" customHeight="1" thickBot="1">
      <c r="A191" s="55">
        <v>1</v>
      </c>
      <c r="B191" s="113" t="s">
        <v>1785</v>
      </c>
      <c r="C191" s="17" t="s">
        <v>3284</v>
      </c>
      <c r="D191" s="140">
        <v>11228</v>
      </c>
      <c r="E191" s="91" t="s">
        <v>1795</v>
      </c>
      <c r="F191" s="93" t="s">
        <v>1796</v>
      </c>
      <c r="G191" s="141" t="s">
        <v>563</v>
      </c>
      <c r="H191" s="142">
        <v>2022</v>
      </c>
      <c r="I191" s="143" t="s">
        <v>2644</v>
      </c>
      <c r="J191" s="170">
        <v>1</v>
      </c>
      <c r="K191" s="50">
        <v>0</v>
      </c>
      <c r="L191" s="49">
        <v>22230071</v>
      </c>
      <c r="M191" s="171" t="s">
        <v>200</v>
      </c>
      <c r="N191" s="91" t="s">
        <v>119</v>
      </c>
      <c r="O191" s="161">
        <f t="shared" si="0"/>
        <v>40416</v>
      </c>
      <c r="P191" s="105">
        <v>40416</v>
      </c>
      <c r="Q191" s="162" t="s">
        <v>1797</v>
      </c>
      <c r="R191" s="44" t="s">
        <v>1798</v>
      </c>
      <c r="S191" s="172" t="s">
        <v>201</v>
      </c>
      <c r="T191" s="88" t="s">
        <v>2016</v>
      </c>
      <c r="U191" s="173">
        <v>15435</v>
      </c>
      <c r="V191" s="8" t="s">
        <v>3229</v>
      </c>
      <c r="W191" s="61" t="s">
        <v>962</v>
      </c>
      <c r="X191" s="61" t="s">
        <v>3230</v>
      </c>
      <c r="Y191" s="160" t="s">
        <v>42</v>
      </c>
      <c r="Z191" s="164" t="s">
        <v>3262</v>
      </c>
      <c r="AA191" s="176" t="s">
        <v>2707</v>
      </c>
      <c r="AB191" s="174"/>
      <c r="AC191" s="88" t="s">
        <v>1800</v>
      </c>
      <c r="AD191" s="287" t="s">
        <v>201</v>
      </c>
      <c r="AE191" s="103" t="s">
        <v>21</v>
      </c>
      <c r="AF191" s="114" t="s">
        <v>153</v>
      </c>
      <c r="AG191" s="288" t="s">
        <v>564</v>
      </c>
      <c r="AH191" s="104" t="s">
        <v>441</v>
      </c>
      <c r="AI191" s="286"/>
      <c r="AJ191" s="85" t="s">
        <v>1801</v>
      </c>
      <c r="AK191" s="287" t="s">
        <v>201</v>
      </c>
      <c r="AL191" s="290" t="s">
        <v>24</v>
      </c>
      <c r="AM191" s="291" t="s">
        <v>490</v>
      </c>
      <c r="AN191" s="291"/>
      <c r="AO191" s="289"/>
      <c r="AP191" s="290"/>
      <c r="AQ191" s="242" t="s">
        <v>1802</v>
      </c>
      <c r="AR191" s="242"/>
      <c r="AS191" s="87"/>
      <c r="AT191" s="243"/>
      <c r="AU191" s="243"/>
      <c r="AV191" s="242" t="s">
        <v>1803</v>
      </c>
      <c r="AW191" s="242" t="s">
        <v>1663</v>
      </c>
      <c r="AX191" s="243">
        <v>29707</v>
      </c>
      <c r="AY191" s="177"/>
      <c r="AZ191" s="291"/>
      <c r="BA191" s="287" t="s">
        <v>201</v>
      </c>
      <c r="BB191" s="290"/>
      <c r="BC191" s="291"/>
      <c r="BD191" s="291"/>
      <c r="BE191" s="290"/>
      <c r="BF191" s="292"/>
      <c r="BG191" s="293"/>
      <c r="BH191" s="245" t="s">
        <v>3310</v>
      </c>
      <c r="BI191" s="250">
        <v>1371785</v>
      </c>
      <c r="BJ191" s="164" t="s">
        <v>3301</v>
      </c>
      <c r="BK191" s="164" t="s">
        <v>3302</v>
      </c>
    </row>
    <row r="192" spans="1:63" s="54" customFormat="1" ht="52.5" customHeight="1" thickBot="1">
      <c r="A192" s="55">
        <v>2</v>
      </c>
      <c r="B192" s="20" t="s">
        <v>1804</v>
      </c>
      <c r="C192" s="17" t="s">
        <v>3284</v>
      </c>
      <c r="D192" s="140">
        <v>11232</v>
      </c>
      <c r="E192" s="91" t="s">
        <v>2012</v>
      </c>
      <c r="F192" s="92" t="s">
        <v>2013</v>
      </c>
      <c r="G192" s="141" t="s">
        <v>563</v>
      </c>
      <c r="H192" s="142">
        <v>2022</v>
      </c>
      <c r="I192" s="143" t="s">
        <v>2617</v>
      </c>
      <c r="J192" s="170">
        <v>2</v>
      </c>
      <c r="K192" s="50">
        <v>3</v>
      </c>
      <c r="L192" s="49">
        <v>22230185</v>
      </c>
      <c r="M192" s="171" t="s">
        <v>200</v>
      </c>
      <c r="N192" s="56" t="s">
        <v>53</v>
      </c>
      <c r="O192" s="161">
        <f t="shared" si="0"/>
        <v>40147</v>
      </c>
      <c r="P192" s="163">
        <v>40147</v>
      </c>
      <c r="Q192" s="162" t="s">
        <v>2014</v>
      </c>
      <c r="R192" s="44" t="s">
        <v>2015</v>
      </c>
      <c r="S192" s="172" t="s">
        <v>201</v>
      </c>
      <c r="T192" s="164" t="s">
        <v>2689</v>
      </c>
      <c r="U192" s="173">
        <v>55752</v>
      </c>
      <c r="V192" s="8" t="s">
        <v>3155</v>
      </c>
      <c r="W192" s="61" t="s">
        <v>3156</v>
      </c>
      <c r="X192" s="61" t="s">
        <v>23</v>
      </c>
      <c r="Y192" s="160" t="s">
        <v>20</v>
      </c>
      <c r="Z192" s="164" t="s">
        <v>3262</v>
      </c>
      <c r="AA192" s="176" t="s">
        <v>3157</v>
      </c>
      <c r="AB192" s="174"/>
      <c r="AC192" s="88" t="s">
        <v>2017</v>
      </c>
      <c r="AD192" s="287" t="s">
        <v>201</v>
      </c>
      <c r="AE192" s="103" t="s">
        <v>220</v>
      </c>
      <c r="AF192" s="114" t="s">
        <v>153</v>
      </c>
      <c r="AG192" s="288" t="s">
        <v>564</v>
      </c>
      <c r="AH192" s="104" t="s">
        <v>455</v>
      </c>
      <c r="AI192" s="286"/>
      <c r="AJ192" s="85" t="s">
        <v>2018</v>
      </c>
      <c r="AK192" s="287" t="s">
        <v>201</v>
      </c>
      <c r="AL192" s="290" t="s">
        <v>220</v>
      </c>
      <c r="AM192" s="291" t="s">
        <v>490</v>
      </c>
      <c r="AN192" s="291"/>
      <c r="AO192" s="289"/>
      <c r="AP192" s="290"/>
      <c r="AQ192" s="242" t="s">
        <v>2019</v>
      </c>
      <c r="AR192" s="242" t="s">
        <v>2020</v>
      </c>
      <c r="AS192" s="87" t="s">
        <v>53</v>
      </c>
      <c r="AT192" s="243">
        <v>29558</v>
      </c>
      <c r="AU192" s="243"/>
      <c r="AV192" s="242" t="s">
        <v>2021</v>
      </c>
      <c r="AW192" s="242" t="s">
        <v>23</v>
      </c>
      <c r="AX192" s="242" t="s">
        <v>2022</v>
      </c>
      <c r="AY192" s="177"/>
      <c r="AZ192" s="291"/>
      <c r="BA192" s="287" t="s">
        <v>201</v>
      </c>
      <c r="BB192" s="290"/>
      <c r="BC192" s="291"/>
      <c r="BD192" s="291"/>
      <c r="BE192" s="290"/>
      <c r="BF192" s="292"/>
      <c r="BG192" s="293"/>
      <c r="BH192" s="245" t="s">
        <v>3310</v>
      </c>
      <c r="BI192" s="250">
        <v>1371785</v>
      </c>
      <c r="BJ192" s="164" t="s">
        <v>3301</v>
      </c>
      <c r="BK192" s="164" t="s">
        <v>3302</v>
      </c>
    </row>
    <row r="193" spans="1:63" s="54" customFormat="1" ht="52.5" customHeight="1" thickBot="1">
      <c r="A193" s="55">
        <v>3</v>
      </c>
      <c r="B193" s="17" t="s">
        <v>1870</v>
      </c>
      <c r="C193" s="17" t="s">
        <v>3284</v>
      </c>
      <c r="D193" s="147">
        <v>11255</v>
      </c>
      <c r="E193" s="91" t="s">
        <v>1916</v>
      </c>
      <c r="F193" s="93" t="s">
        <v>1917</v>
      </c>
      <c r="G193" s="141" t="s">
        <v>563</v>
      </c>
      <c r="H193" s="142">
        <v>2022</v>
      </c>
      <c r="I193" s="143" t="s">
        <v>2633</v>
      </c>
      <c r="J193" s="170">
        <v>1</v>
      </c>
      <c r="K193" s="50">
        <v>2</v>
      </c>
      <c r="L193" s="49">
        <v>22230114</v>
      </c>
      <c r="M193" s="171" t="s">
        <v>200</v>
      </c>
      <c r="N193" s="104" t="s">
        <v>1918</v>
      </c>
      <c r="O193" s="161">
        <f t="shared" si="0"/>
        <v>40158</v>
      </c>
      <c r="P193" s="105">
        <v>40158</v>
      </c>
      <c r="Q193" s="162" t="s">
        <v>1919</v>
      </c>
      <c r="R193" s="44" t="s">
        <v>1920</v>
      </c>
      <c r="S193" s="172" t="s">
        <v>201</v>
      </c>
      <c r="T193" s="88" t="s">
        <v>1817</v>
      </c>
      <c r="U193" s="173">
        <v>91351</v>
      </c>
      <c r="V193" s="8" t="s">
        <v>2810</v>
      </c>
      <c r="W193" s="61" t="s">
        <v>1918</v>
      </c>
      <c r="X193" s="61" t="s">
        <v>3204</v>
      </c>
      <c r="Y193" s="160" t="s">
        <v>3205</v>
      </c>
      <c r="Z193" s="164" t="s">
        <v>3262</v>
      </c>
      <c r="AA193" s="176" t="s">
        <v>3206</v>
      </c>
      <c r="AB193" s="55"/>
      <c r="AC193" s="293" t="s">
        <v>1922</v>
      </c>
      <c r="AD193" s="293" t="s">
        <v>201</v>
      </c>
      <c r="AE193" s="293" t="s">
        <v>24</v>
      </c>
      <c r="AF193" s="293" t="s">
        <v>154</v>
      </c>
      <c r="AG193" s="288" t="s">
        <v>564</v>
      </c>
      <c r="AH193" s="139"/>
      <c r="AI193" s="286"/>
      <c r="AJ193" s="88" t="s">
        <v>1923</v>
      </c>
      <c r="AK193" s="287" t="s">
        <v>201</v>
      </c>
      <c r="AL193" s="103" t="s">
        <v>30</v>
      </c>
      <c r="AM193" s="114" t="s">
        <v>22</v>
      </c>
      <c r="AN193" s="291"/>
      <c r="AO193" s="104" t="s">
        <v>431</v>
      </c>
      <c r="AP193" s="290"/>
      <c r="AQ193" s="242" t="s">
        <v>1924</v>
      </c>
      <c r="AR193" s="242" t="s">
        <v>1925</v>
      </c>
      <c r="AS193" s="87" t="s">
        <v>1926</v>
      </c>
      <c r="AT193" s="243">
        <v>28134</v>
      </c>
      <c r="AU193" s="243"/>
      <c r="AV193" s="242" t="s">
        <v>1920</v>
      </c>
      <c r="AW193" s="242" t="s">
        <v>151</v>
      </c>
      <c r="AX193" s="243">
        <v>29027</v>
      </c>
      <c r="AY193" s="177"/>
      <c r="AZ193" s="291"/>
      <c r="BA193" s="287" t="s">
        <v>201</v>
      </c>
      <c r="BB193" s="290"/>
      <c r="BC193" s="291"/>
      <c r="BD193" s="291"/>
      <c r="BE193" s="290"/>
      <c r="BF193" s="292"/>
      <c r="BG193" s="293"/>
      <c r="BH193" s="245" t="s">
        <v>3310</v>
      </c>
      <c r="BI193" s="250">
        <v>1371785</v>
      </c>
      <c r="BJ193" s="164" t="s">
        <v>3301</v>
      </c>
      <c r="BK193" s="164" t="s">
        <v>3302</v>
      </c>
    </row>
    <row r="194" spans="1:63" s="54" customFormat="1" ht="52.5" customHeight="1" thickBot="1">
      <c r="A194" s="55">
        <v>4</v>
      </c>
      <c r="B194" s="17" t="s">
        <v>1870</v>
      </c>
      <c r="C194" s="17" t="s">
        <v>3284</v>
      </c>
      <c r="D194" s="140">
        <v>11283</v>
      </c>
      <c r="E194" s="91" t="s">
        <v>1927</v>
      </c>
      <c r="F194" s="93" t="s">
        <v>1928</v>
      </c>
      <c r="G194" s="141" t="s">
        <v>563</v>
      </c>
      <c r="H194" s="142">
        <v>2022</v>
      </c>
      <c r="I194" s="143" t="s">
        <v>2634</v>
      </c>
      <c r="J194" s="170">
        <v>1</v>
      </c>
      <c r="K194" s="50">
        <v>2</v>
      </c>
      <c r="L194" s="49">
        <v>22230145</v>
      </c>
      <c r="M194" s="171" t="s">
        <v>200</v>
      </c>
      <c r="N194" s="56" t="s">
        <v>35</v>
      </c>
      <c r="O194" s="161">
        <f>P194:P195</f>
        <v>40299</v>
      </c>
      <c r="P194" s="163">
        <v>40299</v>
      </c>
      <c r="Q194" s="162" t="s">
        <v>1929</v>
      </c>
      <c r="R194" s="44" t="s">
        <v>1930</v>
      </c>
      <c r="S194" s="172" t="s">
        <v>201</v>
      </c>
      <c r="T194" s="164" t="s">
        <v>1941</v>
      </c>
      <c r="U194" s="173">
        <v>75517</v>
      </c>
      <c r="V194" s="8" t="s">
        <v>3207</v>
      </c>
      <c r="W194" s="61" t="s">
        <v>121</v>
      </c>
      <c r="X194" s="61" t="s">
        <v>3208</v>
      </c>
      <c r="Y194" s="160" t="s">
        <v>33</v>
      </c>
      <c r="Z194" s="164" t="s">
        <v>3262</v>
      </c>
      <c r="AA194" s="176" t="s">
        <v>3209</v>
      </c>
      <c r="AB194" s="174"/>
      <c r="AC194" s="88" t="s">
        <v>1931</v>
      </c>
      <c r="AD194" s="287" t="s">
        <v>201</v>
      </c>
      <c r="AE194" s="103" t="s">
        <v>30</v>
      </c>
      <c r="AF194" s="114" t="s">
        <v>154</v>
      </c>
      <c r="AG194" s="288" t="s">
        <v>564</v>
      </c>
      <c r="AH194" s="104" t="s">
        <v>432</v>
      </c>
      <c r="AI194" s="286"/>
      <c r="AJ194" s="85" t="s">
        <v>1932</v>
      </c>
      <c r="AK194" s="287" t="s">
        <v>201</v>
      </c>
      <c r="AL194" s="290" t="s">
        <v>21</v>
      </c>
      <c r="AM194" s="291" t="s">
        <v>490</v>
      </c>
      <c r="AN194" s="291"/>
      <c r="AO194" s="289"/>
      <c r="AP194" s="290"/>
      <c r="AQ194" s="242" t="s">
        <v>1933</v>
      </c>
      <c r="AR194" s="242" t="s">
        <v>1934</v>
      </c>
      <c r="AS194" s="87" t="s">
        <v>121</v>
      </c>
      <c r="AT194" s="243">
        <v>40299</v>
      </c>
      <c r="AU194" s="243"/>
      <c r="AV194" s="242" t="s">
        <v>1935</v>
      </c>
      <c r="AW194" s="242" t="s">
        <v>35</v>
      </c>
      <c r="AX194" s="243">
        <v>31940</v>
      </c>
      <c r="AY194" s="177"/>
      <c r="AZ194" s="291"/>
      <c r="BA194" s="287" t="s">
        <v>201</v>
      </c>
      <c r="BB194" s="290"/>
      <c r="BC194" s="291"/>
      <c r="BD194" s="291"/>
      <c r="BE194" s="290"/>
      <c r="BF194" s="292"/>
      <c r="BG194" s="293"/>
      <c r="BH194" s="245" t="s">
        <v>3310</v>
      </c>
      <c r="BI194" s="250">
        <v>1371785</v>
      </c>
      <c r="BJ194" s="164" t="s">
        <v>3301</v>
      </c>
      <c r="BK194" s="164" t="s">
        <v>3302</v>
      </c>
    </row>
    <row r="195" spans="1:63" s="54" customFormat="1" ht="52.5" customHeight="1" thickBot="1">
      <c r="A195" s="55">
        <v>5</v>
      </c>
      <c r="B195" s="17" t="s">
        <v>1870</v>
      </c>
      <c r="C195" s="17" t="s">
        <v>3284</v>
      </c>
      <c r="D195" s="140">
        <v>11284</v>
      </c>
      <c r="E195" s="91" t="s">
        <v>1936</v>
      </c>
      <c r="F195" s="93" t="s">
        <v>1937</v>
      </c>
      <c r="G195" s="141" t="s">
        <v>563</v>
      </c>
      <c r="H195" s="142">
        <v>2022</v>
      </c>
      <c r="I195" s="143" t="s">
        <v>2635</v>
      </c>
      <c r="J195" s="170">
        <v>2</v>
      </c>
      <c r="K195" s="50">
        <v>2</v>
      </c>
      <c r="L195" s="49">
        <v>22230144</v>
      </c>
      <c r="M195" s="171" t="s">
        <v>200</v>
      </c>
      <c r="N195" s="56" t="s">
        <v>35</v>
      </c>
      <c r="O195" s="161">
        <f t="shared" ref="O195:O207" si="1">P195:P195</f>
        <v>40299</v>
      </c>
      <c r="P195" s="163">
        <v>40299</v>
      </c>
      <c r="Q195" s="162" t="s">
        <v>1929</v>
      </c>
      <c r="R195" s="44" t="s">
        <v>1938</v>
      </c>
      <c r="S195" s="172" t="s">
        <v>201</v>
      </c>
      <c r="T195" s="164" t="s">
        <v>2695</v>
      </c>
      <c r="U195" s="173">
        <v>75518</v>
      </c>
      <c r="V195" s="8" t="s">
        <v>3210</v>
      </c>
      <c r="W195" s="61" t="s">
        <v>1504</v>
      </c>
      <c r="X195" s="61" t="s">
        <v>3211</v>
      </c>
      <c r="Y195" s="160" t="s">
        <v>33</v>
      </c>
      <c r="Z195" s="164" t="s">
        <v>3262</v>
      </c>
      <c r="AA195" s="176" t="s">
        <v>3209</v>
      </c>
      <c r="AB195" s="174"/>
      <c r="AC195" s="88" t="s">
        <v>1931</v>
      </c>
      <c r="AD195" s="287" t="s">
        <v>201</v>
      </c>
      <c r="AE195" s="103" t="s">
        <v>30</v>
      </c>
      <c r="AF195" s="114" t="s">
        <v>154</v>
      </c>
      <c r="AG195" s="288" t="s">
        <v>564</v>
      </c>
      <c r="AH195" s="104" t="s">
        <v>432</v>
      </c>
      <c r="AI195" s="286"/>
      <c r="AJ195" s="85" t="s">
        <v>1932</v>
      </c>
      <c r="AK195" s="287" t="s">
        <v>201</v>
      </c>
      <c r="AL195" s="290" t="s">
        <v>21</v>
      </c>
      <c r="AM195" s="291" t="s">
        <v>490</v>
      </c>
      <c r="AN195" s="291"/>
      <c r="AO195" s="86"/>
      <c r="AP195" s="290"/>
      <c r="AQ195" s="242" t="s">
        <v>1933</v>
      </c>
      <c r="AR195" s="242" t="s">
        <v>1934</v>
      </c>
      <c r="AS195" s="87" t="s">
        <v>121</v>
      </c>
      <c r="AT195" s="243">
        <v>40299</v>
      </c>
      <c r="AU195" s="243"/>
      <c r="AV195" s="242" t="s">
        <v>1935</v>
      </c>
      <c r="AW195" s="242" t="s">
        <v>35</v>
      </c>
      <c r="AX195" s="243">
        <v>31940</v>
      </c>
      <c r="AY195" s="177"/>
      <c r="AZ195" s="291"/>
      <c r="BA195" s="287" t="s">
        <v>201</v>
      </c>
      <c r="BB195" s="290"/>
      <c r="BC195" s="291"/>
      <c r="BD195" s="291"/>
      <c r="BE195" s="290"/>
      <c r="BF195" s="292"/>
      <c r="BG195" s="293"/>
      <c r="BH195" s="245" t="s">
        <v>3310</v>
      </c>
      <c r="BI195" s="250">
        <v>1371785</v>
      </c>
      <c r="BJ195" s="164" t="s">
        <v>3301</v>
      </c>
      <c r="BK195" s="164" t="s">
        <v>3302</v>
      </c>
    </row>
    <row r="196" spans="1:63" s="54" customFormat="1" ht="52.5" customHeight="1" thickBot="1">
      <c r="A196" s="55">
        <v>6</v>
      </c>
      <c r="B196" s="20" t="s">
        <v>1804</v>
      </c>
      <c r="C196" s="17" t="s">
        <v>3284</v>
      </c>
      <c r="D196" s="140">
        <v>11329</v>
      </c>
      <c r="E196" s="91" t="s">
        <v>2041</v>
      </c>
      <c r="F196" s="93" t="s">
        <v>2042</v>
      </c>
      <c r="G196" s="141" t="s">
        <v>563</v>
      </c>
      <c r="H196" s="142">
        <v>2022</v>
      </c>
      <c r="I196" s="143" t="s">
        <v>2620</v>
      </c>
      <c r="J196" s="170">
        <v>1</v>
      </c>
      <c r="K196" s="50">
        <v>1</v>
      </c>
      <c r="L196" s="49">
        <v>22230068</v>
      </c>
      <c r="M196" s="171" t="s">
        <v>200</v>
      </c>
      <c r="N196" s="104" t="s">
        <v>26</v>
      </c>
      <c r="O196" s="161">
        <f t="shared" si="1"/>
        <v>40073</v>
      </c>
      <c r="P196" s="105">
        <v>40073</v>
      </c>
      <c r="Q196" s="162" t="s">
        <v>1420</v>
      </c>
      <c r="R196" s="44" t="s">
        <v>2043</v>
      </c>
      <c r="S196" s="172" t="s">
        <v>201</v>
      </c>
      <c r="T196" s="88" t="s">
        <v>2062</v>
      </c>
      <c r="U196" s="173">
        <v>16166</v>
      </c>
      <c r="V196" s="8" t="s">
        <v>3165</v>
      </c>
      <c r="W196" s="61" t="s">
        <v>3166</v>
      </c>
      <c r="X196" s="61" t="s">
        <v>74</v>
      </c>
      <c r="Y196" s="160" t="s">
        <v>39</v>
      </c>
      <c r="Z196" s="164" t="s">
        <v>3262</v>
      </c>
      <c r="AA196" s="176" t="s">
        <v>3167</v>
      </c>
      <c r="AB196" s="174"/>
      <c r="AC196" s="88" t="s">
        <v>2044</v>
      </c>
      <c r="AD196" s="287" t="s">
        <v>201</v>
      </c>
      <c r="AE196" s="103" t="s">
        <v>21</v>
      </c>
      <c r="AF196" s="114" t="s">
        <v>153</v>
      </c>
      <c r="AG196" s="288" t="s">
        <v>564</v>
      </c>
      <c r="AH196" s="104" t="s">
        <v>460</v>
      </c>
      <c r="AI196" s="286"/>
      <c r="AJ196" s="85" t="s">
        <v>2045</v>
      </c>
      <c r="AK196" s="287" t="s">
        <v>201</v>
      </c>
      <c r="AL196" s="290" t="s">
        <v>21</v>
      </c>
      <c r="AM196" s="291" t="s">
        <v>154</v>
      </c>
      <c r="AN196" s="291"/>
      <c r="AO196" s="289"/>
      <c r="AP196" s="290"/>
      <c r="AQ196" s="242" t="s">
        <v>2046</v>
      </c>
      <c r="AR196" s="242" t="s">
        <v>2047</v>
      </c>
      <c r="AS196" s="87" t="s">
        <v>111</v>
      </c>
      <c r="AT196" s="243">
        <v>29496</v>
      </c>
      <c r="AU196" s="243"/>
      <c r="AV196" s="242" t="s">
        <v>2048</v>
      </c>
      <c r="AW196" s="242" t="s">
        <v>31</v>
      </c>
      <c r="AX196" s="243">
        <v>31025</v>
      </c>
      <c r="AY196" s="177"/>
      <c r="AZ196" s="291"/>
      <c r="BA196" s="287" t="s">
        <v>201</v>
      </c>
      <c r="BB196" s="290"/>
      <c r="BC196" s="291"/>
      <c r="BD196" s="291"/>
      <c r="BE196" s="290"/>
      <c r="BF196" s="292"/>
      <c r="BG196" s="293"/>
      <c r="BH196" s="245" t="s">
        <v>3310</v>
      </c>
      <c r="BI196" s="250">
        <v>1371785</v>
      </c>
      <c r="BJ196" s="164" t="s">
        <v>3301</v>
      </c>
      <c r="BK196" s="164" t="s">
        <v>3302</v>
      </c>
    </row>
    <row r="197" spans="1:63" s="54" customFormat="1" ht="52.5" customHeight="1" thickBot="1">
      <c r="A197" s="55">
        <v>7</v>
      </c>
      <c r="B197" s="113" t="s">
        <v>1785</v>
      </c>
      <c r="C197" s="17" t="s">
        <v>3284</v>
      </c>
      <c r="D197" s="140">
        <v>11347</v>
      </c>
      <c r="E197" s="91" t="s">
        <v>2058</v>
      </c>
      <c r="F197" s="93" t="s">
        <v>2059</v>
      </c>
      <c r="G197" s="141" t="s">
        <v>563</v>
      </c>
      <c r="H197" s="142">
        <v>2022</v>
      </c>
      <c r="I197" s="143" t="s">
        <v>2622</v>
      </c>
      <c r="J197" s="170">
        <v>2</v>
      </c>
      <c r="K197" s="50">
        <v>2</v>
      </c>
      <c r="L197" s="49">
        <v>22230102</v>
      </c>
      <c r="M197" s="171" t="s">
        <v>200</v>
      </c>
      <c r="N197" s="56" t="s">
        <v>52</v>
      </c>
      <c r="O197" s="161">
        <f t="shared" si="1"/>
        <v>40349</v>
      </c>
      <c r="P197" s="163">
        <v>40349</v>
      </c>
      <c r="Q197" s="162" t="s">
        <v>2060</v>
      </c>
      <c r="R197" s="44" t="s">
        <v>2061</v>
      </c>
      <c r="S197" s="172" t="s">
        <v>201</v>
      </c>
      <c r="T197" s="164" t="s">
        <v>2082</v>
      </c>
      <c r="U197" s="173">
        <v>52125</v>
      </c>
      <c r="V197" s="8" t="s">
        <v>3171</v>
      </c>
      <c r="W197" s="61" t="s">
        <v>3172</v>
      </c>
      <c r="X197" s="61" t="s">
        <v>83</v>
      </c>
      <c r="Y197" s="160" t="s">
        <v>2970</v>
      </c>
      <c r="Z197" s="164" t="s">
        <v>3262</v>
      </c>
      <c r="AA197" s="176" t="s">
        <v>3173</v>
      </c>
      <c r="AB197" s="174"/>
      <c r="AC197" s="88" t="s">
        <v>2063</v>
      </c>
      <c r="AD197" s="287" t="s">
        <v>201</v>
      </c>
      <c r="AE197" s="103" t="s">
        <v>30</v>
      </c>
      <c r="AF197" s="114" t="s">
        <v>157</v>
      </c>
      <c r="AG197" s="288" t="s">
        <v>564</v>
      </c>
      <c r="AH197" s="104" t="s">
        <v>448</v>
      </c>
      <c r="AI197" s="286"/>
      <c r="AJ197" s="85" t="s">
        <v>2064</v>
      </c>
      <c r="AK197" s="287" t="s">
        <v>201</v>
      </c>
      <c r="AL197" s="290" t="s">
        <v>21</v>
      </c>
      <c r="AM197" s="291" t="s">
        <v>490</v>
      </c>
      <c r="AN197" s="291"/>
      <c r="AO197" s="350"/>
      <c r="AP197" s="290"/>
      <c r="AQ197" s="242" t="s">
        <v>2065</v>
      </c>
      <c r="AR197" s="242" t="s">
        <v>2066</v>
      </c>
      <c r="AS197" s="87" t="s">
        <v>83</v>
      </c>
      <c r="AT197" s="243">
        <v>29345</v>
      </c>
      <c r="AU197" s="243"/>
      <c r="AV197" s="242" t="s">
        <v>2067</v>
      </c>
      <c r="AW197" s="87" t="s">
        <v>83</v>
      </c>
      <c r="AX197" s="243">
        <v>29994</v>
      </c>
      <c r="AY197" s="177"/>
      <c r="AZ197" s="291"/>
      <c r="BA197" s="287" t="s">
        <v>201</v>
      </c>
      <c r="BB197" s="290"/>
      <c r="BC197" s="291"/>
      <c r="BD197" s="291"/>
      <c r="BE197" s="290"/>
      <c r="BF197" s="292"/>
      <c r="BG197" s="293"/>
      <c r="BH197" s="245" t="s">
        <v>3310</v>
      </c>
      <c r="BI197" s="250">
        <v>1371785</v>
      </c>
      <c r="BJ197" s="164" t="s">
        <v>3301</v>
      </c>
      <c r="BK197" s="164" t="s">
        <v>3302</v>
      </c>
    </row>
    <row r="198" spans="1:63" s="54" customFormat="1" ht="52.5" customHeight="1" thickBot="1">
      <c r="A198" s="55">
        <v>8</v>
      </c>
      <c r="B198" s="17" t="s">
        <v>1870</v>
      </c>
      <c r="C198" s="17" t="s">
        <v>3284</v>
      </c>
      <c r="D198" s="140">
        <v>11388</v>
      </c>
      <c r="E198" s="91" t="s">
        <v>2089</v>
      </c>
      <c r="F198" s="93" t="s">
        <v>2090</v>
      </c>
      <c r="G198" s="141" t="s">
        <v>563</v>
      </c>
      <c r="H198" s="142">
        <v>2022</v>
      </c>
      <c r="I198" s="143" t="s">
        <v>2625</v>
      </c>
      <c r="J198" s="170">
        <v>1</v>
      </c>
      <c r="K198" s="50">
        <v>1</v>
      </c>
      <c r="L198" s="49">
        <v>22230134</v>
      </c>
      <c r="M198" s="171" t="s">
        <v>200</v>
      </c>
      <c r="N198" s="56" t="s">
        <v>2091</v>
      </c>
      <c r="O198" s="161">
        <f t="shared" si="1"/>
        <v>39893</v>
      </c>
      <c r="P198" s="163">
        <v>39893</v>
      </c>
      <c r="Q198" s="162" t="s">
        <v>704</v>
      </c>
      <c r="R198" s="44" t="s">
        <v>2092</v>
      </c>
      <c r="S198" s="172" t="s">
        <v>201</v>
      </c>
      <c r="T198" s="164" t="s">
        <v>2102</v>
      </c>
      <c r="U198" s="173">
        <v>40553</v>
      </c>
      <c r="V198" s="8" t="s">
        <v>3178</v>
      </c>
      <c r="W198" s="61" t="s">
        <v>3179</v>
      </c>
      <c r="X198" s="61" t="s">
        <v>3180</v>
      </c>
      <c r="Y198" s="160" t="s">
        <v>39</v>
      </c>
      <c r="Z198" s="164" t="s">
        <v>3262</v>
      </c>
      <c r="AA198" s="176" t="s">
        <v>3181</v>
      </c>
      <c r="AB198" s="174"/>
      <c r="AC198" s="88" t="s">
        <v>2093</v>
      </c>
      <c r="AD198" s="287" t="s">
        <v>201</v>
      </c>
      <c r="AE198" s="103" t="s">
        <v>21</v>
      </c>
      <c r="AF198" s="114" t="s">
        <v>154</v>
      </c>
      <c r="AG198" s="288" t="s">
        <v>564</v>
      </c>
      <c r="AH198" s="104" t="s">
        <v>436</v>
      </c>
      <c r="AI198" s="286"/>
      <c r="AJ198" s="85" t="s">
        <v>2094</v>
      </c>
      <c r="AK198" s="287" t="s">
        <v>201</v>
      </c>
      <c r="AL198" s="290" t="s">
        <v>21</v>
      </c>
      <c r="AM198" s="291" t="s">
        <v>155</v>
      </c>
      <c r="AN198" s="291"/>
      <c r="AO198" s="289"/>
      <c r="AP198" s="290"/>
      <c r="AQ198" s="242" t="s">
        <v>2095</v>
      </c>
      <c r="AR198" s="242" t="s">
        <v>2096</v>
      </c>
      <c r="AS198" s="87" t="s">
        <v>75</v>
      </c>
      <c r="AT198" s="243">
        <v>30816</v>
      </c>
      <c r="AU198" s="243"/>
      <c r="AV198" s="242" t="s">
        <v>2097</v>
      </c>
      <c r="AW198" s="242" t="s">
        <v>47</v>
      </c>
      <c r="AX198" s="243">
        <v>30906</v>
      </c>
      <c r="AY198" s="177"/>
      <c r="AZ198" s="291"/>
      <c r="BA198" s="287" t="s">
        <v>201</v>
      </c>
      <c r="BB198" s="290"/>
      <c r="BC198" s="291"/>
      <c r="BD198" s="291"/>
      <c r="BE198" s="290"/>
      <c r="BF198" s="292"/>
      <c r="BG198" s="293"/>
      <c r="BH198" s="245" t="s">
        <v>3310</v>
      </c>
      <c r="BI198" s="250">
        <v>1371785</v>
      </c>
      <c r="BJ198" s="164" t="s">
        <v>3301</v>
      </c>
      <c r="BK198" s="164" t="s">
        <v>3302</v>
      </c>
    </row>
    <row r="199" spans="1:63" s="54" customFormat="1" ht="52.5" customHeight="1" thickBot="1">
      <c r="A199" s="55">
        <v>9</v>
      </c>
      <c r="B199" s="113" t="s">
        <v>1785</v>
      </c>
      <c r="C199" s="17" t="s">
        <v>3284</v>
      </c>
      <c r="D199" s="140">
        <v>11389</v>
      </c>
      <c r="E199" s="91" t="s">
        <v>2098</v>
      </c>
      <c r="F199" s="93" t="s">
        <v>2099</v>
      </c>
      <c r="G199" s="141" t="s">
        <v>563</v>
      </c>
      <c r="H199" s="142">
        <v>2022</v>
      </c>
      <c r="I199" s="143" t="s">
        <v>2626</v>
      </c>
      <c r="J199" s="170">
        <v>1</v>
      </c>
      <c r="K199" s="50">
        <v>2</v>
      </c>
      <c r="L199" s="49">
        <v>22230089</v>
      </c>
      <c r="M199" s="171" t="s">
        <v>200</v>
      </c>
      <c r="N199" s="56" t="s">
        <v>2100</v>
      </c>
      <c r="O199" s="161">
        <f t="shared" si="1"/>
        <v>40073</v>
      </c>
      <c r="P199" s="163">
        <v>40073</v>
      </c>
      <c r="Q199" s="162" t="s">
        <v>1420</v>
      </c>
      <c r="R199" s="44" t="s">
        <v>2101</v>
      </c>
      <c r="S199" s="172" t="s">
        <v>201</v>
      </c>
      <c r="T199" s="164" t="s">
        <v>2655</v>
      </c>
      <c r="U199" s="173">
        <v>66182</v>
      </c>
      <c r="V199" s="8" t="s">
        <v>3182</v>
      </c>
      <c r="W199" s="61" t="s">
        <v>3183</v>
      </c>
      <c r="X199" s="61" t="s">
        <v>37</v>
      </c>
      <c r="Y199" s="160" t="s">
        <v>38</v>
      </c>
      <c r="Z199" s="164" t="s">
        <v>3262</v>
      </c>
      <c r="AA199" s="176" t="s">
        <v>3184</v>
      </c>
      <c r="AB199" s="174"/>
      <c r="AC199" s="88" t="s">
        <v>2103</v>
      </c>
      <c r="AD199" s="287" t="s">
        <v>201</v>
      </c>
      <c r="AE199" s="103" t="s">
        <v>24</v>
      </c>
      <c r="AF199" s="114" t="s">
        <v>153</v>
      </c>
      <c r="AG199" s="304" t="s">
        <v>892</v>
      </c>
      <c r="AH199" s="104" t="s">
        <v>451</v>
      </c>
      <c r="AI199" s="286"/>
      <c r="AJ199" s="85" t="s">
        <v>2104</v>
      </c>
      <c r="AK199" s="287" t="s">
        <v>201</v>
      </c>
      <c r="AL199" s="290" t="s">
        <v>220</v>
      </c>
      <c r="AM199" s="291" t="s">
        <v>155</v>
      </c>
      <c r="AN199" s="291"/>
      <c r="AO199" s="289"/>
      <c r="AP199" s="290"/>
      <c r="AQ199" s="242" t="s">
        <v>2105</v>
      </c>
      <c r="AR199" s="242" t="s">
        <v>2106</v>
      </c>
      <c r="AS199" s="87" t="s">
        <v>663</v>
      </c>
      <c r="AT199" s="243">
        <v>28146</v>
      </c>
      <c r="AU199" s="243"/>
      <c r="AV199" s="242" t="s">
        <v>2107</v>
      </c>
      <c r="AW199" s="242" t="s">
        <v>2100</v>
      </c>
      <c r="AX199" s="243">
        <v>28707</v>
      </c>
      <c r="AY199" s="177"/>
      <c r="AZ199" s="291"/>
      <c r="BA199" s="287" t="s">
        <v>201</v>
      </c>
      <c r="BB199" s="290"/>
      <c r="BC199" s="291"/>
      <c r="BD199" s="291"/>
      <c r="BE199" s="290"/>
      <c r="BF199" s="292"/>
      <c r="BG199" s="293"/>
      <c r="BH199" s="245" t="s">
        <v>3310</v>
      </c>
      <c r="BI199" s="250">
        <v>1371785</v>
      </c>
      <c r="BJ199" s="164" t="s">
        <v>3301</v>
      </c>
      <c r="BK199" s="164" t="s">
        <v>3302</v>
      </c>
    </row>
    <row r="200" spans="1:63" s="54" customFormat="1" ht="52.5" customHeight="1" thickBot="1">
      <c r="A200" s="55">
        <v>10</v>
      </c>
      <c r="B200" s="17" t="s">
        <v>1870</v>
      </c>
      <c r="C200" s="17" t="s">
        <v>3284</v>
      </c>
      <c r="D200" s="140">
        <v>11378</v>
      </c>
      <c r="E200" s="91" t="s">
        <v>2079</v>
      </c>
      <c r="F200" s="94" t="s">
        <v>2080</v>
      </c>
      <c r="G200" s="141" t="s">
        <v>563</v>
      </c>
      <c r="H200" s="142">
        <v>2022</v>
      </c>
      <c r="I200" s="143" t="s">
        <v>2624</v>
      </c>
      <c r="J200" s="170">
        <v>1</v>
      </c>
      <c r="K200" s="50">
        <v>0</v>
      </c>
      <c r="L200" s="49">
        <v>22230091</v>
      </c>
      <c r="M200" s="171" t="s">
        <v>200</v>
      </c>
      <c r="N200" s="104" t="s">
        <v>70</v>
      </c>
      <c r="O200" s="161">
        <f t="shared" si="1"/>
        <v>40480</v>
      </c>
      <c r="P200" s="105">
        <v>40480</v>
      </c>
      <c r="Q200" s="162" t="s">
        <v>1873</v>
      </c>
      <c r="R200" s="44" t="s">
        <v>2081</v>
      </c>
      <c r="S200" s="172" t="s">
        <v>201</v>
      </c>
      <c r="T200" s="88" t="s">
        <v>2692</v>
      </c>
      <c r="U200" s="173">
        <v>77119</v>
      </c>
      <c r="V200" s="8" t="s">
        <v>3175</v>
      </c>
      <c r="W200" s="61" t="s">
        <v>3176</v>
      </c>
      <c r="X200" s="61" t="s">
        <v>70</v>
      </c>
      <c r="Y200" s="160" t="s">
        <v>71</v>
      </c>
      <c r="Z200" s="164" t="s">
        <v>3262</v>
      </c>
      <c r="AA200" s="176" t="s">
        <v>3177</v>
      </c>
      <c r="AB200" s="174"/>
      <c r="AC200" s="88" t="s">
        <v>2083</v>
      </c>
      <c r="AD200" s="287" t="s">
        <v>201</v>
      </c>
      <c r="AE200" s="103" t="s">
        <v>30</v>
      </c>
      <c r="AF200" s="114" t="s">
        <v>158</v>
      </c>
      <c r="AG200" s="288" t="s">
        <v>564</v>
      </c>
      <c r="AH200" s="104" t="s">
        <v>435</v>
      </c>
      <c r="AI200" s="316"/>
      <c r="AJ200" s="85" t="s">
        <v>2084</v>
      </c>
      <c r="AK200" s="287" t="s">
        <v>201</v>
      </c>
      <c r="AL200" s="290" t="s">
        <v>21</v>
      </c>
      <c r="AM200" s="291" t="s">
        <v>158</v>
      </c>
      <c r="AN200" s="291"/>
      <c r="AO200" s="289"/>
      <c r="AP200" s="290"/>
      <c r="AQ200" s="242" t="s">
        <v>2085</v>
      </c>
      <c r="AR200" s="242" t="s">
        <v>2086</v>
      </c>
      <c r="AS200" s="87" t="s">
        <v>2087</v>
      </c>
      <c r="AT200" s="243">
        <v>28236</v>
      </c>
      <c r="AU200" s="243"/>
      <c r="AV200" s="242" t="s">
        <v>2088</v>
      </c>
      <c r="AW200" s="242" t="s">
        <v>70</v>
      </c>
      <c r="AX200" s="243">
        <v>28578</v>
      </c>
      <c r="AY200" s="177"/>
      <c r="AZ200" s="291"/>
      <c r="BA200" s="287" t="s">
        <v>201</v>
      </c>
      <c r="BB200" s="290"/>
      <c r="BC200" s="291"/>
      <c r="BD200" s="291"/>
      <c r="BE200" s="290"/>
      <c r="BF200" s="292"/>
      <c r="BG200" s="293"/>
      <c r="BH200" s="245" t="s">
        <v>3310</v>
      </c>
      <c r="BI200" s="250">
        <v>1371785</v>
      </c>
      <c r="BJ200" s="164" t="s">
        <v>3301</v>
      </c>
      <c r="BK200" s="164" t="s">
        <v>3302</v>
      </c>
    </row>
    <row r="201" spans="1:63" s="54" customFormat="1" ht="52.5" customHeight="1" thickBot="1">
      <c r="A201" s="55">
        <v>11</v>
      </c>
      <c r="B201" s="113" t="s">
        <v>1785</v>
      </c>
      <c r="C201" s="17" t="s">
        <v>3284</v>
      </c>
      <c r="D201" s="140">
        <v>11464</v>
      </c>
      <c r="E201" s="91" t="s">
        <v>1968</v>
      </c>
      <c r="F201" s="93" t="s">
        <v>1969</v>
      </c>
      <c r="G201" s="141" t="s">
        <v>563</v>
      </c>
      <c r="H201" s="142">
        <v>2022</v>
      </c>
      <c r="I201" s="143" t="s">
        <v>2639</v>
      </c>
      <c r="J201" s="170">
        <v>1</v>
      </c>
      <c r="K201" s="50">
        <v>2</v>
      </c>
      <c r="L201" s="49">
        <v>22230001</v>
      </c>
      <c r="M201" s="171" t="s">
        <v>200</v>
      </c>
      <c r="N201" s="56" t="s">
        <v>997</v>
      </c>
      <c r="O201" s="161">
        <f t="shared" si="1"/>
        <v>40189</v>
      </c>
      <c r="P201" s="163">
        <v>40189</v>
      </c>
      <c r="Q201" s="162" t="s">
        <v>814</v>
      </c>
      <c r="R201" s="44" t="s">
        <v>1970</v>
      </c>
      <c r="S201" s="172" t="s">
        <v>201</v>
      </c>
      <c r="T201" s="164" t="s">
        <v>2142</v>
      </c>
      <c r="U201" s="173">
        <v>55871</v>
      </c>
      <c r="V201" s="8" t="s">
        <v>3217</v>
      </c>
      <c r="W201" s="61" t="s">
        <v>3218</v>
      </c>
      <c r="X201" s="61" t="s">
        <v>727</v>
      </c>
      <c r="Y201" s="160" t="s">
        <v>20</v>
      </c>
      <c r="Z201" s="164" t="s">
        <v>3262</v>
      </c>
      <c r="AA201" s="176" t="s">
        <v>3219</v>
      </c>
      <c r="AB201" s="174"/>
      <c r="AC201" s="88" t="s">
        <v>1972</v>
      </c>
      <c r="AD201" s="287" t="s">
        <v>201</v>
      </c>
      <c r="AE201" s="103" t="s">
        <v>21</v>
      </c>
      <c r="AF201" s="114" t="s">
        <v>153</v>
      </c>
      <c r="AG201" s="288" t="s">
        <v>564</v>
      </c>
      <c r="AH201" s="104" t="s">
        <v>463</v>
      </c>
      <c r="AI201" s="286"/>
      <c r="AJ201" s="85" t="s">
        <v>1973</v>
      </c>
      <c r="AK201" s="287" t="s">
        <v>201</v>
      </c>
      <c r="AL201" s="290" t="s">
        <v>21</v>
      </c>
      <c r="AM201" s="291" t="s">
        <v>276</v>
      </c>
      <c r="AN201" s="291"/>
      <c r="AO201" s="289"/>
      <c r="AP201" s="290"/>
      <c r="AQ201" s="242" t="s">
        <v>1974</v>
      </c>
      <c r="AR201" s="242" t="s">
        <v>1975</v>
      </c>
      <c r="AS201" s="87" t="s">
        <v>727</v>
      </c>
      <c r="AT201" s="243">
        <v>29818</v>
      </c>
      <c r="AU201" s="243"/>
      <c r="AV201" s="242" t="s">
        <v>1976</v>
      </c>
      <c r="AW201" s="242" t="s">
        <v>23</v>
      </c>
      <c r="AX201" s="243">
        <v>30206</v>
      </c>
      <c r="AY201" s="177"/>
      <c r="AZ201" s="291"/>
      <c r="BA201" s="287" t="s">
        <v>201</v>
      </c>
      <c r="BB201" s="290"/>
      <c r="BC201" s="291"/>
      <c r="BD201" s="291"/>
      <c r="BE201" s="290"/>
      <c r="BF201" s="292"/>
      <c r="BG201" s="293"/>
      <c r="BH201" s="245" t="s">
        <v>3310</v>
      </c>
      <c r="BI201" s="250">
        <v>1371785</v>
      </c>
      <c r="BJ201" s="164" t="s">
        <v>3301</v>
      </c>
      <c r="BK201" s="164" t="s">
        <v>3302</v>
      </c>
    </row>
    <row r="202" spans="1:63" s="54" customFormat="1" ht="52.5" customHeight="1" thickBot="1">
      <c r="A202" s="55">
        <v>12</v>
      </c>
      <c r="B202" s="17" t="s">
        <v>1870</v>
      </c>
      <c r="C202" s="17" t="s">
        <v>3284</v>
      </c>
      <c r="D202" s="140">
        <v>11475</v>
      </c>
      <c r="E202" s="91" t="s">
        <v>2118</v>
      </c>
      <c r="F202" s="93" t="s">
        <v>2119</v>
      </c>
      <c r="G202" s="141" t="s">
        <v>563</v>
      </c>
      <c r="H202" s="142">
        <v>2022</v>
      </c>
      <c r="I202" s="143" t="s">
        <v>2628</v>
      </c>
      <c r="J202" s="170">
        <v>1</v>
      </c>
      <c r="K202" s="50">
        <v>1</v>
      </c>
      <c r="L202" s="49">
        <v>22230008</v>
      </c>
      <c r="M202" s="171" t="s">
        <v>200</v>
      </c>
      <c r="N202" s="56" t="s">
        <v>26</v>
      </c>
      <c r="O202" s="161">
        <f t="shared" si="1"/>
        <v>40095</v>
      </c>
      <c r="P202" s="163">
        <v>40095</v>
      </c>
      <c r="Q202" s="162" t="s">
        <v>2120</v>
      </c>
      <c r="R202" s="44" t="s">
        <v>2121</v>
      </c>
      <c r="S202" s="172" t="s">
        <v>201</v>
      </c>
      <c r="T202" s="164" t="s">
        <v>2132</v>
      </c>
      <c r="U202" s="173">
        <v>10560</v>
      </c>
      <c r="V202" s="8" t="s">
        <v>3188</v>
      </c>
      <c r="W202" s="61" t="s">
        <v>3188</v>
      </c>
      <c r="X202" s="61" t="s">
        <v>1710</v>
      </c>
      <c r="Y202" s="160" t="s">
        <v>3189</v>
      </c>
      <c r="Z202" s="164" t="s">
        <v>3262</v>
      </c>
      <c r="AA202" s="176" t="s">
        <v>3190</v>
      </c>
      <c r="AB202" s="174"/>
      <c r="AC202" s="88" t="s">
        <v>2122</v>
      </c>
      <c r="AD202" s="287" t="s">
        <v>201</v>
      </c>
      <c r="AE202" s="103" t="s">
        <v>30</v>
      </c>
      <c r="AF202" s="114" t="s">
        <v>22</v>
      </c>
      <c r="AG202" s="288" t="s">
        <v>564</v>
      </c>
      <c r="AH202" s="104"/>
      <c r="AI202" s="286"/>
      <c r="AJ202" s="85" t="s">
        <v>2123</v>
      </c>
      <c r="AK202" s="287" t="s">
        <v>201</v>
      </c>
      <c r="AL202" s="290" t="s">
        <v>30</v>
      </c>
      <c r="AM202" s="291" t="s">
        <v>22</v>
      </c>
      <c r="AN202" s="291"/>
      <c r="AO202" s="86" t="s">
        <v>439</v>
      </c>
      <c r="AP202" s="290"/>
      <c r="AQ202" s="242" t="s">
        <v>2124</v>
      </c>
      <c r="AR202" s="242" t="s">
        <v>2125</v>
      </c>
      <c r="AS202" s="87" t="s">
        <v>2126</v>
      </c>
      <c r="AT202" s="243">
        <v>27916</v>
      </c>
      <c r="AU202" s="243"/>
      <c r="AV202" s="242" t="s">
        <v>2127</v>
      </c>
      <c r="AW202" s="242" t="s">
        <v>51</v>
      </c>
      <c r="AX202" s="243">
        <v>29025</v>
      </c>
      <c r="AY202" s="177"/>
      <c r="AZ202" s="291"/>
      <c r="BA202" s="287" t="s">
        <v>201</v>
      </c>
      <c r="BB202" s="290"/>
      <c r="BC202" s="291"/>
      <c r="BD202" s="291"/>
      <c r="BE202" s="290"/>
      <c r="BF202" s="292"/>
      <c r="BG202" s="293"/>
      <c r="BH202" s="245" t="s">
        <v>3310</v>
      </c>
      <c r="BI202" s="250">
        <v>1371785</v>
      </c>
      <c r="BJ202" s="164" t="s">
        <v>3301</v>
      </c>
      <c r="BK202" s="164" t="s">
        <v>3302</v>
      </c>
    </row>
    <row r="203" spans="1:63" ht="39" thickBot="1">
      <c r="A203" s="55">
        <v>13</v>
      </c>
      <c r="B203" s="113" t="s">
        <v>1785</v>
      </c>
      <c r="C203" s="17" t="s">
        <v>3284</v>
      </c>
      <c r="D203" s="154">
        <v>11483</v>
      </c>
      <c r="E203" s="91" t="s">
        <v>2128</v>
      </c>
      <c r="F203" s="93" t="s">
        <v>2129</v>
      </c>
      <c r="G203" s="141" t="s">
        <v>563</v>
      </c>
      <c r="H203" s="142">
        <v>2022</v>
      </c>
      <c r="I203" s="143" t="s">
        <v>2629</v>
      </c>
      <c r="J203" s="187">
        <v>1</v>
      </c>
      <c r="K203" s="188">
        <v>0</v>
      </c>
      <c r="L203" s="189">
        <v>22230071</v>
      </c>
      <c r="M203" s="171" t="s">
        <v>200</v>
      </c>
      <c r="N203" s="56" t="s">
        <v>50</v>
      </c>
      <c r="O203" s="161">
        <f t="shared" si="1"/>
        <v>40135</v>
      </c>
      <c r="P203" s="163">
        <v>40135</v>
      </c>
      <c r="Q203" s="162" t="s">
        <v>2130</v>
      </c>
      <c r="R203" s="46" t="s">
        <v>2131</v>
      </c>
      <c r="S203" s="172" t="s">
        <v>201</v>
      </c>
      <c r="T203" s="164" t="s">
        <v>1790</v>
      </c>
      <c r="U203" s="192">
        <v>61151</v>
      </c>
      <c r="V203" s="8" t="s">
        <v>3191</v>
      </c>
      <c r="W203" s="61" t="s">
        <v>3192</v>
      </c>
      <c r="X203" s="61" t="s">
        <v>50</v>
      </c>
      <c r="Y203" s="160" t="s">
        <v>38</v>
      </c>
      <c r="Z203" s="164" t="s">
        <v>3262</v>
      </c>
      <c r="AA203" s="195" t="s">
        <v>2757</v>
      </c>
      <c r="AB203" s="196"/>
      <c r="AC203" s="88" t="s">
        <v>2133</v>
      </c>
      <c r="AD203" s="287" t="s">
        <v>201</v>
      </c>
      <c r="AE203" s="103" t="s">
        <v>21</v>
      </c>
      <c r="AF203" s="114" t="s">
        <v>153</v>
      </c>
      <c r="AG203" s="288" t="s">
        <v>564</v>
      </c>
      <c r="AH203" s="104" t="s">
        <v>453</v>
      </c>
      <c r="AI203" s="286"/>
      <c r="AJ203" s="85" t="s">
        <v>2134</v>
      </c>
      <c r="AK203" s="287" t="s">
        <v>201</v>
      </c>
      <c r="AL203" s="290" t="s">
        <v>21</v>
      </c>
      <c r="AM203" s="291" t="s">
        <v>276</v>
      </c>
      <c r="AN203" s="291"/>
      <c r="AO203" s="289"/>
      <c r="AP203" s="290"/>
      <c r="AQ203" s="242" t="s">
        <v>2135</v>
      </c>
      <c r="AR203" s="242" t="s">
        <v>2136</v>
      </c>
      <c r="AS203" s="87" t="s">
        <v>50</v>
      </c>
      <c r="AT203" s="243">
        <v>25966</v>
      </c>
      <c r="AU203" s="243"/>
      <c r="AV203" s="242" t="s">
        <v>2137</v>
      </c>
      <c r="AW203" s="242" t="s">
        <v>50</v>
      </c>
      <c r="AX203" s="243">
        <v>26019</v>
      </c>
      <c r="AY203" s="177"/>
      <c r="AZ203" s="291"/>
      <c r="BA203" s="287" t="s">
        <v>201</v>
      </c>
      <c r="BB203" s="290"/>
      <c r="BC203" s="291"/>
      <c r="BD203" s="291"/>
      <c r="BE203" s="290"/>
      <c r="BF203" s="292"/>
      <c r="BG203" s="293"/>
      <c r="BH203" s="245" t="s">
        <v>3310</v>
      </c>
      <c r="BI203" s="250">
        <v>1371785</v>
      </c>
      <c r="BJ203" s="164" t="s">
        <v>3301</v>
      </c>
      <c r="BK203" s="164" t="s">
        <v>3302</v>
      </c>
    </row>
    <row r="204" spans="1:63" ht="48" thickBot="1">
      <c r="A204" s="55">
        <v>1</v>
      </c>
      <c r="B204" s="132" t="s">
        <v>1785</v>
      </c>
      <c r="C204" s="113" t="s">
        <v>596</v>
      </c>
      <c r="D204" s="131">
        <v>11221</v>
      </c>
      <c r="E204" s="91" t="s">
        <v>1786</v>
      </c>
      <c r="F204" s="93" t="s">
        <v>1787</v>
      </c>
      <c r="G204" s="141" t="s">
        <v>563</v>
      </c>
      <c r="H204" s="142">
        <v>2022</v>
      </c>
      <c r="I204" s="143" t="s">
        <v>2643</v>
      </c>
      <c r="J204" s="170">
        <v>1</v>
      </c>
      <c r="K204" s="50">
        <v>0</v>
      </c>
      <c r="L204" s="49">
        <v>22230084</v>
      </c>
      <c r="M204" s="171" t="s">
        <v>200</v>
      </c>
      <c r="N204" s="104" t="s">
        <v>99</v>
      </c>
      <c r="O204" s="161">
        <f t="shared" si="1"/>
        <v>39953</v>
      </c>
      <c r="P204" s="105">
        <v>39953</v>
      </c>
      <c r="Q204" s="162" t="s">
        <v>1788</v>
      </c>
      <c r="R204" s="44" t="s">
        <v>1789</v>
      </c>
      <c r="S204" s="172" t="s">
        <v>201</v>
      </c>
      <c r="T204" s="88" t="s">
        <v>1903</v>
      </c>
      <c r="U204" s="173">
        <v>30152</v>
      </c>
      <c r="V204" s="8" t="s">
        <v>3227</v>
      </c>
      <c r="W204" s="61" t="s">
        <v>3227</v>
      </c>
      <c r="X204" s="61" t="s">
        <v>99</v>
      </c>
      <c r="Y204" s="160" t="s">
        <v>62</v>
      </c>
      <c r="Z204" s="164" t="s">
        <v>3262</v>
      </c>
      <c r="AA204" s="176" t="s">
        <v>3228</v>
      </c>
      <c r="AB204" s="174"/>
      <c r="AC204" s="88" t="s">
        <v>1791</v>
      </c>
      <c r="AD204" s="287" t="s">
        <v>201</v>
      </c>
      <c r="AE204" s="103" t="s">
        <v>21</v>
      </c>
      <c r="AF204" s="114" t="s">
        <v>154</v>
      </c>
      <c r="AG204" s="288"/>
      <c r="AH204" s="104" t="s">
        <v>440</v>
      </c>
      <c r="AI204" s="286"/>
      <c r="AJ204" s="85" t="s">
        <v>1792</v>
      </c>
      <c r="AK204" s="287" t="s">
        <v>201</v>
      </c>
      <c r="AL204" s="290" t="s">
        <v>220</v>
      </c>
      <c r="AM204" s="291" t="s">
        <v>490</v>
      </c>
      <c r="AN204" s="291" t="s">
        <v>564</v>
      </c>
      <c r="AO204" s="289"/>
      <c r="AP204" s="290"/>
      <c r="AQ204" s="242" t="s">
        <v>1793</v>
      </c>
      <c r="AR204" s="298"/>
      <c r="AS204" s="362"/>
      <c r="AT204" s="363"/>
      <c r="AU204" s="243"/>
      <c r="AV204" s="242" t="s">
        <v>1794</v>
      </c>
      <c r="AW204" s="242" t="s">
        <v>99</v>
      </c>
      <c r="AX204" s="243">
        <v>27087</v>
      </c>
      <c r="AY204" s="177"/>
      <c r="AZ204" s="291"/>
      <c r="BA204" s="287" t="s">
        <v>201</v>
      </c>
      <c r="BB204" s="290"/>
      <c r="BC204" s="291"/>
      <c r="BD204" s="291"/>
      <c r="BE204" s="290"/>
      <c r="BF204" s="292"/>
      <c r="BG204" s="293"/>
      <c r="BH204" s="164" t="s">
        <v>3311</v>
      </c>
      <c r="BI204" s="55"/>
      <c r="BJ204" s="164" t="s">
        <v>3301</v>
      </c>
      <c r="BK204" s="164" t="s">
        <v>3302</v>
      </c>
    </row>
    <row r="205" spans="1:63" ht="48" thickBot="1">
      <c r="A205" s="55">
        <v>2</v>
      </c>
      <c r="B205" s="20" t="s">
        <v>1804</v>
      </c>
      <c r="C205" s="113" t="s">
        <v>596</v>
      </c>
      <c r="D205" s="147">
        <v>11251</v>
      </c>
      <c r="E205" s="91" t="s">
        <v>1805</v>
      </c>
      <c r="F205" s="93" t="s">
        <v>1806</v>
      </c>
      <c r="G205" s="141" t="s">
        <v>563</v>
      </c>
      <c r="H205" s="142">
        <v>2022</v>
      </c>
      <c r="I205" s="143" t="s">
        <v>2645</v>
      </c>
      <c r="J205" s="170">
        <v>1</v>
      </c>
      <c r="K205" s="50">
        <v>0</v>
      </c>
      <c r="L205" s="49">
        <v>22230125</v>
      </c>
      <c r="M205" s="171" t="s">
        <v>200</v>
      </c>
      <c r="N205" s="104" t="s">
        <v>31</v>
      </c>
      <c r="O205" s="161">
        <f t="shared" si="1"/>
        <v>40103</v>
      </c>
      <c r="P205" s="105">
        <v>40103</v>
      </c>
      <c r="Q205" s="162" t="s">
        <v>1807</v>
      </c>
      <c r="R205" s="44" t="s">
        <v>1808</v>
      </c>
      <c r="S205" s="172" t="s">
        <v>201</v>
      </c>
      <c r="T205" s="88" t="s">
        <v>1921</v>
      </c>
      <c r="U205" s="173">
        <v>51113</v>
      </c>
      <c r="V205" s="8" t="s">
        <v>3231</v>
      </c>
      <c r="W205" s="61" t="s">
        <v>2774</v>
      </c>
      <c r="X205" s="61" t="s">
        <v>31</v>
      </c>
      <c r="Y205" s="160" t="s">
        <v>3232</v>
      </c>
      <c r="Z205" s="164" t="s">
        <v>3262</v>
      </c>
      <c r="AA205" s="176" t="s">
        <v>3233</v>
      </c>
      <c r="AB205" s="174"/>
      <c r="AC205" s="88" t="s">
        <v>3234</v>
      </c>
      <c r="AD205" s="287" t="s">
        <v>201</v>
      </c>
      <c r="AE205" s="103" t="s">
        <v>21</v>
      </c>
      <c r="AF205" s="114" t="s">
        <v>154</v>
      </c>
      <c r="AG205" s="304" t="s">
        <v>565</v>
      </c>
      <c r="AH205" s="104" t="s">
        <v>456</v>
      </c>
      <c r="AI205" s="286"/>
      <c r="AJ205" s="85" t="s">
        <v>1809</v>
      </c>
      <c r="AK205" s="287" t="s">
        <v>201</v>
      </c>
      <c r="AL205" s="290" t="s">
        <v>29</v>
      </c>
      <c r="AM205" s="291" t="s">
        <v>490</v>
      </c>
      <c r="AN205" s="291"/>
      <c r="AO205" s="289"/>
      <c r="AP205" s="290"/>
      <c r="AQ205" s="242" t="s">
        <v>1810</v>
      </c>
      <c r="AR205" s="242" t="s">
        <v>1811</v>
      </c>
      <c r="AS205" s="87" t="s">
        <v>31</v>
      </c>
      <c r="AT205" s="243">
        <v>26514</v>
      </c>
      <c r="AU205" s="243"/>
      <c r="AV205" s="242" t="s">
        <v>1812</v>
      </c>
      <c r="AW205" s="242" t="s">
        <v>31</v>
      </c>
      <c r="AX205" s="243">
        <v>27431</v>
      </c>
      <c r="AY205" s="177"/>
      <c r="AZ205" s="291"/>
      <c r="BA205" s="287" t="s">
        <v>201</v>
      </c>
      <c r="BB205" s="290"/>
      <c r="BC205" s="291"/>
      <c r="BD205" s="291"/>
      <c r="BE205" s="290"/>
      <c r="BF205" s="292"/>
      <c r="BG205" s="293"/>
      <c r="BH205" s="164" t="s">
        <v>3311</v>
      </c>
      <c r="BI205" s="55"/>
      <c r="BJ205" s="164" t="s">
        <v>3301</v>
      </c>
      <c r="BK205" s="164" t="s">
        <v>3302</v>
      </c>
    </row>
    <row r="206" spans="1:63" ht="63.75" thickBot="1">
      <c r="A206" s="55">
        <v>3</v>
      </c>
      <c r="B206" s="20" t="s">
        <v>1804</v>
      </c>
      <c r="C206" s="113" t="s">
        <v>596</v>
      </c>
      <c r="D206" s="147">
        <v>11277</v>
      </c>
      <c r="E206" s="91" t="s">
        <v>1813</v>
      </c>
      <c r="F206" s="93" t="s">
        <v>1814</v>
      </c>
      <c r="G206" s="141" t="s">
        <v>563</v>
      </c>
      <c r="H206" s="142">
        <v>2022</v>
      </c>
      <c r="I206" s="143" t="s">
        <v>2646</v>
      </c>
      <c r="J206" s="170">
        <v>1</v>
      </c>
      <c r="K206" s="50">
        <v>2</v>
      </c>
      <c r="L206" s="49">
        <v>22230137</v>
      </c>
      <c r="M206" s="171" t="s">
        <v>200</v>
      </c>
      <c r="N206" s="104" t="s">
        <v>111</v>
      </c>
      <c r="O206" s="161">
        <f t="shared" si="1"/>
        <v>40173</v>
      </c>
      <c r="P206" s="105">
        <v>40173</v>
      </c>
      <c r="Q206" s="162" t="s">
        <v>1815</v>
      </c>
      <c r="R206" s="44" t="s">
        <v>1816</v>
      </c>
      <c r="S206" s="172" t="s">
        <v>201</v>
      </c>
      <c r="T206" s="88" t="s">
        <v>1838</v>
      </c>
      <c r="U206" s="173">
        <v>72273</v>
      </c>
      <c r="V206" s="8" t="s">
        <v>3235</v>
      </c>
      <c r="W206" s="61" t="s">
        <v>3236</v>
      </c>
      <c r="X206" s="61" t="s">
        <v>3237</v>
      </c>
      <c r="Y206" s="160" t="s">
        <v>49</v>
      </c>
      <c r="Z206" s="164" t="s">
        <v>3262</v>
      </c>
      <c r="AA206" s="176" t="s">
        <v>3238</v>
      </c>
      <c r="AB206" s="174"/>
      <c r="AC206" s="293" t="s">
        <v>1818</v>
      </c>
      <c r="AD206" s="293" t="s">
        <v>201</v>
      </c>
      <c r="AE206" s="293" t="s">
        <v>21</v>
      </c>
      <c r="AF206" s="293" t="s">
        <v>22</v>
      </c>
      <c r="AG206" s="288" t="s">
        <v>564</v>
      </c>
      <c r="AH206" s="293"/>
      <c r="AI206" s="352"/>
      <c r="AJ206" s="88" t="s">
        <v>1819</v>
      </c>
      <c r="AK206" s="287" t="s">
        <v>201</v>
      </c>
      <c r="AL206" s="103" t="s">
        <v>30</v>
      </c>
      <c r="AM206" s="114" t="s">
        <v>22</v>
      </c>
      <c r="AN206" s="287"/>
      <c r="AO206" s="104" t="s">
        <v>457</v>
      </c>
      <c r="AP206" s="290"/>
      <c r="AQ206" s="242" t="s">
        <v>1820</v>
      </c>
      <c r="AR206" s="242" t="s">
        <v>1821</v>
      </c>
      <c r="AS206" s="87" t="s">
        <v>1484</v>
      </c>
      <c r="AT206" s="243">
        <v>30110</v>
      </c>
      <c r="AU206" s="243"/>
      <c r="AV206" s="242" t="s">
        <v>1822</v>
      </c>
      <c r="AW206" s="242" t="s">
        <v>1823</v>
      </c>
      <c r="AX206" s="243">
        <v>29713</v>
      </c>
      <c r="AY206" s="177"/>
      <c r="AZ206" s="291"/>
      <c r="BA206" s="287" t="s">
        <v>201</v>
      </c>
      <c r="BB206" s="290"/>
      <c r="BC206" s="291"/>
      <c r="BD206" s="291"/>
      <c r="BE206" s="290"/>
      <c r="BF206" s="292"/>
      <c r="BG206" s="293"/>
      <c r="BH206" s="164" t="s">
        <v>3311</v>
      </c>
      <c r="BI206" s="55"/>
      <c r="BJ206" s="164" t="s">
        <v>3301</v>
      </c>
      <c r="BK206" s="164" t="s">
        <v>3302</v>
      </c>
    </row>
    <row r="207" spans="1:63" ht="39" thickBot="1">
      <c r="A207" s="55">
        <v>4</v>
      </c>
      <c r="B207" s="20" t="s">
        <v>1804</v>
      </c>
      <c r="C207" s="113" t="s">
        <v>596</v>
      </c>
      <c r="D207" s="147">
        <v>11296</v>
      </c>
      <c r="E207" s="91" t="s">
        <v>1835</v>
      </c>
      <c r="F207" s="93" t="s">
        <v>1836</v>
      </c>
      <c r="G207" s="141" t="s">
        <v>563</v>
      </c>
      <c r="H207" s="142">
        <v>2022</v>
      </c>
      <c r="I207" s="143" t="s">
        <v>2648</v>
      </c>
      <c r="J207" s="127">
        <v>1</v>
      </c>
      <c r="K207" s="128">
        <v>0</v>
      </c>
      <c r="L207" s="49">
        <v>22230129</v>
      </c>
      <c r="M207" s="171" t="s">
        <v>200</v>
      </c>
      <c r="N207" s="104" t="s">
        <v>52</v>
      </c>
      <c r="O207" s="161">
        <f t="shared" si="1"/>
        <v>40279</v>
      </c>
      <c r="P207" s="105">
        <v>40279</v>
      </c>
      <c r="Q207" s="162" t="s">
        <v>1749</v>
      </c>
      <c r="R207" s="44" t="s">
        <v>1837</v>
      </c>
      <c r="S207" s="172" t="s">
        <v>201</v>
      </c>
      <c r="T207" s="88" t="s">
        <v>1940</v>
      </c>
      <c r="U207" s="173">
        <v>55515</v>
      </c>
      <c r="V207" s="8" t="s">
        <v>3242</v>
      </c>
      <c r="W207" s="61" t="s">
        <v>3243</v>
      </c>
      <c r="X207" s="61" t="s">
        <v>52</v>
      </c>
      <c r="Y207" s="160" t="s">
        <v>20</v>
      </c>
      <c r="Z207" s="164" t="s">
        <v>3262</v>
      </c>
      <c r="AA207" s="176" t="s">
        <v>3244</v>
      </c>
      <c r="AB207" s="174"/>
      <c r="AC207" s="115" t="s">
        <v>152</v>
      </c>
      <c r="AD207" s="353" t="s">
        <v>201</v>
      </c>
      <c r="AE207" s="116" t="s">
        <v>21</v>
      </c>
      <c r="AF207" s="117" t="s">
        <v>154</v>
      </c>
      <c r="AG207" s="288" t="s">
        <v>564</v>
      </c>
      <c r="AH207" s="118" t="s">
        <v>458</v>
      </c>
      <c r="AI207" s="286"/>
      <c r="AJ207" s="85" t="s">
        <v>1839</v>
      </c>
      <c r="AK207" s="287" t="s">
        <v>201</v>
      </c>
      <c r="AL207" s="290"/>
      <c r="AM207" s="291"/>
      <c r="AN207" s="291"/>
      <c r="AO207" s="289"/>
      <c r="AP207" s="290"/>
      <c r="AQ207" s="242"/>
      <c r="AR207" s="242"/>
      <c r="AS207" s="87"/>
      <c r="AT207" s="243"/>
      <c r="AU207" s="243"/>
      <c r="AV207" s="242"/>
      <c r="AW207" s="242"/>
      <c r="AX207" s="243"/>
      <c r="AY207" s="177"/>
      <c r="AZ207" s="291"/>
      <c r="BA207" s="287" t="s">
        <v>201</v>
      </c>
      <c r="BB207" s="290"/>
      <c r="BC207" s="291"/>
      <c r="BD207" s="291"/>
      <c r="BE207" s="290"/>
      <c r="BF207" s="292"/>
      <c r="BG207" s="293"/>
      <c r="BH207" s="164" t="s">
        <v>3311</v>
      </c>
      <c r="BI207" s="55"/>
      <c r="BJ207" s="164" t="s">
        <v>3301</v>
      </c>
      <c r="BK207" s="164" t="s">
        <v>3302</v>
      </c>
    </row>
    <row r="208" spans="1:63" ht="63.75" thickBot="1">
      <c r="A208" s="55">
        <v>5</v>
      </c>
      <c r="B208" s="113" t="s">
        <v>1785</v>
      </c>
      <c r="C208" s="113" t="s">
        <v>596</v>
      </c>
      <c r="D208" s="140">
        <v>11341</v>
      </c>
      <c r="E208" s="91" t="s">
        <v>1840</v>
      </c>
      <c r="F208" s="93" t="s">
        <v>1841</v>
      </c>
      <c r="G208" s="141" t="s">
        <v>563</v>
      </c>
      <c r="H208" s="142">
        <v>2022</v>
      </c>
      <c r="I208" s="143" t="s">
        <v>2649</v>
      </c>
      <c r="J208" s="170">
        <v>1</v>
      </c>
      <c r="K208" s="50">
        <v>0</v>
      </c>
      <c r="L208" s="49">
        <v>22230110</v>
      </c>
      <c r="M208" s="171" t="s">
        <v>200</v>
      </c>
      <c r="N208" s="56" t="s">
        <v>54</v>
      </c>
      <c r="O208" s="161">
        <f>P208:P209</f>
        <v>40258</v>
      </c>
      <c r="P208" s="163">
        <v>40258</v>
      </c>
      <c r="Q208" s="162" t="s">
        <v>1842</v>
      </c>
      <c r="R208" s="44" t="s">
        <v>1843</v>
      </c>
      <c r="S208" s="172" t="s">
        <v>201</v>
      </c>
      <c r="T208" s="164" t="s">
        <v>1854</v>
      </c>
      <c r="U208" s="173">
        <v>15560</v>
      </c>
      <c r="V208" s="8" t="s">
        <v>3245</v>
      </c>
      <c r="W208" s="61" t="s">
        <v>3246</v>
      </c>
      <c r="X208" s="61" t="s">
        <v>41</v>
      </c>
      <c r="Y208" s="160" t="s">
        <v>42</v>
      </c>
      <c r="Z208" s="164" t="s">
        <v>3262</v>
      </c>
      <c r="AA208" s="176" t="s">
        <v>3247</v>
      </c>
      <c r="AB208" s="174"/>
      <c r="AC208" s="88" t="s">
        <v>1845</v>
      </c>
      <c r="AD208" s="287" t="s">
        <v>201</v>
      </c>
      <c r="AE208" s="103" t="s">
        <v>24</v>
      </c>
      <c r="AF208" s="114" t="s">
        <v>153</v>
      </c>
      <c r="AG208" s="288" t="s">
        <v>564</v>
      </c>
      <c r="AH208" s="104" t="s">
        <v>446</v>
      </c>
      <c r="AI208" s="286"/>
      <c r="AJ208" s="85" t="s">
        <v>1846</v>
      </c>
      <c r="AK208" s="287" t="s">
        <v>201</v>
      </c>
      <c r="AL208" s="290" t="s">
        <v>45</v>
      </c>
      <c r="AM208" s="291" t="s">
        <v>490</v>
      </c>
      <c r="AN208" s="291"/>
      <c r="AO208" s="289"/>
      <c r="AP208" s="290"/>
      <c r="AQ208" s="242" t="s">
        <v>1847</v>
      </c>
      <c r="AR208" s="242" t="s">
        <v>1848</v>
      </c>
      <c r="AS208" s="87" t="s">
        <v>68</v>
      </c>
      <c r="AT208" s="243">
        <v>22616</v>
      </c>
      <c r="AU208" s="243"/>
      <c r="AV208" s="242" t="s">
        <v>1849</v>
      </c>
      <c r="AW208" s="242" t="s">
        <v>54</v>
      </c>
      <c r="AX208" s="243">
        <v>28103</v>
      </c>
      <c r="AY208" s="177"/>
      <c r="AZ208" s="291"/>
      <c r="BA208" s="287" t="s">
        <v>201</v>
      </c>
      <c r="BB208" s="290"/>
      <c r="BC208" s="291"/>
      <c r="BD208" s="291"/>
      <c r="BE208" s="290"/>
      <c r="BF208" s="292"/>
      <c r="BG208" s="293"/>
      <c r="BH208" s="164" t="s">
        <v>3311</v>
      </c>
      <c r="BI208" s="55"/>
      <c r="BJ208" s="164" t="s">
        <v>3301</v>
      </c>
      <c r="BK208" s="164" t="s">
        <v>3302</v>
      </c>
    </row>
    <row r="209" spans="1:63" ht="48" thickBot="1">
      <c r="A209" s="55">
        <v>6</v>
      </c>
      <c r="B209" s="113" t="s">
        <v>1785</v>
      </c>
      <c r="C209" s="113" t="s">
        <v>596</v>
      </c>
      <c r="D209" s="140">
        <v>11342</v>
      </c>
      <c r="E209" s="91" t="s">
        <v>1850</v>
      </c>
      <c r="F209" s="93" t="s">
        <v>1851</v>
      </c>
      <c r="G209" s="141" t="s">
        <v>563</v>
      </c>
      <c r="H209" s="142">
        <v>2022</v>
      </c>
      <c r="I209" s="143" t="s">
        <v>2650</v>
      </c>
      <c r="J209" s="170">
        <v>3</v>
      </c>
      <c r="K209" s="50">
        <v>4</v>
      </c>
      <c r="L209" s="49">
        <v>22230129</v>
      </c>
      <c r="M209" s="171" t="s">
        <v>200</v>
      </c>
      <c r="N209" s="56" t="s">
        <v>103</v>
      </c>
      <c r="O209" s="161">
        <f>P209:P209</f>
        <v>40333</v>
      </c>
      <c r="P209" s="163">
        <v>40333</v>
      </c>
      <c r="Q209" s="162" t="s">
        <v>1852</v>
      </c>
      <c r="R209" s="44" t="s">
        <v>1853</v>
      </c>
      <c r="S209" s="172" t="s">
        <v>201</v>
      </c>
      <c r="T209" s="164" t="s">
        <v>1954</v>
      </c>
      <c r="U209" s="173">
        <v>56262</v>
      </c>
      <c r="V209" s="8" t="s">
        <v>3248</v>
      </c>
      <c r="W209" s="61" t="s">
        <v>3249</v>
      </c>
      <c r="X209" s="61" t="s">
        <v>103</v>
      </c>
      <c r="Y209" s="160" t="s">
        <v>28</v>
      </c>
      <c r="Z209" s="164" t="s">
        <v>3262</v>
      </c>
      <c r="AA209" s="176" t="s">
        <v>3250</v>
      </c>
      <c r="AB209" s="174"/>
      <c r="AC209" s="88" t="s">
        <v>1855</v>
      </c>
      <c r="AD209" s="287" t="s">
        <v>201</v>
      </c>
      <c r="AE209" s="103" t="s">
        <v>67</v>
      </c>
      <c r="AF209" s="114" t="s">
        <v>158</v>
      </c>
      <c r="AG209" s="288" t="s">
        <v>564</v>
      </c>
      <c r="AH209" s="104" t="s">
        <v>447</v>
      </c>
      <c r="AI209" s="286"/>
      <c r="AJ209" s="85" t="s">
        <v>1856</v>
      </c>
      <c r="AK209" s="287" t="s">
        <v>201</v>
      </c>
      <c r="AL209" s="290" t="s">
        <v>24</v>
      </c>
      <c r="AM209" s="291" t="s">
        <v>490</v>
      </c>
      <c r="AN209" s="291"/>
      <c r="AO209" s="289"/>
      <c r="AP209" s="290"/>
      <c r="AQ209" s="242" t="s">
        <v>1857</v>
      </c>
      <c r="AR209" s="242" t="s">
        <v>1858</v>
      </c>
      <c r="AS209" s="87" t="s">
        <v>150</v>
      </c>
      <c r="AT209" s="243">
        <v>27644</v>
      </c>
      <c r="AU209" s="243"/>
      <c r="AV209" s="242" t="s">
        <v>1859</v>
      </c>
      <c r="AW209" s="242" t="s">
        <v>103</v>
      </c>
      <c r="AX209" s="243">
        <v>29428</v>
      </c>
      <c r="AY209" s="177"/>
      <c r="AZ209" s="291"/>
      <c r="BA209" s="287" t="s">
        <v>201</v>
      </c>
      <c r="BB209" s="290"/>
      <c r="BC209" s="291"/>
      <c r="BD209" s="291"/>
      <c r="BE209" s="290"/>
      <c r="BF209" s="292"/>
      <c r="BG209" s="293"/>
      <c r="BH209" s="164" t="s">
        <v>3311</v>
      </c>
      <c r="BI209" s="55"/>
      <c r="BJ209" s="164" t="s">
        <v>3301</v>
      </c>
      <c r="BK209" s="164" t="s">
        <v>3302</v>
      </c>
    </row>
    <row r="210" spans="1:63" ht="48" thickBot="1">
      <c r="A210" s="55">
        <v>7</v>
      </c>
      <c r="B210" s="17" t="s">
        <v>1870</v>
      </c>
      <c r="C210" s="113" t="s">
        <v>596</v>
      </c>
      <c r="D210" s="140">
        <v>11377</v>
      </c>
      <c r="E210" s="91" t="s">
        <v>2068</v>
      </c>
      <c r="F210" s="93" t="s">
        <v>2078</v>
      </c>
      <c r="G210" s="141" t="s">
        <v>563</v>
      </c>
      <c r="H210" s="142">
        <v>2022</v>
      </c>
      <c r="I210" s="143" t="s">
        <v>2623</v>
      </c>
      <c r="J210" s="170">
        <v>2</v>
      </c>
      <c r="K210" s="50">
        <v>2</v>
      </c>
      <c r="L210" s="49">
        <v>22230009</v>
      </c>
      <c r="M210" s="171" t="s">
        <v>200</v>
      </c>
      <c r="N210" s="104" t="s">
        <v>23</v>
      </c>
      <c r="O210" s="161">
        <f>P210:P210</f>
        <v>40193</v>
      </c>
      <c r="P210" s="105">
        <v>40193</v>
      </c>
      <c r="Q210" s="162" t="s">
        <v>1202</v>
      </c>
      <c r="R210" s="44" t="s">
        <v>2069</v>
      </c>
      <c r="S210" s="172" t="s">
        <v>201</v>
      </c>
      <c r="T210" s="88" t="s">
        <v>1864</v>
      </c>
      <c r="U210" s="173">
        <v>55581</v>
      </c>
      <c r="V210" s="8" t="s">
        <v>79</v>
      </c>
      <c r="W210" s="61" t="s">
        <v>3133</v>
      </c>
      <c r="X210" s="61" t="s">
        <v>52</v>
      </c>
      <c r="Y210" s="160" t="s">
        <v>79</v>
      </c>
      <c r="Z210" s="164" t="s">
        <v>3262</v>
      </c>
      <c r="AA210" s="176" t="s">
        <v>3174</v>
      </c>
      <c r="AB210" s="174"/>
      <c r="AC210" s="88" t="s">
        <v>2071</v>
      </c>
      <c r="AD210" s="287" t="s">
        <v>201</v>
      </c>
      <c r="AE210" s="103" t="s">
        <v>67</v>
      </c>
      <c r="AF210" s="114" t="s">
        <v>158</v>
      </c>
      <c r="AG210" s="288" t="s">
        <v>564</v>
      </c>
      <c r="AH210" s="104" t="s">
        <v>434</v>
      </c>
      <c r="AI210" s="286"/>
      <c r="AJ210" s="85" t="s">
        <v>2072</v>
      </c>
      <c r="AK210" s="287" t="s">
        <v>201</v>
      </c>
      <c r="AL210" s="290" t="s">
        <v>21</v>
      </c>
      <c r="AM210" s="291" t="s">
        <v>490</v>
      </c>
      <c r="AN210" s="291"/>
      <c r="AO210" s="86"/>
      <c r="AP210" s="290"/>
      <c r="AQ210" s="242" t="s">
        <v>2073</v>
      </c>
      <c r="AR210" s="242" t="s">
        <v>2074</v>
      </c>
      <c r="AS210" s="87" t="s">
        <v>2075</v>
      </c>
      <c r="AT210" s="243">
        <v>28012</v>
      </c>
      <c r="AU210" s="243"/>
      <c r="AV210" s="242" t="s">
        <v>2076</v>
      </c>
      <c r="AW210" s="242" t="s">
        <v>2077</v>
      </c>
      <c r="AX210" s="243">
        <v>29848</v>
      </c>
      <c r="AY210" s="177"/>
      <c r="AZ210" s="291"/>
      <c r="BA210" s="287" t="s">
        <v>201</v>
      </c>
      <c r="BB210" s="290"/>
      <c r="BC210" s="291"/>
      <c r="BD210" s="291"/>
      <c r="BE210" s="290"/>
      <c r="BF210" s="292"/>
      <c r="BG210" s="293"/>
      <c r="BH210" s="164" t="s">
        <v>3311</v>
      </c>
      <c r="BI210" s="55"/>
      <c r="BJ210" s="164" t="s">
        <v>3301</v>
      </c>
      <c r="BK210" s="164" t="s">
        <v>3302</v>
      </c>
    </row>
    <row r="211" spans="1:63" ht="63.75" thickBot="1">
      <c r="A211" s="55">
        <v>8</v>
      </c>
      <c r="B211" s="113" t="s">
        <v>1785</v>
      </c>
      <c r="C211" s="113" t="s">
        <v>596</v>
      </c>
      <c r="D211" s="140">
        <v>11458</v>
      </c>
      <c r="E211" s="91" t="s">
        <v>1880</v>
      </c>
      <c r="F211" s="93" t="s">
        <v>1881</v>
      </c>
      <c r="G211" s="141" t="s">
        <v>563</v>
      </c>
      <c r="H211" s="142">
        <v>2022</v>
      </c>
      <c r="I211" s="143" t="s">
        <v>2653</v>
      </c>
      <c r="J211" s="170">
        <v>3</v>
      </c>
      <c r="K211" s="50">
        <v>3</v>
      </c>
      <c r="L211" s="49">
        <v>22230115</v>
      </c>
      <c r="M211" s="171" t="s">
        <v>200</v>
      </c>
      <c r="N211" s="56" t="s">
        <v>87</v>
      </c>
      <c r="O211" s="161">
        <f>P211:P212</f>
        <v>40205</v>
      </c>
      <c r="P211" s="163">
        <v>40205</v>
      </c>
      <c r="Q211" s="162" t="s">
        <v>1882</v>
      </c>
      <c r="R211" s="44" t="s">
        <v>1883</v>
      </c>
      <c r="S211" s="172" t="s">
        <v>201</v>
      </c>
      <c r="T211" s="164" t="s">
        <v>1971</v>
      </c>
      <c r="U211" s="173">
        <v>79113</v>
      </c>
      <c r="V211" s="8" t="s">
        <v>3256</v>
      </c>
      <c r="W211" s="61" t="s">
        <v>3257</v>
      </c>
      <c r="X211" s="61" t="s">
        <v>3258</v>
      </c>
      <c r="Y211" s="160" t="s">
        <v>61</v>
      </c>
      <c r="Z211" s="164" t="s">
        <v>3262</v>
      </c>
      <c r="AA211" s="176" t="s">
        <v>3259</v>
      </c>
      <c r="AB211" s="174"/>
      <c r="AC211" s="88" t="s">
        <v>1885</v>
      </c>
      <c r="AD211" s="287" t="s">
        <v>201</v>
      </c>
      <c r="AE211" s="103" t="s">
        <v>21</v>
      </c>
      <c r="AF211" s="114" t="s">
        <v>154</v>
      </c>
      <c r="AG211" s="288" t="s">
        <v>564</v>
      </c>
      <c r="AH211" s="104" t="s">
        <v>452</v>
      </c>
      <c r="AI211" s="286"/>
      <c r="AJ211" s="85" t="s">
        <v>1886</v>
      </c>
      <c r="AK211" s="287" t="s">
        <v>201</v>
      </c>
      <c r="AL211" s="290" t="s">
        <v>21</v>
      </c>
      <c r="AM211" s="291" t="s">
        <v>1724</v>
      </c>
      <c r="AN211" s="291"/>
      <c r="AO211" s="289"/>
      <c r="AP211" s="290"/>
      <c r="AQ211" s="242" t="s">
        <v>1887</v>
      </c>
      <c r="AR211" s="242" t="s">
        <v>1888</v>
      </c>
      <c r="AS211" s="87" t="s">
        <v>95</v>
      </c>
      <c r="AT211" s="243">
        <v>26877</v>
      </c>
      <c r="AU211" s="243"/>
      <c r="AV211" s="242" t="s">
        <v>1889</v>
      </c>
      <c r="AW211" s="242" t="s">
        <v>87</v>
      </c>
      <c r="AX211" s="243">
        <v>28498</v>
      </c>
      <c r="AY211" s="177"/>
      <c r="AZ211" s="291"/>
      <c r="BA211" s="287" t="s">
        <v>201</v>
      </c>
      <c r="BB211" s="290"/>
      <c r="BC211" s="291"/>
      <c r="BD211" s="291"/>
      <c r="BE211" s="290"/>
      <c r="BF211" s="292"/>
      <c r="BG211" s="293"/>
      <c r="BH211" s="164" t="s">
        <v>3311</v>
      </c>
      <c r="BI211" s="55"/>
      <c r="BJ211" s="164" t="s">
        <v>3301</v>
      </c>
      <c r="BK211" s="164" t="s">
        <v>3302</v>
      </c>
    </row>
    <row r="212" spans="1:63" ht="39" thickBot="1">
      <c r="A212" s="55">
        <v>9</v>
      </c>
      <c r="B212" s="20" t="s">
        <v>1804</v>
      </c>
      <c r="C212" s="113" t="s">
        <v>596</v>
      </c>
      <c r="D212" s="126">
        <v>11507</v>
      </c>
      <c r="E212" s="91" t="s">
        <v>1890</v>
      </c>
      <c r="F212" s="93" t="s">
        <v>1891</v>
      </c>
      <c r="G212" s="141" t="s">
        <v>563</v>
      </c>
      <c r="H212" s="142">
        <v>2022</v>
      </c>
      <c r="I212" s="143" t="s">
        <v>2654</v>
      </c>
      <c r="J212" s="170">
        <v>1</v>
      </c>
      <c r="K212" s="50">
        <v>3</v>
      </c>
      <c r="L212" s="49">
        <v>22230156</v>
      </c>
      <c r="M212" s="171" t="s">
        <v>200</v>
      </c>
      <c r="N212" s="104" t="s">
        <v>829</v>
      </c>
      <c r="O212" s="161">
        <f>P212:P212</f>
        <v>40246</v>
      </c>
      <c r="P212" s="105">
        <v>40246</v>
      </c>
      <c r="Q212" s="162" t="s">
        <v>1892</v>
      </c>
      <c r="R212" s="44" t="s">
        <v>1893</v>
      </c>
      <c r="S212" s="172" t="s">
        <v>201</v>
      </c>
      <c r="T212" s="88" t="s">
        <v>1998</v>
      </c>
      <c r="U212" s="173">
        <v>16423</v>
      </c>
      <c r="V212" s="8" t="s">
        <v>3260</v>
      </c>
      <c r="W212" s="61" t="s">
        <v>3240</v>
      </c>
      <c r="X212" s="61" t="s">
        <v>479</v>
      </c>
      <c r="Y212" s="160" t="s">
        <v>39</v>
      </c>
      <c r="Z212" s="164" t="s">
        <v>3262</v>
      </c>
      <c r="AA212" s="176" t="s">
        <v>3261</v>
      </c>
      <c r="AB212" s="174"/>
      <c r="AC212" s="88" t="s">
        <v>1895</v>
      </c>
      <c r="AD212" s="287" t="s">
        <v>201</v>
      </c>
      <c r="AE212" s="103" t="s">
        <v>21</v>
      </c>
      <c r="AF212" s="114" t="s">
        <v>154</v>
      </c>
      <c r="AG212" s="288" t="s">
        <v>564</v>
      </c>
      <c r="AH212" s="104" t="s">
        <v>467</v>
      </c>
      <c r="AI212" s="286"/>
      <c r="AJ212" s="85" t="s">
        <v>1896</v>
      </c>
      <c r="AK212" s="287" t="s">
        <v>201</v>
      </c>
      <c r="AL212" s="290" t="s">
        <v>21</v>
      </c>
      <c r="AM212" s="291" t="s">
        <v>490</v>
      </c>
      <c r="AN212" s="291"/>
      <c r="AO212" s="289"/>
      <c r="AP212" s="290"/>
      <c r="AQ212" s="242" t="s">
        <v>1897</v>
      </c>
      <c r="AR212" s="242" t="s">
        <v>1898</v>
      </c>
      <c r="AS212" s="87" t="s">
        <v>1826</v>
      </c>
      <c r="AT212" s="243">
        <v>30932</v>
      </c>
      <c r="AU212" s="243"/>
      <c r="AV212" s="242" t="s">
        <v>1899</v>
      </c>
      <c r="AW212" s="242" t="s">
        <v>829</v>
      </c>
      <c r="AX212" s="243">
        <v>31400</v>
      </c>
      <c r="AY212" s="177"/>
      <c r="AZ212" s="291"/>
      <c r="BA212" s="287" t="s">
        <v>201</v>
      </c>
      <c r="BB212" s="290"/>
      <c r="BC212" s="291"/>
      <c r="BD212" s="291"/>
      <c r="BE212" s="290"/>
      <c r="BF212" s="292"/>
      <c r="BG212" s="293"/>
      <c r="BH212" s="164" t="s">
        <v>3311</v>
      </c>
      <c r="BI212" s="55"/>
      <c r="BJ212" s="164" t="s">
        <v>3301</v>
      </c>
      <c r="BK212" s="164" t="s">
        <v>3302</v>
      </c>
    </row>
  </sheetData>
  <autoFilter ref="A1:AX202" xr:uid="{00000000-0001-0000-0100-000000000000}">
    <sortState xmlns:xlrd2="http://schemas.microsoft.com/office/spreadsheetml/2017/richdata2" ref="A90:AX90">
      <sortCondition ref="F1:F202"/>
    </sortState>
  </autoFilter>
  <phoneticPr fontId="28" type="noConversion"/>
  <conditionalFormatting sqref="J2:K212">
    <cfRule type="cellIs" dxfId="2" priority="1" operator="lessThan">
      <formula>0.5</formula>
    </cfRule>
  </conditionalFormatting>
  <pageMargins left="0.7" right="0.7" top="0.75" bottom="0.75" header="0.3" footer="0.3"/>
  <pageSetup paperSize="30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316"/>
  <sheetViews>
    <sheetView zoomScale="85" zoomScaleNormal="85" workbookViewId="0">
      <pane xSplit="5" ySplit="1" topLeftCell="W197" activePane="bottomRight" state="frozen"/>
      <selection pane="topRight" activeCell="E1" sqref="E1"/>
      <selection pane="bottomLeft" activeCell="A2" sqref="A2"/>
      <selection pane="bottomRight" activeCell="AA2" sqref="AA2:AF219"/>
    </sheetView>
  </sheetViews>
  <sheetFormatPr defaultRowHeight="15.75"/>
  <cols>
    <col min="1" max="1" width="9.140625" style="10" customWidth="1"/>
    <col min="2" max="2" width="5.7109375" style="1" customWidth="1"/>
    <col min="3" max="3" width="11" style="10" customWidth="1"/>
    <col min="4" max="4" width="15" style="10" customWidth="1"/>
    <col min="5" max="5" width="48.85546875" style="10" customWidth="1"/>
    <col min="6" max="6" width="13.28515625" style="1" customWidth="1"/>
    <col min="7" max="7" width="18.42578125" style="4" customWidth="1"/>
    <col min="8" max="8" width="14.42578125" style="1" customWidth="1"/>
    <col min="9" max="10" width="8.85546875" style="1" customWidth="1"/>
    <col min="11" max="11" width="10" style="1" customWidth="1"/>
    <col min="12" max="12" width="100.7109375" style="4" customWidth="1"/>
    <col min="13" max="16" width="29.7109375" style="4" customWidth="1"/>
    <col min="17" max="17" width="44.42578125" style="4" customWidth="1"/>
    <col min="18" max="18" width="67.7109375" style="4" customWidth="1"/>
    <col min="19" max="19" width="8" style="4" customWidth="1"/>
    <col min="20" max="20" width="36.5703125" style="4" customWidth="1"/>
    <col min="21" max="21" width="10" style="4" customWidth="1"/>
    <col min="22" max="22" width="11" style="4" customWidth="1"/>
    <col min="23" max="23" width="13.42578125" style="4" customWidth="1"/>
    <col min="24" max="24" width="24.7109375" style="4" customWidth="1"/>
    <col min="25" max="25" width="19.85546875" style="48" bestFit="1" customWidth="1"/>
    <col min="26" max="26" width="36.5703125" style="4" customWidth="1"/>
    <col min="27" max="27" width="35.5703125" style="4" customWidth="1"/>
    <col min="28" max="28" width="10.7109375" style="4" customWidth="1"/>
    <col min="29" max="29" width="11" style="4" customWidth="1"/>
    <col min="30" max="30" width="13.42578125" style="4" customWidth="1"/>
    <col min="31" max="31" width="24.7109375" style="4" customWidth="1"/>
    <col min="32" max="32" width="19.85546875" style="48" customWidth="1"/>
    <col min="33" max="33" width="36.5703125" style="4" customWidth="1"/>
    <col min="34" max="35" width="15.42578125" style="4" customWidth="1"/>
    <col min="36" max="36" width="11" style="4" customWidth="1"/>
    <col min="37" max="38" width="13.42578125" style="4" customWidth="1"/>
    <col min="39" max="39" width="18.42578125" style="4" customWidth="1"/>
    <col min="40" max="40" width="17.28515625" style="4" customWidth="1"/>
    <col min="41" max="41" width="16.42578125" style="4" customWidth="1"/>
    <col min="42" max="42" width="28.28515625" style="4" customWidth="1"/>
    <col min="43" max="16384" width="9.140625" style="4"/>
  </cols>
  <sheetData>
    <row r="1" spans="1:42" s="7" customFormat="1" ht="37.5" customHeight="1" thickBot="1">
      <c r="A1" s="21" t="s">
        <v>123</v>
      </c>
      <c r="B1" s="2" t="s">
        <v>161</v>
      </c>
      <c r="C1" s="9" t="s">
        <v>124</v>
      </c>
      <c r="D1" s="9" t="s">
        <v>2</v>
      </c>
      <c r="E1" s="9" t="s">
        <v>125</v>
      </c>
      <c r="F1" s="2" t="s">
        <v>4</v>
      </c>
      <c r="G1" s="2" t="s">
        <v>162</v>
      </c>
      <c r="H1" s="2" t="s">
        <v>163</v>
      </c>
      <c r="I1" s="2" t="s">
        <v>5</v>
      </c>
      <c r="J1" s="2" t="s">
        <v>135</v>
      </c>
      <c r="K1" s="2" t="s">
        <v>172</v>
      </c>
      <c r="L1" s="2" t="s">
        <v>183</v>
      </c>
      <c r="M1" s="2" t="s">
        <v>164</v>
      </c>
      <c r="N1" s="2" t="s">
        <v>165</v>
      </c>
      <c r="O1" s="2" t="s">
        <v>166</v>
      </c>
      <c r="P1" s="2" t="s">
        <v>7</v>
      </c>
      <c r="Q1" s="2" t="s">
        <v>8</v>
      </c>
      <c r="R1" s="2" t="s">
        <v>9</v>
      </c>
      <c r="S1" s="2" t="s">
        <v>10</v>
      </c>
      <c r="T1" s="2" t="s">
        <v>11</v>
      </c>
      <c r="U1" s="2" t="s">
        <v>177</v>
      </c>
      <c r="V1" s="2" t="s">
        <v>12</v>
      </c>
      <c r="W1" s="2" t="s">
        <v>13</v>
      </c>
      <c r="X1" s="2" t="s">
        <v>14</v>
      </c>
      <c r="Y1" s="47" t="s">
        <v>15</v>
      </c>
      <c r="Z1" s="2" t="s">
        <v>16</v>
      </c>
      <c r="AA1" s="2" t="s">
        <v>17</v>
      </c>
      <c r="AB1" s="2" t="s">
        <v>176</v>
      </c>
      <c r="AC1" s="2" t="s">
        <v>12</v>
      </c>
      <c r="AD1" s="2" t="s">
        <v>13</v>
      </c>
      <c r="AE1" s="2" t="s">
        <v>14</v>
      </c>
      <c r="AF1" s="47" t="s">
        <v>15</v>
      </c>
      <c r="AG1" s="2" t="s">
        <v>16</v>
      </c>
      <c r="AH1" s="2" t="s">
        <v>18</v>
      </c>
      <c r="AI1" s="2" t="s">
        <v>175</v>
      </c>
      <c r="AJ1" s="2" t="s">
        <v>12</v>
      </c>
      <c r="AK1" s="2" t="s">
        <v>13</v>
      </c>
      <c r="AL1" s="2" t="s">
        <v>184</v>
      </c>
      <c r="AM1" s="2" t="s">
        <v>14</v>
      </c>
      <c r="AN1" s="2" t="s">
        <v>15</v>
      </c>
      <c r="AO1" s="2" t="s">
        <v>16</v>
      </c>
      <c r="AP1" s="7" t="s">
        <v>167</v>
      </c>
    </row>
    <row r="2" spans="1:42" s="53" customFormat="1" ht="20.100000000000001" customHeight="1" thickBot="1">
      <c r="A2" s="12" t="s">
        <v>128</v>
      </c>
      <c r="B2">
        <v>1</v>
      </c>
      <c r="C2" s="90">
        <f>'BIO DATA'!D2</f>
        <v>11201</v>
      </c>
      <c r="D2" s="90" t="str">
        <f>'BIO DATA'!E2</f>
        <v>0113015237</v>
      </c>
      <c r="E2" s="89" t="str">
        <f>'BIO DATA'!F2</f>
        <v>Abiyyi Al Hakim Assyauqi</v>
      </c>
      <c r="F2" s="49" t="str">
        <f>'BIO DATA'!M2</f>
        <v>Laki-laki</v>
      </c>
      <c r="G2" s="8" t="str">
        <f>'BIO DATA'!N2</f>
        <v>Pemalang</v>
      </c>
      <c r="H2" s="51">
        <f>'BIO DATA'!P2</f>
        <v>40562</v>
      </c>
      <c r="I2" s="49" t="str">
        <f>'BIO DATA'!S2</f>
        <v>Islam</v>
      </c>
      <c r="J2" s="50">
        <f>'BIO DATA'!J2:J173</f>
        <v>1</v>
      </c>
      <c r="K2" s="50">
        <f>'BIO DATA'!K2:K203</f>
        <v>1</v>
      </c>
      <c r="L2" s="8" t="str">
        <f>'BIO DATA'!T2:T173</f>
        <v>RT. 02 RW.16 Dusun Kebonsari Kelurahan Petarukan Kec. Patarukan Kab. Pemalang 52362</v>
      </c>
      <c r="M2" s="8" t="str">
        <f>'BIO DATA'!V2:V203</f>
        <v>Petarukan</v>
      </c>
      <c r="N2" s="8" t="str">
        <f>'BIO DATA'!W2:W203</f>
        <v>Petarukan</v>
      </c>
      <c r="O2" s="8" t="str">
        <f>'BIO DATA'!X2:X203</f>
        <v>Pemalang</v>
      </c>
      <c r="P2" s="8" t="str">
        <f>'BIO DATA'!Y2:Y203</f>
        <v>Jawa Tengah</v>
      </c>
      <c r="Q2" s="8" t="str">
        <f>'BIO DATA'!Z2:Z203</f>
        <v>MTs. Mu'allimin Muh. Yogyakarta</v>
      </c>
      <c r="R2" s="8" t="str">
        <f>'BIO DATA'!AA2:AA203</f>
        <v>Jl. Letjend. S. Parman No. 68 Yogyakarta 55012</v>
      </c>
      <c r="S2" s="8">
        <f>'BIO DATA'!AB2:AB203</f>
        <v>0</v>
      </c>
      <c r="T2" s="8" t="str">
        <f>'BIO DATA'!AC2:AC203</f>
        <v>Imam Nur Hakim</v>
      </c>
      <c r="U2" s="8" t="str">
        <f>'BIO DATA'!AD2</f>
        <v>Islam</v>
      </c>
      <c r="V2" s="8" t="str">
        <f>'BIO DATA'!AL2:AL203</f>
        <v>S1</v>
      </c>
      <c r="W2" s="8" t="str">
        <f>'BIO DATA'!AM2:AM203</f>
        <v>Guru</v>
      </c>
      <c r="X2" s="8" t="str">
        <f>'BIO DATA'!AG2:AG203</f>
        <v>&gt; Rp 2.500.000,00</v>
      </c>
      <c r="Y2" s="69" t="s">
        <v>217</v>
      </c>
      <c r="Z2" s="8">
        <f>'BIO DATA'!AI2:AI203</f>
        <v>0</v>
      </c>
      <c r="AA2" s="8" t="str">
        <f>'BIO DATA'!AJ2:AJ203</f>
        <v>Romistiyani Khasanah</v>
      </c>
      <c r="AB2" s="8" t="str">
        <f>'BIO DATA'!AK2</f>
        <v>Islam</v>
      </c>
      <c r="AC2" s="8" t="str">
        <f>'BIO DATA'!AL2:AL203</f>
        <v>S1</v>
      </c>
      <c r="AD2" s="8" t="str">
        <f>'BIO DATA'!AM2:AM203</f>
        <v>Guru</v>
      </c>
      <c r="AE2" s="8">
        <f>'BIO DATA'!AN2:AN203</f>
        <v>0</v>
      </c>
      <c r="AF2" s="52"/>
      <c r="AG2" s="8">
        <f>'BIO DATA'!AP2</f>
        <v>0</v>
      </c>
      <c r="AH2" s="8">
        <f>'BIO DATA'!AZ2</f>
        <v>0</v>
      </c>
      <c r="AI2" s="8" t="str">
        <f>'BIO DATA'!BA2</f>
        <v>Islam</v>
      </c>
      <c r="AJ2" s="8">
        <f>'BIO DATA'!BB2</f>
        <v>0</v>
      </c>
      <c r="AK2" s="8">
        <f>'BIO DATA'!BC2</f>
        <v>0</v>
      </c>
      <c r="AL2" s="8">
        <f>'BIO DATA'!BD2</f>
        <v>0</v>
      </c>
      <c r="AM2" s="8">
        <f>'BIO DATA'!BE2</f>
        <v>0</v>
      </c>
      <c r="AN2" s="8">
        <f>'BIO DATA'!BF2</f>
        <v>0</v>
      </c>
      <c r="AO2" s="8">
        <f>'BIO DATA'!BG2</f>
        <v>0</v>
      </c>
      <c r="AP2" s="53" t="s">
        <v>171</v>
      </c>
    </row>
    <row r="3" spans="1:42" s="53" customFormat="1" ht="20.100000000000001" customHeight="1" thickBot="1">
      <c r="A3" s="12" t="s">
        <v>128</v>
      </c>
      <c r="B3">
        <v>11</v>
      </c>
      <c r="C3" s="90">
        <f>'BIO DATA'!D3</f>
        <v>11218</v>
      </c>
      <c r="D3" s="90" t="str">
        <f>'BIO DATA'!E3</f>
        <v>0102449757</v>
      </c>
      <c r="E3" s="89" t="str">
        <f>'BIO DATA'!F3</f>
        <v>Ahmad Azzam Hilmi Alqodri</v>
      </c>
      <c r="F3" s="49" t="str">
        <f>'BIO DATA'!M3</f>
        <v>Laki-laki</v>
      </c>
      <c r="G3" s="8" t="str">
        <f>'BIO DATA'!N3</f>
        <v>Yogyakarta</v>
      </c>
      <c r="H3" s="51">
        <f>'BIO DATA'!P3</f>
        <v>40293</v>
      </c>
      <c r="I3" s="49" t="str">
        <f>'BIO DATA'!S3</f>
        <v>Islam</v>
      </c>
      <c r="J3" s="50">
        <f>'BIO DATA'!J3:J174</f>
        <v>2</v>
      </c>
      <c r="K3" s="50">
        <f>'BIO DATA'!K3:K204</f>
        <v>3</v>
      </c>
      <c r="L3" s="8" t="str">
        <f>'BIO DATA'!T3:T174</f>
        <v>Notoprajan NG II/783, DI Yogyakarta, 55262</v>
      </c>
      <c r="M3" s="8" t="str">
        <f>'BIO DATA'!V3:V204</f>
        <v>Notoprajan</v>
      </c>
      <c r="N3" s="8" t="str">
        <f>'BIO DATA'!W3:W204</f>
        <v>Ngampilan</v>
      </c>
      <c r="O3" s="8" t="str">
        <f>'BIO DATA'!X3:X204</f>
        <v>Kota Yogyakarta</v>
      </c>
      <c r="P3" s="8" t="str">
        <f>'BIO DATA'!Y3:Y204</f>
        <v>DI Yogyakarta</v>
      </c>
      <c r="Q3" s="8" t="str">
        <f>'BIO DATA'!Z3:Z204</f>
        <v>MTs. Mu'allimin Muh. Yogyakarta</v>
      </c>
      <c r="R3" s="8" t="str">
        <f>'BIO DATA'!AA3:AA204</f>
        <v>Jl. Letjend. S. Parman No. 68 Yogyakarta 55013</v>
      </c>
      <c r="S3" s="8">
        <f>'BIO DATA'!AB3:AB204</f>
        <v>0</v>
      </c>
      <c r="T3" s="8" t="str">
        <f>'BIO DATA'!AC3:AC204</f>
        <v>Hanifan Al Qodri</v>
      </c>
      <c r="U3" s="8" t="str">
        <f>'BIO DATA'!AD3</f>
        <v>Islam</v>
      </c>
      <c r="V3" s="8">
        <f>'BIO DATA'!AL3:AL204</f>
        <v>0</v>
      </c>
      <c r="W3" s="8">
        <f>'BIO DATA'!AM3:AM204</f>
        <v>0</v>
      </c>
      <c r="X3" s="8">
        <f>'BIO DATA'!AG3:AG204</f>
        <v>0</v>
      </c>
      <c r="Y3" s="69" t="s">
        <v>217</v>
      </c>
      <c r="Z3" s="8">
        <f>'BIO DATA'!AI3:AI204</f>
        <v>0</v>
      </c>
      <c r="AA3" s="8" t="str">
        <f>'BIO DATA'!AJ3:AJ204</f>
        <v>Aini Nur Jannah</v>
      </c>
      <c r="AB3" s="8" t="str">
        <f>'BIO DATA'!AK3</f>
        <v>Islam</v>
      </c>
      <c r="AC3" s="8">
        <f>'BIO DATA'!AL3:AL204</f>
        <v>0</v>
      </c>
      <c r="AD3" s="8">
        <f>'BIO DATA'!AM3:AM204</f>
        <v>0</v>
      </c>
      <c r="AE3" s="8">
        <f>'BIO DATA'!AN3:AN204</f>
        <v>0</v>
      </c>
      <c r="AF3" s="52"/>
      <c r="AG3" s="8">
        <f>'BIO DATA'!AP3</f>
        <v>0</v>
      </c>
      <c r="AH3" s="8">
        <f>'BIO DATA'!AZ3</f>
        <v>0</v>
      </c>
      <c r="AI3" s="8" t="str">
        <f>'BIO DATA'!BA3</f>
        <v>Islam</v>
      </c>
      <c r="AJ3" s="8">
        <f>'BIO DATA'!BB3</f>
        <v>0</v>
      </c>
      <c r="AK3" s="8">
        <f>'BIO DATA'!BC3</f>
        <v>0</v>
      </c>
      <c r="AL3" s="8">
        <f>'BIO DATA'!BD3</f>
        <v>0</v>
      </c>
      <c r="AM3" s="8">
        <f>'BIO DATA'!BE3</f>
        <v>0</v>
      </c>
      <c r="AN3" s="8">
        <f>'BIO DATA'!BF3</f>
        <v>0</v>
      </c>
      <c r="AO3" s="8">
        <f>'BIO DATA'!BG3</f>
        <v>0</v>
      </c>
      <c r="AP3" s="53" t="s">
        <v>171</v>
      </c>
    </row>
    <row r="4" spans="1:42" s="54" customFormat="1" ht="20.100000000000001" customHeight="1" thickBot="1">
      <c r="A4" s="12" t="s">
        <v>128</v>
      </c>
      <c r="B4">
        <v>14</v>
      </c>
      <c r="C4" s="90">
        <f>'BIO DATA'!D4</f>
        <v>11225</v>
      </c>
      <c r="D4" s="90" t="str">
        <f>'BIO DATA'!E4</f>
        <v>0125377818</v>
      </c>
      <c r="E4" s="89" t="str">
        <f>'BIO DATA'!F4</f>
        <v>Ahmad Labib Affany</v>
      </c>
      <c r="F4" s="49" t="str">
        <f>'BIO DATA'!M4</f>
        <v>Laki-laki</v>
      </c>
      <c r="G4" s="8" t="str">
        <f>'BIO DATA'!N4</f>
        <v>Semarang</v>
      </c>
      <c r="H4" s="51">
        <f>'BIO DATA'!P4</f>
        <v>40374</v>
      </c>
      <c r="I4" s="49" t="str">
        <f>'BIO DATA'!S4</f>
        <v>Islam</v>
      </c>
      <c r="J4" s="50">
        <f>'BIO DATA'!J4:J177</f>
        <v>2</v>
      </c>
      <c r="K4" s="50">
        <f>'BIO DATA'!K4:K205</f>
        <v>3</v>
      </c>
      <c r="L4" s="8" t="str">
        <f>'BIO DATA'!T4:T177</f>
        <v>Perum BPI Blok N.11 RT.06 RW.10 Purwoyoso Ngaliyan Semarang, Jawa Tengah, 50184</v>
      </c>
      <c r="M4" s="8" t="str">
        <f>'BIO DATA'!V4:V205</f>
        <v>Purwoyoso</v>
      </c>
      <c r="N4" s="8" t="str">
        <f>'BIO DATA'!W4:W205</f>
        <v>Ngaliyan</v>
      </c>
      <c r="O4" s="8" t="str">
        <f>'BIO DATA'!X4:X205</f>
        <v>Semarang</v>
      </c>
      <c r="P4" s="8" t="str">
        <f>'BIO DATA'!Y4:Y205</f>
        <v>Jawa Tengah</v>
      </c>
      <c r="Q4" s="8" t="str">
        <f>'BIO DATA'!Z4:Z205</f>
        <v>MTs. Mu'allimin Muh. Yogyakarta</v>
      </c>
      <c r="R4" s="8" t="str">
        <f>'BIO DATA'!AA4:AA205</f>
        <v>Jl. Letjend. S. Parman No. 68 Yogyakarta 55014</v>
      </c>
      <c r="S4" s="8">
        <f>'BIO DATA'!AB4:AB205</f>
        <v>0</v>
      </c>
      <c r="T4" s="8" t="str">
        <f>'BIO DATA'!AC4:AC205</f>
        <v>Ahmad Furqon</v>
      </c>
      <c r="U4" s="8" t="str">
        <f>'BIO DATA'!AD4</f>
        <v>Islam</v>
      </c>
      <c r="V4" s="8" t="str">
        <f>'BIO DATA'!AL4:AL205</f>
        <v>SMA</v>
      </c>
      <c r="W4" s="8" t="str">
        <f>'BIO DATA'!AM4:AM205</f>
        <v>Ibu Rumah Tangga</v>
      </c>
      <c r="X4" s="8" t="str">
        <f>'BIO DATA'!AG4:AG205</f>
        <v>&gt; Rp 2.500.000,00</v>
      </c>
      <c r="Y4" s="69" t="s">
        <v>217</v>
      </c>
      <c r="Z4" s="8">
        <f>'BIO DATA'!AI4:AI205</f>
        <v>0</v>
      </c>
      <c r="AA4" s="8" t="str">
        <f>'BIO DATA'!AJ4:AJ205</f>
        <v>Yunita Dewi Septiana</v>
      </c>
      <c r="AB4" s="8" t="str">
        <f>'BIO DATA'!AK4</f>
        <v>Islam</v>
      </c>
      <c r="AC4" s="8" t="str">
        <f>'BIO DATA'!AL4:AL205</f>
        <v>SMA</v>
      </c>
      <c r="AD4" s="8" t="str">
        <f>'BIO DATA'!AM4:AM205</f>
        <v>Ibu Rumah Tangga</v>
      </c>
      <c r="AE4" s="8">
        <f>'BIO DATA'!AN4:AN205</f>
        <v>0</v>
      </c>
      <c r="AF4" s="52"/>
      <c r="AG4" s="8">
        <f>'BIO DATA'!AP4</f>
        <v>0</v>
      </c>
      <c r="AH4" s="8">
        <f>'BIO DATA'!AZ4</f>
        <v>0</v>
      </c>
      <c r="AI4" s="8" t="str">
        <f>'BIO DATA'!BA4</f>
        <v>Islam</v>
      </c>
      <c r="AJ4" s="8">
        <f>'BIO DATA'!BB4</f>
        <v>0</v>
      </c>
      <c r="AK4" s="8">
        <f>'BIO DATA'!BC4</f>
        <v>0</v>
      </c>
      <c r="AL4" s="8">
        <f>'BIO DATA'!BD4</f>
        <v>0</v>
      </c>
      <c r="AM4" s="8">
        <f>'BIO DATA'!BE4</f>
        <v>0</v>
      </c>
      <c r="AN4" s="8">
        <f>'BIO DATA'!BF4</f>
        <v>0</v>
      </c>
      <c r="AO4" s="8">
        <f>'BIO DATA'!BG4</f>
        <v>0</v>
      </c>
      <c r="AP4" s="53" t="s">
        <v>171</v>
      </c>
    </row>
    <row r="5" spans="1:42" s="54" customFormat="1" ht="20.100000000000001" customHeight="1" thickBot="1">
      <c r="A5" s="12" t="s">
        <v>128</v>
      </c>
      <c r="B5">
        <v>38</v>
      </c>
      <c r="C5" s="90">
        <f>'BIO DATA'!D5</f>
        <v>11234</v>
      </c>
      <c r="D5" s="90" t="str">
        <f>'BIO DATA'!E5</f>
        <v>0097947581</v>
      </c>
      <c r="E5" s="89" t="str">
        <f>'BIO DATA'!F5</f>
        <v>Ahmad Yuda Satria</v>
      </c>
      <c r="F5" s="49" t="str">
        <f>'BIO DATA'!M5</f>
        <v>Laki-laki</v>
      </c>
      <c r="G5" s="8" t="str">
        <f>'BIO DATA'!N5</f>
        <v>Yogyakarta</v>
      </c>
      <c r="H5" s="51">
        <f>'BIO DATA'!P5</f>
        <v>39998</v>
      </c>
      <c r="I5" s="49" t="str">
        <f>'BIO DATA'!S5</f>
        <v>Islam</v>
      </c>
      <c r="J5" s="50">
        <f>'BIO DATA'!J5:J178</f>
        <v>2</v>
      </c>
      <c r="K5" s="50">
        <f>'BIO DATA'!K5:K206</f>
        <v>1</v>
      </c>
      <c r="L5" s="8" t="str">
        <f>'BIO DATA'!T5:T178</f>
        <v>Jl. Patih Singoranu No. 55, Nitikan RT 47 RW 12 Kel. Sorosutan Kec. Umbulharjo, Yogyakarta, DI Yogyakarta, 55162</v>
      </c>
      <c r="M5" s="8" t="str">
        <f>'BIO DATA'!V5:V206</f>
        <v>Sorosutan</v>
      </c>
      <c r="N5" s="8" t="str">
        <f>'BIO DATA'!W5:W206</f>
        <v>Umbulharjo</v>
      </c>
      <c r="O5" s="8" t="str">
        <f>'BIO DATA'!X5:X206</f>
        <v>Kota Yogyakarta</v>
      </c>
      <c r="P5" s="8" t="str">
        <f>'BIO DATA'!Y5:Y206</f>
        <v>DI Yogyakarta</v>
      </c>
      <c r="Q5" s="8" t="str">
        <f>'BIO DATA'!Z5:Z206</f>
        <v>MTs. Mu'allimin Muh. Yogyakarta</v>
      </c>
      <c r="R5" s="8" t="str">
        <f>'BIO DATA'!AA5:AA206</f>
        <v>Jl. Letjend. S. Parman No. 68 Yogyakarta 55015</v>
      </c>
      <c r="S5" s="8">
        <f>'BIO DATA'!AB5:AB206</f>
        <v>0</v>
      </c>
      <c r="T5" s="8" t="str">
        <f>'BIO DATA'!AC5:AC206</f>
        <v>Syarif Hudoyo</v>
      </c>
      <c r="U5" s="8" t="str">
        <f>'BIO DATA'!AD5</f>
        <v>Islam</v>
      </c>
      <c r="V5" s="8" t="str">
        <f>'BIO DATA'!AL5:AL206</f>
        <v>Diploma</v>
      </c>
      <c r="W5" s="8" t="str">
        <f>'BIO DATA'!AM5:AM206</f>
        <v>Karyawan Swasta</v>
      </c>
      <c r="X5" s="8" t="str">
        <f>'BIO DATA'!AG5:AG206</f>
        <v>&gt; Rp 2.500.000,00</v>
      </c>
      <c r="Y5" s="69" t="s">
        <v>217</v>
      </c>
      <c r="Z5" s="8">
        <f>'BIO DATA'!AI5:AI206</f>
        <v>0</v>
      </c>
      <c r="AA5" s="8" t="str">
        <f>'BIO DATA'!AJ5:AJ206</f>
        <v>Nurul 'Aini</v>
      </c>
      <c r="AB5" s="8" t="str">
        <f>'BIO DATA'!AK5</f>
        <v>Islam</v>
      </c>
      <c r="AC5" s="8" t="str">
        <f>'BIO DATA'!AL5:AL206</f>
        <v>Diploma</v>
      </c>
      <c r="AD5" s="8" t="str">
        <f>'BIO DATA'!AM5:AM206</f>
        <v>Karyawan Swasta</v>
      </c>
      <c r="AE5" s="8">
        <f>'BIO DATA'!AN5:AN206</f>
        <v>0</v>
      </c>
      <c r="AF5" s="52"/>
      <c r="AG5" s="8">
        <f>'BIO DATA'!AP5</f>
        <v>0</v>
      </c>
      <c r="AH5" s="8">
        <f>'BIO DATA'!AZ5</f>
        <v>0</v>
      </c>
      <c r="AI5" s="8" t="str">
        <f>'BIO DATA'!BA5</f>
        <v>Islam</v>
      </c>
      <c r="AJ5" s="8">
        <f>'BIO DATA'!BB5</f>
        <v>0</v>
      </c>
      <c r="AK5" s="8">
        <f>'BIO DATA'!BC5</f>
        <v>0</v>
      </c>
      <c r="AL5" s="8">
        <f>'BIO DATA'!BD5</f>
        <v>0</v>
      </c>
      <c r="AM5" s="8">
        <f>'BIO DATA'!BE5</f>
        <v>0</v>
      </c>
      <c r="AN5" s="8">
        <f>'BIO DATA'!BF5</f>
        <v>0</v>
      </c>
      <c r="AO5" s="8">
        <f>'BIO DATA'!BG5</f>
        <v>0</v>
      </c>
      <c r="AP5" s="53" t="s">
        <v>171</v>
      </c>
    </row>
    <row r="6" spans="1:42" s="54" customFormat="1" ht="20.100000000000001" customHeight="1" thickBot="1">
      <c r="A6" s="12" t="s">
        <v>128</v>
      </c>
      <c r="B6">
        <v>40</v>
      </c>
      <c r="C6" s="90">
        <f>'BIO DATA'!D6</f>
        <v>11240</v>
      </c>
      <c r="D6" s="90" t="str">
        <f>'BIO DATA'!E6</f>
        <v>0101481195</v>
      </c>
      <c r="E6" s="89" t="str">
        <f>'BIO DATA'!F6</f>
        <v>Akbar Izzatu Zikri</v>
      </c>
      <c r="F6" s="49" t="str">
        <f>'BIO DATA'!M6</f>
        <v>Laki-laki</v>
      </c>
      <c r="G6" s="8" t="str">
        <f>'BIO DATA'!N6</f>
        <v>Jakarta</v>
      </c>
      <c r="H6" s="51">
        <f>'BIO DATA'!P6</f>
        <v>40256</v>
      </c>
      <c r="I6" s="49" t="str">
        <f>'BIO DATA'!S6</f>
        <v>Islam</v>
      </c>
      <c r="J6" s="50">
        <f>'BIO DATA'!J6:J179</f>
        <v>1</v>
      </c>
      <c r="K6" s="50">
        <f>'BIO DATA'!K6:K207</f>
        <v>2</v>
      </c>
      <c r="L6" s="8" t="str">
        <f>'BIO DATA'!T6:T179</f>
        <v>Jl.Kayu Manis VIII No.16 RT.012, RT.007, Kelurahan Kayu Manis, Kecamatan Matraman, Kota Administrasi Jakarta Timur, Provinsi DKI Jakarta, DKI Jakarta, 13130</v>
      </c>
      <c r="M6" s="8" t="str">
        <f>'BIO DATA'!V6:V207</f>
        <v>Kayu Manis</v>
      </c>
      <c r="N6" s="8" t="str">
        <f>'BIO DATA'!W6:W207</f>
        <v>Matraman</v>
      </c>
      <c r="O6" s="8" t="str">
        <f>'BIO DATA'!X6:X207</f>
        <v>Jakarta Timur</v>
      </c>
      <c r="P6" s="8" t="str">
        <f>'BIO DATA'!Y6:Y207</f>
        <v>DKI Jakarta</v>
      </c>
      <c r="Q6" s="8" t="str">
        <f>'BIO DATA'!Z6:Z207</f>
        <v>MTs. Mu'allimin Muh. Yogyakarta</v>
      </c>
      <c r="R6" s="8" t="str">
        <f>'BIO DATA'!AA6:AA207</f>
        <v>Jl. Letjend. S. Parman No. 68 Yogyakarta 55016</v>
      </c>
      <c r="S6" s="8">
        <f>'BIO DATA'!AB6:AB207</f>
        <v>0</v>
      </c>
      <c r="T6" s="8" t="str">
        <f>'BIO DATA'!AC6:AC207</f>
        <v>Afdal Zikri</v>
      </c>
      <c r="U6" s="8" t="str">
        <f>'BIO DATA'!AD6</f>
        <v>Islam</v>
      </c>
      <c r="V6" s="8" t="str">
        <f>'BIO DATA'!AL6:AL207</f>
        <v>S1</v>
      </c>
      <c r="W6" s="8" t="str">
        <f>'BIO DATA'!AM6:AM207</f>
        <v>Karyawan Swasta</v>
      </c>
      <c r="X6" s="8" t="str">
        <f>'BIO DATA'!AG6:AG207</f>
        <v>Antara Rp 1.500.000,00 s.d. Rp 2.000,000,00</v>
      </c>
      <c r="Y6" s="69" t="s">
        <v>217</v>
      </c>
      <c r="Z6" s="8">
        <f>'BIO DATA'!AI6:AI207</f>
        <v>0</v>
      </c>
      <c r="AA6" s="8" t="str">
        <f>'BIO DATA'!AJ6:AJ207</f>
        <v>Upik Rahmawati</v>
      </c>
      <c r="AB6" s="8" t="str">
        <f>'BIO DATA'!AK6</f>
        <v>Islam</v>
      </c>
      <c r="AC6" s="8" t="str">
        <f>'BIO DATA'!AL6:AL207</f>
        <v>S1</v>
      </c>
      <c r="AD6" s="8" t="str">
        <f>'BIO DATA'!AM6:AM207</f>
        <v>Karyawan Swasta</v>
      </c>
      <c r="AE6" s="8">
        <f>'BIO DATA'!AN6:AN207</f>
        <v>0</v>
      </c>
      <c r="AF6" s="52"/>
      <c r="AG6" s="8">
        <f>'BIO DATA'!AP6</f>
        <v>0</v>
      </c>
      <c r="AH6" s="8">
        <f>'BIO DATA'!AZ6</f>
        <v>0</v>
      </c>
      <c r="AI6" s="8" t="str">
        <f>'BIO DATA'!BA6</f>
        <v>Islam</v>
      </c>
      <c r="AJ6" s="8">
        <f>'BIO DATA'!BB6</f>
        <v>0</v>
      </c>
      <c r="AK6" s="8">
        <f>'BIO DATA'!BC6</f>
        <v>0</v>
      </c>
      <c r="AL6" s="8">
        <f>'BIO DATA'!BD6</f>
        <v>0</v>
      </c>
      <c r="AM6" s="8">
        <f>'BIO DATA'!BE6</f>
        <v>0</v>
      </c>
      <c r="AN6" s="8">
        <f>'BIO DATA'!BF6</f>
        <v>0</v>
      </c>
      <c r="AO6" s="8">
        <f>'BIO DATA'!BG6</f>
        <v>0</v>
      </c>
      <c r="AP6" s="53" t="s">
        <v>171</v>
      </c>
    </row>
    <row r="7" spans="1:42" s="54" customFormat="1" ht="20.100000000000001" customHeight="1" thickBot="1">
      <c r="A7" s="12" t="s">
        <v>128</v>
      </c>
      <c r="B7">
        <v>81</v>
      </c>
      <c r="C7" s="90">
        <f>'BIO DATA'!D7</f>
        <v>11245</v>
      </c>
      <c r="D7" s="90" t="str">
        <f>'BIO DATA'!E7</f>
        <v>0089767974</v>
      </c>
      <c r="E7" s="89" t="str">
        <f>'BIO DATA'!F7</f>
        <v>Al Fatih Ghaffar Irsyad</v>
      </c>
      <c r="F7" s="49" t="str">
        <f>'BIO DATA'!M7</f>
        <v>Laki-laki</v>
      </c>
      <c r="G7" s="8" t="str">
        <f>'BIO DATA'!N7</f>
        <v>Klaten</v>
      </c>
      <c r="H7" s="51">
        <f>'BIO DATA'!P7</f>
        <v>39637</v>
      </c>
      <c r="I7" s="49" t="str">
        <f>'BIO DATA'!S7</f>
        <v>Islam</v>
      </c>
      <c r="J7" s="50">
        <f>'BIO DATA'!J7:J179</f>
        <v>1</v>
      </c>
      <c r="K7" s="50">
        <f>'BIO DATA'!K7:K207</f>
        <v>2</v>
      </c>
      <c r="L7" s="8" t="str">
        <f>'BIO DATA'!T7:T179</f>
        <v>Vila Juanda Depok No.1 KP. Bojong Gang Kober Raya RT.007 RW.020 Baktijaya, Sukmajaya, Kota Depok, Jawa Barat 16418</v>
      </c>
      <c r="M7" s="8" t="str">
        <f>'BIO DATA'!V7:V207</f>
        <v>Baktijaya</v>
      </c>
      <c r="N7" s="8" t="str">
        <f>'BIO DATA'!W7:W207</f>
        <v>Sukmajaya</v>
      </c>
      <c r="O7" s="8" t="str">
        <f>'BIO DATA'!X7:X207</f>
        <v>Kota Depok</v>
      </c>
      <c r="P7" s="8" t="str">
        <f>'BIO DATA'!Y7:Y207</f>
        <v>Jawa Barat</v>
      </c>
      <c r="Q7" s="8" t="str">
        <f>'BIO DATA'!Z7:Z207</f>
        <v>MTs. Mu'allimin Muh. Yogyakarta</v>
      </c>
      <c r="R7" s="8" t="str">
        <f>'BIO DATA'!AA7:AA207</f>
        <v>Jl. Letjend. S. Parman No. 68 Yogyakarta 55017</v>
      </c>
      <c r="S7" s="8">
        <f>'BIO DATA'!AB7:AB207</f>
        <v>0</v>
      </c>
      <c r="T7" s="8" t="str">
        <f>'BIO DATA'!AC7:AC207</f>
        <v>Suroto</v>
      </c>
      <c r="U7" s="8" t="str">
        <f>'BIO DATA'!AD7</f>
        <v>Islam</v>
      </c>
      <c r="V7" s="8" t="str">
        <f>'BIO DATA'!AL7:AL207</f>
        <v>S1</v>
      </c>
      <c r="W7" s="8" t="str">
        <f>'BIO DATA'!AM7:AM207</f>
        <v>Karyawan Swasta</v>
      </c>
      <c r="X7" s="8" t="str">
        <f>'BIO DATA'!AG7:AG207</f>
        <v>&gt; Rp 2.500.000,00</v>
      </c>
      <c r="Y7" s="69" t="s">
        <v>217</v>
      </c>
      <c r="Z7" s="8">
        <f>'BIO DATA'!AI7:AI207</f>
        <v>0</v>
      </c>
      <c r="AA7" s="8" t="str">
        <f>'BIO DATA'!AJ7:AJ207</f>
        <v>Tatik Sri Rahayu</v>
      </c>
      <c r="AB7" s="8" t="str">
        <f>'BIO DATA'!AK7</f>
        <v>Islam</v>
      </c>
      <c r="AC7" s="8" t="str">
        <f>'BIO DATA'!AL7:AL207</f>
        <v>S1</v>
      </c>
      <c r="AD7" s="8" t="str">
        <f>'BIO DATA'!AM7:AM207</f>
        <v>Karyawan Swasta</v>
      </c>
      <c r="AE7" s="8">
        <f>'BIO DATA'!AN7:AN207</f>
        <v>0</v>
      </c>
      <c r="AF7" s="52"/>
      <c r="AG7" s="8">
        <f>'BIO DATA'!AP7</f>
        <v>0</v>
      </c>
      <c r="AH7" s="8">
        <f>'BIO DATA'!AZ7</f>
        <v>0</v>
      </c>
      <c r="AI7" s="8" t="str">
        <f>'BIO DATA'!BA7</f>
        <v>Islam</v>
      </c>
      <c r="AJ7" s="8">
        <f>'BIO DATA'!BB7</f>
        <v>0</v>
      </c>
      <c r="AK7" s="8">
        <f>'BIO DATA'!BC7</f>
        <v>0</v>
      </c>
      <c r="AL7" s="8">
        <f>'BIO DATA'!BD7</f>
        <v>0</v>
      </c>
      <c r="AM7" s="8">
        <f>'BIO DATA'!BE7</f>
        <v>0</v>
      </c>
      <c r="AN7" s="8">
        <f>'BIO DATA'!BF7</f>
        <v>0</v>
      </c>
      <c r="AO7" s="8">
        <f>'BIO DATA'!BG7</f>
        <v>0</v>
      </c>
      <c r="AP7" s="53" t="s">
        <v>171</v>
      </c>
    </row>
    <row r="8" spans="1:42" s="54" customFormat="1" ht="20.100000000000001" customHeight="1" thickBot="1">
      <c r="A8" s="12" t="s">
        <v>128</v>
      </c>
      <c r="B8">
        <v>82</v>
      </c>
      <c r="C8" s="90">
        <f>'BIO DATA'!D8</f>
        <v>11253</v>
      </c>
      <c r="D8" s="90" t="str">
        <f>'BIO DATA'!E8</f>
        <v>0102809234</v>
      </c>
      <c r="E8" s="89" t="str">
        <f>'BIO DATA'!F8</f>
        <v>Ananda Faiq Ibrahim</v>
      </c>
      <c r="F8" s="49" t="str">
        <f>'BIO DATA'!M8</f>
        <v>Laki-laki</v>
      </c>
      <c r="G8" s="8" t="str">
        <f>'BIO DATA'!N8</f>
        <v>Magelang</v>
      </c>
      <c r="H8" s="51">
        <f>'BIO DATA'!P8</f>
        <v>40341</v>
      </c>
      <c r="I8" s="49" t="str">
        <f>'BIO DATA'!S8</f>
        <v>Islam</v>
      </c>
      <c r="J8" s="50">
        <f>'BIO DATA'!J8:J180</f>
        <v>2</v>
      </c>
      <c r="K8" s="50">
        <f>'BIO DATA'!K8:K209</f>
        <v>1</v>
      </c>
      <c r="L8" s="8" t="str">
        <f>'BIO DATA'!T8:T180</f>
        <v>Bandongan RT 01 RW 05 Gondosuli, Muntilan, Magelang</v>
      </c>
      <c r="M8" s="8" t="str">
        <f>'BIO DATA'!V8:V209</f>
        <v>Gondosuli</v>
      </c>
      <c r="N8" s="8" t="str">
        <f>'BIO DATA'!W8:W209</f>
        <v>Muntilan</v>
      </c>
      <c r="O8" s="8" t="str">
        <f>'BIO DATA'!X8:X209</f>
        <v>Magelang</v>
      </c>
      <c r="P8" s="8" t="str">
        <f>'BIO DATA'!Y8:Y209</f>
        <v>Jawa Tengah</v>
      </c>
      <c r="Q8" s="8" t="str">
        <f>'BIO DATA'!Z8:Z209</f>
        <v>MTs. Mu'allimin Muh. Yogyakarta</v>
      </c>
      <c r="R8" s="8" t="str">
        <f>'BIO DATA'!AA8:AA209</f>
        <v>Jl. Letjend. S. Parman No. 68 Yogyakarta 55018</v>
      </c>
      <c r="S8" s="8">
        <f>'BIO DATA'!AB8:AB209</f>
        <v>0</v>
      </c>
      <c r="T8" s="8" t="str">
        <f>'BIO DATA'!AC8:AC209</f>
        <v>Sukito</v>
      </c>
      <c r="U8" s="8" t="str">
        <f>'BIO DATA'!AD8</f>
        <v>Islam</v>
      </c>
      <c r="V8" s="8" t="str">
        <f>'BIO DATA'!AL8:AL209</f>
        <v>S2</v>
      </c>
      <c r="W8" s="8" t="str">
        <f>'BIO DATA'!AM8:AM209</f>
        <v>Dosen</v>
      </c>
      <c r="X8" s="8" t="str">
        <f>'BIO DATA'!AG8:AG209</f>
        <v>&gt; Rp 2.500.000,00</v>
      </c>
      <c r="Y8" s="69" t="s">
        <v>217</v>
      </c>
      <c r="Z8" s="8">
        <f>'BIO DATA'!AI8:AI209</f>
        <v>0</v>
      </c>
      <c r="AA8" s="8" t="str">
        <f>'BIO DATA'!AJ8:AJ209</f>
        <v>Kanthi Pamungkas Sari</v>
      </c>
      <c r="AB8" s="8" t="str">
        <f>'BIO DATA'!AK8</f>
        <v>Islam</v>
      </c>
      <c r="AC8" s="8" t="str">
        <f>'BIO DATA'!AL8:AL209</f>
        <v>S2</v>
      </c>
      <c r="AD8" s="8" t="str">
        <f>'BIO DATA'!AM8:AM209</f>
        <v>Dosen</v>
      </c>
      <c r="AE8" s="8">
        <f>'BIO DATA'!AN8:AN209</f>
        <v>0</v>
      </c>
      <c r="AF8" s="52"/>
      <c r="AG8" s="8">
        <f>'BIO DATA'!AP8</f>
        <v>0</v>
      </c>
      <c r="AH8" s="8">
        <f>'BIO DATA'!AZ8</f>
        <v>0</v>
      </c>
      <c r="AI8" s="8" t="str">
        <f>'BIO DATA'!BA8</f>
        <v>Islam</v>
      </c>
      <c r="AJ8" s="8">
        <f>'BIO DATA'!BB8</f>
        <v>0</v>
      </c>
      <c r="AK8" s="8">
        <f>'BIO DATA'!BC8</f>
        <v>0</v>
      </c>
      <c r="AL8" s="8">
        <f>'BIO DATA'!BD8</f>
        <v>0</v>
      </c>
      <c r="AM8" s="8">
        <f>'BIO DATA'!BE8</f>
        <v>0</v>
      </c>
      <c r="AN8" s="8">
        <f>'BIO DATA'!BF8</f>
        <v>0</v>
      </c>
      <c r="AO8" s="8">
        <f>'BIO DATA'!BG8</f>
        <v>0</v>
      </c>
      <c r="AP8" s="53" t="s">
        <v>171</v>
      </c>
    </row>
    <row r="9" spans="1:42" s="54" customFormat="1" ht="20.100000000000001" customHeight="1" thickBot="1">
      <c r="A9" s="12" t="s">
        <v>128</v>
      </c>
      <c r="B9">
        <v>90</v>
      </c>
      <c r="C9" s="90" t="e">
        <f>'BIO DATA'!#REF!</f>
        <v>#REF!</v>
      </c>
      <c r="D9" s="90" t="e">
        <f>'BIO DATA'!#REF!</f>
        <v>#REF!</v>
      </c>
      <c r="E9" s="89" t="e">
        <f>'BIO DATA'!#REF!</f>
        <v>#REF!</v>
      </c>
      <c r="F9" s="49" t="e">
        <f>'BIO DATA'!#REF!</f>
        <v>#REF!</v>
      </c>
      <c r="G9" s="8" t="e">
        <f>'BIO DATA'!#REF!</f>
        <v>#REF!</v>
      </c>
      <c r="H9" s="51" t="e">
        <f>'BIO DATA'!#REF!</f>
        <v>#REF!</v>
      </c>
      <c r="I9" s="49" t="e">
        <f>'BIO DATA'!#REF!</f>
        <v>#REF!</v>
      </c>
      <c r="J9" s="50">
        <f>'BIO DATA'!J9:J181</f>
        <v>1</v>
      </c>
      <c r="K9" s="50">
        <f>'BIO DATA'!K9:K210</f>
        <v>0</v>
      </c>
      <c r="L9" s="8" t="str">
        <f>'BIO DATA'!T9:T181</f>
        <v>Palm Asri 2 Blok.O No. 20 RT.02 RW.06 Desa Pedagangan Kec. Dukuhwaru Kab. Tegal, Jawa Tengah, 52451</v>
      </c>
      <c r="M9" s="8" t="str">
        <f>'BIO DATA'!V9:V210</f>
        <v>Pedagangan</v>
      </c>
      <c r="N9" s="8" t="str">
        <f>'BIO DATA'!W9:W210</f>
        <v>Dukuhwaru</v>
      </c>
      <c r="O9" s="8" t="str">
        <f>'BIO DATA'!X9:X210</f>
        <v>Tengah</v>
      </c>
      <c r="P9" s="8" t="str">
        <f>'BIO DATA'!Y9:Y210</f>
        <v>Jawa Tengah</v>
      </c>
      <c r="Q9" s="8" t="str">
        <f>'BIO DATA'!Z9:Z210</f>
        <v>MTs. Mu'allimin Muh. Yogyakarta</v>
      </c>
      <c r="R9" s="8" t="str">
        <f>'BIO DATA'!AA9:AA210</f>
        <v>Jl. Letjend. S. Parman No. 68 Yogyakarta 55020</v>
      </c>
      <c r="S9" s="8">
        <f>'BIO DATA'!AB9:AB210</f>
        <v>0</v>
      </c>
      <c r="T9" s="8" t="str">
        <f>'BIO DATA'!AC9:AC210</f>
        <v>Alen Wibowo</v>
      </c>
      <c r="U9" s="8" t="e">
        <f>'BIO DATA'!#REF!</f>
        <v>#REF!</v>
      </c>
      <c r="V9" s="8" t="str">
        <f>'BIO DATA'!AL9:AL210</f>
        <v>SMA</v>
      </c>
      <c r="W9" s="8" t="str">
        <f>'BIO DATA'!AM9:AM210</f>
        <v>Guru</v>
      </c>
      <c r="X9" s="8" t="str">
        <f>'BIO DATA'!AG9:AG210</f>
        <v>Antara Rp 2.000.000,00 s.d. Rp 2.500,000,00</v>
      </c>
      <c r="Y9" s="69" t="s">
        <v>217</v>
      </c>
      <c r="Z9" s="8">
        <f>'BIO DATA'!AI9:AI210</f>
        <v>0</v>
      </c>
      <c r="AA9" s="8" t="str">
        <f>'BIO DATA'!AJ9:AJ210</f>
        <v>Laelin M Enna</v>
      </c>
      <c r="AB9" s="8" t="e">
        <f>'BIO DATA'!#REF!</f>
        <v>#REF!</v>
      </c>
      <c r="AC9" s="8" t="str">
        <f>'BIO DATA'!AL9:AL210</f>
        <v>SMA</v>
      </c>
      <c r="AD9" s="8" t="str">
        <f>'BIO DATA'!AM9:AM210</f>
        <v>Guru</v>
      </c>
      <c r="AE9" s="8">
        <f>'BIO DATA'!AN9:AN210</f>
        <v>0</v>
      </c>
      <c r="AF9" s="52"/>
      <c r="AG9" s="8" t="e">
        <f>'BIO DATA'!#REF!</f>
        <v>#REF!</v>
      </c>
      <c r="AH9" s="8" t="e">
        <f>'BIO DATA'!#REF!</f>
        <v>#REF!</v>
      </c>
      <c r="AI9" s="8" t="e">
        <f>'BIO DATA'!#REF!</f>
        <v>#REF!</v>
      </c>
      <c r="AJ9" s="8" t="e">
        <f>'BIO DATA'!#REF!</f>
        <v>#REF!</v>
      </c>
      <c r="AK9" s="8" t="e">
        <f>'BIO DATA'!#REF!</f>
        <v>#REF!</v>
      </c>
      <c r="AL9" s="8" t="e">
        <f>'BIO DATA'!#REF!</f>
        <v>#REF!</v>
      </c>
      <c r="AM9" s="8" t="e">
        <f>'BIO DATA'!#REF!</f>
        <v>#REF!</v>
      </c>
      <c r="AN9" s="8" t="e">
        <f>'BIO DATA'!#REF!</f>
        <v>#REF!</v>
      </c>
      <c r="AO9" s="8" t="e">
        <f>'BIO DATA'!#REF!</f>
        <v>#REF!</v>
      </c>
      <c r="AP9" s="53" t="s">
        <v>171</v>
      </c>
    </row>
    <row r="10" spans="1:42" s="54" customFormat="1" ht="20.100000000000001" customHeight="1" thickBot="1">
      <c r="A10" s="12" t="s">
        <v>128</v>
      </c>
      <c r="B10">
        <v>93</v>
      </c>
      <c r="C10" s="90">
        <f>'BIO DATA'!D9</f>
        <v>11267</v>
      </c>
      <c r="D10" s="90" t="str">
        <f>'BIO DATA'!E9</f>
        <v>0104810202</v>
      </c>
      <c r="E10" s="89" t="str">
        <f>'BIO DATA'!F9</f>
        <v>Atiyan Ali Da'i</v>
      </c>
      <c r="F10" s="49" t="str">
        <f>'BIO DATA'!M9</f>
        <v>Laki-laki</v>
      </c>
      <c r="G10" s="8" t="str">
        <f>'BIO DATA'!N9</f>
        <v>Tegal</v>
      </c>
      <c r="H10" s="51">
        <f>'BIO DATA'!P9</f>
        <v>40190</v>
      </c>
      <c r="I10" s="49" t="str">
        <f>'BIO DATA'!S9</f>
        <v>Islam</v>
      </c>
      <c r="J10" s="50">
        <f>'BIO DATA'!J9:J182</f>
        <v>2</v>
      </c>
      <c r="K10" s="50">
        <f>'BIO DATA'!K9:K210</f>
        <v>3</v>
      </c>
      <c r="L10" s="8" t="str">
        <f>'BIO DATA'!T9:T182</f>
        <v>Prenggan Selatan KG II/926, RT/RW : 028/006, Kel. Prenggan, Kec. Kotagede, Kota Yogyakarta, DI Yogyakarta, 55172</v>
      </c>
      <c r="M10" s="8" t="str">
        <f>'BIO DATA'!V9:V210</f>
        <v>Prenggan</v>
      </c>
      <c r="N10" s="8" t="str">
        <f>'BIO DATA'!W9:W210</f>
        <v>Kotagede</v>
      </c>
      <c r="O10" s="8" t="str">
        <f>'BIO DATA'!X9:X210</f>
        <v>Kota Yogyakarta</v>
      </c>
      <c r="P10" s="8" t="str">
        <f>'BIO DATA'!Y9:Y210</f>
        <v xml:space="preserve"> DI Yogyakarta</v>
      </c>
      <c r="Q10" s="8" t="str">
        <f>'BIO DATA'!Z9:Z210</f>
        <v>MTs. Mu'allimin Muh. Yogyakarta</v>
      </c>
      <c r="R10" s="8" t="str">
        <f>'BIO DATA'!AA9:AA210</f>
        <v>Jl. Letjend. S. Parman No. 68 Yogyakarta 55021</v>
      </c>
      <c r="S10" s="8">
        <f>'BIO DATA'!AB9:AB210</f>
        <v>0</v>
      </c>
      <c r="T10" s="8" t="str">
        <f>'BIO DATA'!AC9:AC210</f>
        <v>Muhammad Fitri Nurrahman</v>
      </c>
      <c r="U10" s="8" t="str">
        <f>'BIO DATA'!AD9</f>
        <v>Islam</v>
      </c>
      <c r="V10" s="8">
        <f>'BIO DATA'!AL9:AL210</f>
        <v>0</v>
      </c>
      <c r="W10" s="8">
        <f>'BIO DATA'!AM9:AM210</f>
        <v>0</v>
      </c>
      <c r="X10" s="8">
        <f>'BIO DATA'!AG9:AG210</f>
        <v>0</v>
      </c>
      <c r="Y10" s="69" t="s">
        <v>217</v>
      </c>
      <c r="Z10" s="8">
        <f>'BIO DATA'!AI9:AI210</f>
        <v>0</v>
      </c>
      <c r="AA10" s="8" t="str">
        <f>'BIO DATA'!AJ9:AJ210</f>
        <v>Ririn Ernawati</v>
      </c>
      <c r="AB10" s="8" t="str">
        <f>'BIO DATA'!AK9</f>
        <v>Islam</v>
      </c>
      <c r="AC10" s="8">
        <f>'BIO DATA'!AL9:AL210</f>
        <v>0</v>
      </c>
      <c r="AD10" s="8">
        <f>'BIO DATA'!AM9:AM210</f>
        <v>0</v>
      </c>
      <c r="AE10" s="8">
        <f>'BIO DATA'!AN9:AN210</f>
        <v>0</v>
      </c>
      <c r="AF10" s="52"/>
      <c r="AG10" s="8">
        <f>'BIO DATA'!AP9</f>
        <v>0</v>
      </c>
      <c r="AH10" s="8">
        <f>'BIO DATA'!AZ9</f>
        <v>0</v>
      </c>
      <c r="AI10" s="8" t="str">
        <f>'BIO DATA'!BA9</f>
        <v>Islam</v>
      </c>
      <c r="AJ10" s="8">
        <f>'BIO DATA'!BB9</f>
        <v>0</v>
      </c>
      <c r="AK10" s="8">
        <f>'BIO DATA'!BC9</f>
        <v>0</v>
      </c>
      <c r="AL10" s="8">
        <f>'BIO DATA'!BD9</f>
        <v>0</v>
      </c>
      <c r="AM10" s="8">
        <f>'BIO DATA'!BE9</f>
        <v>0</v>
      </c>
      <c r="AN10" s="8">
        <f>'BIO DATA'!BF9</f>
        <v>0</v>
      </c>
      <c r="AO10" s="8">
        <f>'BIO DATA'!BG9</f>
        <v>0</v>
      </c>
      <c r="AP10" s="53" t="s">
        <v>171</v>
      </c>
    </row>
    <row r="11" spans="1:42" s="54" customFormat="1" ht="20.100000000000001" customHeight="1" thickBot="1">
      <c r="A11" s="12" t="s">
        <v>128</v>
      </c>
      <c r="B11">
        <v>110</v>
      </c>
      <c r="C11" s="90">
        <f>'BIO DATA'!D10</f>
        <v>11304</v>
      </c>
      <c r="D11" s="90" t="str">
        <f>'BIO DATA'!E10</f>
        <v>0094471248</v>
      </c>
      <c r="E11" s="89" t="str">
        <f>'BIO DATA'!F10</f>
        <v>Fachri Rabbani Nurrahman</v>
      </c>
      <c r="F11" s="49" t="str">
        <f>'BIO DATA'!M10</f>
        <v>Laki-laki</v>
      </c>
      <c r="G11" s="8" t="str">
        <f>'BIO DATA'!N10</f>
        <v>Yogyakarta</v>
      </c>
      <c r="H11" s="51">
        <f>'BIO DATA'!P10</f>
        <v>40176</v>
      </c>
      <c r="I11" s="49" t="str">
        <f>'BIO DATA'!S10</f>
        <v>Islam</v>
      </c>
      <c r="J11" s="50">
        <f>'BIO DATA'!J10:J183</f>
        <v>1</v>
      </c>
      <c r="K11" s="50">
        <f>'BIO DATA'!K10:K212</f>
        <v>2</v>
      </c>
      <c r="L11" s="8" t="str">
        <f>'BIO DATA'!T10:T183</f>
        <v>Gang Kedawung II Rt. 01 Rw.08 No.45 Patemon Gunungpati Semarang Jawa Tengah 50229</v>
      </c>
      <c r="M11" s="8" t="str">
        <f>'BIO DATA'!V10:V212</f>
        <v>Patemon</v>
      </c>
      <c r="N11" s="8" t="str">
        <f>'BIO DATA'!W10:W212</f>
        <v>Gunungpati</v>
      </c>
      <c r="O11" s="8" t="str">
        <f>'BIO DATA'!X10:X212</f>
        <v>Semarang</v>
      </c>
      <c r="P11" s="8" t="str">
        <f>'BIO DATA'!Y10:Y212</f>
        <v>Jawa Tengah</v>
      </c>
      <c r="Q11" s="8" t="str">
        <f>'BIO DATA'!Z10:Z212</f>
        <v>MTs. Mu'allimin Muh. Yogyakarta</v>
      </c>
      <c r="R11" s="8" t="str">
        <f>'BIO DATA'!AA10:AA212</f>
        <v>Jl. Letjend. S. Parman No. 68 Yogyakarta 55022</v>
      </c>
      <c r="S11" s="8">
        <f>'BIO DATA'!AB10:AB212</f>
        <v>0</v>
      </c>
      <c r="T11" s="8" t="str">
        <f>'BIO DATA'!AC10:AC212</f>
        <v>Wiwik Dwi Haryono</v>
      </c>
      <c r="U11" s="8" t="str">
        <f>'BIO DATA'!AD10</f>
        <v>Islam</v>
      </c>
      <c r="V11" s="8" t="str">
        <f>'BIO DATA'!AL10:AL212</f>
        <v>S2</v>
      </c>
      <c r="W11" s="8" t="str">
        <f>'BIO DATA'!AM10:AM212</f>
        <v>Dosen</v>
      </c>
      <c r="X11" s="8" t="str">
        <f>'BIO DATA'!AG10:AG212</f>
        <v>&gt; Rp 2.500.000,00</v>
      </c>
      <c r="Y11" s="69" t="s">
        <v>217</v>
      </c>
      <c r="Z11" s="8">
        <f>'BIO DATA'!AI10:AI212</f>
        <v>0</v>
      </c>
      <c r="AA11" s="8" t="str">
        <f>'BIO DATA'!AJ10:AJ212</f>
        <v>Harianingsih</v>
      </c>
      <c r="AB11" s="8" t="str">
        <f>'BIO DATA'!AK10</f>
        <v>Islam</v>
      </c>
      <c r="AC11" s="8" t="str">
        <f>'BIO DATA'!AL10:AL212</f>
        <v>S2</v>
      </c>
      <c r="AD11" s="8" t="str">
        <f>'BIO DATA'!AM10:AM212</f>
        <v>Dosen</v>
      </c>
      <c r="AE11" s="8">
        <f>'BIO DATA'!AN10:AN212</f>
        <v>0</v>
      </c>
      <c r="AF11" s="52"/>
      <c r="AG11" s="8">
        <f>'BIO DATA'!AP10</f>
        <v>0</v>
      </c>
      <c r="AH11" s="8">
        <f>'BIO DATA'!AZ10</f>
        <v>0</v>
      </c>
      <c r="AI11" s="8" t="str">
        <f>'BIO DATA'!BA10</f>
        <v>Islam</v>
      </c>
      <c r="AJ11" s="8">
        <f>'BIO DATA'!BB10</f>
        <v>0</v>
      </c>
      <c r="AK11" s="8">
        <f>'BIO DATA'!BC10</f>
        <v>0</v>
      </c>
      <c r="AL11" s="8">
        <f>'BIO DATA'!BD10</f>
        <v>0</v>
      </c>
      <c r="AM11" s="8">
        <f>'BIO DATA'!BE10</f>
        <v>0</v>
      </c>
      <c r="AN11" s="8">
        <f>'BIO DATA'!BF10</f>
        <v>0</v>
      </c>
      <c r="AO11" s="8">
        <f>'BIO DATA'!BG10</f>
        <v>0</v>
      </c>
      <c r="AP11" s="53" t="s">
        <v>171</v>
      </c>
    </row>
    <row r="12" spans="1:42" s="54" customFormat="1" ht="20.100000000000001" customHeight="1" thickBot="1">
      <c r="A12" s="12" t="s">
        <v>128</v>
      </c>
      <c r="B12">
        <v>119</v>
      </c>
      <c r="C12" s="90">
        <f>'BIO DATA'!D11</f>
        <v>11333</v>
      </c>
      <c r="D12" s="90" t="str">
        <f>'BIO DATA'!E11</f>
        <v>0107726015</v>
      </c>
      <c r="E12" s="89" t="str">
        <f>'BIO DATA'!F11</f>
        <v>Galang Thariq Nurmuhammad</v>
      </c>
      <c r="F12" s="49" t="str">
        <f>'BIO DATA'!M11</f>
        <v>Laki-laki</v>
      </c>
      <c r="G12" s="8" t="str">
        <f>'BIO DATA'!N11</f>
        <v>Semarang</v>
      </c>
      <c r="H12" s="51">
        <f>'BIO DATA'!P11</f>
        <v>40528</v>
      </c>
      <c r="I12" s="49" t="str">
        <f>'BIO DATA'!S11</f>
        <v>Islam</v>
      </c>
      <c r="J12" s="50">
        <f>'BIO DATA'!J11:J184</f>
        <v>1</v>
      </c>
      <c r="K12" s="50">
        <f>'BIO DATA'!K11:K213</f>
        <v>3</v>
      </c>
      <c r="L12" s="8" t="str">
        <f>'BIO DATA'!T11:T184</f>
        <v>BTN Puyung Indah Blok C 13, Desa Puyung Kec. Jonggat Kab. Lombok Tengah NTB  83561</v>
      </c>
      <c r="M12" s="8" t="str">
        <f>'BIO DATA'!V11:V213</f>
        <v>Puyung</v>
      </c>
      <c r="N12" s="8" t="str">
        <f>'BIO DATA'!W11:W213</f>
        <v>Jonggat</v>
      </c>
      <c r="O12" s="8" t="str">
        <f>'BIO DATA'!X11:X213</f>
        <v>Lombok Tengah</v>
      </c>
      <c r="P12" s="8" t="str">
        <f>'BIO DATA'!Y11:Y213</f>
        <v>NTB</v>
      </c>
      <c r="Q12" s="8" t="str">
        <f>'BIO DATA'!Z11:Z213</f>
        <v>MTs. Mu'allimin Muh. Yogyakarta</v>
      </c>
      <c r="R12" s="8" t="str">
        <f>'BIO DATA'!AA11:AA213</f>
        <v>Jl. Letjend. S. Parman No. 68 Yogyakarta 55023</v>
      </c>
      <c r="S12" s="8">
        <f>'BIO DATA'!AB11:AB213</f>
        <v>0</v>
      </c>
      <c r="T12" s="8" t="str">
        <f>'BIO DATA'!AC11:AC213</f>
        <v>Atu Ibrahim, S.E</v>
      </c>
      <c r="U12" s="8" t="str">
        <f>'BIO DATA'!AD11</f>
        <v>Islam</v>
      </c>
      <c r="V12" s="8" t="str">
        <f>'BIO DATA'!AL11:AL213</f>
        <v>S1</v>
      </c>
      <c r="W12" s="8" t="str">
        <f>'BIO DATA'!AM11:AM213</f>
        <v>Guru</v>
      </c>
      <c r="X12" s="8" t="str">
        <f>'BIO DATA'!AG11:AG213</f>
        <v>&gt; Rp 2.500.000,00</v>
      </c>
      <c r="Y12" s="69" t="s">
        <v>217</v>
      </c>
      <c r="Z12" s="8">
        <f>'BIO DATA'!AI11:AI213</f>
        <v>0</v>
      </c>
      <c r="AA12" s="8" t="str">
        <f>'BIO DATA'!AJ11:AJ213</f>
        <v>Titik Pratiwi</v>
      </c>
      <c r="AB12" s="8" t="str">
        <f>'BIO DATA'!AK11</f>
        <v>Islam</v>
      </c>
      <c r="AC12" s="8" t="str">
        <f>'BIO DATA'!AL11:AL213</f>
        <v>S1</v>
      </c>
      <c r="AD12" s="8" t="str">
        <f>'BIO DATA'!AM11:AM213</f>
        <v>Guru</v>
      </c>
      <c r="AE12" s="8">
        <f>'BIO DATA'!AN11:AN213</f>
        <v>0</v>
      </c>
      <c r="AF12" s="52"/>
      <c r="AG12" s="8">
        <f>'BIO DATA'!AP11</f>
        <v>0</v>
      </c>
      <c r="AH12" s="8">
        <f>'BIO DATA'!AZ11</f>
        <v>0</v>
      </c>
      <c r="AI12" s="8" t="str">
        <f>'BIO DATA'!BA11</f>
        <v>Islam</v>
      </c>
      <c r="AJ12" s="8">
        <f>'BIO DATA'!BB11</f>
        <v>0</v>
      </c>
      <c r="AK12" s="8">
        <f>'BIO DATA'!BC11</f>
        <v>0</v>
      </c>
      <c r="AL12" s="8">
        <f>'BIO DATA'!BD11</f>
        <v>0</v>
      </c>
      <c r="AM12" s="8">
        <f>'BIO DATA'!BE11</f>
        <v>0</v>
      </c>
      <c r="AN12" s="8">
        <f>'BIO DATA'!BF11</f>
        <v>0</v>
      </c>
      <c r="AO12" s="8">
        <f>'BIO DATA'!BG11</f>
        <v>0</v>
      </c>
      <c r="AP12" s="53" t="s">
        <v>171</v>
      </c>
    </row>
    <row r="13" spans="1:42" s="54" customFormat="1" ht="20.100000000000001" customHeight="1" thickBot="1">
      <c r="A13" s="12" t="s">
        <v>128</v>
      </c>
      <c r="B13">
        <v>128</v>
      </c>
      <c r="C13" s="90">
        <f>'BIO DATA'!D12</f>
        <v>11336</v>
      </c>
      <c r="D13" s="90" t="str">
        <f>'BIO DATA'!E12</f>
        <v>0101900997</v>
      </c>
      <c r="E13" s="89" t="str">
        <f>'BIO DATA'!F12</f>
        <v>Gibran Husein Afdhalla</v>
      </c>
      <c r="F13" s="49" t="str">
        <f>'BIO DATA'!M12</f>
        <v>Laki-laki</v>
      </c>
      <c r="G13" s="8" t="str">
        <f>'BIO DATA'!N12</f>
        <v>Praya</v>
      </c>
      <c r="H13" s="51">
        <f>'BIO DATA'!P12</f>
        <v>40445</v>
      </c>
      <c r="I13" s="49" t="str">
        <f>'BIO DATA'!S12</f>
        <v>Islam</v>
      </c>
      <c r="J13" s="50">
        <f>'BIO DATA'!J12:J185</f>
        <v>2</v>
      </c>
      <c r="K13" s="50">
        <f>'BIO DATA'!K12:K214</f>
        <v>2</v>
      </c>
      <c r="L13" s="8" t="str">
        <f>'BIO DATA'!T12:T185</f>
        <v>Susukan 1 RT 002 RW 001 Margokaton Seyegan Sleman, DI Yogyakarta, 55561</v>
      </c>
      <c r="M13" s="8" t="str">
        <f>'BIO DATA'!V12:V214</f>
        <v>Margokaton</v>
      </c>
      <c r="N13" s="8" t="str">
        <f>'BIO DATA'!W12:W214</f>
        <v>Seyegan</v>
      </c>
      <c r="O13" s="8" t="str">
        <f>'BIO DATA'!X12:X214</f>
        <v>Sleman</v>
      </c>
      <c r="P13" s="8" t="str">
        <f>'BIO DATA'!Y12:Y214</f>
        <v>DI Yogyakarta</v>
      </c>
      <c r="Q13" s="8" t="str">
        <f>'BIO DATA'!Z12:Z214</f>
        <v>MTs. Mu'allimin Muh. Yogyakarta</v>
      </c>
      <c r="R13" s="8" t="str">
        <f>'BIO DATA'!AA12:AA214</f>
        <v>Jl. Letjend. S. Parman No. 68 Yogyakarta 55024</v>
      </c>
      <c r="S13" s="8">
        <f>'BIO DATA'!AB12:AB214</f>
        <v>0</v>
      </c>
      <c r="T13" s="8" t="str">
        <f>'BIO DATA'!AC12:AC214</f>
        <v>Nurkhoirudin</v>
      </c>
      <c r="U13" s="8" t="str">
        <f>'BIO DATA'!AD12</f>
        <v>Islam</v>
      </c>
      <c r="V13" s="8" t="str">
        <f>'BIO DATA'!AL12:AL214</f>
        <v>SMA</v>
      </c>
      <c r="W13" s="8" t="str">
        <f>'BIO DATA'!AM12:AM214</f>
        <v>Karyawan Swasta</v>
      </c>
      <c r="X13" s="8" t="str">
        <f>'BIO DATA'!AG12:AG214</f>
        <v>&gt; Rp 2.500.000,00</v>
      </c>
      <c r="Y13" s="69" t="s">
        <v>217</v>
      </c>
      <c r="Z13" s="8">
        <f>'BIO DATA'!AI12:AI214</f>
        <v>0</v>
      </c>
      <c r="AA13" s="8" t="str">
        <f>'BIO DATA'!AJ12:AJ214</f>
        <v>Dhian Navitri</v>
      </c>
      <c r="AB13" s="8" t="str">
        <f>'BIO DATA'!AK12</f>
        <v>Islam</v>
      </c>
      <c r="AC13" s="8" t="str">
        <f>'BIO DATA'!AL12:AL214</f>
        <v>SMA</v>
      </c>
      <c r="AD13" s="8" t="str">
        <f>'BIO DATA'!AM12:AM214</f>
        <v>Karyawan Swasta</v>
      </c>
      <c r="AE13" s="8">
        <f>'BIO DATA'!AN12:AN214</f>
        <v>0</v>
      </c>
      <c r="AF13" s="52"/>
      <c r="AG13" s="8">
        <f>'BIO DATA'!AP12</f>
        <v>0</v>
      </c>
      <c r="AH13" s="8">
        <f>'BIO DATA'!AZ12</f>
        <v>0</v>
      </c>
      <c r="AI13" s="8" t="str">
        <f>'BIO DATA'!BA12</f>
        <v>Islam</v>
      </c>
      <c r="AJ13" s="8">
        <f>'BIO DATA'!BB12</f>
        <v>0</v>
      </c>
      <c r="AK13" s="8">
        <f>'BIO DATA'!BC12</f>
        <v>0</v>
      </c>
      <c r="AL13" s="8">
        <f>'BIO DATA'!BD12</f>
        <v>0</v>
      </c>
      <c r="AM13" s="8">
        <f>'BIO DATA'!BE12</f>
        <v>0</v>
      </c>
      <c r="AN13" s="8">
        <f>'BIO DATA'!BF12</f>
        <v>0</v>
      </c>
      <c r="AO13" s="8">
        <f>'BIO DATA'!BG12</f>
        <v>0</v>
      </c>
      <c r="AP13" s="53" t="s">
        <v>171</v>
      </c>
    </row>
    <row r="14" spans="1:42" s="54" customFormat="1" ht="20.100000000000001" customHeight="1" thickBot="1">
      <c r="A14" s="12" t="s">
        <v>128</v>
      </c>
      <c r="B14">
        <v>130</v>
      </c>
      <c r="C14" s="90">
        <f>'BIO DATA'!D13</f>
        <v>11343</v>
      </c>
      <c r="D14" s="90" t="str">
        <f>'BIO DATA'!E13</f>
        <v>0094957046</v>
      </c>
      <c r="E14" s="89" t="str">
        <f>'BIO DATA'!F13</f>
        <v>Haidar Anwari</v>
      </c>
      <c r="F14" s="49" t="str">
        <f>'BIO DATA'!M13</f>
        <v>Laki-laki</v>
      </c>
      <c r="G14" s="8" t="str">
        <f>'BIO DATA'!N13</f>
        <v>Sleman</v>
      </c>
      <c r="H14" s="51">
        <f>'BIO DATA'!P13</f>
        <v>40114</v>
      </c>
      <c r="I14" s="49" t="str">
        <f>'BIO DATA'!S13</f>
        <v>Islam</v>
      </c>
      <c r="J14" s="50">
        <f>'BIO DATA'!J13:J186</f>
        <v>1</v>
      </c>
      <c r="K14" s="50">
        <f>'BIO DATA'!K13:K215</f>
        <v>3</v>
      </c>
      <c r="L14" s="8" t="str">
        <f>'BIO DATA'!T13:T186</f>
        <v>Dusiun Mekar Sari II RT 018 RW 04 Desa Paal Kec. Nanga Pinoh Kab. Melawi, Kalimantan Barat, 79672</v>
      </c>
      <c r="M14" s="8" t="str">
        <f>'BIO DATA'!V13:V215</f>
        <v>Paal</v>
      </c>
      <c r="N14" s="8" t="str">
        <f>'BIO DATA'!W13:W215</f>
        <v>Nanga Pinoh</v>
      </c>
      <c r="O14" s="8" t="str">
        <f>'BIO DATA'!X13:X215</f>
        <v>Melawi</v>
      </c>
      <c r="P14" s="8" t="str">
        <f>'BIO DATA'!Y13:Y215</f>
        <v>Kalimantan Barat</v>
      </c>
      <c r="Q14" s="8" t="str">
        <f>'BIO DATA'!Z13:Z215</f>
        <v>MTs. Mu'allimin Muh. Yogyakarta</v>
      </c>
      <c r="R14" s="8" t="str">
        <f>'BIO DATA'!AA13:AA215</f>
        <v>Jl. Letjend. S. Parman No. 68 Yogyakarta 55025</v>
      </c>
      <c r="S14" s="8">
        <f>'BIO DATA'!AB13:AB215</f>
        <v>0</v>
      </c>
      <c r="T14" s="8" t="str">
        <f>'BIO DATA'!AC13:AC215</f>
        <v>Yusuf Salim</v>
      </c>
      <c r="U14" s="8" t="str">
        <f>'BIO DATA'!AD13</f>
        <v>Islam</v>
      </c>
      <c r="V14" s="8" t="str">
        <f>'BIO DATA'!AL13:AL215</f>
        <v>S1</v>
      </c>
      <c r="W14" s="8" t="str">
        <f>'BIO DATA'!AM13:AM215</f>
        <v>Ibu Rumah Tangga</v>
      </c>
      <c r="X14" s="8" t="str">
        <f>'BIO DATA'!AG13:AG215</f>
        <v>&gt; Rp 2.500.000,00</v>
      </c>
      <c r="Y14" s="69" t="s">
        <v>217</v>
      </c>
      <c r="Z14" s="8">
        <f>'BIO DATA'!AI13:AI215</f>
        <v>0</v>
      </c>
      <c r="AA14" s="8" t="str">
        <f>'BIO DATA'!AJ13:AJ215</f>
        <v>Nita Yulianti</v>
      </c>
      <c r="AB14" s="8" t="str">
        <f>'BIO DATA'!AK13</f>
        <v>Islam</v>
      </c>
      <c r="AC14" s="8" t="str">
        <f>'BIO DATA'!AL13:AL215</f>
        <v>S1</v>
      </c>
      <c r="AD14" s="8" t="str">
        <f>'BIO DATA'!AM13:AM215</f>
        <v>Ibu Rumah Tangga</v>
      </c>
      <c r="AE14" s="8">
        <f>'BIO DATA'!AN13:AN215</f>
        <v>0</v>
      </c>
      <c r="AF14" s="52"/>
      <c r="AG14" s="8">
        <f>'BIO DATA'!AP13</f>
        <v>0</v>
      </c>
      <c r="AH14" s="8">
        <f>'BIO DATA'!AZ13</f>
        <v>0</v>
      </c>
      <c r="AI14" s="8" t="str">
        <f>'BIO DATA'!BA13</f>
        <v>Islam</v>
      </c>
      <c r="AJ14" s="8">
        <f>'BIO DATA'!BB13</f>
        <v>0</v>
      </c>
      <c r="AK14" s="8">
        <f>'BIO DATA'!BC13</f>
        <v>0</v>
      </c>
      <c r="AL14" s="8">
        <f>'BIO DATA'!BD13</f>
        <v>0</v>
      </c>
      <c r="AM14" s="8">
        <f>'BIO DATA'!BE13</f>
        <v>0</v>
      </c>
      <c r="AN14" s="8">
        <f>'BIO DATA'!BF13</f>
        <v>0</v>
      </c>
      <c r="AO14" s="8">
        <f>'BIO DATA'!BG13</f>
        <v>0</v>
      </c>
      <c r="AP14" s="53" t="s">
        <v>171</v>
      </c>
    </row>
    <row r="15" spans="1:42" s="54" customFormat="1" ht="20.100000000000001" customHeight="1" thickBot="1">
      <c r="A15" s="12" t="s">
        <v>128</v>
      </c>
      <c r="B15">
        <v>141</v>
      </c>
      <c r="C15" s="90">
        <f>'BIO DATA'!D14</f>
        <v>11348</v>
      </c>
      <c r="D15" s="90" t="str">
        <f>'BIO DATA'!E14</f>
        <v>0106383983</v>
      </c>
      <c r="E15" s="89" t="str">
        <f>'BIO DATA'!F14</f>
        <v>Humam Zaid Zidan</v>
      </c>
      <c r="F15" s="49" t="str">
        <f>'BIO DATA'!M14</f>
        <v>Laki-laki</v>
      </c>
      <c r="G15" s="8" t="str">
        <f>'BIO DATA'!N14</f>
        <v>Nanga Pinoh</v>
      </c>
      <c r="H15" s="51">
        <f>'BIO DATA'!P14</f>
        <v>40368</v>
      </c>
      <c r="I15" s="49" t="str">
        <f>'BIO DATA'!S14</f>
        <v>Islam</v>
      </c>
      <c r="J15" s="50">
        <f>'BIO DATA'!J14:J187</f>
        <v>1</v>
      </c>
      <c r="K15" s="50">
        <f>'BIO DATA'!K14:K216</f>
        <v>1</v>
      </c>
      <c r="L15" s="8" t="str">
        <f>'BIO DATA'!T14:T187</f>
        <v>Dongkelan RT 07 Imogiri, Imogiri, Bantul, DI Yogyakarta, 55782</v>
      </c>
      <c r="M15" s="8" t="str">
        <f>'BIO DATA'!V14:V216</f>
        <v>Imogiri</v>
      </c>
      <c r="N15" s="8" t="str">
        <f>'BIO DATA'!W14:W216</f>
        <v>Imogiri</v>
      </c>
      <c r="O15" s="8" t="str">
        <f>'BIO DATA'!X14:X216</f>
        <v>Bantul</v>
      </c>
      <c r="P15" s="8" t="str">
        <f>'BIO DATA'!Y14:Y216</f>
        <v>DI Yogyakarta</v>
      </c>
      <c r="Q15" s="8" t="str">
        <f>'BIO DATA'!Z14:Z216</f>
        <v>MTs. Mu'allimin Muh. Yogyakarta</v>
      </c>
      <c r="R15" s="8" t="str">
        <f>'BIO DATA'!AA14:AA216</f>
        <v>Jl. Letjend. S. Parman No. 68 Yogyakarta 55026</v>
      </c>
      <c r="S15" s="8">
        <f>'BIO DATA'!AB14:AB216</f>
        <v>0</v>
      </c>
      <c r="T15" s="8" t="str">
        <f>'BIO DATA'!AC14:AC216</f>
        <v>Ngadilan, S.Pd.</v>
      </c>
      <c r="U15" s="8" t="str">
        <f>'BIO DATA'!AD14</f>
        <v>Islam</v>
      </c>
      <c r="V15" s="8">
        <f>'BIO DATA'!AL14:AL216</f>
        <v>0</v>
      </c>
      <c r="W15" s="8">
        <f>'BIO DATA'!AM14:AM216</f>
        <v>0</v>
      </c>
      <c r="X15" s="8" t="str">
        <f>'BIO DATA'!AG14:AG216</f>
        <v>&gt; Rp 2.500.000,00</v>
      </c>
      <c r="Y15" s="69" t="s">
        <v>217</v>
      </c>
      <c r="Z15" s="8">
        <f>'BIO DATA'!AI14:AI216</f>
        <v>0</v>
      </c>
      <c r="AA15" s="8" t="str">
        <f>'BIO DATA'!AJ14:AJ216</f>
        <v>Rr. Ersi Nurmaeli</v>
      </c>
      <c r="AB15" s="8" t="str">
        <f>'BIO DATA'!AK14</f>
        <v>Islam</v>
      </c>
      <c r="AC15" s="8">
        <f>'BIO DATA'!AL14:AL216</f>
        <v>0</v>
      </c>
      <c r="AD15" s="8">
        <f>'BIO DATA'!AM14:AM216</f>
        <v>0</v>
      </c>
      <c r="AE15" s="8">
        <f>'BIO DATA'!AN14:AN216</f>
        <v>0</v>
      </c>
      <c r="AF15" s="52"/>
      <c r="AG15" s="8">
        <f>'BIO DATA'!AP14</f>
        <v>0</v>
      </c>
      <c r="AH15" s="8">
        <f>'BIO DATA'!AZ14</f>
        <v>0</v>
      </c>
      <c r="AI15" s="8" t="str">
        <f>'BIO DATA'!BA14</f>
        <v>Islam</v>
      </c>
      <c r="AJ15" s="8">
        <f>'BIO DATA'!BB14</f>
        <v>0</v>
      </c>
      <c r="AK15" s="8">
        <f>'BIO DATA'!BC14</f>
        <v>0</v>
      </c>
      <c r="AL15" s="8">
        <f>'BIO DATA'!BD14</f>
        <v>0</v>
      </c>
      <c r="AM15" s="8">
        <f>'BIO DATA'!BE14</f>
        <v>0</v>
      </c>
      <c r="AN15" s="8">
        <f>'BIO DATA'!BF14</f>
        <v>0</v>
      </c>
      <c r="AO15" s="8">
        <f>'BIO DATA'!BG14</f>
        <v>0</v>
      </c>
      <c r="AP15" s="53" t="s">
        <v>171</v>
      </c>
    </row>
    <row r="16" spans="1:42" s="54" customFormat="1" ht="20.100000000000001" customHeight="1" thickBot="1">
      <c r="A16" s="12" t="s">
        <v>128</v>
      </c>
      <c r="B16">
        <v>157</v>
      </c>
      <c r="C16" s="90">
        <f>'BIO DATA'!D15</f>
        <v>11404</v>
      </c>
      <c r="D16" s="90" t="str">
        <f>'BIO DATA'!E15</f>
        <v>0107491206</v>
      </c>
      <c r="E16" s="89" t="str">
        <f>'BIO DATA'!F15</f>
        <v>Muhammad Fadhil Hanifudin</v>
      </c>
      <c r="F16" s="49" t="str">
        <f>'BIO DATA'!M15</f>
        <v>Laki-laki</v>
      </c>
      <c r="G16" s="8" t="str">
        <f>'BIO DATA'!N15</f>
        <v>Bantul</v>
      </c>
      <c r="H16" s="51">
        <f>'BIO DATA'!P15</f>
        <v>40336</v>
      </c>
      <c r="I16" s="49" t="str">
        <f>'BIO DATA'!S15</f>
        <v>Islam</v>
      </c>
      <c r="J16" s="50">
        <f>'BIO DATA'!J15:J188</f>
        <v>2</v>
      </c>
      <c r="K16" s="50">
        <f>'BIO DATA'!K15:K217</f>
        <v>2</v>
      </c>
      <c r="L16" s="8" t="str">
        <f>'BIO DATA'!T15:T188</f>
        <v>Betengsari no. 48 RT 02/RW 12 Wonosobo Timur, Wonosobo. Jawa Tengah 56311</v>
      </c>
      <c r="M16" s="8" t="str">
        <f>'BIO DATA'!V15:V217</f>
        <v>Betengsari</v>
      </c>
      <c r="N16" s="8" t="str">
        <f>'BIO DATA'!W15:W217</f>
        <v>Wonosobo Timur</v>
      </c>
      <c r="O16" s="8" t="str">
        <f>'BIO DATA'!X15:X217</f>
        <v>Wonosobo</v>
      </c>
      <c r="P16" s="8" t="str">
        <f>'BIO DATA'!Y15:Y217</f>
        <v>Jawa Tengah</v>
      </c>
      <c r="Q16" s="8" t="str">
        <f>'BIO DATA'!Z15:Z217</f>
        <v>MTs. Mu'allimin Muh. Yogyakarta</v>
      </c>
      <c r="R16" s="8" t="str">
        <f>'BIO DATA'!AA15:AA217</f>
        <v>Jl. Letjend. S. Parman No. 68 Yogyakarta 55027</v>
      </c>
      <c r="S16" s="8">
        <f>'BIO DATA'!AB15:AB217</f>
        <v>0</v>
      </c>
      <c r="T16" s="8" t="str">
        <f>'BIO DATA'!AC15:AC217</f>
        <v>Sumadi</v>
      </c>
      <c r="U16" s="8" t="str">
        <f>'BIO DATA'!AD15</f>
        <v>Islam</v>
      </c>
      <c r="V16" s="8" t="str">
        <f>'BIO DATA'!AL15:AL217</f>
        <v>S1</v>
      </c>
      <c r="W16" s="8" t="str">
        <f>'BIO DATA'!AM15:AM217</f>
        <v>Dokter</v>
      </c>
      <c r="X16" s="8" t="str">
        <f>'BIO DATA'!AG15:AG217</f>
        <v>&gt; Rp 2.500.000,00</v>
      </c>
      <c r="Y16" s="69" t="s">
        <v>217</v>
      </c>
      <c r="Z16" s="8">
        <f>'BIO DATA'!AI15:AI217</f>
        <v>0</v>
      </c>
      <c r="AA16" s="8" t="str">
        <f>'BIO DATA'!AJ15:AJ217</f>
        <v>Anik Khoiriyah</v>
      </c>
      <c r="AB16" s="8" t="str">
        <f>'BIO DATA'!AK15</f>
        <v>Islam</v>
      </c>
      <c r="AC16" s="8" t="str">
        <f>'BIO DATA'!AL15:AL217</f>
        <v>S1</v>
      </c>
      <c r="AD16" s="8" t="str">
        <f>'BIO DATA'!AM15:AM217</f>
        <v>Dokter</v>
      </c>
      <c r="AE16" s="8">
        <f>'BIO DATA'!AN15:AN217</f>
        <v>0</v>
      </c>
      <c r="AF16" s="52"/>
      <c r="AG16" s="8">
        <f>'BIO DATA'!AP15</f>
        <v>0</v>
      </c>
      <c r="AH16" s="8">
        <f>'BIO DATA'!AZ15</f>
        <v>0</v>
      </c>
      <c r="AI16" s="8" t="str">
        <f>'BIO DATA'!BA15</f>
        <v>Islam</v>
      </c>
      <c r="AJ16" s="8">
        <f>'BIO DATA'!BB15</f>
        <v>0</v>
      </c>
      <c r="AK16" s="8">
        <f>'BIO DATA'!BC15</f>
        <v>0</v>
      </c>
      <c r="AL16" s="8">
        <f>'BIO DATA'!BD15</f>
        <v>0</v>
      </c>
      <c r="AM16" s="8">
        <f>'BIO DATA'!BE15</f>
        <v>0</v>
      </c>
      <c r="AN16" s="8">
        <f>'BIO DATA'!BF15</f>
        <v>0</v>
      </c>
      <c r="AO16" s="8">
        <f>'BIO DATA'!BG15</f>
        <v>0</v>
      </c>
      <c r="AP16" s="53" t="s">
        <v>171</v>
      </c>
    </row>
    <row r="17" spans="1:42" s="54" customFormat="1" ht="20.100000000000001" customHeight="1" thickBot="1">
      <c r="A17" s="12" t="s">
        <v>128</v>
      </c>
      <c r="B17">
        <v>159</v>
      </c>
      <c r="C17" s="90">
        <f>'BIO DATA'!D16</f>
        <v>11410</v>
      </c>
      <c r="D17" s="90" t="str">
        <f>'BIO DATA'!E16</f>
        <v>0109920071</v>
      </c>
      <c r="E17" s="89" t="str">
        <f>'BIO DATA'!F16</f>
        <v>Muhammad Faiz Abdullah</v>
      </c>
      <c r="F17" s="49" t="str">
        <f>'BIO DATA'!M16</f>
        <v>Laki-laki</v>
      </c>
      <c r="G17" s="8" t="str">
        <f>'BIO DATA'!N16</f>
        <v>Wonosobo</v>
      </c>
      <c r="H17" s="51">
        <f>'BIO DATA'!P16</f>
        <v>40165</v>
      </c>
      <c r="I17" s="49" t="str">
        <f>'BIO DATA'!S16</f>
        <v>Islam</v>
      </c>
      <c r="J17" s="50">
        <f>'BIO DATA'!J16:J189</f>
        <v>1</v>
      </c>
      <c r="K17" s="50">
        <f>'BIO DATA'!K16:K218</f>
        <v>0</v>
      </c>
      <c r="L17" s="8" t="str">
        <f>'BIO DATA'!T16:T189</f>
        <v>RT 01 Kranggan Murtigading Sanden, DI Yogyakarta, 55763</v>
      </c>
      <c r="M17" s="8" t="str">
        <f>'BIO DATA'!V16:V218</f>
        <v>Murtigading</v>
      </c>
      <c r="N17" s="8" t="str">
        <f>'BIO DATA'!W16:W218</f>
        <v>Sanden</v>
      </c>
      <c r="O17" s="8" t="str">
        <f>'BIO DATA'!X16:X218</f>
        <v>Bantul</v>
      </c>
      <c r="P17" s="8" t="str">
        <f>'BIO DATA'!Y16:Y218</f>
        <v>DI Yogyakarta</v>
      </c>
      <c r="Q17" s="8" t="str">
        <f>'BIO DATA'!Z16:Z218</f>
        <v>MTs. Mu'allimin Muh. Yogyakarta</v>
      </c>
      <c r="R17" s="8">
        <f>'BIO DATA'!AA16:AA218</f>
        <v>0</v>
      </c>
      <c r="S17" s="8">
        <f>'BIO DATA'!AB16:AB218</f>
        <v>0</v>
      </c>
      <c r="T17" s="8" t="str">
        <f>'BIO DATA'!AC16:AC218</f>
        <v>Wahid hidayat</v>
      </c>
      <c r="U17" s="8" t="str">
        <f>'BIO DATA'!AD16</f>
        <v>Islam</v>
      </c>
      <c r="V17" s="8" t="str">
        <f>'BIO DATA'!AL16:AL218</f>
        <v>Diploma</v>
      </c>
      <c r="W17" s="8" t="str">
        <f>'BIO DATA'!AM16:AM218</f>
        <v>Wiraswasta</v>
      </c>
      <c r="X17" s="8" t="str">
        <f>'BIO DATA'!AG16:AG218</f>
        <v>&gt; Rp 2.500.000,00</v>
      </c>
      <c r="Y17" s="69" t="s">
        <v>217</v>
      </c>
      <c r="Z17" s="8">
        <f>'BIO DATA'!AI16:AI218</f>
        <v>0</v>
      </c>
      <c r="AA17" s="8" t="str">
        <f>'BIO DATA'!AJ16:AJ218</f>
        <v>Endang Sri Sukamti</v>
      </c>
      <c r="AB17" s="8" t="str">
        <f>'BIO DATA'!AK16</f>
        <v>Islam</v>
      </c>
      <c r="AC17" s="8" t="str">
        <f>'BIO DATA'!AL16:AL218</f>
        <v>Diploma</v>
      </c>
      <c r="AD17" s="8" t="str">
        <f>'BIO DATA'!AM16:AM218</f>
        <v>Wiraswasta</v>
      </c>
      <c r="AE17" s="8">
        <f>'BIO DATA'!AN16:AN218</f>
        <v>0</v>
      </c>
      <c r="AF17" s="52"/>
      <c r="AG17" s="8">
        <f>'BIO DATA'!AP16</f>
        <v>0</v>
      </c>
      <c r="AH17" s="8">
        <f>'BIO DATA'!AZ16</f>
        <v>0</v>
      </c>
      <c r="AI17" s="8" t="str">
        <f>'BIO DATA'!BA16</f>
        <v>Islam</v>
      </c>
      <c r="AJ17" s="8">
        <f>'BIO DATA'!BB16</f>
        <v>0</v>
      </c>
      <c r="AK17" s="8">
        <f>'BIO DATA'!BC16</f>
        <v>0</v>
      </c>
      <c r="AL17" s="8">
        <f>'BIO DATA'!BD16</f>
        <v>0</v>
      </c>
      <c r="AM17" s="8">
        <f>'BIO DATA'!BE16</f>
        <v>0</v>
      </c>
      <c r="AN17" s="8">
        <f>'BIO DATA'!BF16</f>
        <v>0</v>
      </c>
      <c r="AO17" s="8">
        <f>'BIO DATA'!BG16</f>
        <v>0</v>
      </c>
      <c r="AP17" s="53" t="s">
        <v>171</v>
      </c>
    </row>
    <row r="18" spans="1:42" s="54" customFormat="1" ht="20.100000000000001" customHeight="1" thickBot="1">
      <c r="A18" s="12" t="s">
        <v>128</v>
      </c>
      <c r="B18">
        <v>171</v>
      </c>
      <c r="C18" s="90">
        <f>'BIO DATA'!D17</f>
        <v>11411</v>
      </c>
      <c r="D18" s="90" t="str">
        <f>'BIO DATA'!E17</f>
        <v>0099201027</v>
      </c>
      <c r="E18" s="89" t="str">
        <f>'BIO DATA'!F17</f>
        <v>Muhammad Faiz Husain</v>
      </c>
      <c r="F18" s="49" t="str">
        <f>'BIO DATA'!M17</f>
        <v>Laki-laki</v>
      </c>
      <c r="G18" s="8" t="str">
        <f>'BIO DATA'!N17</f>
        <v>Bantul</v>
      </c>
      <c r="H18" s="51">
        <f>'BIO DATA'!P17</f>
        <v>40164</v>
      </c>
      <c r="I18" s="49" t="str">
        <f>'BIO DATA'!S17</f>
        <v>Islam</v>
      </c>
      <c r="J18" s="50">
        <f>'BIO DATA'!J17:J190</f>
        <v>1</v>
      </c>
      <c r="K18" s="50">
        <f>'BIO DATA'!K17:K219</f>
        <v>1</v>
      </c>
      <c r="L18" s="8" t="str">
        <f>'BIO DATA'!T17:T190</f>
        <v>Dukuh Sidokerti Desa Babalan Lor RT. 11 RW. 03 Kecamatan Bojong Kabupaten Pekalongan Jawa Tengah 51156</v>
      </c>
      <c r="M18" s="8" t="str">
        <f>'BIO DATA'!V17:V219</f>
        <v>Babalan</v>
      </c>
      <c r="N18" s="8" t="str">
        <f>'BIO DATA'!W17:W219</f>
        <v>Bojong</v>
      </c>
      <c r="O18" s="8" t="str">
        <f>'BIO DATA'!X17:X219</f>
        <v>Pekalongan</v>
      </c>
      <c r="P18" s="8" t="str">
        <f>'BIO DATA'!Y17:Y219</f>
        <v>Jawa Tengah</v>
      </c>
      <c r="Q18" s="8" t="str">
        <f>'BIO DATA'!Z17:Z219</f>
        <v>MTs. Mu'allimin Muh. Yogyakarta</v>
      </c>
      <c r="R18" s="8" t="str">
        <f>'BIO DATA'!AA17:AA219</f>
        <v>Gg. 8, Wuled, Kec. Tirto, Kabupaten Pekalongan, Jawa Tengah 51151</v>
      </c>
      <c r="S18" s="8">
        <f>'BIO DATA'!AB17:AB219</f>
        <v>0</v>
      </c>
      <c r="T18" s="8" t="str">
        <f>'BIO DATA'!AC17:AC219</f>
        <v>Risa Noviyanto</v>
      </c>
      <c r="U18" s="8" t="str">
        <f>'BIO DATA'!AD17</f>
        <v>Islam</v>
      </c>
      <c r="V18" s="8" t="str">
        <f>'BIO DATA'!AL17:AL219</f>
        <v>SMA</v>
      </c>
      <c r="W18" s="8" t="str">
        <f>'BIO DATA'!AM17:AM219</f>
        <v>Guru</v>
      </c>
      <c r="X18" s="8" t="str">
        <f>'BIO DATA'!AG17:AG219</f>
        <v>Antara Rp 2.000.000,00 s.d. Rp 2.500,000,00</v>
      </c>
      <c r="Y18" s="69" t="s">
        <v>217</v>
      </c>
      <c r="Z18" s="8">
        <f>'BIO DATA'!AI17:AI219</f>
        <v>0</v>
      </c>
      <c r="AA18" s="8" t="str">
        <f>'BIO DATA'!AJ17:AJ219</f>
        <v>Siti Muarofah</v>
      </c>
      <c r="AB18" s="8" t="str">
        <f>'BIO DATA'!AK17</f>
        <v>Islam</v>
      </c>
      <c r="AC18" s="8" t="str">
        <f>'BIO DATA'!AL17:AL219</f>
        <v>SMA</v>
      </c>
      <c r="AD18" s="8" t="str">
        <f>'BIO DATA'!AM17:AM219</f>
        <v>Guru</v>
      </c>
      <c r="AE18" s="8">
        <f>'BIO DATA'!AN17:AN219</f>
        <v>0</v>
      </c>
      <c r="AF18" s="52"/>
      <c r="AG18" s="8">
        <f>'BIO DATA'!AP17</f>
        <v>0</v>
      </c>
      <c r="AH18" s="8">
        <f>'BIO DATA'!AZ17</f>
        <v>0</v>
      </c>
      <c r="AI18" s="8" t="str">
        <f>'BIO DATA'!BA17</f>
        <v>Islam</v>
      </c>
      <c r="AJ18" s="8">
        <f>'BIO DATA'!BB17</f>
        <v>0</v>
      </c>
      <c r="AK18" s="8">
        <f>'BIO DATA'!BC17</f>
        <v>0</v>
      </c>
      <c r="AL18" s="8">
        <f>'BIO DATA'!BD17</f>
        <v>0</v>
      </c>
      <c r="AM18" s="8">
        <f>'BIO DATA'!BE17</f>
        <v>0</v>
      </c>
      <c r="AN18" s="8">
        <f>'BIO DATA'!BF17</f>
        <v>0</v>
      </c>
      <c r="AO18" s="8">
        <f>'BIO DATA'!BG17</f>
        <v>0</v>
      </c>
      <c r="AP18" s="53" t="s">
        <v>171</v>
      </c>
    </row>
    <row r="19" spans="1:42" s="54" customFormat="1" ht="20.100000000000001" customHeight="1" thickBot="1">
      <c r="A19" s="12" t="s">
        <v>128</v>
      </c>
      <c r="B19">
        <v>177</v>
      </c>
      <c r="C19" s="90">
        <f>'BIO DATA'!D18</f>
        <v>11405</v>
      </c>
      <c r="D19" s="90" t="str">
        <f>'BIO DATA'!E18</f>
        <v>3104773255</v>
      </c>
      <c r="E19" s="89" t="str">
        <f>'BIO DATA'!F18</f>
        <v>Muhammad Fattih Kasyfil Ilmi</v>
      </c>
      <c r="F19" s="49" t="str">
        <f>'BIO DATA'!M18</f>
        <v>Laki-laki</v>
      </c>
      <c r="G19" s="8" t="str">
        <f>'BIO DATA'!N18</f>
        <v>Pekalongan</v>
      </c>
      <c r="H19" s="51">
        <f>'BIO DATA'!P18</f>
        <v>40213</v>
      </c>
      <c r="I19" s="49" t="str">
        <f>'BIO DATA'!S18</f>
        <v>Islam</v>
      </c>
      <c r="J19" s="50">
        <f>'BIO DATA'!J18:J190</f>
        <v>1</v>
      </c>
      <c r="K19" s="50">
        <f>'BIO DATA'!K18:K220</f>
        <v>1</v>
      </c>
      <c r="L19" s="8" t="str">
        <f>'BIO DATA'!T18:T190</f>
        <v>Karanggam RT.04, Desa Bantul Kota,Kecamatan Bantul,Kabupaten Bantul, DIY 55571</v>
      </c>
      <c r="M19" s="8" t="str">
        <f>'BIO DATA'!V18:V220</f>
        <v>Bantul Kota</v>
      </c>
      <c r="N19" s="8" t="str">
        <f>'BIO DATA'!W18:W220</f>
        <v>Bantul</v>
      </c>
      <c r="O19" s="8" t="str">
        <f>'BIO DATA'!X18:X220</f>
        <v>Bantul</v>
      </c>
      <c r="P19" s="8" t="str">
        <f>'BIO DATA'!Y18:Y220</f>
        <v>DI Yogyakarta</v>
      </c>
      <c r="Q19" s="8" t="str">
        <f>'BIO DATA'!Z18:Z220</f>
        <v>MTs. Mu'allimin Muh. Yogyakarta</v>
      </c>
      <c r="R19" s="8" t="str">
        <f>'BIO DATA'!AA18:AA220</f>
        <v>Sumberbatikan, Area Sawah, Trirenggo, Kec. Bantul, Kabupaten Bantul, Daerah Istimewa Yogyakarta 55714</v>
      </c>
      <c r="S19" s="8">
        <f>'BIO DATA'!AB18:AB220</f>
        <v>0</v>
      </c>
      <c r="T19" s="8" t="str">
        <f>'BIO DATA'!AC18:AC220</f>
        <v>Tony Mardianto, ST., MT.</v>
      </c>
      <c r="U19" s="8" t="str">
        <f>'BIO DATA'!AD18</f>
        <v>Islam</v>
      </c>
      <c r="V19" s="8" t="str">
        <f>'BIO DATA'!AL18:AL220</f>
        <v>S1</v>
      </c>
      <c r="W19" s="8">
        <f>'BIO DATA'!AM18:AM220</f>
        <v>0</v>
      </c>
      <c r="X19" s="8" t="str">
        <f>'BIO DATA'!AG18:AG220</f>
        <v>&gt; Rp 2.500.000,00</v>
      </c>
      <c r="Y19" s="69" t="s">
        <v>217</v>
      </c>
      <c r="Z19" s="8">
        <f>'BIO DATA'!AI18:AI220</f>
        <v>0</v>
      </c>
      <c r="AA19" s="8" t="str">
        <f>'BIO DATA'!AJ18:AJ220</f>
        <v>Kurniati</v>
      </c>
      <c r="AB19" s="8" t="str">
        <f>'BIO DATA'!AK18</f>
        <v>Islam</v>
      </c>
      <c r="AC19" s="8" t="str">
        <f>'BIO DATA'!AL18:AL220</f>
        <v>S1</v>
      </c>
      <c r="AD19" s="8">
        <f>'BIO DATA'!AM18:AM220</f>
        <v>0</v>
      </c>
      <c r="AE19" s="8">
        <f>'BIO DATA'!AN18:AN220</f>
        <v>0</v>
      </c>
      <c r="AF19" s="52"/>
      <c r="AG19" s="8">
        <f>'BIO DATA'!AP18</f>
        <v>0</v>
      </c>
      <c r="AH19" s="8">
        <f>'BIO DATA'!AZ18</f>
        <v>0</v>
      </c>
      <c r="AI19" s="8" t="str">
        <f>'BIO DATA'!BA18</f>
        <v>Islam</v>
      </c>
      <c r="AJ19" s="8">
        <f>'BIO DATA'!BB18</f>
        <v>0</v>
      </c>
      <c r="AK19" s="8">
        <f>'BIO DATA'!BC18</f>
        <v>0</v>
      </c>
      <c r="AL19" s="8">
        <f>'BIO DATA'!BD18</f>
        <v>0</v>
      </c>
      <c r="AM19" s="8">
        <f>'BIO DATA'!BE18</f>
        <v>0</v>
      </c>
      <c r="AN19" s="8">
        <f>'BIO DATA'!BF18</f>
        <v>0</v>
      </c>
      <c r="AO19" s="8">
        <f>'BIO DATA'!BG18</f>
        <v>0</v>
      </c>
      <c r="AP19" s="53" t="s">
        <v>171</v>
      </c>
    </row>
    <row r="20" spans="1:42" s="54" customFormat="1" ht="20.100000000000001" customHeight="1" thickBot="1">
      <c r="A20" s="12" t="s">
        <v>128</v>
      </c>
      <c r="B20">
        <v>192</v>
      </c>
      <c r="C20" s="90">
        <f>'BIO DATA'!D19</f>
        <v>11424</v>
      </c>
      <c r="D20" s="90" t="str">
        <f>'BIO DATA'!E19</f>
        <v>0107879945</v>
      </c>
      <c r="E20" s="89" t="str">
        <f>'BIO DATA'!F19</f>
        <v>Muhammad Ilham</v>
      </c>
      <c r="F20" s="49" t="str">
        <f>'BIO DATA'!M19</f>
        <v>Laki-laki</v>
      </c>
      <c r="G20" s="8" t="str">
        <f>'BIO DATA'!N19</f>
        <v>Bantul</v>
      </c>
      <c r="H20" s="51">
        <f>'BIO DATA'!P19</f>
        <v>40038</v>
      </c>
      <c r="I20" s="49" t="str">
        <f>'BIO DATA'!S19</f>
        <v>Islam</v>
      </c>
      <c r="J20" s="50">
        <f>'BIO DATA'!J19:J190</f>
        <v>2</v>
      </c>
      <c r="K20" s="50">
        <f>'BIO DATA'!K19:K221</f>
        <v>2</v>
      </c>
      <c r="L20" s="8" t="str">
        <f>'BIO DATA'!T19:T190</f>
        <v>Dusun Purwosari RT. 01 RW. 08, Purwosari, Kebonagung, Pacitan Jawa Timur 63561</v>
      </c>
      <c r="M20" s="8" t="str">
        <f>'BIO DATA'!V19:V221</f>
        <v>Purwosari</v>
      </c>
      <c r="N20" s="8" t="str">
        <f>'BIO DATA'!W19:W221</f>
        <v>Kebonagung</v>
      </c>
      <c r="O20" s="8" t="str">
        <f>'BIO DATA'!X19:X221</f>
        <v>Pacitan</v>
      </c>
      <c r="P20" s="8" t="str">
        <f>'BIO DATA'!Y19:Y221</f>
        <v>Jawa Timur</v>
      </c>
      <c r="Q20" s="8" t="str">
        <f>'BIO DATA'!Z19:Z221</f>
        <v>MTs. Mu'allimin Muh. Yogyakarta</v>
      </c>
      <c r="R20" s="8" t="str">
        <f>'BIO DATA'!AA19:AA221</f>
        <v>Jl. Masjid Ar. Rahman No.17, Ngemplak, Sirnoboyo, Kec. Pacitan, Kabupaten Pacitan, Jawa Timur 63551</v>
      </c>
      <c r="S20" s="8">
        <f>'BIO DATA'!AB19:AB221</f>
        <v>0</v>
      </c>
      <c r="T20" s="8" t="str">
        <f>'BIO DATA'!AC19:AC221</f>
        <v>Ahmadi</v>
      </c>
      <c r="U20" s="8" t="str">
        <f>'BIO DATA'!AD19</f>
        <v>Islam</v>
      </c>
      <c r="V20" s="8">
        <f>'BIO DATA'!AL19:AL221</f>
        <v>0</v>
      </c>
      <c r="W20" s="8">
        <f>'BIO DATA'!AM19:AM221</f>
        <v>0</v>
      </c>
      <c r="X20" s="8">
        <f>'BIO DATA'!AG19:AG221</f>
        <v>0</v>
      </c>
      <c r="Y20" s="69" t="s">
        <v>217</v>
      </c>
      <c r="Z20" s="8">
        <f>'BIO DATA'!AI19:AI221</f>
        <v>0</v>
      </c>
      <c r="AA20" s="8" t="str">
        <f>'BIO DATA'!AJ19:AJ221</f>
        <v>Tri Puji Astuti</v>
      </c>
      <c r="AB20" s="8" t="str">
        <f>'BIO DATA'!AK19</f>
        <v>Islam</v>
      </c>
      <c r="AC20" s="8">
        <f>'BIO DATA'!AL19:AL221</f>
        <v>0</v>
      </c>
      <c r="AD20" s="8">
        <f>'BIO DATA'!AM19:AM221</f>
        <v>0</v>
      </c>
      <c r="AE20" s="8">
        <f>'BIO DATA'!AN19:AN221</f>
        <v>0</v>
      </c>
      <c r="AF20" s="52"/>
      <c r="AG20" s="8">
        <f>'BIO DATA'!AP19</f>
        <v>0</v>
      </c>
      <c r="AH20" s="8">
        <f>'BIO DATA'!AZ19</f>
        <v>0</v>
      </c>
      <c r="AI20" s="8" t="str">
        <f>'BIO DATA'!BA19</f>
        <v>Islam</v>
      </c>
      <c r="AJ20" s="8">
        <f>'BIO DATA'!BB19</f>
        <v>0</v>
      </c>
      <c r="AK20" s="8">
        <f>'BIO DATA'!BC19</f>
        <v>0</v>
      </c>
      <c r="AL20" s="8">
        <f>'BIO DATA'!BD19</f>
        <v>0</v>
      </c>
      <c r="AM20" s="8">
        <f>'BIO DATA'!BE19</f>
        <v>0</v>
      </c>
      <c r="AN20" s="8">
        <f>'BIO DATA'!BF19</f>
        <v>0</v>
      </c>
      <c r="AO20" s="8">
        <f>'BIO DATA'!BG19</f>
        <v>0</v>
      </c>
      <c r="AP20" s="53" t="s">
        <v>171</v>
      </c>
    </row>
    <row r="21" spans="1:42" s="54" customFormat="1" ht="20.100000000000001" customHeight="1" thickBot="1">
      <c r="A21" s="12" t="s">
        <v>128</v>
      </c>
      <c r="B21">
        <v>202</v>
      </c>
      <c r="C21" s="90">
        <f>'BIO DATA'!D20</f>
        <v>11428</v>
      </c>
      <c r="D21" s="90" t="str">
        <f>'BIO DATA'!E20</f>
        <v>0096111120</v>
      </c>
      <c r="E21" s="89" t="str">
        <f>'BIO DATA'!F20</f>
        <v>Muhammad Irsyad Dhiyaa'il Haq</v>
      </c>
      <c r="F21" s="49" t="str">
        <f>'BIO DATA'!M20</f>
        <v>Laki-laki</v>
      </c>
      <c r="G21" s="8" t="str">
        <f>'BIO DATA'!N20</f>
        <v>Pacitan</v>
      </c>
      <c r="H21" s="51">
        <f>'BIO DATA'!P20</f>
        <v>40062</v>
      </c>
      <c r="I21" s="49" t="str">
        <f>'BIO DATA'!S20</f>
        <v>Islam</v>
      </c>
      <c r="J21" s="50">
        <f>'BIO DATA'!J20:J190</f>
        <v>1</v>
      </c>
      <c r="K21" s="50">
        <f>'BIO DATA'!K20:K222</f>
        <v>1</v>
      </c>
      <c r="L21" s="8" t="str">
        <f>'BIO DATA'!T20:T190</f>
        <v>Jl. Bangau No 570 Wonocatur RT 13 Banguntapan, Banguntapan, Bantul, DIY 55198</v>
      </c>
      <c r="M21" s="8" t="str">
        <f>'BIO DATA'!V20:V222</f>
        <v>Wonocatur</v>
      </c>
      <c r="N21" s="8" t="str">
        <f>'BIO DATA'!W20:W222</f>
        <v>Banguntapan</v>
      </c>
      <c r="O21" s="8" t="str">
        <f>'BIO DATA'!X20:X222</f>
        <v>Bantul</v>
      </c>
      <c r="P21" s="8" t="str">
        <f>'BIO DATA'!Y20:Y222</f>
        <v>DI Yogyakarta</v>
      </c>
      <c r="Q21" s="8" t="str">
        <f>'BIO DATA'!Z20:Z222</f>
        <v>MTs. Mu'allimin Muh. Yogyakarta</v>
      </c>
      <c r="R21" s="8" t="str">
        <f>'BIO DATA'!AA20:AA222</f>
        <v>Jl. Mondorakan, Bodon, Jagalan, Kec. Banguntapan, Kabupaten Bantul, Daerah Istimewa Yogyakarta 55192</v>
      </c>
      <c r="S21" s="8">
        <f>'BIO DATA'!AB20:AB222</f>
        <v>0</v>
      </c>
      <c r="T21" s="8" t="str">
        <f>'BIO DATA'!AC20:AC222</f>
        <v>Ismail Setia Budi</v>
      </c>
      <c r="U21" s="8" t="str">
        <f>'BIO DATA'!AD20</f>
        <v>Islam</v>
      </c>
      <c r="V21" s="8" t="str">
        <f>'BIO DATA'!AL20:AL222</f>
        <v>S1</v>
      </c>
      <c r="W21" s="8" t="str">
        <f>'BIO DATA'!AM20:AM222</f>
        <v>Guru</v>
      </c>
      <c r="X21" s="8" t="str">
        <f>'BIO DATA'!AG20:AG222</f>
        <v>Antara Rp 2.000.000,00 s.d. Rp 2.500,000,00</v>
      </c>
      <c r="Y21" s="69" t="s">
        <v>217</v>
      </c>
      <c r="Z21" s="8">
        <f>'BIO DATA'!AI20:AI222</f>
        <v>0</v>
      </c>
      <c r="AA21" s="8" t="str">
        <f>'BIO DATA'!AJ20:AJ222</f>
        <v>Siti Munawaroh</v>
      </c>
      <c r="AB21" s="8" t="str">
        <f>'BIO DATA'!AK20</f>
        <v>Islam</v>
      </c>
      <c r="AC21" s="8" t="str">
        <f>'BIO DATA'!AL20:AL222</f>
        <v>S1</v>
      </c>
      <c r="AD21" s="8" t="str">
        <f>'BIO DATA'!AM20:AM222</f>
        <v>Guru</v>
      </c>
      <c r="AE21" s="8">
        <f>'BIO DATA'!AN20:AN222</f>
        <v>0</v>
      </c>
      <c r="AF21" s="52"/>
      <c r="AG21" s="8">
        <f>'BIO DATA'!AP20</f>
        <v>0</v>
      </c>
      <c r="AH21" s="8">
        <f>'BIO DATA'!AZ20</f>
        <v>0</v>
      </c>
      <c r="AI21" s="8" t="str">
        <f>'BIO DATA'!BA20</f>
        <v>Islam</v>
      </c>
      <c r="AJ21" s="8">
        <f>'BIO DATA'!BB20</f>
        <v>0</v>
      </c>
      <c r="AK21" s="8">
        <f>'BIO DATA'!BC20</f>
        <v>0</v>
      </c>
      <c r="AL21" s="8">
        <f>'BIO DATA'!BD20</f>
        <v>0</v>
      </c>
      <c r="AM21" s="8">
        <f>'BIO DATA'!BE20</f>
        <v>0</v>
      </c>
      <c r="AN21" s="8">
        <f>'BIO DATA'!BF20</f>
        <v>0</v>
      </c>
      <c r="AO21" s="8">
        <f>'BIO DATA'!BG20</f>
        <v>0</v>
      </c>
      <c r="AP21" s="53" t="s">
        <v>171</v>
      </c>
    </row>
    <row r="22" spans="1:42" s="54" customFormat="1" ht="20.100000000000001" customHeight="1" thickBot="1">
      <c r="A22" s="12" t="s">
        <v>128</v>
      </c>
      <c r="B22">
        <v>211</v>
      </c>
      <c r="C22" s="90">
        <f>'BIO DATA'!D21</f>
        <v>11443</v>
      </c>
      <c r="D22" s="90" t="str">
        <f>'BIO DATA'!E21</f>
        <v>0102009250</v>
      </c>
      <c r="E22" s="89" t="str">
        <f>'BIO DATA'!F21</f>
        <v>Muhammad Maulana Ishaq</v>
      </c>
      <c r="F22" s="49" t="str">
        <f>'BIO DATA'!M21</f>
        <v>Laki-laki</v>
      </c>
      <c r="G22" s="8" t="str">
        <f>'BIO DATA'!N21</f>
        <v>Pacitan</v>
      </c>
      <c r="H22" s="51">
        <f>'BIO DATA'!P21</f>
        <v>40331</v>
      </c>
      <c r="I22" s="49" t="str">
        <f>'BIO DATA'!S21</f>
        <v>Islam</v>
      </c>
      <c r="J22" s="50">
        <f>'BIO DATA'!J21:J190</f>
        <v>1</v>
      </c>
      <c r="K22" s="50">
        <f>'BIO DATA'!K21:K223</f>
        <v>3</v>
      </c>
      <c r="L22" s="8" t="str">
        <f>'BIO DATA'!T21:T190</f>
        <v>Komplek Vila Dago, Blok C 7 No 1, RT 01 RW 20, Kelurahan  Benda Baru, Pamulang, Tangerang Selatan Banten 15418</v>
      </c>
      <c r="M22" s="8" t="str">
        <f>'BIO DATA'!V21:V223</f>
        <v>Benda Baru</v>
      </c>
      <c r="N22" s="8" t="str">
        <f>'BIO DATA'!W21:W223</f>
        <v>Pamulang</v>
      </c>
      <c r="O22" s="8" t="str">
        <f>'BIO DATA'!X21:X223</f>
        <v>Tangerang Selatan</v>
      </c>
      <c r="P22" s="8" t="str">
        <f>'BIO DATA'!Y21:Y223</f>
        <v>Banten</v>
      </c>
      <c r="Q22" s="8" t="str">
        <f>'BIO DATA'!Z21:Z223</f>
        <v>MTs. Mu'allimin Muh. Yogyakarta</v>
      </c>
      <c r="R22" s="8" t="str">
        <f>'BIO DATA'!AA21:AA223</f>
        <v>Jl. Surya Kencana No.29, RT.5/RW.5, Pamulang Bar., Kec. Pamulang, Kota Tangerang Selatan, Banten 15417</v>
      </c>
      <c r="S22" s="8">
        <f>'BIO DATA'!AB21:AB223</f>
        <v>0</v>
      </c>
      <c r="T22" s="8" t="str">
        <f>'BIO DATA'!AC21:AC223</f>
        <v>Hartono</v>
      </c>
      <c r="U22" s="8" t="str">
        <f>'BIO DATA'!AD21</f>
        <v>Islam</v>
      </c>
      <c r="V22" s="8" t="str">
        <f>'BIO DATA'!AL21:AL223</f>
        <v>S1</v>
      </c>
      <c r="W22" s="8" t="str">
        <f>'BIO DATA'!AM21:AM223</f>
        <v>Guru</v>
      </c>
      <c r="X22" s="8" t="str">
        <f>'BIO DATA'!AG21:AG223</f>
        <v>&gt; Rp 2.500.000,00</v>
      </c>
      <c r="Y22" s="69" t="s">
        <v>217</v>
      </c>
      <c r="Z22" s="8">
        <f>'BIO DATA'!AI21:AI223</f>
        <v>0</v>
      </c>
      <c r="AA22" s="8" t="str">
        <f>'BIO DATA'!AJ21:AJ223</f>
        <v>Gafrina Desi</v>
      </c>
      <c r="AB22" s="8" t="str">
        <f>'BIO DATA'!AK21</f>
        <v>Islam</v>
      </c>
      <c r="AC22" s="8" t="str">
        <f>'BIO DATA'!AL21:AL223</f>
        <v>S1</v>
      </c>
      <c r="AD22" s="8" t="str">
        <f>'BIO DATA'!AM21:AM223</f>
        <v>Guru</v>
      </c>
      <c r="AE22" s="8">
        <f>'BIO DATA'!AN21:AN223</f>
        <v>0</v>
      </c>
      <c r="AF22" s="52"/>
      <c r="AG22" s="8">
        <f>'BIO DATA'!AP21</f>
        <v>0</v>
      </c>
      <c r="AH22" s="8">
        <f>'BIO DATA'!AZ21</f>
        <v>0</v>
      </c>
      <c r="AI22" s="8" t="str">
        <f>'BIO DATA'!BA21</f>
        <v>Islam</v>
      </c>
      <c r="AJ22" s="8">
        <f>'BIO DATA'!BB21</f>
        <v>0</v>
      </c>
      <c r="AK22" s="8">
        <f>'BIO DATA'!BC21</f>
        <v>0</v>
      </c>
      <c r="AL22" s="8">
        <f>'BIO DATA'!BD21</f>
        <v>0</v>
      </c>
      <c r="AM22" s="8">
        <f>'BIO DATA'!BE21</f>
        <v>0</v>
      </c>
      <c r="AN22" s="8">
        <f>'BIO DATA'!BF21</f>
        <v>0</v>
      </c>
      <c r="AO22" s="8">
        <f>'BIO DATA'!BG21</f>
        <v>0</v>
      </c>
      <c r="AP22" s="53" t="s">
        <v>171</v>
      </c>
    </row>
    <row r="23" spans="1:42" s="54" customFormat="1" ht="20.100000000000001" customHeight="1" thickBot="1">
      <c r="A23" s="12" t="s">
        <v>128</v>
      </c>
      <c r="B23">
        <v>227</v>
      </c>
      <c r="C23" s="90">
        <f>'BIO DATA'!D22</f>
        <v>11438</v>
      </c>
      <c r="D23" s="90" t="str">
        <f>'BIO DATA'!E22</f>
        <v>0103860897</v>
      </c>
      <c r="E23" s="89" t="str">
        <f>'BIO DATA'!F22</f>
        <v>Muhammad Nabil Ramadhan</v>
      </c>
      <c r="F23" s="49" t="str">
        <f>'BIO DATA'!M22</f>
        <v>Laki-laki</v>
      </c>
      <c r="G23" s="8" t="str">
        <f>'BIO DATA'!N22</f>
        <v>Tangerang Selatan</v>
      </c>
      <c r="H23" s="51">
        <f>'BIO DATA'!P22</f>
        <v>40421</v>
      </c>
      <c r="I23" s="49" t="str">
        <f>'BIO DATA'!S22</f>
        <v>Islam</v>
      </c>
      <c r="J23" s="50">
        <f>'BIO DATA'!J22:J190</f>
        <v>1</v>
      </c>
      <c r="K23" s="50">
        <f>'BIO DATA'!K22:K224</f>
        <v>1</v>
      </c>
      <c r="L23" s="8" t="str">
        <f>'BIO DATA'!T22:T190</f>
        <v>Jalan Laut 35 Rt 1/13 Cilacap,Cilacap Selatan,Cilacap,Jawa Tengah 53211</v>
      </c>
      <c r="M23" s="8" t="str">
        <f>'BIO DATA'!V22:V224</f>
        <v>Cilacap</v>
      </c>
      <c r="N23" s="8" t="str">
        <f>'BIO DATA'!W22:W224</f>
        <v xml:space="preserve">Cilacap Selatan </v>
      </c>
      <c r="O23" s="8" t="str">
        <f>'BIO DATA'!X22:X224</f>
        <v>Cilacap</v>
      </c>
      <c r="P23" s="8" t="str">
        <f>'BIO DATA'!Y22:Y224</f>
        <v>Jawa Tengah</v>
      </c>
      <c r="Q23" s="8" t="str">
        <f>'BIO DATA'!Z22:Z224</f>
        <v>MTs. Mu'allimin Muh. Yogyakarta</v>
      </c>
      <c r="R23" s="8" t="str">
        <f>'BIO DATA'!AA22:AA224</f>
        <v>Jl. Sadang No.12 A, Cilumpang, Gumilir, Kec. Cilacap Utara, Kabupaten Cilacap, Jawa Tengah 53231</v>
      </c>
      <c r="S23" s="8">
        <f>'BIO DATA'!AB22:AB224</f>
        <v>0</v>
      </c>
      <c r="T23" s="8" t="str">
        <f>'BIO DATA'!AC22:AC224</f>
        <v>Cahyono, A.Md.</v>
      </c>
      <c r="U23" s="8" t="str">
        <f>'BIO DATA'!AD22</f>
        <v>Islam</v>
      </c>
      <c r="V23" s="8" t="str">
        <f>'BIO DATA'!AL22:AL224</f>
        <v>S1</v>
      </c>
      <c r="W23" s="8" t="str">
        <f>'BIO DATA'!AM22:AM224</f>
        <v>Lainnya</v>
      </c>
      <c r="X23" s="8" t="str">
        <f>'BIO DATA'!AG22:AG224</f>
        <v>&gt; Rp 2.500.000,00</v>
      </c>
      <c r="Y23" s="69" t="s">
        <v>217</v>
      </c>
      <c r="Z23" s="8">
        <f>'BIO DATA'!AI22:AI224</f>
        <v>0</v>
      </c>
      <c r="AA23" s="8" t="str">
        <f>'BIO DATA'!AJ22:AJ224</f>
        <v>Ary Mardikasiwi</v>
      </c>
      <c r="AB23" s="8" t="str">
        <f>'BIO DATA'!AK22</f>
        <v>Islam</v>
      </c>
      <c r="AC23" s="8" t="str">
        <f>'BIO DATA'!AL22:AL224</f>
        <v>S1</v>
      </c>
      <c r="AD23" s="8" t="str">
        <f>'BIO DATA'!AM22:AM224</f>
        <v>Lainnya</v>
      </c>
      <c r="AE23" s="8">
        <f>'BIO DATA'!AN22:AN224</f>
        <v>0</v>
      </c>
      <c r="AF23" s="52"/>
      <c r="AG23" s="8">
        <f>'BIO DATA'!AP22</f>
        <v>0</v>
      </c>
      <c r="AH23" s="8">
        <f>'BIO DATA'!AZ22</f>
        <v>0</v>
      </c>
      <c r="AI23" s="8" t="str">
        <f>'BIO DATA'!BA22</f>
        <v>Islam</v>
      </c>
      <c r="AJ23" s="8">
        <f>'BIO DATA'!BB22</f>
        <v>0</v>
      </c>
      <c r="AK23" s="8">
        <f>'BIO DATA'!BC22</f>
        <v>0</v>
      </c>
      <c r="AL23" s="8">
        <f>'BIO DATA'!BD22</f>
        <v>0</v>
      </c>
      <c r="AM23" s="8">
        <f>'BIO DATA'!BE22</f>
        <v>0</v>
      </c>
      <c r="AN23" s="8">
        <f>'BIO DATA'!BF22</f>
        <v>0</v>
      </c>
      <c r="AO23" s="8">
        <f>'BIO DATA'!BG22</f>
        <v>0</v>
      </c>
      <c r="AP23" s="53" t="s">
        <v>171</v>
      </c>
    </row>
    <row r="24" spans="1:42" s="54" customFormat="1" ht="20.100000000000001" customHeight="1" thickBot="1">
      <c r="A24" s="12" t="s">
        <v>128</v>
      </c>
      <c r="B24">
        <v>228</v>
      </c>
      <c r="C24" s="90">
        <f>'BIO DATA'!D23</f>
        <v>11439</v>
      </c>
      <c r="D24" s="90" t="str">
        <f>'BIO DATA'!E23</f>
        <v>0107306414</v>
      </c>
      <c r="E24" s="89" t="str">
        <f>'BIO DATA'!F23</f>
        <v>Muhammad Nafis Yakhsyallah</v>
      </c>
      <c r="F24" s="49" t="str">
        <f>'BIO DATA'!M23</f>
        <v>Laki-laki</v>
      </c>
      <c r="G24" s="8" t="str">
        <f>'BIO DATA'!N23</f>
        <v>Cilacap</v>
      </c>
      <c r="H24" s="51">
        <f>'BIO DATA'!P23</f>
        <v>40236</v>
      </c>
      <c r="I24" s="49" t="str">
        <f>'BIO DATA'!S23</f>
        <v>Islam</v>
      </c>
      <c r="J24" s="50">
        <f>'BIO DATA'!J23:J190</f>
        <v>1</v>
      </c>
      <c r="K24" s="50">
        <f>'BIO DATA'!K23:K225</f>
        <v>1</v>
      </c>
      <c r="L24" s="8" t="str">
        <f>'BIO DATA'!T23:T190</f>
        <v>Dusun Kali oyod, RT/RW. 04/03, Desa Wancimekar, Kec. Kota Baru, Kab. Karawang Jawa Barat 41374</v>
      </c>
      <c r="M24" s="8" t="str">
        <f>'BIO DATA'!V23:V225</f>
        <v>Wancimekar</v>
      </c>
      <c r="N24" s="8" t="str">
        <f>'BIO DATA'!W23:W225</f>
        <v>Kota Baru</v>
      </c>
      <c r="O24" s="8" t="str">
        <f>'BIO DATA'!X23:X225</f>
        <v>Karawang</v>
      </c>
      <c r="P24" s="8" t="str">
        <f>'BIO DATA'!Y23:Y225</f>
        <v>Jawa Barat</v>
      </c>
      <c r="Q24" s="8" t="str">
        <f>'BIO DATA'!Z23:Z225</f>
        <v>MTs. Mu'allimin Muh. Yogyakarta</v>
      </c>
      <c r="R24" s="8" t="str">
        <f>'BIO DATA'!AA23:AA225</f>
        <v>Jl. Surya Kencana No.29, RT.5/RW.5, Pamulang Bar., Kec. Pamulang, Kota Tangerang Selatan, Banten 15417</v>
      </c>
      <c r="S24" s="8">
        <f>'BIO DATA'!AB23:AB225</f>
        <v>0</v>
      </c>
      <c r="T24" s="8" t="str">
        <f>'BIO DATA'!AC23:AC225</f>
        <v>Eka Prihatna Saputra</v>
      </c>
      <c r="U24" s="8" t="str">
        <f>'BIO DATA'!AD23</f>
        <v>Islam</v>
      </c>
      <c r="V24" s="8" t="str">
        <f>'BIO DATA'!AL23:AL225</f>
        <v>SMA</v>
      </c>
      <c r="W24" s="8" t="str">
        <f>'BIO DATA'!AM23:AM225</f>
        <v>Ibu Rumah Tangga</v>
      </c>
      <c r="X24" s="8" t="str">
        <f>'BIO DATA'!AG23:AG225</f>
        <v>&gt; Rp 2.500.000,00</v>
      </c>
      <c r="Y24" s="69" t="s">
        <v>217</v>
      </c>
      <c r="Z24" s="8">
        <f>'BIO DATA'!AI23:AI225</f>
        <v>0</v>
      </c>
      <c r="AA24" s="8" t="str">
        <f>'BIO DATA'!AJ23:AJ225</f>
        <v>Ika Rizkiana</v>
      </c>
      <c r="AB24" s="8" t="str">
        <f>'BIO DATA'!AK23</f>
        <v>Islam</v>
      </c>
      <c r="AC24" s="8" t="str">
        <f>'BIO DATA'!AL23:AL225</f>
        <v>SMA</v>
      </c>
      <c r="AD24" s="8" t="str">
        <f>'BIO DATA'!AM23:AM225</f>
        <v>Ibu Rumah Tangga</v>
      </c>
      <c r="AE24" s="8">
        <f>'BIO DATA'!AN23:AN225</f>
        <v>0</v>
      </c>
      <c r="AF24" s="52"/>
      <c r="AG24" s="8">
        <f>'BIO DATA'!AP23</f>
        <v>0</v>
      </c>
      <c r="AH24" s="8">
        <f>'BIO DATA'!AZ23</f>
        <v>0</v>
      </c>
      <c r="AI24" s="8" t="str">
        <f>'BIO DATA'!BA23</f>
        <v>Islam</v>
      </c>
      <c r="AJ24" s="8">
        <f>'BIO DATA'!BB23</f>
        <v>0</v>
      </c>
      <c r="AK24" s="8">
        <f>'BIO DATA'!BC23</f>
        <v>0</v>
      </c>
      <c r="AL24" s="8">
        <f>'BIO DATA'!BD23</f>
        <v>0</v>
      </c>
      <c r="AM24" s="8">
        <f>'BIO DATA'!BE23</f>
        <v>0</v>
      </c>
      <c r="AN24" s="8">
        <f>'BIO DATA'!BF23</f>
        <v>0</v>
      </c>
      <c r="AO24" s="8">
        <f>'BIO DATA'!BG23</f>
        <v>0</v>
      </c>
      <c r="AP24" s="53" t="s">
        <v>171</v>
      </c>
    </row>
    <row r="25" spans="1:42" s="54" customFormat="1" ht="20.100000000000001" customHeight="1" thickBot="1">
      <c r="A25" s="12" t="s">
        <v>128</v>
      </c>
      <c r="B25">
        <v>268</v>
      </c>
      <c r="C25" s="90">
        <f>'BIO DATA'!D24</f>
        <v>11442</v>
      </c>
      <c r="D25" s="90" t="str">
        <f>'BIO DATA'!E24</f>
        <v>3100196994</v>
      </c>
      <c r="E25" s="89" t="str">
        <f>'BIO DATA'!F24</f>
        <v>Muhammad  Nawaf Dzulfadli Fayyadh</v>
      </c>
      <c r="F25" s="49" t="str">
        <f>'BIO DATA'!M24</f>
        <v>Laki-laki</v>
      </c>
      <c r="G25" s="8" t="str">
        <f>'BIO DATA'!N24</f>
        <v>Cikampek</v>
      </c>
      <c r="H25" s="51">
        <f>'BIO DATA'!P24</f>
        <v>40306</v>
      </c>
      <c r="I25" s="49" t="str">
        <f>'BIO DATA'!S24</f>
        <v>Islam</v>
      </c>
      <c r="J25" s="50">
        <f>'BIO DATA'!J24:J190</f>
        <v>2</v>
      </c>
      <c r="K25" s="50">
        <f>'BIO DATA'!K24:K226</f>
        <v>1</v>
      </c>
      <c r="L25" s="8" t="str">
        <f>'BIO DATA'!T24:T190</f>
        <v>Puri Indah Blok C/41 RT 02 RW 11 Karangklesem, Kec. Purwokerto Selatan, Kab. Banyumas, Jawa Tengah , Jawa Tengah, 53144</v>
      </c>
      <c r="M25" s="8" t="str">
        <f>'BIO DATA'!V24:V226</f>
        <v>Karangklesem</v>
      </c>
      <c r="N25" s="8" t="str">
        <f>'BIO DATA'!W24:W226</f>
        <v>Purwokerto Selatan</v>
      </c>
      <c r="O25" s="8" t="str">
        <f>'BIO DATA'!X24:X226</f>
        <v>Banyumas</v>
      </c>
      <c r="P25" s="8" t="str">
        <f>'BIO DATA'!Y24:Y226</f>
        <v>Jawa Tengah</v>
      </c>
      <c r="Q25" s="8" t="str">
        <f>'BIO DATA'!Z24:Z226</f>
        <v>MTs. Mu'allimin Muh. Yogyakarta</v>
      </c>
      <c r="R25" s="8" t="str">
        <f>'BIO DATA'!AA24:AA226</f>
        <v>Jl. Adhyaksa, Brubahan, Kranji, Kec. Purwokerto Tim., Kabupaten Banyumas, Jawa Tengah 53116</v>
      </c>
      <c r="S25" s="8">
        <f>'BIO DATA'!AB24:AB226</f>
        <v>0</v>
      </c>
      <c r="T25" s="8" t="str">
        <f>'BIO DATA'!AC24:AC226</f>
        <v>Didik Sachroni</v>
      </c>
      <c r="U25" s="8" t="str">
        <f>'BIO DATA'!AD24</f>
        <v>Islam</v>
      </c>
      <c r="V25" s="8" t="str">
        <f>'BIO DATA'!AL24:AL226</f>
        <v>S1</v>
      </c>
      <c r="W25" s="8" t="str">
        <f>'BIO DATA'!AM24:AM226</f>
        <v>Bidan</v>
      </c>
      <c r="X25" s="8" t="str">
        <f>'BIO DATA'!AG24:AG226</f>
        <v>&gt; Rp 2.500.000,00</v>
      </c>
      <c r="Y25" s="69" t="s">
        <v>217</v>
      </c>
      <c r="Z25" s="8">
        <f>'BIO DATA'!AI24:AI226</f>
        <v>0</v>
      </c>
      <c r="AA25" s="8" t="str">
        <f>'BIO DATA'!AJ24:AJ226</f>
        <v>Wilis Dwi Pangesti</v>
      </c>
      <c r="AB25" s="8" t="str">
        <f>'BIO DATA'!AK24</f>
        <v>Islam</v>
      </c>
      <c r="AC25" s="8" t="str">
        <f>'BIO DATA'!AL24:AL226</f>
        <v>S1</v>
      </c>
      <c r="AD25" s="8" t="str">
        <f>'BIO DATA'!AM24:AM226</f>
        <v>Bidan</v>
      </c>
      <c r="AE25" s="8">
        <f>'BIO DATA'!AN24:AN226</f>
        <v>0</v>
      </c>
      <c r="AF25" s="52"/>
      <c r="AG25" s="8">
        <f>'BIO DATA'!AP24</f>
        <v>0</v>
      </c>
      <c r="AH25" s="8">
        <f>'BIO DATA'!AZ24</f>
        <v>0</v>
      </c>
      <c r="AI25" s="8" t="str">
        <f>'BIO DATA'!BA24</f>
        <v>Islam</v>
      </c>
      <c r="AJ25" s="8">
        <f>'BIO DATA'!BB24</f>
        <v>0</v>
      </c>
      <c r="AK25" s="8">
        <f>'BIO DATA'!BC24</f>
        <v>0</v>
      </c>
      <c r="AL25" s="8">
        <f>'BIO DATA'!BD24</f>
        <v>0</v>
      </c>
      <c r="AM25" s="8">
        <f>'BIO DATA'!BE24</f>
        <v>0</v>
      </c>
      <c r="AN25" s="8">
        <f>'BIO DATA'!BF24</f>
        <v>0</v>
      </c>
      <c r="AO25" s="8">
        <f>'BIO DATA'!BG24</f>
        <v>0</v>
      </c>
      <c r="AP25" s="53" t="s">
        <v>171</v>
      </c>
    </row>
    <row r="26" spans="1:42" s="54" customFormat="1" ht="20.100000000000001" customHeight="1" thickBot="1">
      <c r="A26" s="12" t="s">
        <v>128</v>
      </c>
      <c r="B26">
        <v>273</v>
      </c>
      <c r="C26" s="90">
        <f>'BIO DATA'!D25</f>
        <v>11448</v>
      </c>
      <c r="D26" s="90" t="str">
        <f>'BIO DATA'!E25</f>
        <v>0098116088</v>
      </c>
      <c r="E26" s="89" t="str">
        <f>'BIO DATA'!F25</f>
        <v>Muhammad Rafif Farrel</v>
      </c>
      <c r="F26" s="49" t="str">
        <f>'BIO DATA'!M25</f>
        <v>Laki-laki</v>
      </c>
      <c r="G26" s="8" t="str">
        <f>'BIO DATA'!N25</f>
        <v xml:space="preserve"> Banyumas</v>
      </c>
      <c r="H26" s="51">
        <f>'BIO DATA'!P25</f>
        <v>39893</v>
      </c>
      <c r="I26" s="49" t="str">
        <f>'BIO DATA'!S25</f>
        <v>Islam</v>
      </c>
      <c r="J26" s="50">
        <f>'BIO DATA'!J25:J190</f>
        <v>1</v>
      </c>
      <c r="K26" s="50">
        <f>'BIO DATA'!K25:K227</f>
        <v>1</v>
      </c>
      <c r="L26" s="8" t="str">
        <f>'BIO DATA'!T25:T190</f>
        <v>Jl. Pragak Semanu Kec. Semanu, DI Yogyakarta, 55893</v>
      </c>
      <c r="M26" s="8" t="str">
        <f>'BIO DATA'!V25:V227</f>
        <v>Semanu</v>
      </c>
      <c r="N26" s="8" t="str">
        <f>'BIO DATA'!W25:W227</f>
        <v>Semanu</v>
      </c>
      <c r="O26" s="8" t="str">
        <f>'BIO DATA'!X25:X227</f>
        <v>Bantul</v>
      </c>
      <c r="P26" s="8" t="str">
        <f>'BIO DATA'!Y25:Y227</f>
        <v>DI Yogyakarta</v>
      </c>
      <c r="Q26" s="8" t="str">
        <f>'BIO DATA'!Z25:Z227</f>
        <v>MTs. Mu'allimin Muh. Yogyakarta</v>
      </c>
      <c r="R26" s="8" t="str">
        <f>'BIO DATA'!AA25:AA227</f>
        <v>Jl. Masjid Besar No.23, Jatinom, Kec. Jatinom, Kabupaten Klaten, Jawa Tengah 57481</v>
      </c>
      <c r="S26" s="8">
        <f>'BIO DATA'!AB25:AB227</f>
        <v>0</v>
      </c>
      <c r="T26" s="8" t="str">
        <f>'BIO DATA'!AC25:AC227</f>
        <v>Budi Santosa</v>
      </c>
      <c r="U26" s="8" t="str">
        <f>'BIO DATA'!AD25</f>
        <v>Islam</v>
      </c>
      <c r="V26" s="8" t="str">
        <f>'BIO DATA'!AL25:AL227</f>
        <v>S1</v>
      </c>
      <c r="W26" s="8" t="str">
        <f>'BIO DATA'!AM25:AM227</f>
        <v>PNS</v>
      </c>
      <c r="X26" s="8" t="str">
        <f>'BIO DATA'!AG25:AG227</f>
        <v>&gt; Rp 2.500.000,00</v>
      </c>
      <c r="Y26" s="69" t="s">
        <v>217</v>
      </c>
      <c r="Z26" s="8">
        <f>'BIO DATA'!AI25:AI227</f>
        <v>0</v>
      </c>
      <c r="AA26" s="8" t="str">
        <f>'BIO DATA'!AJ25:AJ227</f>
        <v>Nur Rokhani Tri Utami</v>
      </c>
      <c r="AB26" s="8" t="str">
        <f>'BIO DATA'!AK25</f>
        <v>Islam</v>
      </c>
      <c r="AC26" s="8" t="str">
        <f>'BIO DATA'!AL25:AL227</f>
        <v>S1</v>
      </c>
      <c r="AD26" s="8" t="str">
        <f>'BIO DATA'!AM25:AM227</f>
        <v>PNS</v>
      </c>
      <c r="AE26" s="8">
        <f>'BIO DATA'!AN25:AN227</f>
        <v>0</v>
      </c>
      <c r="AF26" s="52"/>
      <c r="AG26" s="8">
        <f>'BIO DATA'!AP25</f>
        <v>0</v>
      </c>
      <c r="AH26" s="8">
        <f>'BIO DATA'!AZ25</f>
        <v>0</v>
      </c>
      <c r="AI26" s="8" t="str">
        <f>'BIO DATA'!BA25</f>
        <v>Islam</v>
      </c>
      <c r="AJ26" s="8">
        <f>'BIO DATA'!BB25</f>
        <v>0</v>
      </c>
      <c r="AK26" s="8">
        <f>'BIO DATA'!BC25</f>
        <v>0</v>
      </c>
      <c r="AL26" s="8">
        <f>'BIO DATA'!BD25</f>
        <v>0</v>
      </c>
      <c r="AM26" s="8">
        <f>'BIO DATA'!BE25</f>
        <v>0</v>
      </c>
      <c r="AN26" s="8">
        <f>'BIO DATA'!BF25</f>
        <v>0</v>
      </c>
      <c r="AO26" s="8">
        <f>'BIO DATA'!BG25</f>
        <v>0</v>
      </c>
      <c r="AP26" s="53" t="s">
        <v>171</v>
      </c>
    </row>
    <row r="27" spans="1:42" s="54" customFormat="1" ht="20.100000000000001" customHeight="1" thickBot="1">
      <c r="A27" s="12" t="s">
        <v>128</v>
      </c>
      <c r="B27">
        <v>284</v>
      </c>
      <c r="C27" s="90">
        <f>'BIO DATA'!D26</f>
        <v>11456</v>
      </c>
      <c r="D27" s="90" t="str">
        <f>'BIO DATA'!E26</f>
        <v>0107096330</v>
      </c>
      <c r="E27" s="89" t="str">
        <f>'BIO DATA'!F26</f>
        <v>Mujahid Zulafan Sabilussalam</v>
      </c>
      <c r="F27" s="49" t="str">
        <f>'BIO DATA'!M26</f>
        <v>Laki-laki</v>
      </c>
      <c r="G27" s="8" t="str">
        <f>'BIO DATA'!N26</f>
        <v>Klaten</v>
      </c>
      <c r="H27" s="51">
        <f>'BIO DATA'!P26</f>
        <v>40269</v>
      </c>
      <c r="I27" s="49" t="str">
        <f>'BIO DATA'!S26</f>
        <v>Islam</v>
      </c>
      <c r="J27" s="50">
        <f>'BIO DATA'!J26:J190</f>
        <v>2</v>
      </c>
      <c r="K27" s="50">
        <f>'BIO DATA'!K26:K228</f>
        <v>2</v>
      </c>
      <c r="L27" s="8" t="str">
        <f>'BIO DATA'!T26:T190</f>
        <v>Kp. Kerenceng  RT 01/RW05 Desa Bojongmalaka Kec. Baleendah Kab. Bandung Jawa Barat 40375</v>
      </c>
      <c r="M27" s="8" t="str">
        <f>'BIO DATA'!V26:V228</f>
        <v>Bojongmalaka</v>
      </c>
      <c r="N27" s="8" t="str">
        <f>'BIO DATA'!W26:W228</f>
        <v>Baleendah</v>
      </c>
      <c r="O27" s="8" t="str">
        <f>'BIO DATA'!X26:X228</f>
        <v>Kab. Bandung</v>
      </c>
      <c r="P27" s="8" t="str">
        <f>'BIO DATA'!Y26:Y228</f>
        <v>Jawa Barat</v>
      </c>
      <c r="Q27" s="8" t="str">
        <f>'BIO DATA'!Z26:Z228</f>
        <v>MTs. Mu'allimin Muh. Yogyakarta</v>
      </c>
      <c r="R27" s="8" t="str">
        <f>'BIO DATA'!AA26:AA228</f>
        <v>Jl. Raya Cagak-Subang No.17, Curugrendeng, Kec. Jalancagak, Kabupaten Subang, Jawa Barat 41281</v>
      </c>
      <c r="S27" s="8">
        <f>'BIO DATA'!AB26:AB228</f>
        <v>0</v>
      </c>
      <c r="T27" s="8" t="str">
        <f>'BIO DATA'!AC26:AC228</f>
        <v xml:space="preserve">Yustiar Nurdiansyah </v>
      </c>
      <c r="U27" s="8" t="str">
        <f>'BIO DATA'!AD26</f>
        <v>Islam</v>
      </c>
      <c r="V27" s="8" t="str">
        <f>'BIO DATA'!AL26:AL228</f>
        <v>SMA</v>
      </c>
      <c r="W27" s="8" t="str">
        <f>'BIO DATA'!AM26:AM228</f>
        <v>Ibu Rumah Tangga</v>
      </c>
      <c r="X27" s="8" t="str">
        <f>'BIO DATA'!AG26:AG228</f>
        <v>&gt; Rp 2.500.000,00</v>
      </c>
      <c r="Y27" s="69" t="s">
        <v>217</v>
      </c>
      <c r="Z27" s="8">
        <f>'BIO DATA'!AI26:AI228</f>
        <v>0</v>
      </c>
      <c r="AA27" s="8" t="str">
        <f>'BIO DATA'!AJ26:AJ228</f>
        <v>Ila Laela Agustini</v>
      </c>
      <c r="AB27" s="8" t="str">
        <f>'BIO DATA'!AK26</f>
        <v>Islam</v>
      </c>
      <c r="AC27" s="8" t="str">
        <f>'BIO DATA'!AL26:AL228</f>
        <v>SMA</v>
      </c>
      <c r="AD27" s="8" t="str">
        <f>'BIO DATA'!AM26:AM228</f>
        <v>Ibu Rumah Tangga</v>
      </c>
      <c r="AE27" s="8">
        <f>'BIO DATA'!AN26:AN228</f>
        <v>0</v>
      </c>
      <c r="AF27" s="52"/>
      <c r="AG27" s="8">
        <f>'BIO DATA'!AP26</f>
        <v>0</v>
      </c>
      <c r="AH27" s="8">
        <f>'BIO DATA'!AZ26</f>
        <v>0</v>
      </c>
      <c r="AI27" s="8" t="str">
        <f>'BIO DATA'!BA26</f>
        <v>Islam</v>
      </c>
      <c r="AJ27" s="8">
        <f>'BIO DATA'!BB26</f>
        <v>0</v>
      </c>
      <c r="AK27" s="8">
        <f>'BIO DATA'!BC26</f>
        <v>0</v>
      </c>
      <c r="AL27" s="8">
        <f>'BIO DATA'!BD26</f>
        <v>0</v>
      </c>
      <c r="AM27" s="8">
        <f>'BIO DATA'!BE26</f>
        <v>0</v>
      </c>
      <c r="AN27" s="8">
        <f>'BIO DATA'!BF26</f>
        <v>0</v>
      </c>
      <c r="AO27" s="8">
        <f>'BIO DATA'!BG26</f>
        <v>0</v>
      </c>
      <c r="AP27" s="53" t="s">
        <v>171</v>
      </c>
    </row>
    <row r="28" spans="1:42" s="54" customFormat="1" ht="20.100000000000001" customHeight="1" thickBot="1">
      <c r="A28" s="12" t="s">
        <v>128</v>
      </c>
      <c r="B28">
        <v>289</v>
      </c>
      <c r="C28" s="90">
        <f>'BIO DATA'!D27</f>
        <v>11476</v>
      </c>
      <c r="D28" s="90" t="str">
        <f>'BIO DATA'!E27</f>
        <v>0108709156</v>
      </c>
      <c r="E28" s="89" t="str">
        <f>'BIO DATA'!F27</f>
        <v>Padika Rausyanfikr El Mamun</v>
      </c>
      <c r="F28" s="49" t="str">
        <f>'BIO DATA'!M27</f>
        <v>Laki-laki</v>
      </c>
      <c r="G28" s="8" t="str">
        <f>'BIO DATA'!N27</f>
        <v>Bandung</v>
      </c>
      <c r="H28" s="51">
        <f>'BIO DATA'!P27</f>
        <v>40231</v>
      </c>
      <c r="I28" s="49" t="str">
        <f>'BIO DATA'!S27</f>
        <v>Islam</v>
      </c>
      <c r="J28" s="50">
        <f>'BIO DATA'!J27:J190</f>
        <v>1</v>
      </c>
      <c r="K28" s="50">
        <f>'BIO DATA'!K27:K229</f>
        <v>1</v>
      </c>
      <c r="L28" s="8" t="str">
        <f>'BIO DATA'!T27:T190</f>
        <v>Perumahan Wahana Mulia No.1D, Jongke, Sendangadi, Mlati, Sleman, DIY 5552</v>
      </c>
      <c r="M28" s="8" t="str">
        <f>'BIO DATA'!V27:V229</f>
        <v>Sendangadi</v>
      </c>
      <c r="N28" s="8" t="str">
        <f>'BIO DATA'!W27:W229</f>
        <v>Mlati</v>
      </c>
      <c r="O28" s="8" t="str">
        <f>'BIO DATA'!X27:X229</f>
        <v>Sleman</v>
      </c>
      <c r="P28" s="8" t="str">
        <f>'BIO DATA'!Y27:Y229</f>
        <v>DI Yogyakarta</v>
      </c>
      <c r="Q28" s="8" t="str">
        <f>'BIO DATA'!Z27:Z229</f>
        <v>MTs. Mu'allimin Muh. Yogyakarta</v>
      </c>
      <c r="R28" s="8" t="str">
        <f>'BIO DATA'!AA27:AA229</f>
        <v>Ruko Gorongan, Jl. Perumnas Gorongan No.1, Ngropoh, Condongcatur, Kec. Depok, Kabupaten Sleman, Daerah Istimewa Yogyakarta 55283</v>
      </c>
      <c r="S28" s="8">
        <f>'BIO DATA'!AB27:AB229</f>
        <v>0</v>
      </c>
      <c r="T28" s="8" t="str">
        <f>'BIO DATA'!AC27:AC229</f>
        <v>Asyikin</v>
      </c>
      <c r="U28" s="8" t="str">
        <f>'BIO DATA'!AD27</f>
        <v>Islam</v>
      </c>
      <c r="V28" s="8" t="str">
        <f>'BIO DATA'!AL27:AL229</f>
        <v>S1</v>
      </c>
      <c r="W28" s="8" t="str">
        <f>'BIO DATA'!AM27:AM229</f>
        <v>Karyawan Swasta</v>
      </c>
      <c r="X28" s="8" t="str">
        <f>'BIO DATA'!AG27:AG229</f>
        <v>&gt; Rp 2.500.000,00</v>
      </c>
      <c r="Y28" s="69" t="s">
        <v>217</v>
      </c>
      <c r="Z28" s="8">
        <f>'BIO DATA'!AI27:AI229</f>
        <v>0</v>
      </c>
      <c r="AA28" s="8" t="str">
        <f>'BIO DATA'!AJ27:AJ229</f>
        <v>Th Any Indar Kuswati</v>
      </c>
      <c r="AB28" s="8" t="str">
        <f>'BIO DATA'!AK27</f>
        <v>Islam</v>
      </c>
      <c r="AC28" s="8" t="str">
        <f>'BIO DATA'!AL27:AL229</f>
        <v>S1</v>
      </c>
      <c r="AD28" s="8" t="str">
        <f>'BIO DATA'!AM27:AM229</f>
        <v>Karyawan Swasta</v>
      </c>
      <c r="AE28" s="8">
        <f>'BIO DATA'!AN27:AN229</f>
        <v>0</v>
      </c>
      <c r="AF28" s="52"/>
      <c r="AG28" s="8">
        <f>'BIO DATA'!AP27</f>
        <v>0</v>
      </c>
      <c r="AH28" s="8">
        <f>'BIO DATA'!AZ27</f>
        <v>0</v>
      </c>
      <c r="AI28" s="8" t="str">
        <f>'BIO DATA'!BA27</f>
        <v>Islam</v>
      </c>
      <c r="AJ28" s="8">
        <f>'BIO DATA'!BB27</f>
        <v>0</v>
      </c>
      <c r="AK28" s="8">
        <f>'BIO DATA'!BC27</f>
        <v>0</v>
      </c>
      <c r="AL28" s="8">
        <f>'BIO DATA'!BD27</f>
        <v>0</v>
      </c>
      <c r="AM28" s="8">
        <f>'BIO DATA'!BE27</f>
        <v>0</v>
      </c>
      <c r="AN28" s="8">
        <f>'BIO DATA'!BF27</f>
        <v>0</v>
      </c>
      <c r="AO28" s="8">
        <f>'BIO DATA'!BG27</f>
        <v>0</v>
      </c>
      <c r="AP28" s="53" t="s">
        <v>171</v>
      </c>
    </row>
    <row r="29" spans="1:42" s="54" customFormat="1" ht="20.100000000000001" customHeight="1" thickBot="1">
      <c r="A29" s="19" t="s">
        <v>132</v>
      </c>
      <c r="B29">
        <v>301</v>
      </c>
      <c r="C29" s="90">
        <f>'BIO DATA'!D28</f>
        <v>11207</v>
      </c>
      <c r="D29" s="90" t="str">
        <f>'BIO DATA'!E28</f>
        <v>0105638864</v>
      </c>
      <c r="E29" s="89" t="str">
        <f>'BIO DATA'!F28</f>
        <v>Adhitama Rasya Anakin</v>
      </c>
      <c r="F29" s="49" t="str">
        <f>'BIO DATA'!M28</f>
        <v>Laki-laki</v>
      </c>
      <c r="G29" s="8" t="str">
        <f>'BIO DATA'!N28</f>
        <v>Yogyakarta</v>
      </c>
      <c r="H29" s="51">
        <f>'BIO DATA'!P28</f>
        <v>40379</v>
      </c>
      <c r="I29" s="49" t="str">
        <f>'BIO DATA'!S28</f>
        <v>Islam</v>
      </c>
      <c r="J29" s="50">
        <f>'BIO DATA'!J28:J191</f>
        <v>2</v>
      </c>
      <c r="K29" s="50">
        <f>'BIO DATA'!K28:K230</f>
        <v>2</v>
      </c>
      <c r="L29" s="8" t="str">
        <f>'BIO DATA'!T28:T191</f>
        <v>Jl.Amsyar Ahmad RT.10 RW. III Kel. Mendawai , Kec.Sukamara, Kab. Sukamara Kalimantan Barat 74712</v>
      </c>
      <c r="M29" s="8" t="str">
        <f>'BIO DATA'!V28:V230</f>
        <v>Mendawai</v>
      </c>
      <c r="N29" s="8" t="str">
        <f>'BIO DATA'!W28:W230</f>
        <v>Sukamara</v>
      </c>
      <c r="O29" s="8" t="str">
        <f>'BIO DATA'!X28:X230</f>
        <v>Sukamara</v>
      </c>
      <c r="P29" s="8" t="str">
        <f>'BIO DATA'!Y28:Y230</f>
        <v>Kalimantan Barat</v>
      </c>
      <c r="Q29" s="8" t="str">
        <f>'BIO DATA'!Z28:Z230</f>
        <v>MTs. Mu'allimin Muh. Yogyakarta</v>
      </c>
      <c r="R29" s="8" t="str">
        <f>'BIO DATA'!AA28:AA230</f>
        <v>Jalan Tjilik Riwut, Mendawai, Kec. Sukamara, Kabupaten Sukamara, Kalimantan Tengah 74172</v>
      </c>
      <c r="S29" s="8">
        <f>'BIO DATA'!AB28:AB230</f>
        <v>0</v>
      </c>
      <c r="T29" s="8" t="str">
        <f>'BIO DATA'!AC28:AC230</f>
        <v>Taufiq Ali</v>
      </c>
      <c r="U29" s="8" t="str">
        <f>'BIO DATA'!AD28</f>
        <v>Islam</v>
      </c>
      <c r="V29" s="8" t="str">
        <f>'BIO DATA'!AL28:AL230</f>
        <v>S1</v>
      </c>
      <c r="W29" s="8" t="str">
        <f>'BIO DATA'!AM28:AM230</f>
        <v>PNS</v>
      </c>
      <c r="X29" s="8" t="str">
        <f>'BIO DATA'!AG28:AG230</f>
        <v>&gt; Rp 2.500.000,00</v>
      </c>
      <c r="Y29" s="69" t="s">
        <v>217</v>
      </c>
      <c r="Z29" s="8">
        <f>'BIO DATA'!AI28:AI230</f>
        <v>0</v>
      </c>
      <c r="AA29" s="8" t="str">
        <f>'BIO DATA'!AJ28:AJ230</f>
        <v>Lestari</v>
      </c>
      <c r="AB29" s="8" t="str">
        <f>'BIO DATA'!AK28</f>
        <v>Islam</v>
      </c>
      <c r="AC29" s="8" t="str">
        <f>'BIO DATA'!AL28:AL230</f>
        <v>S1</v>
      </c>
      <c r="AD29" s="8" t="str">
        <f>'BIO DATA'!AM28:AM230</f>
        <v>PNS</v>
      </c>
      <c r="AE29" s="8">
        <f>'BIO DATA'!AN28:AN230</f>
        <v>0</v>
      </c>
      <c r="AF29" s="52"/>
      <c r="AG29" s="8">
        <f>'BIO DATA'!AP28</f>
        <v>0</v>
      </c>
      <c r="AH29" s="8">
        <f>'BIO DATA'!AZ28</f>
        <v>0</v>
      </c>
      <c r="AI29" s="8" t="str">
        <f>'BIO DATA'!BA28</f>
        <v>Islam</v>
      </c>
      <c r="AJ29" s="8">
        <f>'BIO DATA'!BB28</f>
        <v>0</v>
      </c>
      <c r="AK29" s="8">
        <f>'BIO DATA'!BC28</f>
        <v>0</v>
      </c>
      <c r="AL29" s="8">
        <f>'BIO DATA'!BD28</f>
        <v>0</v>
      </c>
      <c r="AM29" s="8">
        <f>'BIO DATA'!BE28</f>
        <v>0</v>
      </c>
      <c r="AN29" s="8">
        <f>'BIO DATA'!BF28</f>
        <v>0</v>
      </c>
      <c r="AO29" s="8">
        <f>'BIO DATA'!BG28</f>
        <v>0</v>
      </c>
      <c r="AP29" s="53" t="s">
        <v>171</v>
      </c>
    </row>
    <row r="30" spans="1:42" s="54" customFormat="1" ht="20.100000000000001" customHeight="1" thickBot="1">
      <c r="A30" s="19" t="s">
        <v>132</v>
      </c>
      <c r="B30">
        <v>3</v>
      </c>
      <c r="C30" s="90">
        <f>'BIO DATA'!D29</f>
        <v>11208</v>
      </c>
      <c r="D30" s="90" t="str">
        <f>'BIO DATA'!E29</f>
        <v>0103200993</v>
      </c>
      <c r="E30" s="89" t="str">
        <f>'BIO DATA'!F29</f>
        <v>Adib Jordi</v>
      </c>
      <c r="F30" s="49" t="str">
        <f>'BIO DATA'!M29</f>
        <v>Laki-laki</v>
      </c>
      <c r="G30" s="8" t="str">
        <f>'BIO DATA'!N29</f>
        <v>Pontianak</v>
      </c>
      <c r="H30" s="51">
        <f>'BIO DATA'!P29</f>
        <v>40271</v>
      </c>
      <c r="I30" s="49" t="str">
        <f>'BIO DATA'!S29</f>
        <v>Islam</v>
      </c>
      <c r="J30" s="50">
        <f>'BIO DATA'!J29:J192</f>
        <v>2</v>
      </c>
      <c r="K30" s="50">
        <f>'BIO DATA'!K29:K231</f>
        <v>1</v>
      </c>
      <c r="L30" s="8" t="str">
        <f>'BIO DATA'!T29:T192</f>
        <v>Singosaren RT.01 RW.01 No.4 Wukirsari Imogiri Bantul, DI Yogyakarta, 55782</v>
      </c>
      <c r="M30" s="8" t="str">
        <f>'BIO DATA'!V29:V231</f>
        <v>Wukirsari</v>
      </c>
      <c r="N30" s="8" t="str">
        <f>'BIO DATA'!W29:W231</f>
        <v>Imogiri</v>
      </c>
      <c r="O30" s="8" t="str">
        <f>'BIO DATA'!X29:X231</f>
        <v>Bantul</v>
      </c>
      <c r="P30" s="8" t="str">
        <f>'BIO DATA'!Y29:Y231</f>
        <v>DI Yogyakarta</v>
      </c>
      <c r="Q30" s="8" t="str">
        <f>'BIO DATA'!Z29:Z231</f>
        <v>MTs. Mu'allimin Muh. Yogyakarta</v>
      </c>
      <c r="R30" s="8" t="str">
        <f>'BIO DATA'!AA29:AA231</f>
        <v>Jati, Wonokromo, Kec. Pleret, Kabupaten Bantul, Daerah Istimewa Yogyakarta 55791</v>
      </c>
      <c r="S30" s="8">
        <f>'BIO DATA'!AB29:AB231</f>
        <v>0</v>
      </c>
      <c r="T30" s="8" t="str">
        <f>'BIO DATA'!AC29:AC231</f>
        <v>Sugeng Mulyono</v>
      </c>
      <c r="U30" s="8" t="str">
        <f>'BIO DATA'!AD29</f>
        <v>Islam</v>
      </c>
      <c r="V30" s="8" t="str">
        <f>'BIO DATA'!AL29:AL231</f>
        <v>SMA</v>
      </c>
      <c r="W30" s="8" t="str">
        <f>'BIO DATA'!AM29:AM231</f>
        <v>Ibu Rumah Tangga</v>
      </c>
      <c r="X30" s="8" t="str">
        <f>'BIO DATA'!AG29:AG231</f>
        <v>&gt; Rp 2.500.000,00</v>
      </c>
      <c r="Y30" s="69" t="s">
        <v>217</v>
      </c>
      <c r="Z30" s="8">
        <f>'BIO DATA'!AI29:AI231</f>
        <v>0</v>
      </c>
      <c r="AA30" s="8" t="str">
        <f>'BIO DATA'!AJ29:AJ231</f>
        <v>Inna Anzalna Noviasti</v>
      </c>
      <c r="AB30" s="8" t="str">
        <f>'BIO DATA'!AK29</f>
        <v>Islam</v>
      </c>
      <c r="AC30" s="8" t="str">
        <f>'BIO DATA'!AL29:AL231</f>
        <v>SMA</v>
      </c>
      <c r="AD30" s="8" t="str">
        <f>'BIO DATA'!AM29:AM231</f>
        <v>Ibu Rumah Tangga</v>
      </c>
      <c r="AE30" s="8">
        <f>'BIO DATA'!AN29:AN231</f>
        <v>0</v>
      </c>
      <c r="AF30" s="52"/>
      <c r="AG30" s="8">
        <f>'BIO DATA'!AP29</f>
        <v>0</v>
      </c>
      <c r="AH30" s="8">
        <f>'BIO DATA'!AZ29</f>
        <v>0</v>
      </c>
      <c r="AI30" s="8" t="str">
        <f>'BIO DATA'!BA29</f>
        <v>Islam</v>
      </c>
      <c r="AJ30" s="8">
        <f>'BIO DATA'!BB29</f>
        <v>0</v>
      </c>
      <c r="AK30" s="8">
        <f>'BIO DATA'!BC29</f>
        <v>0</v>
      </c>
      <c r="AL30" s="8">
        <f>'BIO DATA'!BD29</f>
        <v>0</v>
      </c>
      <c r="AM30" s="8">
        <f>'BIO DATA'!BE29</f>
        <v>0</v>
      </c>
      <c r="AN30" s="8">
        <f>'BIO DATA'!BF29</f>
        <v>0</v>
      </c>
      <c r="AO30" s="8">
        <f>'BIO DATA'!BG29</f>
        <v>0</v>
      </c>
      <c r="AP30" s="53" t="s">
        <v>168</v>
      </c>
    </row>
    <row r="31" spans="1:42" s="54" customFormat="1" ht="20.100000000000001" customHeight="1" thickBot="1">
      <c r="A31" s="19" t="s">
        <v>132</v>
      </c>
      <c r="B31">
        <v>20</v>
      </c>
      <c r="C31" s="90">
        <f>'BIO DATA'!D30</f>
        <v>11212</v>
      </c>
      <c r="D31" s="90" t="str">
        <f>'BIO DATA'!E30</f>
        <v>3094677005</v>
      </c>
      <c r="E31" s="89" t="str">
        <f>'BIO DATA'!F30</f>
        <v>Afif Adli Firdaus</v>
      </c>
      <c r="F31" s="49" t="str">
        <f>'BIO DATA'!M30</f>
        <v>Laki-laki</v>
      </c>
      <c r="G31" s="8" t="str">
        <f>'BIO DATA'!N30</f>
        <v>Bantul</v>
      </c>
      <c r="H31" s="51">
        <f>'BIO DATA'!P30</f>
        <v>40085</v>
      </c>
      <c r="I31" s="49" t="str">
        <f>'BIO DATA'!S30</f>
        <v>Islam</v>
      </c>
      <c r="J31" s="50">
        <f>'BIO DATA'!J30:J193</f>
        <v>1</v>
      </c>
      <c r="K31" s="50">
        <f>'BIO DATA'!K30:K232</f>
        <v>1</v>
      </c>
      <c r="L31" s="8" t="str">
        <f>'BIO DATA'!T30:T193</f>
        <v>Graha Nuansa Citra B6, Pathukan, Ambarketawang, Gamping, Sleman, DI Yogyakarta, 90134</v>
      </c>
      <c r="M31" s="8" t="str">
        <f>'BIO DATA'!V30:V232</f>
        <v>Ambarketawang</v>
      </c>
      <c r="N31" s="8" t="str">
        <f>'BIO DATA'!W30:W232</f>
        <v>Gamping</v>
      </c>
      <c r="O31" s="8" t="str">
        <f>'BIO DATA'!X30:X232</f>
        <v>Sleman</v>
      </c>
      <c r="P31" s="8" t="str">
        <f>'BIO DATA'!Y30:Y232</f>
        <v>DI Yogyakarta</v>
      </c>
      <c r="Q31" s="8" t="str">
        <f>'BIO DATA'!Z30:Z232</f>
        <v>MTs. Mu'allimin Muh. Yogyakarta</v>
      </c>
      <c r="R31" s="8" t="str">
        <f>'BIO DATA'!AA30:AA232</f>
        <v>Kramat, Sidoarum, Kec. Godean, Kabupaten Sleman, Daerah Istimewa Yogyakarta 55564</v>
      </c>
      <c r="S31" s="8">
        <f>'BIO DATA'!AB30:AB232</f>
        <v>0</v>
      </c>
      <c r="T31" s="8">
        <f>'BIO DATA'!AC30:AC232</f>
        <v>0</v>
      </c>
      <c r="U31" s="8" t="str">
        <f>'BIO DATA'!AD30</f>
        <v>Islam</v>
      </c>
      <c r="V31" s="8" t="str">
        <f>'BIO DATA'!AL30:AL232</f>
        <v>S2</v>
      </c>
      <c r="W31" s="8" t="str">
        <f>'BIO DATA'!AM30:AM232</f>
        <v>PNS</v>
      </c>
      <c r="X31" s="8">
        <f>'BIO DATA'!AG30:AG232</f>
        <v>0</v>
      </c>
      <c r="Y31" s="69" t="s">
        <v>217</v>
      </c>
      <c r="Z31" s="8">
        <f>'BIO DATA'!AI30:AI232</f>
        <v>0</v>
      </c>
      <c r="AA31" s="8" t="str">
        <f>'BIO DATA'!AJ30:AJ232</f>
        <v>Wike Wijayanti</v>
      </c>
      <c r="AB31" s="8" t="str">
        <f>'BIO DATA'!AK30</f>
        <v>Islam</v>
      </c>
      <c r="AC31" s="8" t="str">
        <f>'BIO DATA'!AL30:AL232</f>
        <v>S2</v>
      </c>
      <c r="AD31" s="8" t="str">
        <f>'BIO DATA'!AM30:AM232</f>
        <v>PNS</v>
      </c>
      <c r="AE31" s="8" t="str">
        <f>'BIO DATA'!AN30:AN232</f>
        <v>&gt; Rp 2.500.000,00</v>
      </c>
      <c r="AF31" s="52"/>
      <c r="AG31" s="8">
        <f>'BIO DATA'!AP30</f>
        <v>0</v>
      </c>
      <c r="AH31" s="8">
        <f>'BIO DATA'!AZ30</f>
        <v>0</v>
      </c>
      <c r="AI31" s="8" t="str">
        <f>'BIO DATA'!BA30</f>
        <v>Islam</v>
      </c>
      <c r="AJ31" s="8">
        <f>'BIO DATA'!BB30</f>
        <v>0</v>
      </c>
      <c r="AK31" s="8">
        <f>'BIO DATA'!BC30</f>
        <v>0</v>
      </c>
      <c r="AL31" s="8">
        <f>'BIO DATA'!BD30</f>
        <v>0</v>
      </c>
      <c r="AM31" s="8">
        <f>'BIO DATA'!BE30</f>
        <v>0</v>
      </c>
      <c r="AN31" s="8">
        <f>'BIO DATA'!BF30</f>
        <v>0</v>
      </c>
      <c r="AO31" s="8">
        <f>'BIO DATA'!BG30</f>
        <v>0</v>
      </c>
      <c r="AP31" s="53" t="s">
        <v>168</v>
      </c>
    </row>
    <row r="32" spans="1:42" s="54" customFormat="1" ht="20.100000000000001" customHeight="1" thickBot="1">
      <c r="A32" s="19" t="s">
        <v>132</v>
      </c>
      <c r="B32">
        <v>32</v>
      </c>
      <c r="C32" s="90">
        <f>'BIO DATA'!D31</f>
        <v>11216</v>
      </c>
      <c r="D32" s="90" t="str">
        <f>'BIO DATA'!E31</f>
        <v>0092085668</v>
      </c>
      <c r="E32" s="89" t="str">
        <f>'BIO DATA'!F31</f>
        <v>Ageng Narayana Wijaya Santosa</v>
      </c>
      <c r="F32" s="49" t="str">
        <f>'BIO DATA'!M31</f>
        <v>Laki-laki</v>
      </c>
      <c r="G32" s="8" t="str">
        <f>'BIO DATA'!N31</f>
        <v>Yogyakarta</v>
      </c>
      <c r="H32" s="51">
        <f>'BIO DATA'!P31</f>
        <v>40152</v>
      </c>
      <c r="I32" s="49" t="str">
        <f>'BIO DATA'!S31</f>
        <v>Islam</v>
      </c>
      <c r="J32" s="50">
        <f>'BIO DATA'!J31:J193</f>
        <v>1</v>
      </c>
      <c r="K32" s="50">
        <f>'BIO DATA'!K31:K233</f>
        <v>1</v>
      </c>
      <c r="L32" s="8" t="str">
        <f>'BIO DATA'!T31:T193</f>
        <v>Lungguhrejo RT 006 RW 029, Wonokerto, Turi, Sleman DI Yogyakarta 55551</v>
      </c>
      <c r="M32" s="8" t="str">
        <f>'BIO DATA'!V31:V233</f>
        <v>Wonokerto</v>
      </c>
      <c r="N32" s="8" t="str">
        <f>'BIO DATA'!W31:W233</f>
        <v>Turi</v>
      </c>
      <c r="O32" s="8" t="str">
        <f>'BIO DATA'!X31:X233</f>
        <v>Sleman</v>
      </c>
      <c r="P32" s="8" t="str">
        <f>'BIO DATA'!Y31:Y233</f>
        <v>DI Yogyakarta</v>
      </c>
      <c r="Q32" s="8" t="str">
        <f>'BIO DATA'!Z31:Z233</f>
        <v>MTs. Mu'allimin Muh. Yogyakarta</v>
      </c>
      <c r="R32" s="8" t="str">
        <f>'BIO DATA'!AA31:AA233</f>
        <v>Mantaran Road, Blunyah, Trimulyo, Kec. Sleman, Kabupaten Sleman, Daerah Istimewa Yogyakarta 55513</v>
      </c>
      <c r="S32" s="8">
        <f>'BIO DATA'!AB31:AB233</f>
        <v>0</v>
      </c>
      <c r="T32" s="8" t="str">
        <f>'BIO DATA'!AC31:AC233</f>
        <v>Tri Rahmad Subagyo, ST</v>
      </c>
      <c r="U32" s="8" t="str">
        <f>'BIO DATA'!AD31</f>
        <v>Islam</v>
      </c>
      <c r="V32" s="8" t="str">
        <f>'BIO DATA'!AL31:AL233</f>
        <v>S1</v>
      </c>
      <c r="W32" s="8" t="str">
        <f>'BIO DATA'!AM31:AM233</f>
        <v>Lainnya</v>
      </c>
      <c r="X32" s="8" t="str">
        <f>'BIO DATA'!AG31:AG233</f>
        <v>&gt; Rp 2.500.000,00</v>
      </c>
      <c r="Y32" s="69" t="s">
        <v>217</v>
      </c>
      <c r="Z32" s="8">
        <f>'BIO DATA'!AI31:AI233</f>
        <v>0</v>
      </c>
      <c r="AA32" s="8" t="str">
        <f>'BIO DATA'!AJ31:AJ233</f>
        <v>Leni Triastuti</v>
      </c>
      <c r="AB32" s="8" t="str">
        <f>'BIO DATA'!AK31</f>
        <v>Islam</v>
      </c>
      <c r="AC32" s="8" t="str">
        <f>'BIO DATA'!AL31:AL233</f>
        <v>S1</v>
      </c>
      <c r="AD32" s="8" t="str">
        <f>'BIO DATA'!AM31:AM233</f>
        <v>Lainnya</v>
      </c>
      <c r="AE32" s="8">
        <f>'BIO DATA'!AN31:AN233</f>
        <v>0</v>
      </c>
      <c r="AF32" s="52"/>
      <c r="AG32" s="8">
        <f>'BIO DATA'!AP31</f>
        <v>0</v>
      </c>
      <c r="AH32" s="8">
        <f>'BIO DATA'!AZ31</f>
        <v>0</v>
      </c>
      <c r="AI32" s="8" t="str">
        <f>'BIO DATA'!BA31</f>
        <v>Islam</v>
      </c>
      <c r="AJ32" s="8">
        <f>'BIO DATA'!BB31</f>
        <v>0</v>
      </c>
      <c r="AK32" s="8">
        <f>'BIO DATA'!BC31</f>
        <v>0</v>
      </c>
      <c r="AL32" s="8">
        <f>'BIO DATA'!BD31</f>
        <v>0</v>
      </c>
      <c r="AM32" s="8">
        <f>'BIO DATA'!BE31</f>
        <v>0</v>
      </c>
      <c r="AN32" s="8">
        <f>'BIO DATA'!BF31</f>
        <v>0</v>
      </c>
      <c r="AO32" s="8">
        <f>'BIO DATA'!BG31</f>
        <v>0</v>
      </c>
      <c r="AP32" s="53" t="s">
        <v>168</v>
      </c>
    </row>
    <row r="33" spans="1:42" s="54" customFormat="1" ht="20.100000000000001" customHeight="1" thickBot="1">
      <c r="A33" s="19" t="s">
        <v>132</v>
      </c>
      <c r="B33">
        <v>34</v>
      </c>
      <c r="C33" s="90" t="e">
        <f>'BIO DATA'!#REF!</f>
        <v>#REF!</v>
      </c>
      <c r="D33" s="90" t="e">
        <f>'BIO DATA'!#REF!</f>
        <v>#REF!</v>
      </c>
      <c r="E33" s="89" t="e">
        <f>'BIO DATA'!#REF!</f>
        <v>#REF!</v>
      </c>
      <c r="F33" s="49" t="e">
        <f>'BIO DATA'!#REF!</f>
        <v>#REF!</v>
      </c>
      <c r="G33" s="8" t="e">
        <f>'BIO DATA'!#REF!</f>
        <v>#REF!</v>
      </c>
      <c r="H33" s="51" t="e">
        <f>'BIO DATA'!#REF!</f>
        <v>#REF!</v>
      </c>
      <c r="I33" s="49" t="e">
        <f>'BIO DATA'!#REF!</f>
        <v>#REF!</v>
      </c>
      <c r="J33" s="50">
        <f>'BIO DATA'!J32:J195</f>
        <v>1</v>
      </c>
      <c r="K33" s="50">
        <f>'BIO DATA'!K32:K234</f>
        <v>0</v>
      </c>
      <c r="L33" s="8" t="str">
        <f>'BIO DATA'!T32:T195</f>
        <v>Perumahan Bukit Gading Cisoka Blok A no.26,Selapajang,Cisoka,Tangerang , Banten, 15730</v>
      </c>
      <c r="M33" s="8" t="str">
        <f>'BIO DATA'!V32:V234</f>
        <v>Selapajang</v>
      </c>
      <c r="N33" s="8" t="str">
        <f>'BIO DATA'!W32:W234</f>
        <v>Cisoka</v>
      </c>
      <c r="O33" s="8" t="str">
        <f>'BIO DATA'!X32:X234</f>
        <v xml:space="preserve">Tangerang </v>
      </c>
      <c r="P33" s="8" t="str">
        <f>'BIO DATA'!Y32:Y234</f>
        <v>Banten</v>
      </c>
      <c r="Q33" s="8" t="str">
        <f>'BIO DATA'!Z32:Z234</f>
        <v>MTs. Mu'allimin Muh. Yogyakarta</v>
      </c>
      <c r="R33" s="8" t="str">
        <f>'BIO DATA'!AA32:AA234</f>
        <v>Sentul Jaya, Kec. Balaraja, Kabupaten Tangerang, Banten 15610</v>
      </c>
      <c r="S33" s="8">
        <f>'BIO DATA'!AB32:AB234</f>
        <v>0</v>
      </c>
      <c r="T33" s="8">
        <f>'BIO DATA'!AC32:AC234</f>
        <v>0</v>
      </c>
      <c r="U33" s="8" t="e">
        <f>'BIO DATA'!#REF!</f>
        <v>#REF!</v>
      </c>
      <c r="V33" s="8" t="str">
        <f>'BIO DATA'!AL32:AL234</f>
        <v>SMA</v>
      </c>
      <c r="W33" s="8" t="str">
        <f>'BIO DATA'!AM32:AM234</f>
        <v>Karywan Swasta</v>
      </c>
      <c r="X33" s="8" t="str">
        <f>'BIO DATA'!AG32:AG234</f>
        <v>&gt; Rp 2.500.000,00</v>
      </c>
      <c r="Y33" s="69" t="s">
        <v>217</v>
      </c>
      <c r="Z33" s="8">
        <f>'BIO DATA'!AI32:AI234</f>
        <v>0</v>
      </c>
      <c r="AA33" s="8" t="str">
        <f>'BIO DATA'!AJ32:AJ234</f>
        <v>Warsini</v>
      </c>
      <c r="AB33" s="8" t="e">
        <f>'BIO DATA'!#REF!</f>
        <v>#REF!</v>
      </c>
      <c r="AC33" s="8" t="str">
        <f>'BIO DATA'!AL32:AL234</f>
        <v>SMA</v>
      </c>
      <c r="AD33" s="8" t="str">
        <f>'BIO DATA'!AM32:AM234</f>
        <v>Karywan Swasta</v>
      </c>
      <c r="AE33" s="8">
        <f>'BIO DATA'!AN32:AN234</f>
        <v>0</v>
      </c>
      <c r="AF33" s="52"/>
      <c r="AG33" s="8" t="e">
        <f>'BIO DATA'!#REF!</f>
        <v>#REF!</v>
      </c>
      <c r="AH33" s="8" t="e">
        <f>'BIO DATA'!#REF!</f>
        <v>#REF!</v>
      </c>
      <c r="AI33" s="8" t="e">
        <f>'BIO DATA'!#REF!</f>
        <v>#REF!</v>
      </c>
      <c r="AJ33" s="8" t="e">
        <f>'BIO DATA'!#REF!</f>
        <v>#REF!</v>
      </c>
      <c r="AK33" s="8" t="e">
        <f>'BIO DATA'!#REF!</f>
        <v>#REF!</v>
      </c>
      <c r="AL33" s="8" t="e">
        <f>'BIO DATA'!#REF!</f>
        <v>#REF!</v>
      </c>
      <c r="AM33" s="8" t="e">
        <f>'BIO DATA'!#REF!</f>
        <v>#REF!</v>
      </c>
      <c r="AN33" s="8" t="e">
        <f>'BIO DATA'!#REF!</f>
        <v>#REF!</v>
      </c>
      <c r="AO33" s="8" t="e">
        <f>'BIO DATA'!#REF!</f>
        <v>#REF!</v>
      </c>
      <c r="AP33" s="53" t="s">
        <v>168</v>
      </c>
    </row>
    <row r="34" spans="1:42" s="54" customFormat="1" ht="20.100000000000001" customHeight="1" thickBot="1">
      <c r="A34" s="19" t="s">
        <v>132</v>
      </c>
      <c r="B34">
        <v>36</v>
      </c>
      <c r="C34" s="90">
        <f>'BIO DATA'!D32</f>
        <v>11239</v>
      </c>
      <c r="D34" s="90" t="str">
        <f>'BIO DATA'!E32</f>
        <v>0108401010</v>
      </c>
      <c r="E34" s="89" t="str">
        <f>'BIO DATA'!F32</f>
        <v>Akbar Dzulfikar</v>
      </c>
      <c r="F34" s="49" t="str">
        <f>'BIO DATA'!M32</f>
        <v>Laki-laki</v>
      </c>
      <c r="G34" s="8" t="str">
        <f>'BIO DATA'!N32</f>
        <v>Sleman</v>
      </c>
      <c r="H34" s="51">
        <f>'BIO DATA'!P32</f>
        <v>40179</v>
      </c>
      <c r="I34" s="49" t="str">
        <f>'BIO DATA'!S32</f>
        <v>Islam</v>
      </c>
      <c r="J34" s="50">
        <f>'BIO DATA'!J32:J196</f>
        <v>3</v>
      </c>
      <c r="K34" s="50">
        <f>'BIO DATA'!K32:K235</f>
        <v>2</v>
      </c>
      <c r="L34" s="8" t="str">
        <f>'BIO DATA'!T32:T196</f>
        <v>Jl Sendang sewu , RT / RW 006/001, Desa Sidokerto, Kecamatan Pati, Kabupaten Pati, Jawa Tengah, 59111</v>
      </c>
      <c r="M34" s="8" t="str">
        <f>'BIO DATA'!V32:V235</f>
        <v>Sidokerto</v>
      </c>
      <c r="N34" s="8" t="str">
        <f>'BIO DATA'!W32:W235</f>
        <v>Pati</v>
      </c>
      <c r="O34" s="8" t="str">
        <f>'BIO DATA'!X32:X235</f>
        <v>Pati</v>
      </c>
      <c r="P34" s="8" t="str">
        <f>'BIO DATA'!Y32:Y235</f>
        <v>Jawa Tengah</v>
      </c>
      <c r="Q34" s="8" t="str">
        <f>'BIO DATA'!Z32:Z235</f>
        <v>MTs. Mu'allimin Muh. Yogyakarta</v>
      </c>
      <c r="R34" s="8" t="str">
        <f>'BIO DATA'!AA32:AA235</f>
        <v>Jl. Dr. Susanto No.123, Ngipik, Kutoharjo, Kec. Pati, Kabupaten Pati, Jawa Tengah 59118</v>
      </c>
      <c r="S34" s="8">
        <f>'BIO DATA'!AB32:AB235</f>
        <v>0</v>
      </c>
      <c r="T34" s="8" t="str">
        <f>'BIO DATA'!AC32:AC235</f>
        <v>Wijanarko</v>
      </c>
      <c r="U34" s="8" t="str">
        <f>'BIO DATA'!AD32</f>
        <v>Islam</v>
      </c>
      <c r="V34" s="8" t="str">
        <f>'BIO DATA'!AL32:AL235</f>
        <v>SMA</v>
      </c>
      <c r="W34" s="8" t="str">
        <f>'BIO DATA'!AM32:AM235</f>
        <v>Ibu Rumah Tangga</v>
      </c>
      <c r="X34" s="8" t="str">
        <f>'BIO DATA'!AG32:AG235</f>
        <v>&gt; Rp 2.500.000,00</v>
      </c>
      <c r="Y34" s="69" t="s">
        <v>217</v>
      </c>
      <c r="Z34" s="8">
        <f>'BIO DATA'!AI32:AI235</f>
        <v>0</v>
      </c>
      <c r="AA34" s="8" t="str">
        <f>'BIO DATA'!AJ32:AJ235</f>
        <v>Eni Tri Martutik</v>
      </c>
      <c r="AB34" s="8" t="str">
        <f>'BIO DATA'!AK32</f>
        <v>Islam</v>
      </c>
      <c r="AC34" s="8" t="str">
        <f>'BIO DATA'!AL32:AL235</f>
        <v>SMA</v>
      </c>
      <c r="AD34" s="8" t="str">
        <f>'BIO DATA'!AM32:AM235</f>
        <v>Ibu Rumah Tangga</v>
      </c>
      <c r="AE34" s="8">
        <f>'BIO DATA'!AN32:AN235</f>
        <v>0</v>
      </c>
      <c r="AF34" s="52"/>
      <c r="AG34" s="8">
        <f>'BIO DATA'!AP32</f>
        <v>0</v>
      </c>
      <c r="AH34" s="8">
        <f>'BIO DATA'!AZ32</f>
        <v>0</v>
      </c>
      <c r="AI34" s="8" t="str">
        <f>'BIO DATA'!BA32</f>
        <v>Islam</v>
      </c>
      <c r="AJ34" s="8">
        <f>'BIO DATA'!BB32</f>
        <v>0</v>
      </c>
      <c r="AK34" s="8">
        <f>'BIO DATA'!BC32</f>
        <v>0</v>
      </c>
      <c r="AL34" s="8">
        <f>'BIO DATA'!BD32</f>
        <v>0</v>
      </c>
      <c r="AM34" s="8">
        <f>'BIO DATA'!BE32</f>
        <v>0</v>
      </c>
      <c r="AN34" s="8">
        <f>'BIO DATA'!BF32</f>
        <v>0</v>
      </c>
      <c r="AO34" s="8">
        <f>'BIO DATA'!BG32</f>
        <v>0</v>
      </c>
      <c r="AP34" s="53" t="s">
        <v>168</v>
      </c>
    </row>
    <row r="35" spans="1:42" s="54" customFormat="1" ht="20.100000000000001" customHeight="1" thickBot="1">
      <c r="A35" s="19" t="s">
        <v>132</v>
      </c>
      <c r="B35">
        <v>61</v>
      </c>
      <c r="C35" s="90">
        <f>'BIO DATA'!D33</f>
        <v>11242</v>
      </c>
      <c r="D35" s="90" t="str">
        <f>'BIO DATA'!E33</f>
        <v>0093053516</v>
      </c>
      <c r="E35" s="89" t="str">
        <f>'BIO DATA'!F33</f>
        <v>Akbar Sigit Pramono</v>
      </c>
      <c r="F35" s="49" t="str">
        <f>'BIO DATA'!M33</f>
        <v>Laki-laki</v>
      </c>
      <c r="G35" s="8" t="str">
        <f>'BIO DATA'!N33</f>
        <v>Tangerang</v>
      </c>
      <c r="H35" s="51">
        <f>'BIO DATA'!P33</f>
        <v>40114</v>
      </c>
      <c r="I35" s="49" t="str">
        <f>'BIO DATA'!S33</f>
        <v>Islam</v>
      </c>
      <c r="J35" s="50">
        <f>'BIO DATA'!J33:J197</f>
        <v>1</v>
      </c>
      <c r="K35" s="50">
        <f>'BIO DATA'!K33:K236</f>
        <v>0</v>
      </c>
      <c r="L35" s="8" t="str">
        <f>'BIO DATA'!T33:T197</f>
        <v>Jl A Yani Desa Kauman No.243A RT.005 RW.002 Kel. Kauman Kec. Batang Kab. Batang, Jawa Tengah, 51215</v>
      </c>
      <c r="M35" s="8" t="str">
        <f>'BIO DATA'!V33:V236</f>
        <v>Kauman</v>
      </c>
      <c r="N35" s="8" t="str">
        <f>'BIO DATA'!W33:W236</f>
        <v>Batang</v>
      </c>
      <c r="O35" s="8" t="str">
        <f>'BIO DATA'!X33:X236</f>
        <v>Batang</v>
      </c>
      <c r="P35" s="8" t="str">
        <f>'BIO DATA'!Y33:Y236</f>
        <v>Jawa Tengah</v>
      </c>
      <c r="Q35" s="8" t="str">
        <f>'BIO DATA'!Z33:Z236</f>
        <v>MTs. Mu'allimin Muh. Yogyakarta</v>
      </c>
      <c r="R35" s="8" t="str">
        <f>'BIO DATA'!AA33:AA236</f>
        <v>Jl. Ki Mangunsarkoro, Dracik Barat, Proyonanggan Sel., Kec. Batang, Kabupaten Batang, Jawa Tengah 51216</v>
      </c>
      <c r="S35" s="8">
        <f>'BIO DATA'!AB33:AB236</f>
        <v>0</v>
      </c>
      <c r="T35" s="8" t="str">
        <f>'BIO DATA'!AC33:AC236</f>
        <v>Arya Fany Yugatama, SH</v>
      </c>
      <c r="U35" s="8" t="str">
        <f>'BIO DATA'!AD33</f>
        <v>Islam</v>
      </c>
      <c r="V35" s="8" t="str">
        <f>'BIO DATA'!AL33:AL236</f>
        <v>S1</v>
      </c>
      <c r="W35" s="8" t="str">
        <f>'BIO DATA'!AM33:AM236</f>
        <v>Karyawan Swasta</v>
      </c>
      <c r="X35" s="8" t="str">
        <f>'BIO DATA'!AG33:AG236</f>
        <v>Antara Rp 2.000.000,00 s.d. Rp 2.500,000,00</v>
      </c>
      <c r="Y35" s="69" t="s">
        <v>217</v>
      </c>
      <c r="Z35" s="8">
        <f>'BIO DATA'!AI33:AI236</f>
        <v>0</v>
      </c>
      <c r="AA35" s="8" t="str">
        <f>'BIO DATA'!AJ33:AJ236</f>
        <v>Ratna Fitriana</v>
      </c>
      <c r="AB35" s="8" t="str">
        <f>'BIO DATA'!AK33</f>
        <v>Islam</v>
      </c>
      <c r="AC35" s="8" t="str">
        <f>'BIO DATA'!AL33:AL236</f>
        <v>S1</v>
      </c>
      <c r="AD35" s="8" t="str">
        <f>'BIO DATA'!AM33:AM236</f>
        <v>Karyawan Swasta</v>
      </c>
      <c r="AE35" s="8">
        <f>'BIO DATA'!AN33:AN236</f>
        <v>0</v>
      </c>
      <c r="AF35" s="52"/>
      <c r="AG35" s="8">
        <f>'BIO DATA'!AP33</f>
        <v>0</v>
      </c>
      <c r="AH35" s="8">
        <f>'BIO DATA'!AZ33</f>
        <v>0</v>
      </c>
      <c r="AI35" s="8" t="str">
        <f>'BIO DATA'!BA33</f>
        <v>Islam</v>
      </c>
      <c r="AJ35" s="8">
        <f>'BIO DATA'!BB33</f>
        <v>0</v>
      </c>
      <c r="AK35" s="8">
        <f>'BIO DATA'!BC33</f>
        <v>0</v>
      </c>
      <c r="AL35" s="8">
        <f>'BIO DATA'!BD33</f>
        <v>0</v>
      </c>
      <c r="AM35" s="8">
        <f>'BIO DATA'!BE33</f>
        <v>0</v>
      </c>
      <c r="AN35" s="8">
        <f>'BIO DATA'!BF33</f>
        <v>0</v>
      </c>
      <c r="AO35" s="8">
        <f>'BIO DATA'!BG33</f>
        <v>0</v>
      </c>
      <c r="AP35" s="53" t="s">
        <v>168</v>
      </c>
    </row>
    <row r="36" spans="1:42" s="54" customFormat="1" ht="20.100000000000001" customHeight="1" thickBot="1">
      <c r="A36" s="19" t="s">
        <v>132</v>
      </c>
      <c r="B36">
        <v>62</v>
      </c>
      <c r="C36" s="90">
        <f>'BIO DATA'!D34</f>
        <v>11258</v>
      </c>
      <c r="D36" s="90" t="str">
        <f>'BIO DATA'!E34</f>
        <v>0107332075</v>
      </c>
      <c r="E36" s="89" t="str">
        <f>'BIO DATA'!F34</f>
        <v>Arafat Krisnantaka Wildamar</v>
      </c>
      <c r="F36" s="49" t="str">
        <f>'BIO DATA'!M34</f>
        <v>Laki-laki</v>
      </c>
      <c r="G36" s="8" t="str">
        <f>'BIO DATA'!N34</f>
        <v>Pati</v>
      </c>
      <c r="H36" s="51">
        <f>'BIO DATA'!P34</f>
        <v>40384</v>
      </c>
      <c r="I36" s="49" t="str">
        <f>'BIO DATA'!S34</f>
        <v>Islam</v>
      </c>
      <c r="J36" s="50">
        <f>'BIO DATA'!J34:J198</f>
        <v>1</v>
      </c>
      <c r="K36" s="50">
        <f>'BIO DATA'!K34:K237</f>
        <v>1</v>
      </c>
      <c r="L36" s="8" t="str">
        <f>'BIO DATA'!T34:T198</f>
        <v>Jl. Inpres Gang Harmonis No 22 RT 007 RW 002 Kel. Tengah Kec. Kramat Jati Kota Jakarta Timur, DKI Jakarta, 13510</v>
      </c>
      <c r="M36" s="8" t="str">
        <f>'BIO DATA'!V34:V237</f>
        <v>Tengah</v>
      </c>
      <c r="N36" s="8" t="str">
        <f>'BIO DATA'!W34:W237</f>
        <v>Kramat jati</v>
      </c>
      <c r="O36" s="8" t="str">
        <f>'BIO DATA'!X34:X237</f>
        <v>Jakarta Timur</v>
      </c>
      <c r="P36" s="8" t="str">
        <f>'BIO DATA'!Y34:Y237</f>
        <v>DKI Jakarta</v>
      </c>
      <c r="Q36" s="8" t="str">
        <f>'BIO DATA'!Z34:Z237</f>
        <v>MTs. Mu'allimin Muh. Yogyakarta</v>
      </c>
      <c r="R36" s="8" t="str">
        <f>'BIO DATA'!AA34:AA237</f>
        <v>Jl. Rantai Mas K No.52, RT.4/RW.5, Kp. Tengah, Kec. Kramat jati, Kota Jakarta Timur, Daerah Khusus Ibukota Jakarta 13540</v>
      </c>
      <c r="S36" s="8">
        <f>'BIO DATA'!AB34:AB237</f>
        <v>0</v>
      </c>
      <c r="T36" s="8" t="str">
        <f>'BIO DATA'!AC34:AC237</f>
        <v>Ida Bagus Widhyanthara</v>
      </c>
      <c r="U36" s="8" t="str">
        <f>'BIO DATA'!AD34</f>
        <v>Islam</v>
      </c>
      <c r="V36" s="8">
        <f>'BIO DATA'!AL34:AL237</f>
        <v>0</v>
      </c>
      <c r="W36" s="8">
        <f>'BIO DATA'!AM34:AM237</f>
        <v>0</v>
      </c>
      <c r="X36" s="8" t="str">
        <f>'BIO DATA'!AG34:AG237</f>
        <v>&gt; Rp 2.500.000,00</v>
      </c>
      <c r="Y36" s="69" t="s">
        <v>217</v>
      </c>
      <c r="Z36" s="8">
        <f>'BIO DATA'!AI34:AI237</f>
        <v>0</v>
      </c>
      <c r="AA36" s="8" t="str">
        <f>'BIO DATA'!AJ34:AJ237</f>
        <v>Kharisma Yustisi Eva</v>
      </c>
      <c r="AB36" s="8" t="str">
        <f>'BIO DATA'!AK34</f>
        <v>Islam</v>
      </c>
      <c r="AC36" s="8">
        <f>'BIO DATA'!AL34:AL237</f>
        <v>0</v>
      </c>
      <c r="AD36" s="8">
        <f>'BIO DATA'!AM34:AM237</f>
        <v>0</v>
      </c>
      <c r="AE36" s="8">
        <f>'BIO DATA'!AN34:AN237</f>
        <v>0</v>
      </c>
      <c r="AF36" s="52"/>
      <c r="AG36" s="8">
        <f>'BIO DATA'!AP34</f>
        <v>0</v>
      </c>
      <c r="AH36" s="8">
        <f>'BIO DATA'!AZ34</f>
        <v>0</v>
      </c>
      <c r="AI36" s="8" t="str">
        <f>'BIO DATA'!BA34</f>
        <v>Islam</v>
      </c>
      <c r="AJ36" s="8">
        <f>'BIO DATA'!BB34</f>
        <v>0</v>
      </c>
      <c r="AK36" s="8">
        <f>'BIO DATA'!BC34</f>
        <v>0</v>
      </c>
      <c r="AL36" s="8">
        <f>'BIO DATA'!BD34</f>
        <v>0</v>
      </c>
      <c r="AM36" s="8">
        <f>'BIO DATA'!BE34</f>
        <v>0</v>
      </c>
      <c r="AN36" s="8">
        <f>'BIO DATA'!BF34</f>
        <v>0</v>
      </c>
      <c r="AO36" s="8">
        <f>'BIO DATA'!BG34</f>
        <v>0</v>
      </c>
      <c r="AP36" s="53" t="s">
        <v>168</v>
      </c>
    </row>
    <row r="37" spans="1:42" s="54" customFormat="1" ht="20.100000000000001" customHeight="1" thickBot="1">
      <c r="A37" s="19" t="s">
        <v>132</v>
      </c>
      <c r="B37">
        <v>70</v>
      </c>
      <c r="C37" s="90">
        <f>'BIO DATA'!D35</f>
        <v>11261</v>
      </c>
      <c r="D37" s="90" t="str">
        <f>'BIO DATA'!E35</f>
        <v>0109513453</v>
      </c>
      <c r="E37" s="89" t="str">
        <f>'BIO DATA'!F35</f>
        <v>Arya Gerda Bhamakerti</v>
      </c>
      <c r="F37" s="49" t="str">
        <f>'BIO DATA'!M35</f>
        <v>Laki-laki</v>
      </c>
      <c r="G37" s="8" t="str">
        <f>'BIO DATA'!N35</f>
        <v>Batang</v>
      </c>
      <c r="H37" s="51">
        <f>'BIO DATA'!P35</f>
        <v>40345</v>
      </c>
      <c r="I37" s="49" t="str">
        <f>'BIO DATA'!S35</f>
        <v>Islam</v>
      </c>
      <c r="J37" s="50">
        <f>'BIO DATA'!J35:J199</f>
        <v>2</v>
      </c>
      <c r="K37" s="50">
        <f>'BIO DATA'!K35:K238</f>
        <v>2</v>
      </c>
      <c r="L37" s="8" t="str">
        <f>'BIO DATA'!T35:T199</f>
        <v>Perumnas Permata Harjamukti Tahap 1, Jl. Akik 1 Blok C2 No.11 RT.001/RW.014, Kel. Kalijaga, Kec. Harjamukti Kota Cirebon, Jawa Barat 45144</v>
      </c>
      <c r="M37" s="8" t="str">
        <f>'BIO DATA'!V35:V238</f>
        <v>Kalijaga</v>
      </c>
      <c r="N37" s="8" t="str">
        <f>'BIO DATA'!W35:W238</f>
        <v>Harjamukti</v>
      </c>
      <c r="O37" s="8" t="str">
        <f>'BIO DATA'!X35:X238</f>
        <v>Cirebon</v>
      </c>
      <c r="P37" s="8" t="str">
        <f>'BIO DATA'!Y35:Y238</f>
        <v>Jawa Barat</v>
      </c>
      <c r="Q37" s="8" t="str">
        <f>'BIO DATA'!Z35:Z238</f>
        <v>MTs. Mu'allimin Muh. Yogyakarta</v>
      </c>
      <c r="R37" s="8" t="str">
        <f>'BIO DATA'!AA35:AA238</f>
        <v>Jl. Pekalipan VII No. 14 Kota Cirebon</v>
      </c>
      <c r="S37" s="8">
        <f>'BIO DATA'!AB35:AB238</f>
        <v>0</v>
      </c>
      <c r="T37" s="8" t="str">
        <f>'BIO DATA'!AC35:AC238</f>
        <v>Suradal</v>
      </c>
      <c r="U37" s="8" t="str">
        <f>'BIO DATA'!AD35</f>
        <v>Islam</v>
      </c>
      <c r="V37" s="8" t="str">
        <f>'BIO DATA'!AL35:AL238</f>
        <v>Diploma</v>
      </c>
      <c r="W37" s="8" t="str">
        <f>'BIO DATA'!AM35:AM238</f>
        <v>Karyawan Swasta</v>
      </c>
      <c r="X37" s="8" t="str">
        <f>'BIO DATA'!AG35:AG238</f>
        <v xml:space="preserve"> &gt; Rp 2.500.000,00</v>
      </c>
      <c r="Y37" s="69" t="s">
        <v>217</v>
      </c>
      <c r="Z37" s="8">
        <f>'BIO DATA'!AI35:AI238</f>
        <v>0</v>
      </c>
      <c r="AA37" s="8" t="str">
        <f>'BIO DATA'!AJ35:AJ238</f>
        <v>Anna Susilowati</v>
      </c>
      <c r="AB37" s="8" t="str">
        <f>'BIO DATA'!AK35</f>
        <v>Islam</v>
      </c>
      <c r="AC37" s="8" t="str">
        <f>'BIO DATA'!AL35:AL238</f>
        <v>Diploma</v>
      </c>
      <c r="AD37" s="8" t="str">
        <f>'BIO DATA'!AM35:AM238</f>
        <v>Karyawan Swasta</v>
      </c>
      <c r="AE37" s="8">
        <f>'BIO DATA'!AN35:AN238</f>
        <v>0</v>
      </c>
      <c r="AF37" s="52"/>
      <c r="AG37" s="8">
        <f>'BIO DATA'!AP35</f>
        <v>0</v>
      </c>
      <c r="AH37" s="8">
        <f>'BIO DATA'!AZ35</f>
        <v>0</v>
      </c>
      <c r="AI37" s="8" t="str">
        <f>'BIO DATA'!BA35</f>
        <v>Islam</v>
      </c>
      <c r="AJ37" s="8">
        <f>'BIO DATA'!BB35</f>
        <v>0</v>
      </c>
      <c r="AK37" s="8">
        <f>'BIO DATA'!BC35</f>
        <v>0</v>
      </c>
      <c r="AL37" s="8">
        <f>'BIO DATA'!BD35</f>
        <v>0</v>
      </c>
      <c r="AM37" s="8">
        <f>'BIO DATA'!BE35</f>
        <v>0</v>
      </c>
      <c r="AN37" s="8">
        <f>'BIO DATA'!BF35</f>
        <v>0</v>
      </c>
      <c r="AO37" s="8">
        <f>'BIO DATA'!BG35</f>
        <v>0</v>
      </c>
      <c r="AP37" s="53" t="s">
        <v>168</v>
      </c>
    </row>
    <row r="38" spans="1:42" s="54" customFormat="1" ht="20.100000000000001" customHeight="1" thickBot="1">
      <c r="A38" s="19" t="s">
        <v>132</v>
      </c>
      <c r="B38">
        <v>113</v>
      </c>
      <c r="C38" s="90">
        <f>'BIO DATA'!D36</f>
        <v>11272</v>
      </c>
      <c r="D38" s="90" t="str">
        <f>'BIO DATA'!E36</f>
        <v>0107718597</v>
      </c>
      <c r="E38" s="89" t="str">
        <f>'BIO DATA'!F36</f>
        <v>Azka Adiyatma Brahmantya</v>
      </c>
      <c r="F38" s="49" t="str">
        <f>'BIO DATA'!M36</f>
        <v>Laki-laki</v>
      </c>
      <c r="G38" s="8" t="str">
        <f>'BIO DATA'!N36</f>
        <v>Malang</v>
      </c>
      <c r="H38" s="51">
        <f>'BIO DATA'!P36</f>
        <v>40375</v>
      </c>
      <c r="I38" s="49" t="str">
        <f>'BIO DATA'!S36</f>
        <v>Islam</v>
      </c>
      <c r="J38" s="50">
        <f>'BIO DATA'!J36:J200</f>
        <v>1</v>
      </c>
      <c r="K38" s="50">
        <f>'BIO DATA'!K36:K239</f>
        <v>1</v>
      </c>
      <c r="L38" s="8" t="str">
        <f>'BIO DATA'!T36:T200</f>
        <v>Kebon RT 03 RW 01 Ke. Tamanmartani, Kec. Kalasan, Kab. Sleman, DI Yogyakarta, 55571</v>
      </c>
      <c r="M38" s="8" t="str">
        <f>'BIO DATA'!V36:V239</f>
        <v>Tamanmartani</v>
      </c>
      <c r="N38" s="8" t="str">
        <f>'BIO DATA'!W36:W239</f>
        <v>Kalasan</v>
      </c>
      <c r="O38" s="8" t="str">
        <f>'BIO DATA'!X36:X239</f>
        <v>Sleman</v>
      </c>
      <c r="P38" s="8" t="str">
        <f>'BIO DATA'!Y36:Y239</f>
        <v>DI Yogyakarta</v>
      </c>
      <c r="Q38" s="8" t="str">
        <f>'BIO DATA'!Z36:Z239</f>
        <v>MTs. Mu'allimin Muh. Yogyakarta</v>
      </c>
      <c r="R38" s="8" t="str">
        <f>'BIO DATA'!AA36:AA239</f>
        <v>Jl. Raya Piyungan - Prambanan, Ringin Sari, Bokoharjo, Kec. Prambanan, Kabupaten Sleman, Daerah Istimewa Yogyakarta 55572</v>
      </c>
      <c r="S38" s="8">
        <f>'BIO DATA'!AB36:AB239</f>
        <v>0</v>
      </c>
      <c r="T38" s="8" t="str">
        <f>'BIO DATA'!AC36:AC239</f>
        <v>Rochmadi</v>
      </c>
      <c r="U38" s="8" t="str">
        <f>'BIO DATA'!AD36</f>
        <v>Islam</v>
      </c>
      <c r="V38" s="8" t="str">
        <f>'BIO DATA'!AL36:AL239</f>
        <v>Diploma</v>
      </c>
      <c r="W38" s="8" t="str">
        <f>'BIO DATA'!AM36:AM239</f>
        <v>Ibu Rumah Tangga</v>
      </c>
      <c r="X38" s="8" t="str">
        <f>'BIO DATA'!AG36:AG239</f>
        <v>&gt; Rp 2.500.000,00</v>
      </c>
      <c r="Y38" s="69" t="s">
        <v>217</v>
      </c>
      <c r="Z38" s="8">
        <f>'BIO DATA'!AI36:AI239</f>
        <v>0</v>
      </c>
      <c r="AA38" s="8" t="str">
        <f>'BIO DATA'!AJ36:AJ239</f>
        <v>Lina Irawati</v>
      </c>
      <c r="AB38" s="8" t="str">
        <f>'BIO DATA'!AK36</f>
        <v>Islam</v>
      </c>
      <c r="AC38" s="8" t="str">
        <f>'BIO DATA'!AL36:AL239</f>
        <v>Diploma</v>
      </c>
      <c r="AD38" s="8" t="str">
        <f>'BIO DATA'!AM36:AM239</f>
        <v>Ibu Rumah Tangga</v>
      </c>
      <c r="AE38" s="8">
        <f>'BIO DATA'!AN36:AN239</f>
        <v>0</v>
      </c>
      <c r="AF38" s="52"/>
      <c r="AG38" s="8">
        <f>'BIO DATA'!AP36</f>
        <v>0</v>
      </c>
      <c r="AH38" s="8">
        <f>'BIO DATA'!AZ36</f>
        <v>0</v>
      </c>
      <c r="AI38" s="8" t="str">
        <f>'BIO DATA'!BA36</f>
        <v>Islam</v>
      </c>
      <c r="AJ38" s="8">
        <f>'BIO DATA'!BB36</f>
        <v>0</v>
      </c>
      <c r="AK38" s="8">
        <f>'BIO DATA'!BC36</f>
        <v>0</v>
      </c>
      <c r="AL38" s="8">
        <f>'BIO DATA'!BD36</f>
        <v>0</v>
      </c>
      <c r="AM38" s="8">
        <f>'BIO DATA'!BE36</f>
        <v>0</v>
      </c>
      <c r="AN38" s="8">
        <f>'BIO DATA'!BF36</f>
        <v>0</v>
      </c>
      <c r="AO38" s="8">
        <f>'BIO DATA'!BG36</f>
        <v>0</v>
      </c>
      <c r="AP38" s="53" t="s">
        <v>168</v>
      </c>
    </row>
    <row r="39" spans="1:42" s="54" customFormat="1" ht="20.100000000000001" customHeight="1" thickBot="1">
      <c r="A39" s="19" t="s">
        <v>132</v>
      </c>
      <c r="B39">
        <v>114</v>
      </c>
      <c r="C39" s="90">
        <f>'BIO DATA'!D37</f>
        <v>11279</v>
      </c>
      <c r="D39" s="90" t="str">
        <f>'BIO DATA'!E37</f>
        <v>3101929089</v>
      </c>
      <c r="E39" s="89" t="str">
        <f>'BIO DATA'!F37</f>
        <v>Bima Nur Iskandar</v>
      </c>
      <c r="F39" s="49" t="str">
        <f>'BIO DATA'!M37</f>
        <v>Laki-laki</v>
      </c>
      <c r="G39" s="8" t="str">
        <f>'BIO DATA'!N37</f>
        <v>Cirebon</v>
      </c>
      <c r="H39" s="51">
        <f>'BIO DATA'!P37</f>
        <v>40263</v>
      </c>
      <c r="I39" s="49" t="str">
        <f>'BIO DATA'!S37</f>
        <v>Islam</v>
      </c>
      <c r="J39" s="50">
        <f>'BIO DATA'!J37:J201</f>
        <v>1</v>
      </c>
      <c r="K39" s="50">
        <f>'BIO DATA'!K37:K240</f>
        <v>1</v>
      </c>
      <c r="L39" s="8" t="str">
        <f>'BIO DATA'!T37:T201</f>
        <v>JL. Dr. Wahidin Sudirohusodo Gang 24 No. 72 RT 01 RW 03 Randuagung Kebomas Gresik Jawa Timur 61121</v>
      </c>
      <c r="M39" s="8" t="str">
        <f>'BIO DATA'!V37:V240</f>
        <v>Randuagung</v>
      </c>
      <c r="N39" s="8" t="str">
        <f>'BIO DATA'!W37:W240</f>
        <v>Kebomas</v>
      </c>
      <c r="O39" s="8" t="str">
        <f>'BIO DATA'!X37:X240</f>
        <v>Gresik</v>
      </c>
      <c r="P39" s="8" t="str">
        <f>'BIO DATA'!Y37:Y240</f>
        <v>Jawa Timur</v>
      </c>
      <c r="Q39" s="8" t="str">
        <f>'BIO DATA'!Z37:Z240</f>
        <v>MTs. Mu'allimin Muh. Yogyakarta</v>
      </c>
      <c r="R39" s="8" t="str">
        <f>'BIO DATA'!AA37:AA240</f>
        <v>Jl. Amuntai No.1, Ponganganrejo, Yosowilangun, Kec. Manyar, Kabupaten Gresik, Jawa Timur 61151</v>
      </c>
      <c r="S39" s="8">
        <f>'BIO DATA'!AB37:AB240</f>
        <v>0</v>
      </c>
      <c r="T39" s="8" t="str">
        <f>'BIO DATA'!AC37:AC240</f>
        <v>Kemal Abdi</v>
      </c>
      <c r="U39" s="8" t="str">
        <f>'BIO DATA'!AD37</f>
        <v>Islam</v>
      </c>
      <c r="V39" s="8" t="str">
        <f>'BIO DATA'!AL37:AL240</f>
        <v>S1</v>
      </c>
      <c r="W39" s="8" t="str">
        <f>'BIO DATA'!AM37:AM240</f>
        <v>Karyawan Swasta</v>
      </c>
      <c r="X39" s="8" t="str">
        <f>'BIO DATA'!AG37:AG240</f>
        <v>&gt; Rp 2.500.000,00</v>
      </c>
      <c r="Y39" s="69" t="s">
        <v>217</v>
      </c>
      <c r="Z39" s="8">
        <f>'BIO DATA'!AI37:AI240</f>
        <v>0</v>
      </c>
      <c r="AA39" s="8" t="str">
        <f>'BIO DATA'!AJ37:AJ240</f>
        <v>Ririn Aprilianti Astuti</v>
      </c>
      <c r="AB39" s="8" t="str">
        <f>'BIO DATA'!AK37</f>
        <v>Islam</v>
      </c>
      <c r="AC39" s="8" t="str">
        <f>'BIO DATA'!AL37:AL240</f>
        <v>S1</v>
      </c>
      <c r="AD39" s="8" t="str">
        <f>'BIO DATA'!AM37:AM240</f>
        <v>Karyawan Swasta</v>
      </c>
      <c r="AE39" s="8">
        <f>'BIO DATA'!AN37:AN240</f>
        <v>0</v>
      </c>
      <c r="AF39" s="52"/>
      <c r="AG39" s="8">
        <f>'BIO DATA'!AP37</f>
        <v>0</v>
      </c>
      <c r="AH39" s="8">
        <f>'BIO DATA'!AZ37</f>
        <v>0</v>
      </c>
      <c r="AI39" s="8" t="str">
        <f>'BIO DATA'!BA37</f>
        <v>Islam</v>
      </c>
      <c r="AJ39" s="8">
        <f>'BIO DATA'!BB37</f>
        <v>0</v>
      </c>
      <c r="AK39" s="8">
        <f>'BIO DATA'!BC37</f>
        <v>0</v>
      </c>
      <c r="AL39" s="8">
        <f>'BIO DATA'!BD37</f>
        <v>0</v>
      </c>
      <c r="AM39" s="8">
        <f>'BIO DATA'!BE37</f>
        <v>0</v>
      </c>
      <c r="AN39" s="8">
        <f>'BIO DATA'!BF37</f>
        <v>0</v>
      </c>
      <c r="AO39" s="8">
        <f>'BIO DATA'!BG37</f>
        <v>0</v>
      </c>
      <c r="AP39" s="53" t="s">
        <v>168</v>
      </c>
    </row>
    <row r="40" spans="1:42" s="54" customFormat="1" ht="20.100000000000001" customHeight="1" thickBot="1">
      <c r="A40" s="19" t="s">
        <v>132</v>
      </c>
      <c r="B40">
        <v>115</v>
      </c>
      <c r="C40" s="90">
        <f>'BIO DATA'!D38</f>
        <v>11281</v>
      </c>
      <c r="D40" s="90" t="str">
        <f>'BIO DATA'!E38</f>
        <v>0101529422</v>
      </c>
      <c r="E40" s="89" t="str">
        <f>'BIO DATA'!F38</f>
        <v>Catur Andika Dermawan Putra</v>
      </c>
      <c r="F40" s="49" t="str">
        <f>'BIO DATA'!M38</f>
        <v>Laki-laki</v>
      </c>
      <c r="G40" s="8" t="str">
        <f>'BIO DATA'!N38</f>
        <v>Bogor</v>
      </c>
      <c r="H40" s="51">
        <f>'BIO DATA'!P38</f>
        <v>40227</v>
      </c>
      <c r="I40" s="49" t="str">
        <f>'BIO DATA'!S38</f>
        <v>Islam</v>
      </c>
      <c r="J40" s="50">
        <f>'BIO DATA'!J38:J202</f>
        <v>1</v>
      </c>
      <c r="K40" s="50">
        <f>'BIO DATA'!K38:K241</f>
        <v>1</v>
      </c>
      <c r="L40" s="8" t="str">
        <f>'BIO DATA'!T38:T202</f>
        <v>Tambaksari RT 02 RW 03 Kuwarasan Kebumen, Jawa Tengah, 54366</v>
      </c>
      <c r="M40" s="8" t="str">
        <f>'BIO DATA'!V38:V241</f>
        <v>Tambaksari</v>
      </c>
      <c r="N40" s="8" t="str">
        <f>'BIO DATA'!W38:W241</f>
        <v>Kuwarasan</v>
      </c>
      <c r="O40" s="8" t="str">
        <f>'BIO DATA'!X38:X241</f>
        <v>Kebumen</v>
      </c>
      <c r="P40" s="8" t="str">
        <f>'BIO DATA'!Y38:Y241</f>
        <v>Jawa Tengah</v>
      </c>
      <c r="Q40" s="8" t="str">
        <f>'BIO DATA'!Z38:Z241</f>
        <v>MTs. Mu'allimin Muh. Yogyakarta</v>
      </c>
      <c r="R40" s="8" t="str">
        <f>'BIO DATA'!AA38:AA241</f>
        <v>Klapasawit, Wero, Kec. Gombong, Kabupaten Kebumen, Jawa Tengah 54416</v>
      </c>
      <c r="S40" s="8">
        <f>'BIO DATA'!AB38:AB241</f>
        <v>0</v>
      </c>
      <c r="T40" s="8" t="str">
        <f>'BIO DATA'!AC38:AC241</f>
        <v>Irfan Tugiman</v>
      </c>
      <c r="U40" s="8" t="str">
        <f>'BIO DATA'!AD38</f>
        <v>Islam</v>
      </c>
      <c r="V40" s="8" t="str">
        <f>'BIO DATA'!AL38:AL241</f>
        <v>SMA</v>
      </c>
      <c r="W40" s="8" t="str">
        <f>'BIO DATA'!AM38:AM241</f>
        <v>Ibu Rumah Tangga</v>
      </c>
      <c r="X40" s="8" t="str">
        <f>'BIO DATA'!AG38:AG241</f>
        <v>&gt; Rp 2.500.000,00</v>
      </c>
      <c r="Y40" s="69" t="s">
        <v>217</v>
      </c>
      <c r="Z40" s="8">
        <f>'BIO DATA'!AI38:AI241</f>
        <v>0</v>
      </c>
      <c r="AA40" s="8" t="str">
        <f>'BIO DATA'!AJ38:AJ241</f>
        <v>Septianingsih Anggraeni</v>
      </c>
      <c r="AB40" s="8" t="str">
        <f>'BIO DATA'!AK38</f>
        <v>Islam</v>
      </c>
      <c r="AC40" s="8" t="str">
        <f>'BIO DATA'!AL38:AL241</f>
        <v>SMA</v>
      </c>
      <c r="AD40" s="8" t="str">
        <f>'BIO DATA'!AM38:AM241</f>
        <v>Ibu Rumah Tangga</v>
      </c>
      <c r="AE40" s="8">
        <f>'BIO DATA'!AN38:AN241</f>
        <v>0</v>
      </c>
      <c r="AF40" s="52"/>
      <c r="AG40" s="8">
        <f>'BIO DATA'!AP38</f>
        <v>0</v>
      </c>
      <c r="AH40" s="8">
        <f>'BIO DATA'!AZ38</f>
        <v>0</v>
      </c>
      <c r="AI40" s="8" t="str">
        <f>'BIO DATA'!BA38</f>
        <v>Islam</v>
      </c>
      <c r="AJ40" s="8">
        <f>'BIO DATA'!BB38</f>
        <v>0</v>
      </c>
      <c r="AK40" s="8">
        <f>'BIO DATA'!BC38</f>
        <v>0</v>
      </c>
      <c r="AL40" s="8">
        <f>'BIO DATA'!BD38</f>
        <v>0</v>
      </c>
      <c r="AM40" s="8">
        <f>'BIO DATA'!BE38</f>
        <v>0</v>
      </c>
      <c r="AN40" s="8">
        <f>'BIO DATA'!BF38</f>
        <v>0</v>
      </c>
      <c r="AO40" s="8">
        <f>'BIO DATA'!BG38</f>
        <v>0</v>
      </c>
      <c r="AP40" s="53" t="s">
        <v>168</v>
      </c>
    </row>
    <row r="41" spans="1:42" s="54" customFormat="1" ht="20.100000000000001" customHeight="1" thickBot="1">
      <c r="A41" s="19" t="s">
        <v>132</v>
      </c>
      <c r="B41">
        <v>135</v>
      </c>
      <c r="C41" s="90">
        <f>'BIO DATA'!D39</f>
        <v>11288</v>
      </c>
      <c r="D41" s="90" t="str">
        <f>'BIO DATA'!E39</f>
        <v>0093040840</v>
      </c>
      <c r="E41" s="89" t="str">
        <f>'BIO DATA'!F39</f>
        <v>Daiyan Mahya Athallah</v>
      </c>
      <c r="F41" s="49" t="str">
        <f>'BIO DATA'!M39</f>
        <v>Laki-laki</v>
      </c>
      <c r="G41" s="8" t="str">
        <f>'BIO DATA'!N39</f>
        <v>Gresik</v>
      </c>
      <c r="H41" s="51">
        <f>'BIO DATA'!P39</f>
        <v>40133</v>
      </c>
      <c r="I41" s="49" t="str">
        <f>'BIO DATA'!S39</f>
        <v>Islam</v>
      </c>
      <c r="J41" s="50">
        <f>'BIO DATA'!J39:J203</f>
        <v>2</v>
      </c>
      <c r="K41" s="50">
        <f>'BIO DATA'!K39:K242</f>
        <v>4</v>
      </c>
      <c r="L41" s="8" t="str">
        <f>'BIO DATA'!T39:T203</f>
        <v>Jalan. P. Diponegoro. RT.01/RW.04 Kel. Tarau, Kec. Yapen Selatan, Kab. Kep. Yapen Papua 98211</v>
      </c>
      <c r="M41" s="8" t="str">
        <f>'BIO DATA'!V39:V242</f>
        <v>Tarau</v>
      </c>
      <c r="N41" s="8" t="str">
        <f>'BIO DATA'!W39:W242</f>
        <v>Yapen Selatan</v>
      </c>
      <c r="O41" s="8" t="str">
        <f>'BIO DATA'!X39:X242</f>
        <v>Yapen</v>
      </c>
      <c r="P41" s="8" t="str">
        <f>'BIO DATA'!Y39:Y242</f>
        <v>Papua</v>
      </c>
      <c r="Q41" s="8" t="str">
        <f>'BIO DATA'!Z39:Z242</f>
        <v>MTs. Mu'allimin Muh. Yogyakarta</v>
      </c>
      <c r="R41" s="8" t="str">
        <f>'BIO DATA'!AA39:AA242</f>
        <v>Dr. Sam Ratulangi Road, Serui Kota, Kec. Yapen Sel., Kabupaten Kepulauan Yapen, Papua 98215</v>
      </c>
      <c r="S41" s="8">
        <f>'BIO DATA'!AB39:AB242</f>
        <v>0</v>
      </c>
      <c r="T41" s="8" t="str">
        <f>'BIO DATA'!AC39:AC242</f>
        <v>Wahyudi Najamuddin</v>
      </c>
      <c r="U41" s="8" t="str">
        <f>'BIO DATA'!AD39</f>
        <v>Islam</v>
      </c>
      <c r="V41" s="8" t="str">
        <f>'BIO DATA'!AL39:AL242</f>
        <v>SMA</v>
      </c>
      <c r="W41" s="8" t="str">
        <f>'BIO DATA'!AM39:AM242</f>
        <v>Wiraswasta</v>
      </c>
      <c r="X41" s="8" t="str">
        <f>'BIO DATA'!AG39:AG242</f>
        <v>&gt; Rp 2.500.000,00</v>
      </c>
      <c r="Y41" s="69" t="s">
        <v>217</v>
      </c>
      <c r="Z41" s="8">
        <f>'BIO DATA'!AI39:AI242</f>
        <v>0</v>
      </c>
      <c r="AA41" s="8" t="str">
        <f>'BIO DATA'!AJ39:AJ242</f>
        <v>Faradilla Iriani Tarwan</v>
      </c>
      <c r="AB41" s="8" t="str">
        <f>'BIO DATA'!AK39</f>
        <v>Islam</v>
      </c>
      <c r="AC41" s="8" t="str">
        <f>'BIO DATA'!AL39:AL242</f>
        <v>SMA</v>
      </c>
      <c r="AD41" s="8" t="str">
        <f>'BIO DATA'!AM39:AM242</f>
        <v>Wiraswasta</v>
      </c>
      <c r="AE41" s="8">
        <f>'BIO DATA'!AN39:AN242</f>
        <v>0</v>
      </c>
      <c r="AF41" s="52"/>
      <c r="AG41" s="8">
        <f>'BIO DATA'!AP39</f>
        <v>0</v>
      </c>
      <c r="AH41" s="8">
        <f>'BIO DATA'!AZ39</f>
        <v>0</v>
      </c>
      <c r="AI41" s="8" t="str">
        <f>'BIO DATA'!BA39</f>
        <v>Islam</v>
      </c>
      <c r="AJ41" s="8">
        <f>'BIO DATA'!BB39</f>
        <v>0</v>
      </c>
      <c r="AK41" s="8">
        <f>'BIO DATA'!BC39</f>
        <v>0</v>
      </c>
      <c r="AL41" s="8">
        <f>'BIO DATA'!BD39</f>
        <v>0</v>
      </c>
      <c r="AM41" s="8">
        <f>'BIO DATA'!BE39</f>
        <v>0</v>
      </c>
      <c r="AN41" s="8">
        <f>'BIO DATA'!BF39</f>
        <v>0</v>
      </c>
      <c r="AO41" s="8">
        <f>'BIO DATA'!BG39</f>
        <v>0</v>
      </c>
      <c r="AP41" s="53" t="s">
        <v>168</v>
      </c>
    </row>
    <row r="42" spans="1:42" s="54" customFormat="1" ht="20.100000000000001" customHeight="1" thickBot="1">
      <c r="A42" s="19" t="s">
        <v>132</v>
      </c>
      <c r="B42">
        <v>147</v>
      </c>
      <c r="C42" s="90">
        <f>'BIO DATA'!D40</f>
        <v>11289</v>
      </c>
      <c r="D42" s="90" t="str">
        <f>'BIO DATA'!E40</f>
        <v>0095262572</v>
      </c>
      <c r="E42" s="89" t="str">
        <f>'BIO DATA'!F40</f>
        <v>Damario Pramata Rahagi</v>
      </c>
      <c r="F42" s="49" t="str">
        <f>'BIO DATA'!M40</f>
        <v>Laki-laki</v>
      </c>
      <c r="G42" s="8" t="str">
        <f>'BIO DATA'!N40</f>
        <v>Kebumen</v>
      </c>
      <c r="H42" s="51">
        <f>'BIO DATA'!P40</f>
        <v>40143</v>
      </c>
      <c r="I42" s="49" t="str">
        <f>'BIO DATA'!S40</f>
        <v>Islam</v>
      </c>
      <c r="J42" s="50">
        <f>'BIO DATA'!J40:J203</f>
        <v>1</v>
      </c>
      <c r="K42" s="50">
        <f>'BIO DATA'!K40:K243</f>
        <v>1</v>
      </c>
      <c r="L42" s="8" t="str">
        <f>'BIO DATA'!T40:T203</f>
        <v>Purwogondo RT 04 RW 01 Kalinyamatan Jepara Jawa Tengah 59462</v>
      </c>
      <c r="M42" s="8" t="str">
        <f>'BIO DATA'!V40:V243</f>
        <v>Purwogondo</v>
      </c>
      <c r="N42" s="8" t="str">
        <f>'BIO DATA'!W40:W243</f>
        <v>Kalinyamatan</v>
      </c>
      <c r="O42" s="8" t="str">
        <f>'BIO DATA'!X40:X243</f>
        <v>Jepara</v>
      </c>
      <c r="P42" s="8" t="str">
        <f>'BIO DATA'!Y40:Y243</f>
        <v>Jawa Tengah</v>
      </c>
      <c r="Q42" s="8" t="str">
        <f>'BIO DATA'!Z40:Z243</f>
        <v>MTs. Mu'allimin Muh. Yogyakarta</v>
      </c>
      <c r="R42" s="8" t="str">
        <f>'BIO DATA'!AA40:AA243</f>
        <v>Jalan Gotri-Welahan, Rw. I, Kriyan, Kec. Kalinyamatan, Kabupaten Jepara, Jawa Tengah 59464</v>
      </c>
      <c r="S42" s="8">
        <f>'BIO DATA'!AB40:AB243</f>
        <v>0</v>
      </c>
      <c r="T42" s="8">
        <f>'BIO DATA'!AC40:AC243</f>
        <v>0</v>
      </c>
      <c r="U42" s="8" t="str">
        <f>'BIO DATA'!AD40</f>
        <v>Islam</v>
      </c>
      <c r="V42" s="8" t="str">
        <f>'BIO DATA'!AL40:AL243</f>
        <v>S1</v>
      </c>
      <c r="W42" s="8" t="str">
        <f>'BIO DATA'!AM40:AM243</f>
        <v>Wiraswasta</v>
      </c>
      <c r="X42" s="8">
        <f>'BIO DATA'!AG40:AG243</f>
        <v>0</v>
      </c>
      <c r="Y42" s="69" t="s">
        <v>217</v>
      </c>
      <c r="Z42" s="8">
        <f>'BIO DATA'!AI40:AI243</f>
        <v>0</v>
      </c>
      <c r="AA42" s="8" t="str">
        <f>'BIO DATA'!AJ40:AJ243</f>
        <v>Diana Evi Erawati</v>
      </c>
      <c r="AB42" s="8" t="str">
        <f>'BIO DATA'!AK40</f>
        <v>Islam</v>
      </c>
      <c r="AC42" s="8" t="str">
        <f>'BIO DATA'!AL40:AL243</f>
        <v>S1</v>
      </c>
      <c r="AD42" s="8" t="str">
        <f>'BIO DATA'!AM40:AM243</f>
        <v>Wiraswasta</v>
      </c>
      <c r="AE42" s="8" t="str">
        <f>'BIO DATA'!AN40:AN243</f>
        <v>Antara Rp 2.000.000,00 s.d. Rp 2.500,000,00</v>
      </c>
      <c r="AF42" s="52"/>
      <c r="AG42" s="8">
        <f>'BIO DATA'!AP40</f>
        <v>0</v>
      </c>
      <c r="AH42" s="8">
        <f>'BIO DATA'!AZ40</f>
        <v>0</v>
      </c>
      <c r="AI42" s="8" t="str">
        <f>'BIO DATA'!BA40</f>
        <v>Islam</v>
      </c>
      <c r="AJ42" s="8">
        <f>'BIO DATA'!BB40</f>
        <v>0</v>
      </c>
      <c r="AK42" s="8">
        <f>'BIO DATA'!BC40</f>
        <v>0</v>
      </c>
      <c r="AL42" s="8">
        <f>'BIO DATA'!BD40</f>
        <v>0</v>
      </c>
      <c r="AM42" s="8">
        <f>'BIO DATA'!BE40</f>
        <v>0</v>
      </c>
      <c r="AN42" s="8">
        <f>'BIO DATA'!BF40</f>
        <v>0</v>
      </c>
      <c r="AO42" s="8">
        <f>'BIO DATA'!BG40</f>
        <v>0</v>
      </c>
      <c r="AP42" s="53" t="s">
        <v>168</v>
      </c>
    </row>
    <row r="43" spans="1:42" s="54" customFormat="1" ht="20.100000000000001" customHeight="1" thickBot="1">
      <c r="A43" s="19" t="s">
        <v>132</v>
      </c>
      <c r="B43">
        <v>163</v>
      </c>
      <c r="C43" s="90">
        <f>'BIO DATA'!D41</f>
        <v>11293</v>
      </c>
      <c r="D43" s="90" t="str">
        <f>'BIO DATA'!E41</f>
        <v>0091505222</v>
      </c>
      <c r="E43" s="89" t="str">
        <f>'BIO DATA'!F41</f>
        <v>Dhi'a Kafka Radiansyach</v>
      </c>
      <c r="F43" s="49" t="str">
        <f>'BIO DATA'!M41</f>
        <v>Laki-laki</v>
      </c>
      <c r="G43" s="8" t="str">
        <f>'BIO DATA'!N41</f>
        <v>Serui</v>
      </c>
      <c r="H43" s="51">
        <f>'BIO DATA'!P41</f>
        <v>40062</v>
      </c>
      <c r="I43" s="49" t="str">
        <f>'BIO DATA'!S41</f>
        <v>Islam</v>
      </c>
      <c r="J43" s="50">
        <f>'BIO DATA'!J41:J203</f>
        <v>1</v>
      </c>
      <c r="K43" s="50">
        <f>'BIO DATA'!K41:K244</f>
        <v>1</v>
      </c>
      <c r="L43" s="8" t="str">
        <f>'BIO DATA'!T41:T203</f>
        <v>Perum Surya Residence 2f no 38, RT. 02 RW. 05 Kel. Dukuh Tengah, Kec. Buduran, Kab. Sidoarjo, Jama Timur, 61252</v>
      </c>
      <c r="M43" s="8" t="str">
        <f>'BIO DATA'!V41:V244</f>
        <v>Dukuh Tengah</v>
      </c>
      <c r="N43" s="8" t="str">
        <f>'BIO DATA'!W41:W244</f>
        <v>Buduran</v>
      </c>
      <c r="O43" s="8" t="str">
        <f>'BIO DATA'!X41:X244</f>
        <v>Sidoarjo</v>
      </c>
      <c r="P43" s="8" t="str">
        <f>'BIO DATA'!Y41:Y244</f>
        <v>Jawa Timur</v>
      </c>
      <c r="Q43" s="8" t="str">
        <f>'BIO DATA'!Z41:Z244</f>
        <v>MTs. Mu'allimin Muh. Yogyakarta</v>
      </c>
      <c r="R43" s="8">
        <f>'BIO DATA'!AA41:AA244</f>
        <v>0</v>
      </c>
      <c r="S43" s="8">
        <f>'BIO DATA'!AB41:AB244</f>
        <v>0</v>
      </c>
      <c r="T43" s="8" t="str">
        <f>'BIO DATA'!AC41:AC244</f>
        <v>Yusdi Amrozi</v>
      </c>
      <c r="U43" s="8" t="str">
        <f>'BIO DATA'!AD41</f>
        <v>Islam</v>
      </c>
      <c r="V43" s="8" t="str">
        <f>'BIO DATA'!AL41:AL244</f>
        <v>S1</v>
      </c>
      <c r="W43" s="8" t="str">
        <f>'BIO DATA'!AM41:AM244</f>
        <v>Karyawan Swasta</v>
      </c>
      <c r="X43" s="8" t="str">
        <f>'BIO DATA'!AG41:AG244</f>
        <v>&gt; Rp 2.500.000,00</v>
      </c>
      <c r="Y43" s="69" t="s">
        <v>217</v>
      </c>
      <c r="Z43" s="8">
        <f>'BIO DATA'!AI41:AI244</f>
        <v>0</v>
      </c>
      <c r="AA43" s="8" t="str">
        <f>'BIO DATA'!AJ41:AJ244</f>
        <v>Mitha Hapsari</v>
      </c>
      <c r="AB43" s="8" t="str">
        <f>'BIO DATA'!AK41</f>
        <v>Islam</v>
      </c>
      <c r="AC43" s="8" t="str">
        <f>'BIO DATA'!AL41:AL244</f>
        <v>S1</v>
      </c>
      <c r="AD43" s="8" t="str">
        <f>'BIO DATA'!AM41:AM244</f>
        <v>Karyawan Swasta</v>
      </c>
      <c r="AE43" s="8">
        <f>'BIO DATA'!AN41:AN244</f>
        <v>0</v>
      </c>
      <c r="AF43" s="52"/>
      <c r="AG43" s="8">
        <f>'BIO DATA'!AP41</f>
        <v>0</v>
      </c>
      <c r="AH43" s="8">
        <f>'BIO DATA'!AZ41</f>
        <v>0</v>
      </c>
      <c r="AI43" s="8" t="str">
        <f>'BIO DATA'!BA41</f>
        <v>Islam</v>
      </c>
      <c r="AJ43" s="8">
        <f>'BIO DATA'!BB41</f>
        <v>0</v>
      </c>
      <c r="AK43" s="8">
        <f>'BIO DATA'!BC41</f>
        <v>0</v>
      </c>
      <c r="AL43" s="8">
        <f>'BIO DATA'!BD41</f>
        <v>0</v>
      </c>
      <c r="AM43" s="8">
        <f>'BIO DATA'!BE41</f>
        <v>0</v>
      </c>
      <c r="AN43" s="8">
        <f>'BIO DATA'!BF41</f>
        <v>0</v>
      </c>
      <c r="AO43" s="8">
        <f>'BIO DATA'!BG41</f>
        <v>0</v>
      </c>
      <c r="AP43" s="53" t="s">
        <v>168</v>
      </c>
    </row>
    <row r="44" spans="1:42" s="54" customFormat="1" ht="20.100000000000001" customHeight="1" thickBot="1">
      <c r="A44" s="19" t="s">
        <v>132</v>
      </c>
      <c r="B44">
        <v>164</v>
      </c>
      <c r="C44" s="90">
        <f>'BIO DATA'!D42</f>
        <v>11294</v>
      </c>
      <c r="D44" s="90" t="str">
        <f>'BIO DATA'!E42</f>
        <v>0103726728</v>
      </c>
      <c r="E44" s="89" t="str">
        <f>'BIO DATA'!F42</f>
        <v>Dida Fazel Zhafranatha</v>
      </c>
      <c r="F44" s="49" t="str">
        <f>'BIO DATA'!M42</f>
        <v>Laki-laki</v>
      </c>
      <c r="G44" s="8" t="str">
        <f>'BIO DATA'!N42</f>
        <v>Jepara</v>
      </c>
      <c r="H44" s="51">
        <f>'BIO DATA'!P42</f>
        <v>40382</v>
      </c>
      <c r="I44" s="49" t="str">
        <f>'BIO DATA'!S42</f>
        <v>Islam</v>
      </c>
      <c r="J44" s="50">
        <f>'BIO DATA'!J42:J204</f>
        <v>1</v>
      </c>
      <c r="K44" s="50">
        <f>'BIO DATA'!K42:K245</f>
        <v>1</v>
      </c>
      <c r="L44" s="8" t="str">
        <f>'BIO DATA'!T42:T204</f>
        <v>Kp. Masjid RT 03 RW. 02 Desa Kondangjaya Kec. Cisata Kab. Pandeglang, Banten 42273</v>
      </c>
      <c r="M44" s="8" t="str">
        <f>'BIO DATA'!V42:V245</f>
        <v>Kondangjaya</v>
      </c>
      <c r="N44" s="8" t="str">
        <f>'BIO DATA'!W42:W245</f>
        <v>Cisata</v>
      </c>
      <c r="O44" s="8" t="str">
        <f>'BIO DATA'!X42:X245</f>
        <v>Pandeglang</v>
      </c>
      <c r="P44" s="8" t="str">
        <f>'BIO DATA'!Y42:Y245</f>
        <v>Banten</v>
      </c>
      <c r="Q44" s="8" t="str">
        <f>'BIO DATA'!Z42:Z245</f>
        <v>MTs. Mu'allimin Muh. Yogyakarta</v>
      </c>
      <c r="R44" s="8" t="str">
        <f>'BIO DATA'!AA42:AA245</f>
        <v>Kondangjaya, Kec. Cisata, Kabupaten Pandeglang, Banten 42273</v>
      </c>
      <c r="S44" s="8">
        <f>'BIO DATA'!AB42:AB245</f>
        <v>0</v>
      </c>
      <c r="T44" s="8" t="str">
        <f>'BIO DATA'!AC42:AC245</f>
        <v>Dedi Mulyadi</v>
      </c>
      <c r="U44" s="8" t="str">
        <f>'BIO DATA'!AD42</f>
        <v>Islam</v>
      </c>
      <c r="V44" s="8" t="str">
        <f>'BIO DATA'!AL42:AL245</f>
        <v>S1</v>
      </c>
      <c r="W44" s="8" t="str">
        <f>'BIO DATA'!AM42:AM245</f>
        <v>Guru</v>
      </c>
      <c r="X44" s="8" t="str">
        <f>'BIO DATA'!AG42:AG245</f>
        <v>&gt; Rp 2.500.000,00</v>
      </c>
      <c r="Y44" s="69" t="s">
        <v>217</v>
      </c>
      <c r="Z44" s="8">
        <f>'BIO DATA'!AI42:AI245</f>
        <v>0</v>
      </c>
      <c r="AA44" s="8" t="str">
        <f>'BIO DATA'!AJ42:AJ245</f>
        <v>Romlah</v>
      </c>
      <c r="AB44" s="8" t="str">
        <f>'BIO DATA'!AK42</f>
        <v>Islam</v>
      </c>
      <c r="AC44" s="8" t="str">
        <f>'BIO DATA'!AL42:AL245</f>
        <v>S1</v>
      </c>
      <c r="AD44" s="8" t="str">
        <f>'BIO DATA'!AM42:AM245</f>
        <v>Guru</v>
      </c>
      <c r="AE44" s="8">
        <f>'BIO DATA'!AN42:AN245</f>
        <v>0</v>
      </c>
      <c r="AF44" s="52"/>
      <c r="AG44" s="8">
        <f>'BIO DATA'!AP42</f>
        <v>0</v>
      </c>
      <c r="AH44" s="8">
        <f>'BIO DATA'!AZ42</f>
        <v>0</v>
      </c>
      <c r="AI44" s="8" t="str">
        <f>'BIO DATA'!BA42</f>
        <v>Islam</v>
      </c>
      <c r="AJ44" s="8">
        <f>'BIO DATA'!BB42</f>
        <v>0</v>
      </c>
      <c r="AK44" s="8">
        <f>'BIO DATA'!BC42</f>
        <v>0</v>
      </c>
      <c r="AL44" s="8">
        <f>'BIO DATA'!BD42</f>
        <v>0</v>
      </c>
      <c r="AM44" s="8">
        <f>'BIO DATA'!BE42</f>
        <v>0</v>
      </c>
      <c r="AN44" s="8">
        <f>'BIO DATA'!BF42</f>
        <v>0</v>
      </c>
      <c r="AO44" s="8">
        <f>'BIO DATA'!BG42</f>
        <v>0</v>
      </c>
      <c r="AP44" s="53" t="s">
        <v>168</v>
      </c>
    </row>
    <row r="45" spans="1:42" s="54" customFormat="1" ht="20.100000000000001" customHeight="1" thickBot="1">
      <c r="A45" s="19" t="s">
        <v>132</v>
      </c>
      <c r="B45">
        <v>193</v>
      </c>
      <c r="C45" s="90">
        <f>'BIO DATA'!D43</f>
        <v>11302</v>
      </c>
      <c r="D45" s="90" t="str">
        <f>'BIO DATA'!E43</f>
        <v>0101215352</v>
      </c>
      <c r="E45" s="89" t="str">
        <f>'BIO DATA'!F43</f>
        <v>Eprillio Iqbal Rasendria</v>
      </c>
      <c r="F45" s="49" t="str">
        <f>'BIO DATA'!M43</f>
        <v>Laki-laki</v>
      </c>
      <c r="G45" s="8" t="str">
        <f>'BIO DATA'!N43</f>
        <v>Malang</v>
      </c>
      <c r="H45" s="51">
        <f>'BIO DATA'!P43</f>
        <v>40288</v>
      </c>
      <c r="I45" s="49" t="str">
        <f>'BIO DATA'!S43</f>
        <v>Islam</v>
      </c>
      <c r="J45" s="50">
        <f>'BIO DATA'!J43:J205</f>
        <v>1</v>
      </c>
      <c r="K45" s="50">
        <f>'BIO DATA'!K43:K246</f>
        <v>1</v>
      </c>
      <c r="L45" s="8" t="str">
        <f>'BIO DATA'!T43:T205</f>
        <v>Griya Tirta Indah Gg 12 no 1 Rt 04 Rw 06 Tirta Kecamatan Pekalongan Barat kota Pekalongan Jawa Tengah 51119</v>
      </c>
      <c r="M45" s="8" t="str">
        <f>'BIO DATA'!V43:V246</f>
        <v>Tirta</v>
      </c>
      <c r="N45" s="8" t="str">
        <f>'BIO DATA'!W43:W246</f>
        <v>Pekalongan Barat</v>
      </c>
      <c r="O45" s="8" t="str">
        <f>'BIO DATA'!X43:X246</f>
        <v>Pekalongan</v>
      </c>
      <c r="P45" s="8" t="str">
        <f>'BIO DATA'!Y43:Y246</f>
        <v>Jawa Tengah</v>
      </c>
      <c r="Q45" s="8" t="str">
        <f>'BIO DATA'!Z43:Z246</f>
        <v>MTs. Mu'allimin Muh. Yogyakarta</v>
      </c>
      <c r="R45" s="8" t="str">
        <f>'BIO DATA'!AA43:AA246</f>
        <v>Jl. Kurinci No.2, Bendan, Kec. Pekalongan Bar., Kota Pekalongan, Jawa Tengah 51119</v>
      </c>
      <c r="S45" s="8">
        <f>'BIO DATA'!AB43:AB246</f>
        <v>0</v>
      </c>
      <c r="T45" s="8" t="str">
        <f>'BIO DATA'!AC43:AC246</f>
        <v>Titis Amin Mabrur</v>
      </c>
      <c r="U45" s="8" t="str">
        <f>'BIO DATA'!AD43</f>
        <v>Islam</v>
      </c>
      <c r="V45" s="8" t="str">
        <f>'BIO DATA'!AL43:AL246</f>
        <v>Diploma</v>
      </c>
      <c r="W45" s="8" t="str">
        <f>'BIO DATA'!AM43:AM246</f>
        <v>Perawat</v>
      </c>
      <c r="X45" s="8" t="str">
        <f>'BIO DATA'!AG43:AG246</f>
        <v>Antara Rp 1.000.000,00 s.d. Rp 1.500,000,00</v>
      </c>
      <c r="Y45" s="69" t="s">
        <v>217</v>
      </c>
      <c r="Z45" s="8">
        <f>'BIO DATA'!AI43:AI246</f>
        <v>0</v>
      </c>
      <c r="AA45" s="8" t="str">
        <f>'BIO DATA'!AJ43:AJ246</f>
        <v>Nur Laelah</v>
      </c>
      <c r="AB45" s="8" t="str">
        <f>'BIO DATA'!AK43</f>
        <v>Islam</v>
      </c>
      <c r="AC45" s="8" t="str">
        <f>'BIO DATA'!AL43:AL246</f>
        <v>Diploma</v>
      </c>
      <c r="AD45" s="8" t="str">
        <f>'BIO DATA'!AM43:AM246</f>
        <v>Perawat</v>
      </c>
      <c r="AE45" s="8">
        <f>'BIO DATA'!AN43:AN246</f>
        <v>0</v>
      </c>
      <c r="AF45" s="52"/>
      <c r="AG45" s="8">
        <f>'BIO DATA'!AP43</f>
        <v>0</v>
      </c>
      <c r="AH45" s="8">
        <f>'BIO DATA'!AZ43</f>
        <v>0</v>
      </c>
      <c r="AI45" s="8" t="str">
        <f>'BIO DATA'!BA43</f>
        <v>Islam</v>
      </c>
      <c r="AJ45" s="8">
        <f>'BIO DATA'!BB43</f>
        <v>0</v>
      </c>
      <c r="AK45" s="8">
        <f>'BIO DATA'!BC43</f>
        <v>0</v>
      </c>
      <c r="AL45" s="8">
        <f>'BIO DATA'!BD43</f>
        <v>0</v>
      </c>
      <c r="AM45" s="8">
        <f>'BIO DATA'!BE43</f>
        <v>0</v>
      </c>
      <c r="AN45" s="8">
        <f>'BIO DATA'!BF43</f>
        <v>0</v>
      </c>
      <c r="AO45" s="8">
        <f>'BIO DATA'!BG43</f>
        <v>0</v>
      </c>
      <c r="AP45" s="53" t="s">
        <v>168</v>
      </c>
    </row>
    <row r="46" spans="1:42" s="54" customFormat="1" ht="20.100000000000001" customHeight="1" thickBot="1">
      <c r="A46" s="19" t="s">
        <v>132</v>
      </c>
      <c r="B46">
        <v>204</v>
      </c>
      <c r="C46" s="90">
        <f>'BIO DATA'!D44</f>
        <v>11311</v>
      </c>
      <c r="D46" s="90" t="str">
        <f>'BIO DATA'!E44</f>
        <v>3108146201</v>
      </c>
      <c r="E46" s="89" t="str">
        <f>'BIO DATA'!F44</f>
        <v>Fairuz Dzaki Mulyadi</v>
      </c>
      <c r="F46" s="49" t="str">
        <f>'BIO DATA'!M44</f>
        <v>Laki-laki</v>
      </c>
      <c r="G46" s="8" t="str">
        <f>'BIO DATA'!N44</f>
        <v>Pandeglang</v>
      </c>
      <c r="H46" s="51">
        <f>'BIO DATA'!P44</f>
        <v>40264</v>
      </c>
      <c r="I46" s="49" t="str">
        <f>'BIO DATA'!S44</f>
        <v>Islam</v>
      </c>
      <c r="J46" s="50">
        <f>'BIO DATA'!J44:J206</f>
        <v>1</v>
      </c>
      <c r="K46" s="50">
        <f>'BIO DATA'!K44:K247</f>
        <v>4</v>
      </c>
      <c r="L46" s="8" t="str">
        <f>'BIO DATA'!T44:T206</f>
        <v>Jl. Tjilik Riwut Rt. 13 Rw. 04, Kelurahan Mendawai, Kecamatan Sukamara, Kabupaten Sukamara Kalimantan Tengah 74712</v>
      </c>
      <c r="M46" s="8" t="str">
        <f>'BIO DATA'!V44:V247</f>
        <v>Mendawai</v>
      </c>
      <c r="N46" s="8" t="str">
        <f>'BIO DATA'!W44:W247</f>
        <v>Sukamara</v>
      </c>
      <c r="O46" s="8" t="str">
        <f>'BIO DATA'!X44:X247</f>
        <v>Sukamara</v>
      </c>
      <c r="P46" s="8" t="str">
        <f>'BIO DATA'!Y44:Y247</f>
        <v>Kalimantan Tengah</v>
      </c>
      <c r="Q46" s="8" t="str">
        <f>'BIO DATA'!Z44:Z247</f>
        <v>MTs. Mu'allimin Muh. Yogyakarta</v>
      </c>
      <c r="R46" s="8" t="str">
        <f>'BIO DATA'!AA44:AA247</f>
        <v>Jalan Tjilik Riwut, Mendawai, Kec. Sukamara, Kabupaten Sukamara, Kalimantan Tengah 74172</v>
      </c>
      <c r="S46" s="8">
        <f>'BIO DATA'!AB44:AB247</f>
        <v>0</v>
      </c>
      <c r="T46" s="8" t="str">
        <f>'BIO DATA'!AC44:AC247</f>
        <v>Sunardi</v>
      </c>
      <c r="U46" s="8" t="str">
        <f>'BIO DATA'!AD44</f>
        <v>Islam</v>
      </c>
      <c r="V46" s="8" t="str">
        <f>'BIO DATA'!AL44:AL247</f>
        <v>Diploma</v>
      </c>
      <c r="W46" s="8" t="str">
        <f>'BIO DATA'!AM44:AM247</f>
        <v>Ibu Rumah Tangga</v>
      </c>
      <c r="X46" s="8" t="str">
        <f>'BIO DATA'!AG44:AG247</f>
        <v>&gt; Rp 2.500.000,00</v>
      </c>
      <c r="Y46" s="69" t="s">
        <v>217</v>
      </c>
      <c r="Z46" s="8">
        <f>'BIO DATA'!AI44:AI247</f>
        <v>0</v>
      </c>
      <c r="AA46" s="8" t="str">
        <f>'BIO DATA'!AJ44:AJ247</f>
        <v>Susi Rohmawati</v>
      </c>
      <c r="AB46" s="8" t="str">
        <f>'BIO DATA'!AK44</f>
        <v>Islam</v>
      </c>
      <c r="AC46" s="8" t="str">
        <f>'BIO DATA'!AL44:AL247</f>
        <v>Diploma</v>
      </c>
      <c r="AD46" s="8" t="str">
        <f>'BIO DATA'!AM44:AM247</f>
        <v>Ibu Rumah Tangga</v>
      </c>
      <c r="AE46" s="8">
        <f>'BIO DATA'!AN44:AN247</f>
        <v>0</v>
      </c>
      <c r="AF46" s="52"/>
      <c r="AG46" s="8">
        <f>'BIO DATA'!AP44</f>
        <v>0</v>
      </c>
      <c r="AH46" s="8">
        <f>'BIO DATA'!AZ44</f>
        <v>0</v>
      </c>
      <c r="AI46" s="8" t="str">
        <f>'BIO DATA'!BA44</f>
        <v>Islam</v>
      </c>
      <c r="AJ46" s="8">
        <f>'BIO DATA'!BB44</f>
        <v>0</v>
      </c>
      <c r="AK46" s="8">
        <f>'BIO DATA'!BC44</f>
        <v>0</v>
      </c>
      <c r="AL46" s="8">
        <f>'BIO DATA'!BD44</f>
        <v>0</v>
      </c>
      <c r="AM46" s="8">
        <f>'BIO DATA'!BE44</f>
        <v>0</v>
      </c>
      <c r="AN46" s="8">
        <f>'BIO DATA'!BF44</f>
        <v>0</v>
      </c>
      <c r="AO46" s="8">
        <f>'BIO DATA'!BG44</f>
        <v>0</v>
      </c>
      <c r="AP46" s="53" t="s">
        <v>168</v>
      </c>
    </row>
    <row r="47" spans="1:42" s="54" customFormat="1" ht="20.100000000000001" customHeight="1" thickBot="1">
      <c r="A47" s="19" t="s">
        <v>132</v>
      </c>
      <c r="B47">
        <v>214</v>
      </c>
      <c r="C47" s="90">
        <f>'BIO DATA'!D45</f>
        <v>11345</v>
      </c>
      <c r="D47" s="90" t="str">
        <f>'BIO DATA'!E45</f>
        <v>0105723225</v>
      </c>
      <c r="E47" s="89" t="str">
        <f>'BIO DATA'!F45</f>
        <v>Hammam Naufa Mabrur</v>
      </c>
      <c r="F47" s="49" t="str">
        <f>'BIO DATA'!M45</f>
        <v>Laki-laki</v>
      </c>
      <c r="G47" s="8" t="str">
        <f>'BIO DATA'!N45</f>
        <v>Pekalongan</v>
      </c>
      <c r="H47" s="51">
        <f>'BIO DATA'!P45</f>
        <v>40232</v>
      </c>
      <c r="I47" s="49" t="str">
        <f>'BIO DATA'!S45</f>
        <v>Islam</v>
      </c>
      <c r="J47" s="50">
        <f>'BIO DATA'!J45:J207</f>
        <v>3</v>
      </c>
      <c r="K47" s="50">
        <f>'BIO DATA'!K45:K248</f>
        <v>3</v>
      </c>
      <c r="L47" s="8" t="str">
        <f>'BIO DATA'!T45:T207</f>
        <v>Perum Kopassus RT 001 RW 014 Jl. Melati 4 No. M-3 Bolon Colomadu Karanganyar Jawa Tengah 57178</v>
      </c>
      <c r="M47" s="8" t="str">
        <f>'BIO DATA'!V45:V248</f>
        <v>Bolon</v>
      </c>
      <c r="N47" s="8" t="str">
        <f>'BIO DATA'!W45:W248</f>
        <v>Colomadu</v>
      </c>
      <c r="O47" s="8" t="str">
        <f>'BIO DATA'!X45:X248</f>
        <v>Karanganya</v>
      </c>
      <c r="P47" s="8" t="str">
        <f>'BIO DATA'!Y45:Y248</f>
        <v>Jawa Tengah</v>
      </c>
      <c r="Q47" s="8" t="str">
        <f>'BIO DATA'!Z45:Z248</f>
        <v>MTs. Mu'allimin Muh. Yogyakarta</v>
      </c>
      <c r="R47" s="8" t="str">
        <f>'BIO DATA'!AA45:AA248</f>
        <v>Jalan, Gedongan, Colomadu, Karanganyar Regency, Central Java 57173</v>
      </c>
      <c r="S47" s="8">
        <f>'BIO DATA'!AB45:AB248</f>
        <v>0</v>
      </c>
      <c r="T47" s="8" t="str">
        <f>'BIO DATA'!AC45:AC248</f>
        <v>Sugiarto</v>
      </c>
      <c r="U47" s="8" t="str">
        <f>'BIO DATA'!AD45</f>
        <v>Islam</v>
      </c>
      <c r="V47" s="8" t="str">
        <f>'BIO DATA'!AL45:AL248</f>
        <v>Diploma</v>
      </c>
      <c r="W47" s="8" t="str">
        <f>'BIO DATA'!AM45:AM248</f>
        <v>Perawat</v>
      </c>
      <c r="X47" s="8" t="str">
        <f>'BIO DATA'!AG45:AG248</f>
        <v>&gt; Rp 2.500.000,00</v>
      </c>
      <c r="Y47" s="69" t="s">
        <v>217</v>
      </c>
      <c r="Z47" s="8">
        <f>'BIO DATA'!AI45:AI248</f>
        <v>0</v>
      </c>
      <c r="AA47" s="8" t="str">
        <f>'BIO DATA'!AJ45:AJ248</f>
        <v>Dwi Yunianti Taurisia</v>
      </c>
      <c r="AB47" s="8" t="str">
        <f>'BIO DATA'!AK45</f>
        <v>Islam</v>
      </c>
      <c r="AC47" s="8" t="str">
        <f>'BIO DATA'!AL45:AL248</f>
        <v>Diploma</v>
      </c>
      <c r="AD47" s="8" t="str">
        <f>'BIO DATA'!AM45:AM248</f>
        <v>Perawat</v>
      </c>
      <c r="AE47" s="8">
        <f>'BIO DATA'!AN45:AN248</f>
        <v>0</v>
      </c>
      <c r="AF47" s="52"/>
      <c r="AG47" s="8">
        <f>'BIO DATA'!AP45</f>
        <v>0</v>
      </c>
      <c r="AH47" s="8">
        <f>'BIO DATA'!AZ45</f>
        <v>0</v>
      </c>
      <c r="AI47" s="8" t="str">
        <f>'BIO DATA'!BA45</f>
        <v>Islam</v>
      </c>
      <c r="AJ47" s="8">
        <f>'BIO DATA'!BB45</f>
        <v>0</v>
      </c>
      <c r="AK47" s="8">
        <f>'BIO DATA'!BC45</f>
        <v>0</v>
      </c>
      <c r="AL47" s="8">
        <f>'BIO DATA'!BD45</f>
        <v>0</v>
      </c>
      <c r="AM47" s="8">
        <f>'BIO DATA'!BE45</f>
        <v>0</v>
      </c>
      <c r="AN47" s="8">
        <f>'BIO DATA'!BF45</f>
        <v>0</v>
      </c>
      <c r="AO47" s="8">
        <f>'BIO DATA'!BG45</f>
        <v>0</v>
      </c>
      <c r="AP47" s="53" t="s">
        <v>168</v>
      </c>
    </row>
    <row r="48" spans="1:42" s="54" customFormat="1" ht="20.100000000000001" customHeight="1" thickBot="1">
      <c r="A48" s="19" t="s">
        <v>132</v>
      </c>
      <c r="B48">
        <v>216</v>
      </c>
      <c r="C48" s="90">
        <f>'BIO DATA'!D46</f>
        <v>11361</v>
      </c>
      <c r="D48" s="90" t="str">
        <f>'BIO DATA'!E46</f>
        <v>0096634815</v>
      </c>
      <c r="E48" s="89" t="str">
        <f>'BIO DATA'!F46</f>
        <v>Kenzie Muhammad Zahidan Ardhie</v>
      </c>
      <c r="F48" s="49" t="str">
        <f>'BIO DATA'!M46</f>
        <v>Laki-laki</v>
      </c>
      <c r="G48" s="8" t="str">
        <f>'BIO DATA'!N46</f>
        <v>Kebumen</v>
      </c>
      <c r="H48" s="51">
        <f>'BIO DATA'!P46</f>
        <v>39969</v>
      </c>
      <c r="I48" s="49" t="str">
        <f>'BIO DATA'!S46</f>
        <v>Islam</v>
      </c>
      <c r="J48" s="50">
        <f>'BIO DATA'!J46:J207</f>
        <v>1</v>
      </c>
      <c r="K48" s="50">
        <f>'BIO DATA'!K46:K249</f>
        <v>2</v>
      </c>
      <c r="L48" s="8" t="str">
        <f>'BIO DATA'!T46:T207</f>
        <v>DS. Baturaja No.0020 RT.006 RW.002 Kelurahan Baturaja Lama, Kecamatan Baturaja Timur, Kabupaten Ogan Komering Ulu, Sumatera Selatan, 31114</v>
      </c>
      <c r="M48" s="8" t="str">
        <f>'BIO DATA'!V46:V249</f>
        <v>Baturaja Lama</v>
      </c>
      <c r="N48" s="8" t="str">
        <f>'BIO DATA'!W46:W249</f>
        <v>Baturaja Timur</v>
      </c>
      <c r="O48" s="8" t="str">
        <f>'BIO DATA'!X46:X249</f>
        <v>Ogan Komering Ulu</v>
      </c>
      <c r="P48" s="8" t="str">
        <f>'BIO DATA'!Y46:Y249</f>
        <v>Sumatera Selatan</v>
      </c>
      <c r="Q48" s="8" t="str">
        <f>'BIO DATA'!Z46:Z249</f>
        <v>MTs. Mu'allimin Muh. Yogyakarta</v>
      </c>
      <c r="R48" s="8" t="str">
        <f>'BIO DATA'!AA46:AA249</f>
        <v>Tj. Baru, Kec. Baturaja Timur, Kabupaten Ogan Komering Ulu, Sumatera Selatan 32121</v>
      </c>
      <c r="S48" s="8">
        <f>'BIO DATA'!AB46:AB249</f>
        <v>0</v>
      </c>
      <c r="T48" s="8" t="str">
        <f>'BIO DATA'!AC46:AC249</f>
        <v>Ahmad Sugeng Santoso</v>
      </c>
      <c r="U48" s="8" t="str">
        <f>'BIO DATA'!AD46</f>
        <v>Islam</v>
      </c>
      <c r="V48" s="8" t="str">
        <f>'BIO DATA'!AL46:AL249</f>
        <v>S2</v>
      </c>
      <c r="W48" s="8" t="str">
        <f>'BIO DATA'!AM46:AM249</f>
        <v>Dosen</v>
      </c>
      <c r="X48" s="8" t="str">
        <f>'BIO DATA'!AG46:AG249</f>
        <v>&gt; Rp 2.500.000,00</v>
      </c>
      <c r="Y48" s="69" t="s">
        <v>217</v>
      </c>
      <c r="Z48" s="8">
        <f>'BIO DATA'!AI46:AI249</f>
        <v>0</v>
      </c>
      <c r="AA48" s="8" t="str">
        <f>'BIO DATA'!AJ46:AJ249</f>
        <v>Sri Rahayu</v>
      </c>
      <c r="AB48" s="8" t="str">
        <f>'BIO DATA'!AK46</f>
        <v>Islam</v>
      </c>
      <c r="AC48" s="8" t="str">
        <f>'BIO DATA'!AL46:AL249</f>
        <v>S2</v>
      </c>
      <c r="AD48" s="8" t="str">
        <f>'BIO DATA'!AM46:AM249</f>
        <v>Dosen</v>
      </c>
      <c r="AE48" s="8">
        <f>'BIO DATA'!AN46:AN249</f>
        <v>0</v>
      </c>
      <c r="AF48" s="52"/>
      <c r="AG48" s="8">
        <f>'BIO DATA'!AP46</f>
        <v>0</v>
      </c>
      <c r="AH48" s="8">
        <f>'BIO DATA'!AZ46</f>
        <v>0</v>
      </c>
      <c r="AI48" s="8" t="str">
        <f>'BIO DATA'!BA46</f>
        <v>Islam</v>
      </c>
      <c r="AJ48" s="8">
        <f>'BIO DATA'!BB46</f>
        <v>0</v>
      </c>
      <c r="AK48" s="8">
        <f>'BIO DATA'!BC46</f>
        <v>0</v>
      </c>
      <c r="AL48" s="8">
        <f>'BIO DATA'!BD46</f>
        <v>0</v>
      </c>
      <c r="AM48" s="8">
        <f>'BIO DATA'!BE46</f>
        <v>0</v>
      </c>
      <c r="AN48" s="8">
        <f>'BIO DATA'!BF46</f>
        <v>0</v>
      </c>
      <c r="AO48" s="8">
        <f>'BIO DATA'!BG46</f>
        <v>0</v>
      </c>
      <c r="AP48" s="53" t="s">
        <v>168</v>
      </c>
    </row>
    <row r="49" spans="1:42" s="54" customFormat="1" ht="20.100000000000001" customHeight="1" thickBot="1">
      <c r="A49" s="19" t="s">
        <v>132</v>
      </c>
      <c r="B49">
        <v>226</v>
      </c>
      <c r="C49" s="90">
        <f>'BIO DATA'!D47</f>
        <v>11362</v>
      </c>
      <c r="D49" s="90" t="str">
        <f>'BIO DATA'!E47</f>
        <v>0093843649</v>
      </c>
      <c r="E49" s="89" t="str">
        <f>'BIO DATA'!F47</f>
        <v>Khalaf Kanza Utomo</v>
      </c>
      <c r="F49" s="49" t="str">
        <f>'BIO DATA'!M47</f>
        <v>Laki-laki</v>
      </c>
      <c r="G49" s="8" t="str">
        <f>'BIO DATA'!N47</f>
        <v>Surakarta</v>
      </c>
      <c r="H49" s="51">
        <f>'BIO DATA'!P47</f>
        <v>40120</v>
      </c>
      <c r="I49" s="49" t="str">
        <f>'BIO DATA'!S47</f>
        <v>Islam</v>
      </c>
      <c r="J49" s="50">
        <f>'BIO DATA'!J47:J209</f>
        <v>1</v>
      </c>
      <c r="K49" s="50">
        <f>'BIO DATA'!K47:K250</f>
        <v>2</v>
      </c>
      <c r="L49" s="8" t="str">
        <f>'BIO DATA'!T47:T209</f>
        <v>Botton 1 No.489 RT 02 RW 05 Kel. Magelang Kec. Magelang Tengah Kota Magelang Jawa Tengah 56111</v>
      </c>
      <c r="M49" s="8" t="str">
        <f>'BIO DATA'!V47:V250</f>
        <v>Magelang</v>
      </c>
      <c r="N49" s="8" t="str">
        <f>'BIO DATA'!W47:W250</f>
        <v>Magelang Tengah</v>
      </c>
      <c r="O49" s="8" t="str">
        <f>'BIO DATA'!X47:X250</f>
        <v>Kota Magelang</v>
      </c>
      <c r="P49" s="8" t="str">
        <f>'BIO DATA'!Y47:Y250</f>
        <v>Jawa Tengah</v>
      </c>
      <c r="Q49" s="8" t="str">
        <f>'BIO DATA'!Z47:Z250</f>
        <v>MTs. Mu'allimin Muh. Yogyakarta</v>
      </c>
      <c r="R49" s="8" t="str">
        <f>'BIO DATA'!AA47:AA250</f>
        <v>JL Jeruk Timur 5, RT. 03 RW. 06, Sanden - Kramat Selatan - Magelang Utara, Kramat Sel., Kec. Magelang Utara, Kota</v>
      </c>
      <c r="S49" s="8">
        <f>'BIO DATA'!AB47:AB250</f>
        <v>0</v>
      </c>
      <c r="T49" s="8" t="str">
        <f>'BIO DATA'!AC47:AC250</f>
        <v>Nanang Yudo Cahyono</v>
      </c>
      <c r="U49" s="8" t="str">
        <f>'BIO DATA'!AD47</f>
        <v>Islam</v>
      </c>
      <c r="V49" s="8" t="str">
        <f>'BIO DATA'!AL47:AL250</f>
        <v>SMA</v>
      </c>
      <c r="W49" s="8" t="str">
        <f>'BIO DATA'!AM47:AM250</f>
        <v>Ibu Rumah Tangga</v>
      </c>
      <c r="X49" s="8" t="str">
        <f>'BIO DATA'!AG47:AG250</f>
        <v>&gt; Rp 2.500.000,00</v>
      </c>
      <c r="Y49" s="69" t="s">
        <v>217</v>
      </c>
      <c r="Z49" s="8">
        <f>'BIO DATA'!AI47:AI250</f>
        <v>0</v>
      </c>
      <c r="AA49" s="8" t="str">
        <f>'BIO DATA'!AJ47:AJ250</f>
        <v>Maftuhah</v>
      </c>
      <c r="AB49" s="8" t="str">
        <f>'BIO DATA'!AK47</f>
        <v>Islam</v>
      </c>
      <c r="AC49" s="8" t="str">
        <f>'BIO DATA'!AL47:AL250</f>
        <v>SMA</v>
      </c>
      <c r="AD49" s="8" t="str">
        <f>'BIO DATA'!AM47:AM250</f>
        <v>Ibu Rumah Tangga</v>
      </c>
      <c r="AE49" s="8">
        <f>'BIO DATA'!AN47:AN250</f>
        <v>0</v>
      </c>
      <c r="AF49" s="52"/>
      <c r="AG49" s="8">
        <f>'BIO DATA'!AP47</f>
        <v>0</v>
      </c>
      <c r="AH49" s="8">
        <f>'BIO DATA'!AZ47</f>
        <v>0</v>
      </c>
      <c r="AI49" s="8" t="str">
        <f>'BIO DATA'!BA47</f>
        <v>Islam</v>
      </c>
      <c r="AJ49" s="8">
        <f>'BIO DATA'!BB47</f>
        <v>0</v>
      </c>
      <c r="AK49" s="8">
        <f>'BIO DATA'!BC47</f>
        <v>0</v>
      </c>
      <c r="AL49" s="8">
        <f>'BIO DATA'!BD47</f>
        <v>0</v>
      </c>
      <c r="AM49" s="8">
        <f>'BIO DATA'!BE47</f>
        <v>0</v>
      </c>
      <c r="AN49" s="8">
        <f>'BIO DATA'!BF47</f>
        <v>0</v>
      </c>
      <c r="AO49" s="8">
        <f>'BIO DATA'!BG47</f>
        <v>0</v>
      </c>
      <c r="AP49" s="53" t="s">
        <v>168</v>
      </c>
    </row>
    <row r="50" spans="1:42" s="54" customFormat="1" ht="20.100000000000001" customHeight="1" thickBot="1">
      <c r="A50" s="19" t="s">
        <v>132</v>
      </c>
      <c r="B50">
        <v>232</v>
      </c>
      <c r="C50" s="90">
        <f>'BIO DATA'!D48</f>
        <v>11372</v>
      </c>
      <c r="D50" s="90" t="str">
        <f>'BIO DATA'!E48</f>
        <v>0107261429</v>
      </c>
      <c r="E50" s="89" t="str">
        <f>'BIO DATA'!F48</f>
        <v>M. Rois Achsanul Huda</v>
      </c>
      <c r="F50" s="49" t="str">
        <f>'BIO DATA'!M48</f>
        <v>Laki-laki</v>
      </c>
      <c r="G50" s="8" t="str">
        <f>'BIO DATA'!N48</f>
        <v>Ogan Komering Ulu</v>
      </c>
      <c r="H50" s="51">
        <f>'BIO DATA'!P48</f>
        <v>40274</v>
      </c>
      <c r="I50" s="49" t="str">
        <f>'BIO DATA'!S48</f>
        <v>Islam</v>
      </c>
      <c r="J50" s="50">
        <f>'BIO DATA'!J48:J210</f>
        <v>1</v>
      </c>
      <c r="K50" s="50">
        <f>'BIO DATA'!K48:K251</f>
        <v>0</v>
      </c>
      <c r="L50" s="8" t="str">
        <f>'BIO DATA'!T48:T210</f>
        <v>Selokraman, KG.III/1034 RT 48 RW 11 Purbayan Kotagede Yogyakarta 55173</v>
      </c>
      <c r="M50" s="8" t="str">
        <f>'BIO DATA'!V48:V251</f>
        <v>Karanggede</v>
      </c>
      <c r="N50" s="8" t="str">
        <f>'BIO DATA'!W48:W251</f>
        <v>Kotagede</v>
      </c>
      <c r="O50" s="8" t="str">
        <f>'BIO DATA'!X48:X251</f>
        <v>Yogyakarta</v>
      </c>
      <c r="P50" s="8" t="str">
        <f>'BIO DATA'!Y48:Y251</f>
        <v>DI Yogyakarta</v>
      </c>
      <c r="Q50" s="8" t="str">
        <f>'BIO DATA'!Z48:Z251</f>
        <v>MTs. Mu'allimin Muh. Yogyakarta</v>
      </c>
      <c r="R50" s="8" t="str">
        <f>'BIO DATA'!AA48:AA251</f>
        <v>Jl. Purbayan, Purbayan, Kec. Kotagede, Kota Yogyakarta, Daerah Istimewa Yogyakarta 55173</v>
      </c>
      <c r="S50" s="8">
        <f>'BIO DATA'!AB48:AB251</f>
        <v>0</v>
      </c>
      <c r="T50" s="8" t="str">
        <f>'BIO DATA'!AC48:AC251</f>
        <v>Heru Suparna</v>
      </c>
      <c r="U50" s="8" t="str">
        <f>'BIO DATA'!AD48</f>
        <v>Islam</v>
      </c>
      <c r="V50" s="8" t="str">
        <f>'BIO DATA'!AL48:AL251</f>
        <v>S1</v>
      </c>
      <c r="W50" s="8" t="str">
        <f>'BIO DATA'!AM48:AM251</f>
        <v>Wiraswasta</v>
      </c>
      <c r="X50" s="8" t="str">
        <f>'BIO DATA'!AG48:AG251</f>
        <v>Antara Rp 2.000.000,00 s.d. Rp 2.500,000,00</v>
      </c>
      <c r="Y50" s="69" t="s">
        <v>217</v>
      </c>
      <c r="Z50" s="8">
        <f>'BIO DATA'!AI48:AI251</f>
        <v>0</v>
      </c>
      <c r="AA50" s="8" t="str">
        <f>'BIO DATA'!AJ48:AJ251</f>
        <v>Nurhayati, S.Ag.</v>
      </c>
      <c r="AB50" s="8" t="str">
        <f>'BIO DATA'!AK48</f>
        <v>Islam</v>
      </c>
      <c r="AC50" s="8" t="str">
        <f>'BIO DATA'!AL48:AL251</f>
        <v>S1</v>
      </c>
      <c r="AD50" s="8" t="str">
        <f>'BIO DATA'!AM48:AM251</f>
        <v>Wiraswasta</v>
      </c>
      <c r="AE50" s="8">
        <f>'BIO DATA'!AN48:AN251</f>
        <v>0</v>
      </c>
      <c r="AF50" s="52"/>
      <c r="AG50" s="8">
        <f>'BIO DATA'!AP48</f>
        <v>0</v>
      </c>
      <c r="AH50" s="8">
        <f>'BIO DATA'!AZ48</f>
        <v>0</v>
      </c>
      <c r="AI50" s="8" t="str">
        <f>'BIO DATA'!BA48</f>
        <v>Islam</v>
      </c>
      <c r="AJ50" s="8">
        <f>'BIO DATA'!BB48</f>
        <v>0</v>
      </c>
      <c r="AK50" s="8">
        <f>'BIO DATA'!BC48</f>
        <v>0</v>
      </c>
      <c r="AL50" s="8">
        <f>'BIO DATA'!BD48</f>
        <v>0</v>
      </c>
      <c r="AM50" s="8">
        <f>'BIO DATA'!BE48</f>
        <v>0</v>
      </c>
      <c r="AN50" s="8">
        <f>'BIO DATA'!BF48</f>
        <v>0</v>
      </c>
      <c r="AO50" s="8">
        <f>'BIO DATA'!BG48</f>
        <v>0</v>
      </c>
      <c r="AP50" s="53" t="s">
        <v>168</v>
      </c>
    </row>
    <row r="51" spans="1:42" s="54" customFormat="1" ht="20.100000000000001" customHeight="1" thickBot="1">
      <c r="A51" s="19" t="s">
        <v>132</v>
      </c>
      <c r="B51">
        <v>241</v>
      </c>
      <c r="C51" s="90">
        <f>'BIO DATA'!D49</f>
        <v>11414</v>
      </c>
      <c r="D51" s="90" t="str">
        <f>'BIO DATA'!E49</f>
        <v>0091062545</v>
      </c>
      <c r="E51" s="89" t="str">
        <f>'BIO DATA'!F49</f>
        <v>Muh Farrel Rakha Rajendra M</v>
      </c>
      <c r="F51" s="49" t="str">
        <f>'BIO DATA'!M49</f>
        <v>Laki-laki</v>
      </c>
      <c r="G51" s="8" t="str">
        <f>'BIO DATA'!N49</f>
        <v>Magelang</v>
      </c>
      <c r="H51" s="51">
        <f>'BIO DATA'!P49</f>
        <v>39963</v>
      </c>
      <c r="I51" s="49" t="str">
        <f>'BIO DATA'!S49</f>
        <v>Islam</v>
      </c>
      <c r="J51" s="50">
        <f>'BIO DATA'!J49:J210</f>
        <v>2</v>
      </c>
      <c r="K51" s="50">
        <f>'BIO DATA'!K49:K252</f>
        <v>2</v>
      </c>
      <c r="L51" s="8" t="str">
        <f>'BIO DATA'!T49:T210</f>
        <v>Jalan Retnodumilah 52 c KG Yogyakarta 55171</v>
      </c>
      <c r="M51" s="8" t="str">
        <f>'BIO DATA'!V49:V252</f>
        <v>Rejowinangun</v>
      </c>
      <c r="N51" s="8" t="str">
        <f>'BIO DATA'!W49:W252</f>
        <v>Kotagede</v>
      </c>
      <c r="O51" s="8" t="str">
        <f>'BIO DATA'!X49:X252</f>
        <v>Yogyakarta</v>
      </c>
      <c r="P51" s="8" t="str">
        <f>'BIO DATA'!Y49:Y252</f>
        <v>DI Yogyakarta</v>
      </c>
      <c r="Q51" s="8" t="str">
        <f>'BIO DATA'!Z49:Z252</f>
        <v>MTs. Mu'allimin Muh. Yogyakarta</v>
      </c>
      <c r="R51" s="8" t="str">
        <f>'BIO DATA'!AA49:AA252</f>
        <v>Jl. Serma Taruna Ramli No.3, Kotabaru, Kec. Gondokusuman, Kota Yogyakarta, Daerah Istimewa Yogyakarta</v>
      </c>
      <c r="S51" s="8">
        <f>'BIO DATA'!AB49:AB252</f>
        <v>0</v>
      </c>
      <c r="T51" s="8" t="str">
        <f>'BIO DATA'!AC49:AC252</f>
        <v>Zaki Himawan</v>
      </c>
      <c r="U51" s="8" t="str">
        <f>'BIO DATA'!AD49</f>
        <v>Islam</v>
      </c>
      <c r="V51" s="8" t="str">
        <f>'BIO DATA'!AL49:AL252</f>
        <v>S1</v>
      </c>
      <c r="W51" s="8" t="str">
        <f>'BIO DATA'!AM49:AM252</f>
        <v>Ibu Rumah Tangga</v>
      </c>
      <c r="X51" s="8" t="str">
        <f>'BIO DATA'!AG49:AG252</f>
        <v>&gt; Rp 2.500.000,00</v>
      </c>
      <c r="Y51" s="69" t="s">
        <v>217</v>
      </c>
      <c r="Z51" s="8">
        <f>'BIO DATA'!AI49:AI252</f>
        <v>0</v>
      </c>
      <c r="AA51" s="8" t="str">
        <f>'BIO DATA'!AJ49:AJ252</f>
        <v>Lenny Yanuaningrum</v>
      </c>
      <c r="AB51" s="8" t="str">
        <f>'BIO DATA'!AK49</f>
        <v>Islam</v>
      </c>
      <c r="AC51" s="8" t="str">
        <f>'BIO DATA'!AL49:AL252</f>
        <v>S1</v>
      </c>
      <c r="AD51" s="8" t="str">
        <f>'BIO DATA'!AM49:AM252</f>
        <v>Ibu Rumah Tangga</v>
      </c>
      <c r="AE51" s="8">
        <f>'BIO DATA'!AN49:AN252</f>
        <v>0</v>
      </c>
      <c r="AF51" s="52"/>
      <c r="AG51" s="8">
        <f>'BIO DATA'!AP49</f>
        <v>0</v>
      </c>
      <c r="AH51" s="8">
        <f>'BIO DATA'!AZ49</f>
        <v>0</v>
      </c>
      <c r="AI51" s="8" t="str">
        <f>'BIO DATA'!BA49</f>
        <v>Islam</v>
      </c>
      <c r="AJ51" s="8">
        <f>'BIO DATA'!BB49</f>
        <v>0</v>
      </c>
      <c r="AK51" s="8">
        <f>'BIO DATA'!BC49</f>
        <v>0</v>
      </c>
      <c r="AL51" s="8">
        <f>'BIO DATA'!BD49</f>
        <v>0</v>
      </c>
      <c r="AM51" s="8">
        <f>'BIO DATA'!BE49</f>
        <v>0</v>
      </c>
      <c r="AN51" s="8">
        <f>'BIO DATA'!BF49</f>
        <v>0</v>
      </c>
      <c r="AO51" s="8">
        <f>'BIO DATA'!BG49</f>
        <v>0</v>
      </c>
      <c r="AP51" s="53" t="s">
        <v>168</v>
      </c>
    </row>
    <row r="52" spans="1:42" s="54" customFormat="1" ht="20.100000000000001" customHeight="1" thickBot="1">
      <c r="A52" s="19" t="s">
        <v>132</v>
      </c>
      <c r="B52">
        <v>259</v>
      </c>
      <c r="C52" s="90">
        <f>'BIO DATA'!D50</f>
        <v>11397</v>
      </c>
      <c r="D52" s="90" t="str">
        <f>'BIO DATA'!E50</f>
        <v>3094859829</v>
      </c>
      <c r="E52" s="89" t="str">
        <f>'BIO DATA'!F50</f>
        <v>Muhammad Afkar Raziq</v>
      </c>
      <c r="F52" s="49" t="str">
        <f>'BIO DATA'!M50</f>
        <v>Laki-laki</v>
      </c>
      <c r="G52" s="8" t="str">
        <f>'BIO DATA'!N50</f>
        <v>Yogyakarta</v>
      </c>
      <c r="H52" s="51">
        <f>'BIO DATA'!P50</f>
        <v>40157</v>
      </c>
      <c r="I52" s="49" t="str">
        <f>'BIO DATA'!S50</f>
        <v>Islam</v>
      </c>
      <c r="J52" s="50">
        <f>'BIO DATA'!J50:J212</f>
        <v>3</v>
      </c>
      <c r="K52" s="50">
        <f>'BIO DATA'!K50:K253</f>
        <v>2</v>
      </c>
      <c r="L52" s="8" t="str">
        <f>'BIO DATA'!T50:T212</f>
        <v>Jalan Pemuda 3 No. 8 RT 013 RW 002 kel. Rawamangun Kec. Pulogadung Jakarta Timur, DKI Jakarta, 13220</v>
      </c>
      <c r="M52" s="8" t="str">
        <f>'BIO DATA'!V50:V253</f>
        <v>Rawamangun</v>
      </c>
      <c r="N52" s="8" t="str">
        <f>'BIO DATA'!W50:W253</f>
        <v>Pulogadung</v>
      </c>
      <c r="O52" s="8" t="str">
        <f>'BIO DATA'!X50:X253</f>
        <v>Jakarta Timur</v>
      </c>
      <c r="P52" s="8" t="str">
        <f>'BIO DATA'!Y50:Y253</f>
        <v>DKI Jakarta</v>
      </c>
      <c r="Q52" s="8" t="str">
        <f>'BIO DATA'!Z50:Z253</f>
        <v>MTs. Mu'allimin Muh. Yogyakarta</v>
      </c>
      <c r="R52" s="8" t="str">
        <f>'BIO DATA'!AA50:AA253</f>
        <v>RT.13/RW.3, Kayu Putih, Kec. Pulo Gadung, Kota Jakarta Timur, Daerah Khusus Ibukota Jakarta 13210</v>
      </c>
      <c r="S52" s="8">
        <f>'BIO DATA'!AB50:AB253</f>
        <v>0</v>
      </c>
      <c r="T52" s="8" t="str">
        <f>'BIO DATA'!AC50:AC253</f>
        <v>Nurul Haq</v>
      </c>
      <c r="U52" s="8" t="str">
        <f>'BIO DATA'!AD50</f>
        <v>Islam</v>
      </c>
      <c r="V52" s="8" t="str">
        <f>'BIO DATA'!AL50:AL253</f>
        <v>S1</v>
      </c>
      <c r="W52" s="8" t="str">
        <f>'BIO DATA'!AM50:AM253</f>
        <v>Ibu Rumah Tangga</v>
      </c>
      <c r="X52" s="8" t="str">
        <f>'BIO DATA'!AG50:AG253</f>
        <v>&gt; Rp 2.500.000,00</v>
      </c>
      <c r="Y52" s="69" t="s">
        <v>217</v>
      </c>
      <c r="Z52" s="8">
        <f>'BIO DATA'!AI50:AI253</f>
        <v>0</v>
      </c>
      <c r="AA52" s="8" t="str">
        <f>'BIO DATA'!AJ50:AJ253</f>
        <v>Noer Hikmah</v>
      </c>
      <c r="AB52" s="8" t="str">
        <f>'BIO DATA'!AK50</f>
        <v>Islam</v>
      </c>
      <c r="AC52" s="8" t="str">
        <f>'BIO DATA'!AL50:AL253</f>
        <v>S1</v>
      </c>
      <c r="AD52" s="8" t="str">
        <f>'BIO DATA'!AM50:AM253</f>
        <v>Ibu Rumah Tangga</v>
      </c>
      <c r="AE52" s="8">
        <f>'BIO DATA'!AN50:AN253</f>
        <v>0</v>
      </c>
      <c r="AF52" s="52"/>
      <c r="AG52" s="8">
        <f>'BIO DATA'!AP50</f>
        <v>0</v>
      </c>
      <c r="AH52" s="8">
        <f>'BIO DATA'!AZ50</f>
        <v>0</v>
      </c>
      <c r="AI52" s="8" t="str">
        <f>'BIO DATA'!BA50</f>
        <v>Islam</v>
      </c>
      <c r="AJ52" s="8">
        <f>'BIO DATA'!BB50</f>
        <v>0</v>
      </c>
      <c r="AK52" s="8">
        <f>'BIO DATA'!BC50</f>
        <v>0</v>
      </c>
      <c r="AL52" s="8">
        <f>'BIO DATA'!BD50</f>
        <v>0</v>
      </c>
      <c r="AM52" s="8">
        <f>'BIO DATA'!BE50</f>
        <v>0</v>
      </c>
      <c r="AN52" s="8">
        <f>'BIO DATA'!BF50</f>
        <v>0</v>
      </c>
      <c r="AO52" s="8">
        <f>'BIO DATA'!BG50</f>
        <v>0</v>
      </c>
      <c r="AP52" s="53" t="s">
        <v>168</v>
      </c>
    </row>
    <row r="53" spans="1:42" s="54" customFormat="1" ht="20.100000000000001" customHeight="1" thickBot="1">
      <c r="A53" s="19" t="s">
        <v>132</v>
      </c>
      <c r="B53">
        <v>270</v>
      </c>
      <c r="C53" s="90">
        <f>'BIO DATA'!D51</f>
        <v>11391</v>
      </c>
      <c r="D53" s="90" t="str">
        <f>'BIO DATA'!E51</f>
        <v>0097864718</v>
      </c>
      <c r="E53" s="89" t="str">
        <f>'BIO DATA'!F51</f>
        <v>Muhammad Archard Abbasy</v>
      </c>
      <c r="F53" s="49" t="str">
        <f>'BIO DATA'!M51</f>
        <v>Laki-laki</v>
      </c>
      <c r="G53" s="8" t="str">
        <f>'BIO DATA'!N51</f>
        <v>Yogyakarta</v>
      </c>
      <c r="H53" s="51">
        <f>'BIO DATA'!P51</f>
        <v>39982</v>
      </c>
      <c r="I53" s="49" t="str">
        <f>'BIO DATA'!S51</f>
        <v>Islam</v>
      </c>
      <c r="J53" s="50">
        <f>'BIO DATA'!J51:J213</f>
        <v>1</v>
      </c>
      <c r="K53" s="50">
        <f>'BIO DATA'!K51:K254</f>
        <v>1</v>
      </c>
      <c r="L53" s="8" t="str">
        <f>'BIO DATA'!T51:T213</f>
        <v>Perum Puri Mojobaru Blok Aa22, Canggu, Jetis, Mojokerto Jawa Timur 61352</v>
      </c>
      <c r="M53" s="8" t="str">
        <f>'BIO DATA'!V51:V254</f>
        <v>Canggu</v>
      </c>
      <c r="N53" s="8" t="str">
        <f>'BIO DATA'!W51:W254</f>
        <v>Jetis</v>
      </c>
      <c r="O53" s="8" t="str">
        <f>'BIO DATA'!X51:X254</f>
        <v>Mojokerto</v>
      </c>
      <c r="P53" s="8" t="str">
        <f>'BIO DATA'!Y51:Y254</f>
        <v>Jawa Timur</v>
      </c>
      <c r="Q53" s="8" t="str">
        <f>'BIO DATA'!Z51:Z254</f>
        <v>MTs. Mu'allimin Muh. Yogyakarta</v>
      </c>
      <c r="R53" s="8" t="str">
        <f>'BIO DATA'!AA51:AA254</f>
        <v>Jl. Mayjen Bambang Yuwono, Temenggungan, Bakungtemenggungan, Kec. BalongBendo, Kabupaten Sidoarjo, Jawa Timur 61263</v>
      </c>
      <c r="S53" s="8">
        <f>'BIO DATA'!AB51:AB254</f>
        <v>0</v>
      </c>
      <c r="T53" s="8" t="str">
        <f>'BIO DATA'!AC51:AC254</f>
        <v>Tommy Andhik Wibowo</v>
      </c>
      <c r="U53" s="8" t="str">
        <f>'BIO DATA'!AD51</f>
        <v>Islam</v>
      </c>
      <c r="V53" s="8" t="str">
        <f>'BIO DATA'!AL51:AL254</f>
        <v>S1</v>
      </c>
      <c r="W53" s="8" t="str">
        <f>'BIO DATA'!AM51:AM254</f>
        <v>Lainnya</v>
      </c>
      <c r="X53" s="8">
        <f>'BIO DATA'!AG51:AG254</f>
        <v>0</v>
      </c>
      <c r="Y53" s="69" t="s">
        <v>217</v>
      </c>
      <c r="Z53" s="8">
        <f>'BIO DATA'!AI51:AI254</f>
        <v>0</v>
      </c>
      <c r="AA53" s="8" t="str">
        <f>'BIO DATA'!AJ51:AJ254</f>
        <v>Maria Ulfa</v>
      </c>
      <c r="AB53" s="8" t="str">
        <f>'BIO DATA'!AK51</f>
        <v>Islam</v>
      </c>
      <c r="AC53" s="8" t="str">
        <f>'BIO DATA'!AL51:AL254</f>
        <v>S1</v>
      </c>
      <c r="AD53" s="8" t="str">
        <f>'BIO DATA'!AM51:AM254</f>
        <v>Lainnya</v>
      </c>
      <c r="AE53" s="8" t="str">
        <f>'BIO DATA'!AN51:AN254</f>
        <v>&gt; Rp 2.500.000,00</v>
      </c>
      <c r="AF53" s="52"/>
      <c r="AG53" s="8">
        <f>'BIO DATA'!AP51</f>
        <v>0</v>
      </c>
      <c r="AH53" s="8">
        <f>'BIO DATA'!AZ51</f>
        <v>0</v>
      </c>
      <c r="AI53" s="8" t="str">
        <f>'BIO DATA'!BA51</f>
        <v>Islam</v>
      </c>
      <c r="AJ53" s="8">
        <f>'BIO DATA'!BB51</f>
        <v>0</v>
      </c>
      <c r="AK53" s="8">
        <f>'BIO DATA'!BC51</f>
        <v>0</v>
      </c>
      <c r="AL53" s="8">
        <f>'BIO DATA'!BD51</f>
        <v>0</v>
      </c>
      <c r="AM53" s="8">
        <f>'BIO DATA'!BE51</f>
        <v>0</v>
      </c>
      <c r="AN53" s="8">
        <f>'BIO DATA'!BF51</f>
        <v>0</v>
      </c>
      <c r="AO53" s="8">
        <f>'BIO DATA'!BG51</f>
        <v>0</v>
      </c>
      <c r="AP53" s="53" t="s">
        <v>168</v>
      </c>
    </row>
    <row r="54" spans="1:42" s="54" customFormat="1" ht="20.100000000000001" customHeight="1" thickBot="1">
      <c r="A54" s="19" t="s">
        <v>132</v>
      </c>
      <c r="B54">
        <v>283</v>
      </c>
      <c r="C54" s="90">
        <f>'BIO DATA'!D52</f>
        <v>11408</v>
      </c>
      <c r="D54" s="90" t="str">
        <f>'BIO DATA'!E52</f>
        <v>0109618634</v>
      </c>
      <c r="E54" s="89" t="str">
        <f>'BIO DATA'!F52</f>
        <v>Muhammad Faisal Akbar</v>
      </c>
      <c r="F54" s="49" t="str">
        <f>'BIO DATA'!M52</f>
        <v>Laki-laki</v>
      </c>
      <c r="G54" s="8" t="str">
        <f>'BIO DATA'!N52</f>
        <v>Jakarta</v>
      </c>
      <c r="H54" s="51">
        <f>'BIO DATA'!P52</f>
        <v>40354</v>
      </c>
      <c r="I54" s="49" t="str">
        <f>'BIO DATA'!S52</f>
        <v>Islam</v>
      </c>
      <c r="J54" s="50">
        <f>'BIO DATA'!J52:J214</f>
        <v>1</v>
      </c>
      <c r="K54" s="50">
        <f>'BIO DATA'!K52:K255</f>
        <v>1</v>
      </c>
      <c r="L54" s="8" t="str">
        <f>'BIO DATA'!T52:T214</f>
        <v>Wirobrajan WB II/ 335, Wirobrajan, Yogyakarta 55252</v>
      </c>
      <c r="M54" s="8" t="str">
        <f>'BIO DATA'!V52:V255</f>
        <v>Wirobrajan</v>
      </c>
      <c r="N54" s="8" t="str">
        <f>'BIO DATA'!W52:W255</f>
        <v>Wirobrajan</v>
      </c>
      <c r="O54" s="8" t="str">
        <f>'BIO DATA'!X52:X255</f>
        <v>Kota Yogyakarta</v>
      </c>
      <c r="P54" s="8" t="str">
        <f>'BIO DATA'!Y52:Y255</f>
        <v>DI Yogyakarta</v>
      </c>
      <c r="Q54" s="8" t="str">
        <f>'BIO DATA'!Z52:Z255</f>
        <v>MTs. Mu'allimin Muh. Yogyakarta</v>
      </c>
      <c r="R54" s="8" t="str">
        <f>'BIO DATA'!AA52:AA255</f>
        <v>Jl. Gatotkaca No.19A, Wirobrajan, Kota Yogyakarta, Daerah Istimewa Yogyakarta 55252</v>
      </c>
      <c r="S54" s="8">
        <f>'BIO DATA'!AB52:AB255</f>
        <v>0</v>
      </c>
      <c r="T54" s="8" t="str">
        <f>'BIO DATA'!AC52:AC255</f>
        <v>Samsyul Bukhari</v>
      </c>
      <c r="U54" s="8" t="str">
        <f>'BIO DATA'!AD52</f>
        <v>Islam</v>
      </c>
      <c r="V54" s="8" t="str">
        <f>'BIO DATA'!AL52:AL255</f>
        <v>S1</v>
      </c>
      <c r="W54" s="8" t="str">
        <f>'BIO DATA'!AM52:AM255</f>
        <v>Wiraswasta</v>
      </c>
      <c r="X54" s="8" t="str">
        <f>'BIO DATA'!AG52:AG255</f>
        <v>&gt; Rp 2.500.000,00</v>
      </c>
      <c r="Y54" s="69" t="s">
        <v>217</v>
      </c>
      <c r="Z54" s="8">
        <f>'BIO DATA'!AI52:AI255</f>
        <v>0</v>
      </c>
      <c r="AA54" s="8" t="str">
        <f>'BIO DATA'!AJ52:AJ255</f>
        <v>Yunika Sapta Savanty</v>
      </c>
      <c r="AB54" s="8" t="str">
        <f>'BIO DATA'!AK52</f>
        <v>Islam</v>
      </c>
      <c r="AC54" s="8" t="str">
        <f>'BIO DATA'!AL52:AL255</f>
        <v>S1</v>
      </c>
      <c r="AD54" s="8" t="str">
        <f>'BIO DATA'!AM52:AM255</f>
        <v>Wiraswasta</v>
      </c>
      <c r="AE54" s="8">
        <f>'BIO DATA'!AN52:AN255</f>
        <v>0</v>
      </c>
      <c r="AF54" s="52"/>
      <c r="AG54" s="8">
        <f>'BIO DATA'!AP52</f>
        <v>0</v>
      </c>
      <c r="AH54" s="8">
        <f>'BIO DATA'!AZ52</f>
        <v>0</v>
      </c>
      <c r="AI54" s="8" t="str">
        <f>'BIO DATA'!BA52</f>
        <v>Islam</v>
      </c>
      <c r="AJ54" s="8">
        <f>'BIO DATA'!BB52</f>
        <v>0</v>
      </c>
      <c r="AK54" s="8">
        <f>'BIO DATA'!BC52</f>
        <v>0</v>
      </c>
      <c r="AL54" s="8">
        <f>'BIO DATA'!BD52</f>
        <v>0</v>
      </c>
      <c r="AM54" s="8">
        <f>'BIO DATA'!BE52</f>
        <v>0</v>
      </c>
      <c r="AN54" s="8">
        <f>'BIO DATA'!BF52</f>
        <v>0</v>
      </c>
      <c r="AO54" s="8">
        <f>'BIO DATA'!BG52</f>
        <v>0</v>
      </c>
      <c r="AP54" s="53" t="s">
        <v>168</v>
      </c>
    </row>
    <row r="55" spans="1:42" s="54" customFormat="1" ht="20.100000000000001" customHeight="1" thickBot="1">
      <c r="A55" s="19" t="s">
        <v>132</v>
      </c>
      <c r="B55">
        <v>290</v>
      </c>
      <c r="C55" s="90">
        <f>'BIO DATA'!D53</f>
        <v>11412</v>
      </c>
      <c r="D55" s="90" t="str">
        <f>'BIO DATA'!E53</f>
        <v>0094745239</v>
      </c>
      <c r="E55" s="89" t="str">
        <f>'BIO DATA'!F53</f>
        <v>Muhammad Faiz Sholehuddin</v>
      </c>
      <c r="F55" s="49" t="str">
        <f>'BIO DATA'!M53</f>
        <v>Laki-laki</v>
      </c>
      <c r="G55" s="8" t="str">
        <f>'BIO DATA'!N53</f>
        <v>Sidoarjo</v>
      </c>
      <c r="H55" s="51">
        <f>'BIO DATA'!P53</f>
        <v>40163</v>
      </c>
      <c r="I55" s="49" t="str">
        <f>'BIO DATA'!S53</f>
        <v>Islam</v>
      </c>
      <c r="J55" s="50">
        <f>'BIO DATA'!J53:J215</f>
        <v>2</v>
      </c>
      <c r="K55" s="50">
        <f>'BIO DATA'!K53:K256</f>
        <v>2</v>
      </c>
      <c r="L55" s="8" t="str">
        <f>'BIO DATA'!T53:T215</f>
        <v>Perum Bintang Alam Blok E 2 No. 31 RT. 45 RW. 11 Telukjambe Timur Karawang, Jawa Barat, 41361</v>
      </c>
      <c r="M55" s="8" t="str">
        <f>'BIO DATA'!V53:V256</f>
        <v>Telukjambe Timur</v>
      </c>
      <c r="N55" s="8" t="str">
        <f>'BIO DATA'!W53:W256</f>
        <v>Karawang</v>
      </c>
      <c r="O55" s="8" t="str">
        <f>'BIO DATA'!X53:X256</f>
        <v>Karawang</v>
      </c>
      <c r="P55" s="8" t="str">
        <f>'BIO DATA'!Y53:Y256</f>
        <v>Jawa Barat</v>
      </c>
      <c r="Q55" s="8" t="str">
        <f>'BIO DATA'!Z53:Z256</f>
        <v>MTs. Mu'allimin Muh. Yogyakarta</v>
      </c>
      <c r="R55" s="8" t="str">
        <f>'BIO DATA'!AA53:AA256</f>
        <v>Jl. Pakuncen No.184, Sukaharja, Telukjambe Timur, Karawang, Jawa Barat 41361</v>
      </c>
      <c r="S55" s="8">
        <f>'BIO DATA'!AB53:AB256</f>
        <v>0</v>
      </c>
      <c r="T55" s="8" t="str">
        <f>'BIO DATA'!AC53:AC256</f>
        <v>Teguh Nugroho</v>
      </c>
      <c r="U55" s="8" t="str">
        <f>'BIO DATA'!AD53</f>
        <v>Islam</v>
      </c>
      <c r="V55" s="8" t="str">
        <f>'BIO DATA'!AL53:AL256</f>
        <v>Diploma</v>
      </c>
      <c r="W55" s="8" t="str">
        <f>'BIO DATA'!AM53:AM256</f>
        <v>Ibu Rumah Tangga</v>
      </c>
      <c r="X55" s="8" t="str">
        <f>'BIO DATA'!AG53:AG256</f>
        <v>&gt; Rp 2.500.000,00</v>
      </c>
      <c r="Y55" s="69" t="s">
        <v>217</v>
      </c>
      <c r="Z55" s="8">
        <f>'BIO DATA'!AI53:AI256</f>
        <v>0</v>
      </c>
      <c r="AA55" s="8" t="str">
        <f>'BIO DATA'!AJ53:AJ256</f>
        <v>Novi Amalia</v>
      </c>
      <c r="AB55" s="8" t="str">
        <f>'BIO DATA'!AK53</f>
        <v>Islam</v>
      </c>
      <c r="AC55" s="8" t="str">
        <f>'BIO DATA'!AL53:AL256</f>
        <v>Diploma</v>
      </c>
      <c r="AD55" s="8" t="str">
        <f>'BIO DATA'!AM53:AM256</f>
        <v>Ibu Rumah Tangga</v>
      </c>
      <c r="AE55" s="8">
        <f>'BIO DATA'!AN53:AN256</f>
        <v>0</v>
      </c>
      <c r="AF55" s="52"/>
      <c r="AG55" s="8">
        <f>'BIO DATA'!AP53</f>
        <v>0</v>
      </c>
      <c r="AH55" s="8">
        <f>'BIO DATA'!AZ53</f>
        <v>0</v>
      </c>
      <c r="AI55" s="8" t="str">
        <f>'BIO DATA'!BA53</f>
        <v>Islam</v>
      </c>
      <c r="AJ55" s="8">
        <f>'BIO DATA'!BB53</f>
        <v>0</v>
      </c>
      <c r="AK55" s="8">
        <f>'BIO DATA'!BC53</f>
        <v>0</v>
      </c>
      <c r="AL55" s="8">
        <f>'BIO DATA'!BD53</f>
        <v>0</v>
      </c>
      <c r="AM55" s="8">
        <f>'BIO DATA'!BE53</f>
        <v>0</v>
      </c>
      <c r="AN55" s="8">
        <f>'BIO DATA'!BF53</f>
        <v>0</v>
      </c>
      <c r="AO55" s="8">
        <f>'BIO DATA'!BG53</f>
        <v>0</v>
      </c>
      <c r="AP55" s="53" t="s">
        <v>168</v>
      </c>
    </row>
    <row r="56" spans="1:42" s="54" customFormat="1" ht="20.100000000000001" customHeight="1" thickBot="1">
      <c r="A56" s="19" t="s">
        <v>132</v>
      </c>
      <c r="B56">
        <v>291</v>
      </c>
      <c r="C56" s="90">
        <f>'BIO DATA'!D54</f>
        <v>11419</v>
      </c>
      <c r="D56" s="90" t="str">
        <f>'BIO DATA'!E54</f>
        <v>0115041337</v>
      </c>
      <c r="E56" s="89" t="str">
        <f>'BIO DATA'!F54</f>
        <v>Muhammad Fikri Adnan</v>
      </c>
      <c r="F56" s="49" t="str">
        <f>'BIO DATA'!M54</f>
        <v>Laki-laki</v>
      </c>
      <c r="G56" s="8" t="str">
        <f>'BIO DATA'!N54</f>
        <v>Sleman</v>
      </c>
      <c r="H56" s="51">
        <f>'BIO DATA'!P54</f>
        <v>39970</v>
      </c>
      <c r="I56" s="49" t="str">
        <f>'BIO DATA'!S54</f>
        <v>Islam</v>
      </c>
      <c r="J56" s="50">
        <f>'BIO DATA'!J54:J216</f>
        <v>2</v>
      </c>
      <c r="K56" s="50">
        <f>'BIO DATA'!K54:K257</f>
        <v>4</v>
      </c>
      <c r="L56" s="8" t="str">
        <f>'BIO DATA'!T54:T216</f>
        <v>Jl Soekarno Hatta No.31 RT.005 RW.002, Anggut Atas, Ratu Samban, Kota Bengkulu, Bengkulu 38222</v>
      </c>
      <c r="M56" s="8" t="str">
        <f>'BIO DATA'!V54:V257</f>
        <v>Anggut Atas</v>
      </c>
      <c r="N56" s="8" t="str">
        <f>'BIO DATA'!W54:W257</f>
        <v>Ratu Samban</v>
      </c>
      <c r="O56" s="8" t="str">
        <f>'BIO DATA'!X54:X257</f>
        <v>Kota Bengkulu</v>
      </c>
      <c r="P56" s="8" t="str">
        <f>'BIO DATA'!Y54:Y257</f>
        <v>Bengkulu</v>
      </c>
      <c r="Q56" s="8" t="str">
        <f>'BIO DATA'!Z54:Z257</f>
        <v>MTs. Mu'allimin Muh. Yogyakarta</v>
      </c>
      <c r="R56" s="8" t="str">
        <f>'BIO DATA'!AA54:AA257</f>
        <v>Jl. Semeru No.22, RT.13/RW.IV, Sawah Lebar, Kec. Ratu Agung, Kota Bengkulu, Bengkulu 38222</v>
      </c>
      <c r="S56" s="8">
        <f>'BIO DATA'!AB54:AB257</f>
        <v>0</v>
      </c>
      <c r="T56" s="8" t="str">
        <f>'BIO DATA'!AC54:AC257</f>
        <v>Fakhruddin</v>
      </c>
      <c r="U56" s="8" t="str">
        <f>'BIO DATA'!AD54</f>
        <v>Islam</v>
      </c>
      <c r="V56" s="8" t="str">
        <f>'BIO DATA'!AL54:AL257</f>
        <v>S1</v>
      </c>
      <c r="W56" s="8" t="str">
        <f>'BIO DATA'!AM54:AM257</f>
        <v>PNS</v>
      </c>
      <c r="X56" s="8" t="str">
        <f>'BIO DATA'!AG54:AG257</f>
        <v>&gt; Rp 2.500.000,00</v>
      </c>
      <c r="Y56" s="69" t="s">
        <v>217</v>
      </c>
      <c r="Z56" s="8">
        <f>'BIO DATA'!AI54:AI257</f>
        <v>0</v>
      </c>
      <c r="AA56" s="8" t="str">
        <f>'BIO DATA'!AJ54:AJ257</f>
        <v>Mey Ida Magdalena</v>
      </c>
      <c r="AB56" s="8" t="str">
        <f>'BIO DATA'!AK54</f>
        <v>Islam</v>
      </c>
      <c r="AC56" s="8" t="str">
        <f>'BIO DATA'!AL54:AL257</f>
        <v>S1</v>
      </c>
      <c r="AD56" s="8" t="str">
        <f>'BIO DATA'!AM54:AM257</f>
        <v>PNS</v>
      </c>
      <c r="AE56" s="8">
        <f>'BIO DATA'!AN54:AN257</f>
        <v>0</v>
      </c>
      <c r="AF56" s="52"/>
      <c r="AG56" s="8">
        <f>'BIO DATA'!AP54</f>
        <v>0</v>
      </c>
      <c r="AH56" s="8">
        <f>'BIO DATA'!AZ54</f>
        <v>0</v>
      </c>
      <c r="AI56" s="8" t="str">
        <f>'BIO DATA'!BA54</f>
        <v>Islam</v>
      </c>
      <c r="AJ56" s="8">
        <f>'BIO DATA'!BB54</f>
        <v>0</v>
      </c>
      <c r="AK56" s="8">
        <f>'BIO DATA'!BC54</f>
        <v>0</v>
      </c>
      <c r="AL56" s="8">
        <f>'BIO DATA'!BD54</f>
        <v>0</v>
      </c>
      <c r="AM56" s="8">
        <f>'BIO DATA'!BE54</f>
        <v>0</v>
      </c>
      <c r="AN56" s="8">
        <f>'BIO DATA'!BF54</f>
        <v>0</v>
      </c>
      <c r="AO56" s="8">
        <f>'BIO DATA'!BG54</f>
        <v>0</v>
      </c>
      <c r="AP56" s="53" t="s">
        <v>168</v>
      </c>
    </row>
    <row r="57" spans="1:42" s="54" customFormat="1" ht="20.100000000000001" customHeight="1" thickBot="1">
      <c r="A57" s="19" t="s">
        <v>132</v>
      </c>
      <c r="B57">
        <v>299</v>
      </c>
      <c r="C57" s="90">
        <f>'BIO DATA'!D55</f>
        <v>11437</v>
      </c>
      <c r="D57" s="90" t="str">
        <f>'BIO DATA'!E55</f>
        <v>0101853554</v>
      </c>
      <c r="E57" s="89" t="str">
        <f>'BIO DATA'!F55</f>
        <v>Muhammad Nabil Hakim Nugroho</v>
      </c>
      <c r="F57" s="49" t="str">
        <f>'BIO DATA'!M55</f>
        <v>Laki-laki</v>
      </c>
      <c r="G57" s="8" t="str">
        <f>'BIO DATA'!N55</f>
        <v>Pasuruan</v>
      </c>
      <c r="H57" s="51">
        <f>'BIO DATA'!P55</f>
        <v>40210</v>
      </c>
      <c r="I57" s="49" t="str">
        <f>'BIO DATA'!S55</f>
        <v>Islam</v>
      </c>
      <c r="J57" s="50">
        <f>'BIO DATA'!J55:J217</f>
        <v>1</v>
      </c>
      <c r="K57" s="50">
        <f>'BIO DATA'!K55:K258</f>
        <v>1</v>
      </c>
      <c r="L57" s="8" t="str">
        <f>'BIO DATA'!T55:T217</f>
        <v>Perumahan Griya Mangli Indah Blok EE No 35 RT. 02 RW. 05, Desa Mangli, Kec. Kaliwates, Kab. Jember Jawa Timur 68136</v>
      </c>
      <c r="M57" s="8" t="str">
        <f>'BIO DATA'!V55:V258</f>
        <v>Mangli</v>
      </c>
      <c r="N57" s="8" t="str">
        <f>'BIO DATA'!W55:W258</f>
        <v>Kaliwates</v>
      </c>
      <c r="O57" s="8" t="str">
        <f>'BIO DATA'!X55:X258</f>
        <v>Jember</v>
      </c>
      <c r="P57" s="8" t="str">
        <f>'BIO DATA'!Y55:Y258</f>
        <v>Jawa Timur</v>
      </c>
      <c r="Q57" s="8" t="str">
        <f>'BIO DATA'!Z55:Z258</f>
        <v>MTs. Mu'allimin Muh. Yogyakarta</v>
      </c>
      <c r="R57" s="8" t="str">
        <f>'BIO DATA'!AA55:AA258</f>
        <v>Jl. Mastrip No.2, Krajan Timur, Sumbersari, Kec. Sumbersari, Kabupaten Jember, Jawa Timur 68124</v>
      </c>
      <c r="S57" s="8">
        <f>'BIO DATA'!AB55:AB258</f>
        <v>0</v>
      </c>
      <c r="T57" s="8" t="str">
        <f>'BIO DATA'!AC55:AC258</f>
        <v>Kasman</v>
      </c>
      <c r="U57" s="8" t="str">
        <f>'BIO DATA'!AD55</f>
        <v>Islam</v>
      </c>
      <c r="V57" s="8" t="str">
        <f>'BIO DATA'!AL55:AL258</f>
        <v>S1</v>
      </c>
      <c r="W57" s="8" t="str">
        <f>'BIO DATA'!AM55:AM258</f>
        <v>PNS</v>
      </c>
      <c r="X57" s="8" t="str">
        <f>'BIO DATA'!AG55:AG258</f>
        <v>&gt; Rp 2.500.000,00</v>
      </c>
      <c r="Y57" s="69" t="s">
        <v>217</v>
      </c>
      <c r="Z57" s="8">
        <f>'BIO DATA'!AI55:AI258</f>
        <v>0</v>
      </c>
      <c r="AA57" s="8" t="str">
        <f>'BIO DATA'!AJ55:AJ258</f>
        <v>Lilik Umu Hanik</v>
      </c>
      <c r="AB57" s="8" t="str">
        <f>'BIO DATA'!AK55</f>
        <v>Islam</v>
      </c>
      <c r="AC57" s="8" t="str">
        <f>'BIO DATA'!AL55:AL258</f>
        <v>S1</v>
      </c>
      <c r="AD57" s="8" t="str">
        <f>'BIO DATA'!AM55:AM258</f>
        <v>PNS</v>
      </c>
      <c r="AE57" s="8">
        <f>'BIO DATA'!AN55:AN258</f>
        <v>0</v>
      </c>
      <c r="AF57" s="52"/>
      <c r="AG57" s="8">
        <f>'BIO DATA'!AP55</f>
        <v>0</v>
      </c>
      <c r="AH57" s="8">
        <f>'BIO DATA'!AZ55</f>
        <v>0</v>
      </c>
      <c r="AI57" s="8" t="str">
        <f>'BIO DATA'!BA55</f>
        <v>Islam</v>
      </c>
      <c r="AJ57" s="8">
        <f>'BIO DATA'!BB55</f>
        <v>0</v>
      </c>
      <c r="AK57" s="8">
        <f>'BIO DATA'!BC55</f>
        <v>0</v>
      </c>
      <c r="AL57" s="8">
        <f>'BIO DATA'!BD55</f>
        <v>0</v>
      </c>
      <c r="AM57" s="8">
        <f>'BIO DATA'!BE55</f>
        <v>0</v>
      </c>
      <c r="AN57" s="8">
        <f>'BIO DATA'!BF55</f>
        <v>0</v>
      </c>
      <c r="AO57" s="8">
        <f>'BIO DATA'!BG55</f>
        <v>0</v>
      </c>
      <c r="AP57" s="53" t="s">
        <v>168</v>
      </c>
    </row>
    <row r="58" spans="1:42" s="54" customFormat="1" ht="20.100000000000001" customHeight="1" thickBot="1">
      <c r="A58" s="19" t="s">
        <v>132</v>
      </c>
      <c r="B58">
        <v>21</v>
      </c>
      <c r="C58" s="90">
        <f>'BIO DATA'!D56</f>
        <v>11463</v>
      </c>
      <c r="D58" s="90" t="str">
        <f>'BIO DATA'!E56</f>
        <v>0093749124</v>
      </c>
      <c r="E58" s="89" t="str">
        <f>'BIO DATA'!F56</f>
        <v>Muhammad Sabiq Alhafidz</v>
      </c>
      <c r="F58" s="49" t="str">
        <f>'BIO DATA'!M56</f>
        <v>Laki-laki</v>
      </c>
      <c r="G58" s="8" t="str">
        <f>'BIO DATA'!N56</f>
        <v>Palembang</v>
      </c>
      <c r="H58" s="51">
        <f>'BIO DATA'!P56</f>
        <v>40136</v>
      </c>
      <c r="I58" s="49" t="str">
        <f>'BIO DATA'!S56</f>
        <v>Islam</v>
      </c>
      <c r="J58" s="50">
        <f>'BIO DATA'!J56:J218</f>
        <v>3</v>
      </c>
      <c r="K58" s="50">
        <f>'BIO DATA'!K56:K259</f>
        <v>2</v>
      </c>
      <c r="L58" s="8" t="str">
        <f>'BIO DATA'!T56:T218</f>
        <v>BTN Jone Indah jalan langsat no.52, Tanah Grogot, Kab. Paser Kalimantan Timur 76211</v>
      </c>
      <c r="M58" s="8" t="str">
        <f>'BIO DATA'!V56:V259</f>
        <v>Jone</v>
      </c>
      <c r="N58" s="8" t="str">
        <f>'BIO DATA'!W56:W259</f>
        <v>Tanah Grogot</v>
      </c>
      <c r="O58" s="8" t="str">
        <f>'BIO DATA'!X56:X259</f>
        <v>Paser</v>
      </c>
      <c r="P58" s="8" t="str">
        <f>'BIO DATA'!Y56:Y259</f>
        <v>Kalimantan Timur</v>
      </c>
      <c r="Q58" s="8" t="str">
        <f>'BIO DATA'!Z56:Z259</f>
        <v>MTs. Mu'allimin Muh. Yogyakarta</v>
      </c>
      <c r="R58" s="8" t="str">
        <f>'BIO DATA'!AA56:AA259</f>
        <v>Tanah Grogot, Kec. Tanah Grogot, Kabupaten Paser, Kalimantan Timur 76251</v>
      </c>
      <c r="S58" s="8">
        <f>'BIO DATA'!AB56:AB259</f>
        <v>0</v>
      </c>
      <c r="T58" s="8" t="str">
        <f>'BIO DATA'!AC56:AC259</f>
        <v>Subiyanto</v>
      </c>
      <c r="U58" s="8" t="str">
        <f>'BIO DATA'!AD56</f>
        <v>Islam</v>
      </c>
      <c r="V58" s="8" t="str">
        <f>'BIO DATA'!AL56:AL259</f>
        <v>SMA</v>
      </c>
      <c r="W58" s="8" t="str">
        <f>'BIO DATA'!AM56:AM259</f>
        <v>Ibu Rumah Tangga</v>
      </c>
      <c r="X58" s="8" t="str">
        <f>'BIO DATA'!AG56:AG259</f>
        <v>&gt; Rp 2.500.000,00</v>
      </c>
      <c r="Y58" s="69" t="s">
        <v>217</v>
      </c>
      <c r="Z58" s="8">
        <f>'BIO DATA'!AI56:AI259</f>
        <v>0</v>
      </c>
      <c r="AA58" s="8" t="str">
        <f>'BIO DATA'!AJ56:AJ259</f>
        <v>Supriyani</v>
      </c>
      <c r="AB58" s="8" t="str">
        <f>'BIO DATA'!AK56</f>
        <v>Islam</v>
      </c>
      <c r="AC58" s="8" t="str">
        <f>'BIO DATA'!AL56:AL259</f>
        <v>SMA</v>
      </c>
      <c r="AD58" s="8" t="str">
        <f>'BIO DATA'!AM56:AM259</f>
        <v>Ibu Rumah Tangga</v>
      </c>
      <c r="AE58" s="8">
        <f>'BIO DATA'!AN56:AN259</f>
        <v>0</v>
      </c>
      <c r="AF58" s="52"/>
      <c r="AG58" s="8">
        <f>'BIO DATA'!AP56</f>
        <v>0</v>
      </c>
      <c r="AH58" s="8">
        <f>'BIO DATA'!AZ56</f>
        <v>0</v>
      </c>
      <c r="AI58" s="8" t="str">
        <f>'BIO DATA'!BA56</f>
        <v>Islam</v>
      </c>
      <c r="AJ58" s="8">
        <f>'BIO DATA'!BB56</f>
        <v>0</v>
      </c>
      <c r="AK58" s="8">
        <f>'BIO DATA'!BC56</f>
        <v>0</v>
      </c>
      <c r="AL58" s="8">
        <f>'BIO DATA'!BD56</f>
        <v>0</v>
      </c>
      <c r="AM58" s="8">
        <f>'BIO DATA'!BE56</f>
        <v>0</v>
      </c>
      <c r="AN58" s="8">
        <f>'BIO DATA'!BF56</f>
        <v>0</v>
      </c>
      <c r="AO58" s="8">
        <f>'BIO DATA'!BG56</f>
        <v>0</v>
      </c>
      <c r="AP58" s="54" t="s">
        <v>169</v>
      </c>
    </row>
    <row r="59" spans="1:42" s="54" customFormat="1" ht="20.100000000000001" customHeight="1" thickBot="1">
      <c r="A59" s="19" t="s">
        <v>132</v>
      </c>
      <c r="B59">
        <v>41</v>
      </c>
      <c r="C59" s="90">
        <f>'BIO DATA'!D57</f>
        <v>11474</v>
      </c>
      <c r="D59" s="90" t="str">
        <f>'BIO DATA'!E57</f>
        <v>0099313678</v>
      </c>
      <c r="E59" s="89" t="str">
        <f>'BIO DATA'!F57</f>
        <v>Nala Naylan Najahi</v>
      </c>
      <c r="F59" s="49" t="str">
        <f>'BIO DATA'!M57</f>
        <v>Laki-laki</v>
      </c>
      <c r="G59" s="8" t="str">
        <f>'BIO DATA'!N57</f>
        <v>Jember</v>
      </c>
      <c r="H59" s="51">
        <f>'BIO DATA'!P57</f>
        <v>40060</v>
      </c>
      <c r="I59" s="49" t="str">
        <f>'BIO DATA'!S57</f>
        <v>Islam</v>
      </c>
      <c r="J59" s="50">
        <f>'BIO DATA'!J57:J219</f>
        <v>6</v>
      </c>
      <c r="K59" s="50">
        <f>'BIO DATA'!K57:K260</f>
        <v>5</v>
      </c>
      <c r="L59" s="8" t="str">
        <f>'BIO DATA'!T57:T219</f>
        <v xml:space="preserve">Griya Manding Asri, No. F-2, RT 06/RW 01 Kel. Manding, Kec. Temanggung, Kab. Temanggung Jawa Tengah 56224 </v>
      </c>
      <c r="M59" s="8" t="str">
        <f>'BIO DATA'!V57:V260</f>
        <v>Manding</v>
      </c>
      <c r="N59" s="8" t="str">
        <f>'BIO DATA'!W57:W260</f>
        <v>Temanggung</v>
      </c>
      <c r="O59" s="8" t="str">
        <f>'BIO DATA'!X57:X260</f>
        <v>Temanggung</v>
      </c>
      <c r="P59" s="8" t="str">
        <f>'BIO DATA'!Y57:Y260</f>
        <v>Jawa Tengah</v>
      </c>
      <c r="Q59" s="8" t="str">
        <f>'BIO DATA'!Z57:Z260</f>
        <v>MTs. Mu'allimin Muh. Yogyakarta</v>
      </c>
      <c r="R59" s="8" t="str">
        <f>'BIO DATA'!AA57:AA260</f>
        <v>l. Raya Kedu - Parakan KM 2, Kalisat, Sawah, Gandurejo, Kec. Bulu, Kabupaten Temanggung, Jawa Tengah 56253</v>
      </c>
      <c r="S59" s="8">
        <f>'BIO DATA'!AB57:AB260</f>
        <v>0</v>
      </c>
      <c r="T59" s="8" t="str">
        <f>'BIO DATA'!AC57:AC260</f>
        <v>Muhammad Bani Sukron</v>
      </c>
      <c r="U59" s="8" t="str">
        <f>'BIO DATA'!AD57</f>
        <v>Islam</v>
      </c>
      <c r="V59" s="8" t="str">
        <f>'BIO DATA'!AL57:AL260</f>
        <v>S1</v>
      </c>
      <c r="W59" s="8" t="str">
        <f>'BIO DATA'!AM57:AM260</f>
        <v>PNS</v>
      </c>
      <c r="X59" s="8" t="str">
        <f>'BIO DATA'!AG57:AG260</f>
        <v>&gt; Rp 2.500.000,00</v>
      </c>
      <c r="Y59" s="69" t="s">
        <v>217</v>
      </c>
      <c r="Z59" s="8">
        <f>'BIO DATA'!AI57:AI260</f>
        <v>0</v>
      </c>
      <c r="AA59" s="8" t="str">
        <f>'BIO DATA'!AJ57:AJ260</f>
        <v>Herny Juniasri</v>
      </c>
      <c r="AB59" s="8" t="str">
        <f>'BIO DATA'!AK57</f>
        <v>Islam</v>
      </c>
      <c r="AC59" s="8" t="str">
        <f>'BIO DATA'!AL57:AL260</f>
        <v>S1</v>
      </c>
      <c r="AD59" s="8" t="str">
        <f>'BIO DATA'!AM57:AM260</f>
        <v>PNS</v>
      </c>
      <c r="AE59" s="8">
        <f>'BIO DATA'!AN57:AN260</f>
        <v>0</v>
      </c>
      <c r="AF59" s="52"/>
      <c r="AG59" s="8">
        <f>'BIO DATA'!AP57</f>
        <v>0</v>
      </c>
      <c r="AH59" s="8">
        <f>'BIO DATA'!AZ57</f>
        <v>0</v>
      </c>
      <c r="AI59" s="8" t="str">
        <f>'BIO DATA'!BA57</f>
        <v>Islam</v>
      </c>
      <c r="AJ59" s="8">
        <f>'BIO DATA'!BB57</f>
        <v>0</v>
      </c>
      <c r="AK59" s="8">
        <f>'BIO DATA'!BC57</f>
        <v>0</v>
      </c>
      <c r="AL59" s="8">
        <f>'BIO DATA'!BD57</f>
        <v>0</v>
      </c>
      <c r="AM59" s="8">
        <f>'BIO DATA'!BE57</f>
        <v>0</v>
      </c>
      <c r="AN59" s="8">
        <f>'BIO DATA'!BF57</f>
        <v>0</v>
      </c>
      <c r="AO59" s="8">
        <f>'BIO DATA'!BG57</f>
        <v>0</v>
      </c>
      <c r="AP59" s="54" t="s">
        <v>169</v>
      </c>
    </row>
    <row r="60" spans="1:42" s="54" customFormat="1" ht="20.100000000000001" customHeight="1" thickBot="1">
      <c r="A60" s="19" t="s">
        <v>132</v>
      </c>
      <c r="B60">
        <v>48</v>
      </c>
      <c r="C60" s="90">
        <f>'BIO DATA'!D58</f>
        <v>11490</v>
      </c>
      <c r="D60" s="90" t="str">
        <f>'BIO DATA'!E58</f>
        <v>0102589279</v>
      </c>
      <c r="E60" s="89" t="str">
        <f>'BIO DATA'!F58</f>
        <v>Rayi Pamungkas Yahwidhi</v>
      </c>
      <c r="F60" s="49" t="str">
        <f>'BIO DATA'!M58</f>
        <v>Laki-laki</v>
      </c>
      <c r="G60" s="8" t="str">
        <f>'BIO DATA'!N58</f>
        <v>Tanah Grogot</v>
      </c>
      <c r="H60" s="51">
        <f>'BIO DATA'!P58</f>
        <v>40259</v>
      </c>
      <c r="I60" s="49" t="str">
        <f>'BIO DATA'!S58</f>
        <v>Islam</v>
      </c>
      <c r="J60" s="50">
        <f>'BIO DATA'!J58:J220</f>
        <v>3</v>
      </c>
      <c r="K60" s="50">
        <f>'BIO DATA'!K58:K261</f>
        <v>2</v>
      </c>
      <c r="L60" s="8" t="str">
        <f>'BIO DATA'!T58:T220</f>
        <v>Sanden DK XV, Murtigading Sanden Bantul, DI Yogyakarta, 55763</v>
      </c>
      <c r="M60" s="8" t="str">
        <f>'BIO DATA'!V58:V261</f>
        <v>Murtigading</v>
      </c>
      <c r="N60" s="8" t="str">
        <f>'BIO DATA'!W58:W261</f>
        <v>Sanden</v>
      </c>
      <c r="O60" s="8" t="str">
        <f>'BIO DATA'!X58:X261</f>
        <v>Bantul</v>
      </c>
      <c r="P60" s="8" t="str">
        <f>'BIO DATA'!Y58:Y261</f>
        <v>DI Yogyakarta</v>
      </c>
      <c r="Q60" s="8" t="str">
        <f>'BIO DATA'!Z58:Z261</f>
        <v>MTs. Mu'allimin Muh. Yogyakarta</v>
      </c>
      <c r="R60" s="8" t="str">
        <f>'BIO DATA'!AA58:AA261</f>
        <v>Pucang Anom, Bongos Kenti, Murtigading, Kec. Sanden, Kabupaten Bantul, Daerah Istimewa Yogyakarta 55763</v>
      </c>
      <c r="S60" s="8">
        <f>'BIO DATA'!AB58:AB261</f>
        <v>0</v>
      </c>
      <c r="T60" s="8" t="str">
        <f>'BIO DATA'!AC58:AC261</f>
        <v>Arba Riksawan Qomaru</v>
      </c>
      <c r="U60" s="8" t="str">
        <f>'BIO DATA'!AD58</f>
        <v>Islam</v>
      </c>
      <c r="V60" s="8" t="str">
        <f>'BIO DATA'!AL58:AL261</f>
        <v>S1</v>
      </c>
      <c r="W60" s="8" t="str">
        <f>'BIO DATA'!AM58:AM261</f>
        <v>Karyawan Swasta</v>
      </c>
      <c r="X60" s="8" t="str">
        <f>'BIO DATA'!AG58:AG261</f>
        <v>&gt; Rp 2.500.000,00</v>
      </c>
      <c r="Y60" s="69" t="s">
        <v>217</v>
      </c>
      <c r="Z60" s="8">
        <f>'BIO DATA'!AI58:AI261</f>
        <v>0</v>
      </c>
      <c r="AA60" s="8" t="str">
        <f>'BIO DATA'!AJ58:AJ261</f>
        <v>Anni Mutmainah</v>
      </c>
      <c r="AB60" s="8" t="str">
        <f>'BIO DATA'!AK58</f>
        <v>Islam</v>
      </c>
      <c r="AC60" s="8" t="str">
        <f>'BIO DATA'!AL58:AL261</f>
        <v>S1</v>
      </c>
      <c r="AD60" s="8" t="str">
        <f>'BIO DATA'!AM58:AM261</f>
        <v>Karyawan Swasta</v>
      </c>
      <c r="AE60" s="8">
        <f>'BIO DATA'!AN58:AN261</f>
        <v>0</v>
      </c>
      <c r="AF60" s="52"/>
      <c r="AG60" s="8">
        <f>'BIO DATA'!AP58</f>
        <v>0</v>
      </c>
      <c r="AH60" s="8">
        <f>'BIO DATA'!AZ58</f>
        <v>0</v>
      </c>
      <c r="AI60" s="8" t="str">
        <f>'BIO DATA'!BA58</f>
        <v>Islam</v>
      </c>
      <c r="AJ60" s="8">
        <f>'BIO DATA'!BB58</f>
        <v>0</v>
      </c>
      <c r="AK60" s="8">
        <f>'BIO DATA'!BC58</f>
        <v>0</v>
      </c>
      <c r="AL60" s="8">
        <f>'BIO DATA'!BD58</f>
        <v>0</v>
      </c>
      <c r="AM60" s="8">
        <f>'BIO DATA'!BE58</f>
        <v>0</v>
      </c>
      <c r="AN60" s="8">
        <f>'BIO DATA'!BF58</f>
        <v>0</v>
      </c>
      <c r="AO60" s="8">
        <f>'BIO DATA'!BG58</f>
        <v>0</v>
      </c>
      <c r="AP60" s="54" t="s">
        <v>169</v>
      </c>
    </row>
    <row r="61" spans="1:42" s="54" customFormat="1" ht="20.100000000000001" customHeight="1" thickBot="1">
      <c r="A61" s="19" t="s">
        <v>132</v>
      </c>
      <c r="B61">
        <v>71</v>
      </c>
      <c r="C61" s="90">
        <f>'BIO DATA'!D59</f>
        <v>11502</v>
      </c>
      <c r="D61" s="90" t="str">
        <f>'BIO DATA'!E59</f>
        <v>0102892618</v>
      </c>
      <c r="E61" s="89" t="str">
        <f>'BIO DATA'!F59</f>
        <v>Syafiq Shalahuddin</v>
      </c>
      <c r="F61" s="49" t="str">
        <f>'BIO DATA'!M59</f>
        <v>Laki-laki</v>
      </c>
      <c r="G61" s="8" t="str">
        <f>'BIO DATA'!N59</f>
        <v>Temanggung</v>
      </c>
      <c r="H61" s="51">
        <f>'BIO DATA'!P59</f>
        <v>39943</v>
      </c>
      <c r="I61" s="49" t="str">
        <f>'BIO DATA'!S59</f>
        <v>Islam</v>
      </c>
      <c r="J61" s="50">
        <f>'BIO DATA'!J59:J221</f>
        <v>2</v>
      </c>
      <c r="K61" s="50">
        <f>'BIO DATA'!K59:K262</f>
        <v>2</v>
      </c>
      <c r="L61" s="8" t="str">
        <f>'BIO DATA'!T59:T221</f>
        <v>RT. 002 RW. 002 Lingkungan 3 Ngunut, Kec. Ngunut, Kab. Tulungagung, Jawa Timur 66292</v>
      </c>
      <c r="M61" s="8" t="str">
        <f>'BIO DATA'!V59:V262</f>
        <v>Ngunut</v>
      </c>
      <c r="N61" s="8" t="str">
        <f>'BIO DATA'!W59:W262</f>
        <v>Ngunut</v>
      </c>
      <c r="O61" s="8" t="str">
        <f>'BIO DATA'!X59:X262</f>
        <v>Tulungagung</v>
      </c>
      <c r="P61" s="8" t="str">
        <f>'BIO DATA'!Y59:Y262</f>
        <v>Jawa Timur</v>
      </c>
      <c r="Q61" s="8" t="str">
        <f>'BIO DATA'!Z59:Z262</f>
        <v>MTs. Mu'allimin Muh. Yogyakarta</v>
      </c>
      <c r="R61" s="8" t="str">
        <f>'BIO DATA'!AA59:AA262</f>
        <v>Jl. Demuk No.56, Lingkungan 3, Ngunut, Kec. Ngunut, Kabupaten Tulungagung, Jawa Timur 66292</v>
      </c>
      <c r="S61" s="8">
        <f>'BIO DATA'!AB59:AB262</f>
        <v>0</v>
      </c>
      <c r="T61" s="8" t="str">
        <f>'BIO DATA'!AC59:AC262</f>
        <v>Mohyidi Akbar</v>
      </c>
      <c r="U61" s="8" t="str">
        <f>'BIO DATA'!AD59</f>
        <v>Islam</v>
      </c>
      <c r="V61" s="8" t="str">
        <f>'BIO DATA'!AL59:AL262</f>
        <v>SMA</v>
      </c>
      <c r="W61" s="8" t="str">
        <f>'BIO DATA'!AM59:AM262</f>
        <v>Pedagang</v>
      </c>
      <c r="X61" s="8" t="str">
        <f>'BIO DATA'!AG59:AG262</f>
        <v xml:space="preserve"> &gt; Rp 2.500.000,00</v>
      </c>
      <c r="Y61" s="69" t="s">
        <v>217</v>
      </c>
      <c r="Z61" s="8">
        <f>'BIO DATA'!AI59:AI262</f>
        <v>0</v>
      </c>
      <c r="AA61" s="8" t="str">
        <f>'BIO DATA'!AJ59:AJ262</f>
        <v>Ulfah Khoiriyah</v>
      </c>
      <c r="AB61" s="8" t="str">
        <f>'BIO DATA'!AK59</f>
        <v>Islam</v>
      </c>
      <c r="AC61" s="8" t="str">
        <f>'BIO DATA'!AL59:AL262</f>
        <v>SMA</v>
      </c>
      <c r="AD61" s="8" t="str">
        <f>'BIO DATA'!AM59:AM262</f>
        <v>Pedagang</v>
      </c>
      <c r="AE61" s="8">
        <f>'BIO DATA'!AN59:AN262</f>
        <v>0</v>
      </c>
      <c r="AF61" s="52"/>
      <c r="AG61" s="8">
        <f>'BIO DATA'!AP59</f>
        <v>0</v>
      </c>
      <c r="AH61" s="8">
        <f>'BIO DATA'!AZ59</f>
        <v>0</v>
      </c>
      <c r="AI61" s="8" t="str">
        <f>'BIO DATA'!BA59</f>
        <v>Islam</v>
      </c>
      <c r="AJ61" s="8">
        <f>'BIO DATA'!BB59</f>
        <v>0</v>
      </c>
      <c r="AK61" s="8">
        <f>'BIO DATA'!BC59</f>
        <v>0</v>
      </c>
      <c r="AL61" s="8">
        <f>'BIO DATA'!BD59</f>
        <v>0</v>
      </c>
      <c r="AM61" s="8">
        <f>'BIO DATA'!BE59</f>
        <v>0</v>
      </c>
      <c r="AN61" s="8">
        <f>'BIO DATA'!BF59</f>
        <v>0</v>
      </c>
      <c r="AO61" s="8">
        <f>'BIO DATA'!BG59</f>
        <v>0</v>
      </c>
      <c r="AP61" s="54" t="s">
        <v>169</v>
      </c>
    </row>
    <row r="62" spans="1:42" s="54" customFormat="1" ht="20.100000000000001" customHeight="1" thickBot="1">
      <c r="A62" s="19" t="s">
        <v>132</v>
      </c>
      <c r="B62">
        <v>78</v>
      </c>
      <c r="C62" s="90">
        <f>'BIO DATA'!D60</f>
        <v>11510</v>
      </c>
      <c r="D62" s="90" t="str">
        <f>'BIO DATA'!E60</f>
        <v>0097111864</v>
      </c>
      <c r="E62" s="89" t="str">
        <f>'BIO DATA'!F60</f>
        <v>Zaidan Ahsanu 'Amala</v>
      </c>
      <c r="F62" s="49" t="str">
        <f>'BIO DATA'!M60</f>
        <v>Laki-laki</v>
      </c>
      <c r="G62" s="8" t="str">
        <f>'BIO DATA'!N60</f>
        <v>Bantul</v>
      </c>
      <c r="H62" s="51">
        <f>'BIO DATA'!P60</f>
        <v>40171</v>
      </c>
      <c r="I62" s="49" t="str">
        <f>'BIO DATA'!S60</f>
        <v>Islam</v>
      </c>
      <c r="J62" s="50">
        <f>'BIO DATA'!J60:J222</f>
        <v>4</v>
      </c>
      <c r="K62" s="50">
        <f>'BIO DATA'!K60:K263</f>
        <v>3</v>
      </c>
      <c r="L62" s="8" t="str">
        <f>'BIO DATA'!T60:T222</f>
        <v>Jl. Nusantara 2 No.15 Kel. Langkai Kec. Pahandut Kota Palangka Raya, Kalimantan Tengah, 73111</v>
      </c>
      <c r="M62" s="8" t="str">
        <f>'BIO DATA'!V60:V263</f>
        <v>Langkai</v>
      </c>
      <c r="N62" s="8" t="str">
        <f>'BIO DATA'!W60:W263</f>
        <v>Pahandut</v>
      </c>
      <c r="O62" s="8" t="str">
        <f>'BIO DATA'!X60:X263</f>
        <v>Palangkaraya</v>
      </c>
      <c r="P62" s="8" t="str">
        <f>'BIO DATA'!Y60:Y263</f>
        <v>Kalimantan Tengah</v>
      </c>
      <c r="Q62" s="8" t="str">
        <f>'BIO DATA'!Z60:Z263</f>
        <v>MTs. Mu'allimin Muh. Yogyakarta</v>
      </c>
      <c r="R62" s="8" t="str">
        <f>'BIO DATA'!AA60:AA263</f>
        <v>Panarung, Kec. Jekan Raya, Kota Palangka Raya, Kalimantan Tengah 73111</v>
      </c>
      <c r="S62" s="8">
        <f>'BIO DATA'!AB60:AB263</f>
        <v>0</v>
      </c>
      <c r="T62" s="8" t="str">
        <f>'BIO DATA'!AC60:AC263</f>
        <v>M. Zuhri</v>
      </c>
      <c r="U62" s="8" t="str">
        <f>'BIO DATA'!AD60</f>
        <v>Islam</v>
      </c>
      <c r="V62" s="8" t="str">
        <f>'BIO DATA'!AL60:AL263</f>
        <v>S2</v>
      </c>
      <c r="W62" s="8" t="str">
        <f>'BIO DATA'!AM60:AM263</f>
        <v>Dosen</v>
      </c>
      <c r="X62" s="8" t="str">
        <f>'BIO DATA'!AG60:AG263</f>
        <v>Antara Rp 2.000.000,00 s.d. Rp 2.500,000,00</v>
      </c>
      <c r="Y62" s="69" t="s">
        <v>217</v>
      </c>
      <c r="Z62" s="8">
        <f>'BIO DATA'!AI60:AI263</f>
        <v>0</v>
      </c>
      <c r="AA62" s="8" t="str">
        <f>'BIO DATA'!AJ60:AJ263</f>
        <v>Lilik Kholisatin, S.PD.I.,M.Pd.I.</v>
      </c>
      <c r="AB62" s="8" t="str">
        <f>'BIO DATA'!AK60</f>
        <v>Islam</v>
      </c>
      <c r="AC62" s="8" t="str">
        <f>'BIO DATA'!AL60:AL263</f>
        <v>S2</v>
      </c>
      <c r="AD62" s="8" t="str">
        <f>'BIO DATA'!AM60:AM263</f>
        <v>Dosen</v>
      </c>
      <c r="AE62" s="8">
        <f>'BIO DATA'!AN60:AN263</f>
        <v>0</v>
      </c>
      <c r="AF62" s="52"/>
      <c r="AG62" s="8">
        <f>'BIO DATA'!AP60</f>
        <v>0</v>
      </c>
      <c r="AH62" s="8">
        <f>'BIO DATA'!AZ60</f>
        <v>0</v>
      </c>
      <c r="AI62" s="8" t="str">
        <f>'BIO DATA'!BA60</f>
        <v>Islam</v>
      </c>
      <c r="AJ62" s="8">
        <f>'BIO DATA'!BB60</f>
        <v>0</v>
      </c>
      <c r="AK62" s="8">
        <f>'BIO DATA'!BC60</f>
        <v>0</v>
      </c>
      <c r="AL62" s="8">
        <f>'BIO DATA'!BD60</f>
        <v>0</v>
      </c>
      <c r="AM62" s="8">
        <f>'BIO DATA'!BE60</f>
        <v>0</v>
      </c>
      <c r="AN62" s="8">
        <f>'BIO DATA'!BF60</f>
        <v>0</v>
      </c>
      <c r="AO62" s="8">
        <f>'BIO DATA'!BG60</f>
        <v>0</v>
      </c>
      <c r="AP62" s="54" t="s">
        <v>169</v>
      </c>
    </row>
    <row r="63" spans="1:42" s="54" customFormat="1" ht="20.100000000000001" customHeight="1" thickBot="1">
      <c r="A63" s="16" t="s">
        <v>131</v>
      </c>
      <c r="B63">
        <v>102</v>
      </c>
      <c r="C63" s="90">
        <f>'BIO DATA'!D61</f>
        <v>11515</v>
      </c>
      <c r="D63" s="90" t="str">
        <f>'BIO DATA'!E61</f>
        <v>0096995722</v>
      </c>
      <c r="E63" s="89" t="str">
        <f>'BIO DATA'!F61</f>
        <v>Abdilla Rousan Fikri Akbar</v>
      </c>
      <c r="F63" s="49" t="str">
        <f>'BIO DATA'!M61</f>
        <v>Laki-laki</v>
      </c>
      <c r="G63" s="8" t="str">
        <f>'BIO DATA'!N61</f>
        <v>Tulungagung</v>
      </c>
      <c r="H63" s="51">
        <f>'BIO DATA'!P61</f>
        <v>39961</v>
      </c>
      <c r="I63" s="49" t="str">
        <f>'BIO DATA'!S61</f>
        <v>Islam</v>
      </c>
      <c r="J63" s="50">
        <f>'BIO DATA'!J61:J223</f>
        <v>2</v>
      </c>
      <c r="K63" s="50">
        <f>'BIO DATA'!K61:K264</f>
        <v>2</v>
      </c>
      <c r="L63" s="8" t="str">
        <f>'BIO DATA'!T61:T223</f>
        <v>BTN Ona Blok E1 no 6 RT 004 RW 006 Desa Rangkasbitung Timur Kec. Rangkasbitung Kab. Lebak Banten 42313</v>
      </c>
      <c r="M63" s="8" t="str">
        <f>'BIO DATA'!V61:V264</f>
        <v>Rangkasbitung Timur</v>
      </c>
      <c r="N63" s="8" t="str">
        <f>'BIO DATA'!W61:W264</f>
        <v>Rangkasbitung</v>
      </c>
      <c r="O63" s="8" t="str">
        <f>'BIO DATA'!X61:X264</f>
        <v>Lebak</v>
      </c>
      <c r="P63" s="8" t="str">
        <f>'BIO DATA'!Y61:Y264</f>
        <v>Banten</v>
      </c>
      <c r="Q63" s="8" t="str">
        <f>'BIO DATA'!Z61:Z264</f>
        <v>MTs. Mu'allimin Muh. Yogyakarta</v>
      </c>
      <c r="R63" s="8" t="str">
        <f>'BIO DATA'!AA61:AA264</f>
        <v>Jl. Prof. Dr. Ir Soetami Km. 09, Kp. Peuntas Binong, Citeras – Rangkasbitung – Lebak - Banten 42312</v>
      </c>
      <c r="S63" s="8">
        <f>'BIO DATA'!AB61:AB264</f>
        <v>0</v>
      </c>
      <c r="T63" s="8" t="str">
        <f>'BIO DATA'!AC61:AC264</f>
        <v>Septty Prasetya</v>
      </c>
      <c r="U63" s="8" t="str">
        <f>'BIO DATA'!AD61</f>
        <v>Islam</v>
      </c>
      <c r="V63" s="8" t="str">
        <f>'BIO DATA'!AL61:AL264</f>
        <v>SMA</v>
      </c>
      <c r="W63" s="8" t="str">
        <f>'BIO DATA'!AM61:AM264</f>
        <v>PNS</v>
      </c>
      <c r="X63" s="8" t="str">
        <f>'BIO DATA'!AG61:AG264</f>
        <v>&gt; Rp 2.500.000,00</v>
      </c>
      <c r="Y63" s="69" t="s">
        <v>217</v>
      </c>
      <c r="Z63" s="8">
        <f>'BIO DATA'!AI61:AI264</f>
        <v>0</v>
      </c>
      <c r="AA63" s="8" t="str">
        <f>'BIO DATA'!AJ61:AJ264</f>
        <v>Septty Prasetya</v>
      </c>
      <c r="AB63" s="8" t="str">
        <f>'BIO DATA'!AK61</f>
        <v>Islam</v>
      </c>
      <c r="AC63" s="8" t="str">
        <f>'BIO DATA'!AL61:AL264</f>
        <v>SMA</v>
      </c>
      <c r="AD63" s="8" t="str">
        <f>'BIO DATA'!AM61:AM264</f>
        <v>PNS</v>
      </c>
      <c r="AE63" s="8">
        <f>'BIO DATA'!AN61:AN264</f>
        <v>0</v>
      </c>
      <c r="AF63" s="52"/>
      <c r="AG63" s="8">
        <f>'BIO DATA'!AP61</f>
        <v>0</v>
      </c>
      <c r="AH63" s="8">
        <f>'BIO DATA'!AZ61</f>
        <v>0</v>
      </c>
      <c r="AI63" s="8" t="str">
        <f>'BIO DATA'!BA61</f>
        <v>Islam</v>
      </c>
      <c r="AJ63" s="8">
        <f>'BIO DATA'!BB61</f>
        <v>0</v>
      </c>
      <c r="AK63" s="8">
        <f>'BIO DATA'!BC61</f>
        <v>0</v>
      </c>
      <c r="AL63" s="8">
        <f>'BIO DATA'!BD61</f>
        <v>0</v>
      </c>
      <c r="AM63" s="8">
        <f>'BIO DATA'!BE61</f>
        <v>0</v>
      </c>
      <c r="AN63" s="8">
        <f>'BIO DATA'!BF61</f>
        <v>0</v>
      </c>
      <c r="AO63" s="8">
        <f>'BIO DATA'!BG61</f>
        <v>0</v>
      </c>
      <c r="AP63" s="54" t="s">
        <v>169</v>
      </c>
    </row>
    <row r="64" spans="1:42" s="54" customFormat="1" ht="20.100000000000001" customHeight="1" thickBot="1">
      <c r="A64" s="16" t="s">
        <v>131</v>
      </c>
      <c r="B64">
        <v>120</v>
      </c>
      <c r="C64" s="90">
        <f>'BIO DATA'!D62</f>
        <v>11219</v>
      </c>
      <c r="D64" s="90" t="str">
        <f>'BIO DATA'!E62</f>
        <v>0103370253</v>
      </c>
      <c r="E64" s="89" t="str">
        <f>'BIO DATA'!F62</f>
        <v>Ahmad Badir Hamam Zadisa</v>
      </c>
      <c r="F64" s="49" t="str">
        <f>'BIO DATA'!M62</f>
        <v>Laki-laki</v>
      </c>
      <c r="G64" s="8" t="str">
        <f>'BIO DATA'!N62</f>
        <v>Palangkaraya</v>
      </c>
      <c r="H64" s="51">
        <f>'BIO DATA'!P62</f>
        <v>40269</v>
      </c>
      <c r="I64" s="49" t="str">
        <f>'BIO DATA'!S62</f>
        <v>Islam</v>
      </c>
      <c r="J64" s="50">
        <f>'BIO DATA'!J62:J224</f>
        <v>2</v>
      </c>
      <c r="K64" s="50">
        <f>'BIO DATA'!K62:K265</f>
        <v>1</v>
      </c>
      <c r="L64" s="8" t="str">
        <f>'BIO DATA'!T62:T224</f>
        <v>Jalan Amsyar Ahmad Nomor 163 RT. 10 RW III Kelurahan Mendawai Sukamara Kalimantan Tengah 74712</v>
      </c>
      <c r="M64" s="8" t="str">
        <f>'BIO DATA'!V62:V265</f>
        <v>Mendawai</v>
      </c>
      <c r="N64" s="8" t="str">
        <f>'BIO DATA'!W62:W265</f>
        <v>Sukamara</v>
      </c>
      <c r="O64" s="8" t="str">
        <f>'BIO DATA'!X62:X265</f>
        <v>Sukamara</v>
      </c>
      <c r="P64" s="8" t="str">
        <f>'BIO DATA'!Y62:Y265</f>
        <v>Kalimantan Tengah</v>
      </c>
      <c r="Q64" s="8" t="str">
        <f>'BIO DATA'!Z62:Z265</f>
        <v>MTs. Mu'allimin Muh. Yogyakarta</v>
      </c>
      <c r="R64" s="8" t="str">
        <f>'BIO DATA'!AA62:AA265</f>
        <v>Jalan Tjilik Riwut, Mendawai, Kec. Sukamara, Kabupaten Sukamara, Kalimantan Tengah 74172</v>
      </c>
      <c r="S64" s="8">
        <f>'BIO DATA'!AB62:AB265</f>
        <v>0</v>
      </c>
      <c r="T64" s="8" t="str">
        <f>'BIO DATA'!AC62:AC265</f>
        <v>Achmad Faizin, S.Hut., M.P.</v>
      </c>
      <c r="U64" s="8" t="str">
        <f>'BIO DATA'!AD62</f>
        <v>Islam</v>
      </c>
      <c r="V64" s="8" t="str">
        <f>'BIO DATA'!AL62:AL265</f>
        <v>S1</v>
      </c>
      <c r="W64" s="8" t="str">
        <f>'BIO DATA'!AM62:AM265</f>
        <v>PNS</v>
      </c>
      <c r="X64" s="8" t="str">
        <f>'BIO DATA'!AG62:AG265</f>
        <v>&gt; Rp 2.500.000,00</v>
      </c>
      <c r="Y64" s="69" t="s">
        <v>217</v>
      </c>
      <c r="Z64" s="8">
        <f>'BIO DATA'!AI62:AI265</f>
        <v>0</v>
      </c>
      <c r="AA64" s="8" t="str">
        <f>'BIO DATA'!AJ62:AJ265</f>
        <v>Tri Anggrayani</v>
      </c>
      <c r="AB64" s="8" t="str">
        <f>'BIO DATA'!AK62</f>
        <v>Islam</v>
      </c>
      <c r="AC64" s="8" t="str">
        <f>'BIO DATA'!AL62:AL265</f>
        <v>S1</v>
      </c>
      <c r="AD64" s="8" t="str">
        <f>'BIO DATA'!AM62:AM265</f>
        <v>PNS</v>
      </c>
      <c r="AE64" s="8">
        <f>'BIO DATA'!AN62:AN265</f>
        <v>0</v>
      </c>
      <c r="AF64" s="52"/>
      <c r="AG64" s="8">
        <f>'BIO DATA'!AP62</f>
        <v>0</v>
      </c>
      <c r="AH64" s="8">
        <f>'BIO DATA'!AZ62</f>
        <v>0</v>
      </c>
      <c r="AI64" s="8" t="str">
        <f>'BIO DATA'!BA62</f>
        <v>Islam</v>
      </c>
      <c r="AJ64" s="8">
        <f>'BIO DATA'!BB62</f>
        <v>0</v>
      </c>
      <c r="AK64" s="8">
        <f>'BIO DATA'!BC62</f>
        <v>0</v>
      </c>
      <c r="AL64" s="8">
        <f>'BIO DATA'!BD62</f>
        <v>0</v>
      </c>
      <c r="AM64" s="8">
        <f>'BIO DATA'!BE62</f>
        <v>0</v>
      </c>
      <c r="AN64" s="8">
        <f>'BIO DATA'!BF62</f>
        <v>0</v>
      </c>
      <c r="AO64" s="8">
        <f>'BIO DATA'!BG62</f>
        <v>0</v>
      </c>
      <c r="AP64" s="54" t="s">
        <v>169</v>
      </c>
    </row>
    <row r="65" spans="1:42" s="54" customFormat="1" ht="20.100000000000001" customHeight="1" thickBot="1">
      <c r="A65" s="16" t="s">
        <v>131</v>
      </c>
      <c r="B65">
        <v>142</v>
      </c>
      <c r="C65" s="90">
        <f>'BIO DATA'!D63</f>
        <v>11226</v>
      </c>
      <c r="D65" s="90" t="str">
        <f>'BIO DATA'!E63</f>
        <v>3103846380</v>
      </c>
      <c r="E65" s="89" t="str">
        <f>'BIO DATA'!F63</f>
        <v>Ahmad Maududi Faqih</v>
      </c>
      <c r="F65" s="49" t="str">
        <f>'BIO DATA'!M63</f>
        <v>Laki-laki</v>
      </c>
      <c r="G65" s="8" t="str">
        <f>'BIO DATA'!N63</f>
        <v>Lebak</v>
      </c>
      <c r="H65" s="51">
        <f>'BIO DATA'!P63</f>
        <v>40291</v>
      </c>
      <c r="I65" s="49" t="str">
        <f>'BIO DATA'!S63</f>
        <v>Islam</v>
      </c>
      <c r="J65" s="50">
        <f>'BIO DATA'!J63:J225</f>
        <v>1</v>
      </c>
      <c r="K65" s="50">
        <f>'BIO DATA'!K63:K266</f>
        <v>0</v>
      </c>
      <c r="L65" s="8" t="str">
        <f>'BIO DATA'!T63:T225</f>
        <v>RT 07 Karang Mandingan Ringinharjo Bantul Yogyakarta 55712</v>
      </c>
      <c r="M65" s="8" t="str">
        <f>'BIO DATA'!V63:V266</f>
        <v>Ringinharjo</v>
      </c>
      <c r="N65" s="8" t="str">
        <f>'BIO DATA'!W63:W266</f>
        <v>Bantul</v>
      </c>
      <c r="O65" s="8" t="str">
        <f>'BIO DATA'!X63:X266</f>
        <v>Bantul</v>
      </c>
      <c r="P65" s="8" t="str">
        <f>'BIO DATA'!Y63:Y266</f>
        <v>DI Yogyakarta</v>
      </c>
      <c r="Q65" s="8" t="str">
        <f>'BIO DATA'!Z63:Z266</f>
        <v>MTs. Mu'allimin Muh. Yogyakarta</v>
      </c>
      <c r="R65" s="8" t="str">
        <f>'BIO DATA'!AA63:AA266</f>
        <v>Sumberbatikan, Area Sawah, Trirenggo, Kec. Bantul, Kabupaten Bantul, Daerah Istimewa Yogyakarta 55714</v>
      </c>
      <c r="S65" s="8">
        <f>'BIO DATA'!AB63:AB266</f>
        <v>0</v>
      </c>
      <c r="T65" s="8" t="str">
        <f>'BIO DATA'!AC63:AC266</f>
        <v>Anwar Siswanto</v>
      </c>
      <c r="U65" s="8" t="str">
        <f>'BIO DATA'!AD63</f>
        <v>Islam</v>
      </c>
      <c r="V65" s="8" t="str">
        <f>'BIO DATA'!AL63:AL266</f>
        <v>Diploma</v>
      </c>
      <c r="W65" s="8" t="str">
        <f>'BIO DATA'!AM63:AM266</f>
        <v>PNS</v>
      </c>
      <c r="X65" s="8" t="str">
        <f>'BIO DATA'!AG63:AG266</f>
        <v>&gt; Rp 2.500.000,00</v>
      </c>
      <c r="Y65" s="69" t="s">
        <v>217</v>
      </c>
      <c r="Z65" s="8">
        <f>'BIO DATA'!AI63:AI266</f>
        <v>0</v>
      </c>
      <c r="AA65" s="8" t="str">
        <f>'BIO DATA'!AJ63:AJ266</f>
        <v>Suprih Hidayati</v>
      </c>
      <c r="AB65" s="8" t="str">
        <f>'BIO DATA'!AK63</f>
        <v>Islam</v>
      </c>
      <c r="AC65" s="8" t="str">
        <f>'BIO DATA'!AL63:AL266</f>
        <v>Diploma</v>
      </c>
      <c r="AD65" s="8" t="str">
        <f>'BIO DATA'!AM63:AM266</f>
        <v>PNS</v>
      </c>
      <c r="AE65" s="8">
        <f>'BIO DATA'!AN63:AN266</f>
        <v>0</v>
      </c>
      <c r="AF65" s="52"/>
      <c r="AG65" s="8">
        <f>'BIO DATA'!AP63</f>
        <v>0</v>
      </c>
      <c r="AH65" s="8">
        <f>'BIO DATA'!AZ63</f>
        <v>0</v>
      </c>
      <c r="AI65" s="8" t="str">
        <f>'BIO DATA'!BA63</f>
        <v>Islam</v>
      </c>
      <c r="AJ65" s="8">
        <f>'BIO DATA'!BB63</f>
        <v>0</v>
      </c>
      <c r="AK65" s="8">
        <f>'BIO DATA'!BC63</f>
        <v>0</v>
      </c>
      <c r="AL65" s="8">
        <f>'BIO DATA'!BD63</f>
        <v>0</v>
      </c>
      <c r="AM65" s="8">
        <f>'BIO DATA'!BE63</f>
        <v>0</v>
      </c>
      <c r="AN65" s="8">
        <f>'BIO DATA'!BF63</f>
        <v>0</v>
      </c>
      <c r="AO65" s="8">
        <f>'BIO DATA'!BG63</f>
        <v>0</v>
      </c>
      <c r="AP65" s="54" t="s">
        <v>169</v>
      </c>
    </row>
    <row r="66" spans="1:42" s="54" customFormat="1" ht="20.100000000000001" customHeight="1" thickBot="1">
      <c r="A66" s="16" t="s">
        <v>131</v>
      </c>
      <c r="B66">
        <v>153</v>
      </c>
      <c r="C66" s="90">
        <f>'BIO DATA'!D64</f>
        <v>11231</v>
      </c>
      <c r="D66" s="90" t="str">
        <f>'BIO DATA'!E64</f>
        <v>0101875277</v>
      </c>
      <c r="E66" s="89" t="str">
        <f>'BIO DATA'!F64</f>
        <v>Ahmad Shiddiq Al Kariem</v>
      </c>
      <c r="F66" s="49" t="str">
        <f>'BIO DATA'!M64</f>
        <v>Laki-laki</v>
      </c>
      <c r="G66" s="8" t="str">
        <f>'BIO DATA'!N64</f>
        <v>Sukamara</v>
      </c>
      <c r="H66" s="51">
        <f>'BIO DATA'!P64</f>
        <v>40247</v>
      </c>
      <c r="I66" s="49" t="str">
        <f>'BIO DATA'!S64</f>
        <v>Islam</v>
      </c>
      <c r="J66" s="50">
        <f>'BIO DATA'!J64:J226</f>
        <v>1</v>
      </c>
      <c r="K66" s="50">
        <f>'BIO DATA'!K64:K267</f>
        <v>1</v>
      </c>
      <c r="L66" s="8" t="str">
        <f>'BIO DATA'!T64:T226</f>
        <v>Jalan Cempedak RT 008 RW 003 Kelurahan Keramat, Pangkalpinang, Kep. Bangka Belitung, 33134</v>
      </c>
      <c r="M66" s="8" t="str">
        <f>'BIO DATA'!V64:V267</f>
        <v>Keramat</v>
      </c>
      <c r="N66" s="8" t="str">
        <f>'BIO DATA'!W64:W267</f>
        <v>Pangkalpinang</v>
      </c>
      <c r="O66" s="8" t="str">
        <f>'BIO DATA'!X64:X267</f>
        <v>Pangkalpinang</v>
      </c>
      <c r="P66" s="8" t="str">
        <f>'BIO DATA'!Y64:Y267</f>
        <v>Kep. Bangka Belitung</v>
      </c>
      <c r="Q66" s="8" t="str">
        <f>'BIO DATA'!Z64:Z267</f>
        <v>MTs. Mu'allimin Muh. Yogyakarta</v>
      </c>
      <c r="R66" s="8" t="str">
        <f>'BIO DATA'!AA64:AA267</f>
        <v>Jl. Mandala, Melintang, Kec. Rangkui, Kota Pangkal Pinang, Kepulauan Bangka Belitung 33684</v>
      </c>
      <c r="S66" s="8">
        <f>'BIO DATA'!AB64:AB267</f>
        <v>0</v>
      </c>
      <c r="T66" s="8" t="str">
        <f>'BIO DATA'!AC64:AC267</f>
        <v>Akhmad Sumarwan</v>
      </c>
      <c r="U66" s="8" t="str">
        <f>'BIO DATA'!AD64</f>
        <v>Islam</v>
      </c>
      <c r="V66" s="8" t="str">
        <f>'BIO DATA'!AL64:AL267</f>
        <v>Diploma</v>
      </c>
      <c r="W66" s="8" t="str">
        <f>'BIO DATA'!AM64:AM267</f>
        <v>PNS</v>
      </c>
      <c r="X66" s="8" t="str">
        <f>'BIO DATA'!AG64:AG267</f>
        <v>&gt; Rp 2.500.000,00</v>
      </c>
      <c r="Y66" s="69" t="s">
        <v>217</v>
      </c>
      <c r="Z66" s="8">
        <f>'BIO DATA'!AI64:AI267</f>
        <v>0</v>
      </c>
      <c r="AA66" s="8" t="str">
        <f>'BIO DATA'!AJ64:AJ267</f>
        <v>Bulyani Sari</v>
      </c>
      <c r="AB66" s="8" t="str">
        <f>'BIO DATA'!AK64</f>
        <v>Islam</v>
      </c>
      <c r="AC66" s="8" t="str">
        <f>'BIO DATA'!AL64:AL267</f>
        <v>Diploma</v>
      </c>
      <c r="AD66" s="8" t="str">
        <f>'BIO DATA'!AM64:AM267</f>
        <v>PNS</v>
      </c>
      <c r="AE66" s="8">
        <f>'BIO DATA'!AN64:AN267</f>
        <v>0</v>
      </c>
      <c r="AF66" s="52"/>
      <c r="AG66" s="8">
        <f>'BIO DATA'!AP64</f>
        <v>0</v>
      </c>
      <c r="AH66" s="8">
        <f>'BIO DATA'!AZ64</f>
        <v>0</v>
      </c>
      <c r="AI66" s="8" t="str">
        <f>'BIO DATA'!BA64</f>
        <v>Islam</v>
      </c>
      <c r="AJ66" s="8">
        <f>'BIO DATA'!BB64</f>
        <v>0</v>
      </c>
      <c r="AK66" s="8">
        <f>'BIO DATA'!BC64</f>
        <v>0</v>
      </c>
      <c r="AL66" s="8">
        <f>'BIO DATA'!BD64</f>
        <v>0</v>
      </c>
      <c r="AM66" s="8">
        <f>'BIO DATA'!BE64</f>
        <v>0</v>
      </c>
      <c r="AN66" s="8">
        <f>'BIO DATA'!BF64</f>
        <v>0</v>
      </c>
      <c r="AO66" s="8">
        <f>'BIO DATA'!BG64</f>
        <v>0</v>
      </c>
      <c r="AP66" s="54" t="s">
        <v>169</v>
      </c>
    </row>
    <row r="67" spans="1:42" s="54" customFormat="1" ht="20.100000000000001" customHeight="1" thickBot="1">
      <c r="A67" s="16" t="s">
        <v>131</v>
      </c>
      <c r="B67">
        <v>156</v>
      </c>
      <c r="C67" s="90">
        <f>'BIO DATA'!D65</f>
        <v>11233</v>
      </c>
      <c r="D67" s="90" t="str">
        <f>'BIO DATA'!E65</f>
        <v>0095127392</v>
      </c>
      <c r="E67" s="89" t="str">
        <f>'BIO DATA'!F65</f>
        <v>Arroyan Ulya Anwar</v>
      </c>
      <c r="F67" s="49" t="str">
        <f>'BIO DATA'!M65</f>
        <v>Laki-laki</v>
      </c>
      <c r="G67" s="8" t="str">
        <f>'BIO DATA'!N65</f>
        <v>Bantul</v>
      </c>
      <c r="H67" s="51">
        <f>'BIO DATA'!P65</f>
        <v>40076</v>
      </c>
      <c r="I67" s="49" t="str">
        <f>'BIO DATA'!S65</f>
        <v>Islam</v>
      </c>
      <c r="J67" s="50">
        <f>'BIO DATA'!J65:J227</f>
        <v>3</v>
      </c>
      <c r="K67" s="50">
        <f>'BIO DATA'!K65:K268</f>
        <v>2</v>
      </c>
      <c r="L67" s="8" t="str">
        <f>'BIO DATA'!T65:T227</f>
        <v>JL. Seruji, Dusun Tegal Pakis RT 002 RW 001 Desa Kalibaruwetan Kecamatan Kalibaru Kabupaten Banyuwangi 68467</v>
      </c>
      <c r="M67" s="8" t="str">
        <f>'BIO DATA'!V65:V268</f>
        <v>Kalibaru Wetan</v>
      </c>
      <c r="N67" s="8" t="str">
        <f>'BIO DATA'!W65:W268</f>
        <v>Kalibaru</v>
      </c>
      <c r="O67" s="8" t="str">
        <f>'BIO DATA'!X65:X268</f>
        <v>Banyuwangi</v>
      </c>
      <c r="P67" s="8" t="str">
        <f>'BIO DATA'!Y65:Y268</f>
        <v>Jawa Timur</v>
      </c>
      <c r="Q67" s="8" t="str">
        <f>'BIO DATA'!Z65:Z268</f>
        <v>MTs. Mu'allimin Muh. Yogyakarta</v>
      </c>
      <c r="R67" s="8" t="str">
        <f>'BIO DATA'!AA65:AA268</f>
        <v>Dusun Tegal Pakis, Kalibaruwetan, Kec. Kalibaru, Kabupaten Banyuwangi, Jawa Timur 68467</v>
      </c>
      <c r="S67" s="8">
        <f>'BIO DATA'!AB65:AB268</f>
        <v>0</v>
      </c>
      <c r="T67" s="8" t="str">
        <f>'BIO DATA'!AC65:AC268</f>
        <v>Sardiyanto</v>
      </c>
      <c r="U67" s="8" t="str">
        <f>'BIO DATA'!AD65</f>
        <v>Islam</v>
      </c>
      <c r="V67" s="8" t="str">
        <f>'BIO DATA'!AL65:AL268</f>
        <v>S2</v>
      </c>
      <c r="W67" s="8" t="str">
        <f>'BIO DATA'!AM65:AM268</f>
        <v>PNS</v>
      </c>
      <c r="X67" s="8" t="str">
        <f>'BIO DATA'!AG65:AG268</f>
        <v>&gt; Rp 2.500.000,00</v>
      </c>
      <c r="Y67" s="69" t="s">
        <v>217</v>
      </c>
      <c r="Z67" s="8">
        <f>'BIO DATA'!AI65:AI268</f>
        <v>0</v>
      </c>
      <c r="AA67" s="8" t="str">
        <f>'BIO DATA'!AJ65:AJ268</f>
        <v>Endang Sri Wahyuni</v>
      </c>
      <c r="AB67" s="8" t="str">
        <f>'BIO DATA'!AK65</f>
        <v>Islam</v>
      </c>
      <c r="AC67" s="8" t="str">
        <f>'BIO DATA'!AL65:AL268</f>
        <v>S2</v>
      </c>
      <c r="AD67" s="8" t="str">
        <f>'BIO DATA'!AM65:AM268</f>
        <v>PNS</v>
      </c>
      <c r="AE67" s="8">
        <f>'BIO DATA'!AN65:AN268</f>
        <v>0</v>
      </c>
      <c r="AF67" s="52"/>
      <c r="AG67" s="8">
        <f>'BIO DATA'!AP65</f>
        <v>0</v>
      </c>
      <c r="AH67" s="8">
        <f>'BIO DATA'!AZ65</f>
        <v>0</v>
      </c>
      <c r="AI67" s="8" t="str">
        <f>'BIO DATA'!BA65</f>
        <v>Islam</v>
      </c>
      <c r="AJ67" s="8">
        <f>'BIO DATA'!BB65</f>
        <v>0</v>
      </c>
      <c r="AK67" s="8">
        <f>'BIO DATA'!BC65</f>
        <v>0</v>
      </c>
      <c r="AL67" s="8">
        <f>'BIO DATA'!BD65</f>
        <v>0</v>
      </c>
      <c r="AM67" s="8">
        <f>'BIO DATA'!BE65</f>
        <v>0</v>
      </c>
      <c r="AN67" s="8">
        <f>'BIO DATA'!BF65</f>
        <v>0</v>
      </c>
      <c r="AO67" s="8">
        <f>'BIO DATA'!BG65</f>
        <v>0</v>
      </c>
      <c r="AP67" s="54" t="s">
        <v>169</v>
      </c>
    </row>
    <row r="68" spans="1:42" s="54" customFormat="1" ht="20.100000000000001" customHeight="1" thickBot="1">
      <c r="A68" s="16" t="s">
        <v>131</v>
      </c>
      <c r="B68">
        <v>165</v>
      </c>
      <c r="C68" s="90">
        <f>'BIO DATA'!D66</f>
        <v>11285</v>
      </c>
      <c r="D68" s="90" t="str">
        <f>'BIO DATA'!E66</f>
        <v>0091454908</v>
      </c>
      <c r="E68" s="89" t="str">
        <f>'BIO DATA'!F66</f>
        <v>Chalis Zabadi Putra</v>
      </c>
      <c r="F68" s="49" t="str">
        <f>'BIO DATA'!M66</f>
        <v>Laki-laki</v>
      </c>
      <c r="G68" s="8" t="str">
        <f>'BIO DATA'!N66</f>
        <v>Pangkalpinang</v>
      </c>
      <c r="H68" s="51">
        <f>'BIO DATA'!P66</f>
        <v>40079</v>
      </c>
      <c r="I68" s="49" t="str">
        <f>'BIO DATA'!S66</f>
        <v>Islam</v>
      </c>
      <c r="J68" s="50">
        <f>'BIO DATA'!J66:J228</f>
        <v>3</v>
      </c>
      <c r="K68" s="50">
        <f>'BIO DATA'!K66:K269</f>
        <v>2</v>
      </c>
      <c r="L68" s="8" t="str">
        <f>'BIO DATA'!T66:T228</f>
        <v>Gancahan VII RT 02/15 Sidomulyo Godean Sleman DIY , DI Yogyakarta, 55264</v>
      </c>
      <c r="M68" s="8" t="str">
        <f>'BIO DATA'!V66:V269</f>
        <v>Sidomulyo</v>
      </c>
      <c r="N68" s="8" t="str">
        <f>'BIO DATA'!W66:W269</f>
        <v>Godean</v>
      </c>
      <c r="O68" s="8" t="str">
        <f>'BIO DATA'!X66:X269</f>
        <v>Sleman</v>
      </c>
      <c r="P68" s="8" t="str">
        <f>'BIO DATA'!Y66:Y269</f>
        <v>DI Yogyakarta</v>
      </c>
      <c r="Q68" s="8" t="str">
        <f>'BIO DATA'!Z66:Z269</f>
        <v>MTs. Mu'allimin Muh. Yogyakarta</v>
      </c>
      <c r="R68" s="8" t="str">
        <f>'BIO DATA'!AA66:AA269</f>
        <v>l. Ringroad barat, Dusun Cambahan, Desa Nogotirto, Kecamatan Gamping, Cambahan, Nogotirto, Sleman, Kabupaten Sleman, Daerah Istimewa Yogyakarta 55292</v>
      </c>
      <c r="S68" s="8">
        <f>'BIO DATA'!AB66:AB269</f>
        <v>0</v>
      </c>
      <c r="T68" s="8" t="str">
        <f>'BIO DATA'!AC66:AC269</f>
        <v>Seno Pitoyo, S. Kep., Ns</v>
      </c>
      <c r="U68" s="8" t="str">
        <f>'BIO DATA'!AD66</f>
        <v>Islam</v>
      </c>
      <c r="V68" s="8" t="str">
        <f>'BIO DATA'!AL66:AL269</f>
        <v>S1</v>
      </c>
      <c r="W68" s="8" t="str">
        <f>'BIO DATA'!AM66:AM269</f>
        <v>PNS</v>
      </c>
      <c r="X68" s="8" t="str">
        <f>'BIO DATA'!AG66:AG269</f>
        <v>&gt; Rp 2.500.000,00</v>
      </c>
      <c r="Y68" s="69" t="s">
        <v>217</v>
      </c>
      <c r="Z68" s="8">
        <f>'BIO DATA'!AI66:AI269</f>
        <v>0</v>
      </c>
      <c r="AA68" s="8" t="str">
        <f>'BIO DATA'!AJ66:AJ269</f>
        <v>Nur Hidayati</v>
      </c>
      <c r="AB68" s="8" t="str">
        <f>'BIO DATA'!AK66</f>
        <v>Islam</v>
      </c>
      <c r="AC68" s="8" t="str">
        <f>'BIO DATA'!AL66:AL269</f>
        <v>S1</v>
      </c>
      <c r="AD68" s="8" t="str">
        <f>'BIO DATA'!AM66:AM269</f>
        <v>PNS</v>
      </c>
      <c r="AE68" s="8">
        <f>'BIO DATA'!AN66:AN269</f>
        <v>0</v>
      </c>
      <c r="AF68" s="52"/>
      <c r="AG68" s="8">
        <f>'BIO DATA'!AP66</f>
        <v>0</v>
      </c>
      <c r="AH68" s="8">
        <f>'BIO DATA'!AZ66</f>
        <v>0</v>
      </c>
      <c r="AI68" s="8" t="str">
        <f>'BIO DATA'!BA66</f>
        <v>Islam</v>
      </c>
      <c r="AJ68" s="8">
        <f>'BIO DATA'!BB66</f>
        <v>0</v>
      </c>
      <c r="AK68" s="8">
        <f>'BIO DATA'!BC66</f>
        <v>0</v>
      </c>
      <c r="AL68" s="8">
        <f>'BIO DATA'!BD66</f>
        <v>0</v>
      </c>
      <c r="AM68" s="8">
        <f>'BIO DATA'!BE66</f>
        <v>0</v>
      </c>
      <c r="AN68" s="8">
        <f>'BIO DATA'!BF66</f>
        <v>0</v>
      </c>
      <c r="AO68" s="8">
        <f>'BIO DATA'!BG66</f>
        <v>0</v>
      </c>
      <c r="AP68" s="54" t="s">
        <v>169</v>
      </c>
    </row>
    <row r="69" spans="1:42" s="54" customFormat="1" ht="20.100000000000001" customHeight="1" thickBot="1">
      <c r="A69" s="16" t="s">
        <v>131</v>
      </c>
      <c r="B69">
        <v>176</v>
      </c>
      <c r="C69" s="90">
        <f>'BIO DATA'!D67</f>
        <v>11310</v>
      </c>
      <c r="D69" s="90" t="str">
        <f>'BIO DATA'!E67</f>
        <v>0109861416</v>
      </c>
      <c r="E69" s="89" t="str">
        <f>'BIO DATA'!F67</f>
        <v>Fahri Mirza Hanafi</v>
      </c>
      <c r="F69" s="49" t="str">
        <f>'BIO DATA'!M67</f>
        <v>Laki-laki</v>
      </c>
      <c r="G69" s="8" t="str">
        <f>'BIO DATA'!N67</f>
        <v>Kediri</v>
      </c>
      <c r="H69" s="51">
        <f>'BIO DATA'!P67</f>
        <v>40257</v>
      </c>
      <c r="I69" s="49" t="str">
        <f>'BIO DATA'!S67</f>
        <v>Islam</v>
      </c>
      <c r="J69" s="50">
        <f>'BIO DATA'!J67:J229</f>
        <v>2</v>
      </c>
      <c r="K69" s="50">
        <f>'BIO DATA'!K67:K270</f>
        <v>1</v>
      </c>
      <c r="L69" s="8" t="str">
        <f>'BIO DATA'!T67:T229</f>
        <v>Sanggrahan Lor Rt 11/05 Bendungan Wates Kulon Progo DIY 55651</v>
      </c>
      <c r="M69" s="8" t="str">
        <f>'BIO DATA'!V67:V270</f>
        <v>Bendungan</v>
      </c>
      <c r="N69" s="8" t="str">
        <f>'BIO DATA'!W67:W270</f>
        <v>Wates</v>
      </c>
      <c r="O69" s="8" t="str">
        <f>'BIO DATA'!X67:X270</f>
        <v>Kulon Progo</v>
      </c>
      <c r="P69" s="8" t="str">
        <f>'BIO DATA'!Y67:Y270</f>
        <v>DI Yogyakarta</v>
      </c>
      <c r="Q69" s="8" t="str">
        <f>'BIO DATA'!Z67:Z270</f>
        <v>MTs. Mu'allimin Muh. Yogyakarta</v>
      </c>
      <c r="R69" s="8" t="str">
        <f>'BIO DATA'!AA67:AA270</f>
        <v>Wates, Wonosidi, Kec. Wates, Kabupaten Kulon Progo, Daerah Istimewa Yogyakarta 55651</v>
      </c>
      <c r="S69" s="8">
        <f>'BIO DATA'!AB67:AB270</f>
        <v>0</v>
      </c>
      <c r="T69" s="8" t="str">
        <f>'BIO DATA'!AC67:AC270</f>
        <v>Mujiyana</v>
      </c>
      <c r="U69" s="8" t="str">
        <f>'BIO DATA'!AD67</f>
        <v>Islam</v>
      </c>
      <c r="V69" s="8" t="str">
        <f>'BIO DATA'!AL67:AL270</f>
        <v>S1</v>
      </c>
      <c r="W69" s="8" t="str">
        <f>'BIO DATA'!AM67:AM270</f>
        <v>PNS</v>
      </c>
      <c r="X69" s="8" t="str">
        <f>'BIO DATA'!AG67:AG270</f>
        <v>&gt; Rp 2.500.000,00</v>
      </c>
      <c r="Y69" s="69" t="s">
        <v>217</v>
      </c>
      <c r="Z69" s="8">
        <f>'BIO DATA'!AI67:AI270</f>
        <v>0</v>
      </c>
      <c r="AA69" s="8" t="str">
        <f>'BIO DATA'!AJ67:AJ270</f>
        <v>Sri Sugiyarti</v>
      </c>
      <c r="AB69" s="8" t="str">
        <f>'BIO DATA'!AK67</f>
        <v>Islam</v>
      </c>
      <c r="AC69" s="8" t="str">
        <f>'BIO DATA'!AL67:AL270</f>
        <v>S1</v>
      </c>
      <c r="AD69" s="8" t="str">
        <f>'BIO DATA'!AM67:AM270</f>
        <v>PNS</v>
      </c>
      <c r="AE69" s="8">
        <f>'BIO DATA'!AN67:AN270</f>
        <v>0</v>
      </c>
      <c r="AF69" s="52"/>
      <c r="AG69" s="8">
        <f>'BIO DATA'!AP67</f>
        <v>0</v>
      </c>
      <c r="AH69" s="8">
        <f>'BIO DATA'!AZ67</f>
        <v>0</v>
      </c>
      <c r="AI69" s="8" t="str">
        <f>'BIO DATA'!BA67</f>
        <v>Islam</v>
      </c>
      <c r="AJ69" s="8">
        <f>'BIO DATA'!BB67</f>
        <v>0</v>
      </c>
      <c r="AK69" s="8">
        <f>'BIO DATA'!BC67</f>
        <v>0</v>
      </c>
      <c r="AL69" s="8">
        <f>'BIO DATA'!BD67</f>
        <v>0</v>
      </c>
      <c r="AM69" s="8">
        <f>'BIO DATA'!BE67</f>
        <v>0</v>
      </c>
      <c r="AN69" s="8">
        <f>'BIO DATA'!BF67</f>
        <v>0</v>
      </c>
      <c r="AO69" s="8">
        <f>'BIO DATA'!BG67</f>
        <v>0</v>
      </c>
      <c r="AP69" s="54" t="s">
        <v>169</v>
      </c>
    </row>
    <row r="70" spans="1:42" s="54" customFormat="1" ht="20.100000000000001" customHeight="1" thickBot="1">
      <c r="A70" s="16" t="s">
        <v>131</v>
      </c>
      <c r="B70">
        <v>185</v>
      </c>
      <c r="C70" s="90">
        <f>'BIO DATA'!D68</f>
        <v>11319</v>
      </c>
      <c r="D70" s="90" t="str">
        <f>'BIO DATA'!E68</f>
        <v>0109488648</v>
      </c>
      <c r="E70" s="89" t="str">
        <f>'BIO DATA'!F68</f>
        <v>Faqih Najwan Madani</v>
      </c>
      <c r="F70" s="49" t="str">
        <f>'BIO DATA'!M68</f>
        <v>Laki-laki</v>
      </c>
      <c r="G70" s="8" t="str">
        <f>'BIO DATA'!N68</f>
        <v>Yogyakarta</v>
      </c>
      <c r="H70" s="51">
        <f>'BIO DATA'!P68</f>
        <v>40215</v>
      </c>
      <c r="I70" s="49" t="str">
        <f>'BIO DATA'!S68</f>
        <v>Islam</v>
      </c>
      <c r="J70" s="50">
        <f>'BIO DATA'!J68:J230</f>
        <v>1</v>
      </c>
      <c r="K70" s="50">
        <f>'BIO DATA'!K68:K271</f>
        <v>1</v>
      </c>
      <c r="L70" s="8" t="str">
        <f>'BIO DATA'!T68:T230</f>
        <v>Durungan RT 02 RW 09 Wates Kulon Progo, DI Yogyakarta, 55651</v>
      </c>
      <c r="M70" s="8" t="str">
        <f>'BIO DATA'!V68:V271</f>
        <v>Durungan</v>
      </c>
      <c r="N70" s="8" t="str">
        <f>'BIO DATA'!W68:W271</f>
        <v>Wates</v>
      </c>
      <c r="O70" s="8" t="str">
        <f>'BIO DATA'!X68:X271</f>
        <v>Kulon Progo</v>
      </c>
      <c r="P70" s="8" t="str">
        <f>'BIO DATA'!Y68:Y271</f>
        <v>DI Yogyakarta</v>
      </c>
      <c r="Q70" s="8" t="str">
        <f>'BIO DATA'!Z68:Z271</f>
        <v>MTs. Mu'allimin Muh. Yogyakarta</v>
      </c>
      <c r="R70" s="8" t="str">
        <f>'BIO DATA'!AA68:AA271</f>
        <v>Wates, Wonosidi, Kec. Wates, Kabupaten Kulon Progo, Daerah Istimewa Yogyakarta 55651</v>
      </c>
      <c r="S70" s="8">
        <f>'BIO DATA'!AB68:AB271</f>
        <v>0</v>
      </c>
      <c r="T70" s="8" t="str">
        <f>'BIO DATA'!AC68:AC271</f>
        <v>Zain Arrifa'i</v>
      </c>
      <c r="U70" s="8" t="str">
        <f>'BIO DATA'!AD68</f>
        <v>Islam</v>
      </c>
      <c r="V70" s="8" t="str">
        <f>'BIO DATA'!AL68:AL271</f>
        <v>S1</v>
      </c>
      <c r="W70" s="8" t="str">
        <f>'BIO DATA'!AM68:AM271</f>
        <v>Perawat</v>
      </c>
      <c r="X70" s="8" t="str">
        <f>'BIO DATA'!AG68:AG271</f>
        <v>&gt; Rp 2.500.000,00</v>
      </c>
      <c r="Y70" s="69" t="s">
        <v>217</v>
      </c>
      <c r="Z70" s="8">
        <f>'BIO DATA'!AI68:AI271</f>
        <v>0</v>
      </c>
      <c r="AA70" s="8" t="str">
        <f>'BIO DATA'!AJ68:AJ271</f>
        <v>Tri Amin Lestari</v>
      </c>
      <c r="AB70" s="8" t="str">
        <f>'BIO DATA'!AK68</f>
        <v>Islam</v>
      </c>
      <c r="AC70" s="8" t="str">
        <f>'BIO DATA'!AL68:AL271</f>
        <v>S1</v>
      </c>
      <c r="AD70" s="8" t="str">
        <f>'BIO DATA'!AM68:AM271</f>
        <v>Perawat</v>
      </c>
      <c r="AE70" s="8">
        <f>'BIO DATA'!AN68:AN271</f>
        <v>0</v>
      </c>
      <c r="AF70" s="52"/>
      <c r="AG70" s="8">
        <f>'BIO DATA'!AP68</f>
        <v>0</v>
      </c>
      <c r="AH70" s="8">
        <f>'BIO DATA'!AZ68</f>
        <v>0</v>
      </c>
      <c r="AI70" s="8" t="str">
        <f>'BIO DATA'!BA68</f>
        <v>Islam</v>
      </c>
      <c r="AJ70" s="8">
        <f>'BIO DATA'!BB68</f>
        <v>0</v>
      </c>
      <c r="AK70" s="8">
        <f>'BIO DATA'!BC68</f>
        <v>0</v>
      </c>
      <c r="AL70" s="8">
        <f>'BIO DATA'!BD68</f>
        <v>0</v>
      </c>
      <c r="AM70" s="8">
        <f>'BIO DATA'!BE68</f>
        <v>0</v>
      </c>
      <c r="AN70" s="8">
        <f>'BIO DATA'!BF68</f>
        <v>0</v>
      </c>
      <c r="AO70" s="8">
        <f>'BIO DATA'!BG68</f>
        <v>0</v>
      </c>
      <c r="AP70" s="54" t="s">
        <v>169</v>
      </c>
    </row>
    <row r="71" spans="1:42" s="54" customFormat="1" ht="20.100000000000001" customHeight="1" thickBot="1">
      <c r="A71" s="16" t="s">
        <v>131</v>
      </c>
      <c r="B71">
        <v>199</v>
      </c>
      <c r="C71" s="90">
        <f>'BIO DATA'!D69</f>
        <v>11349</v>
      </c>
      <c r="D71" s="90" t="str">
        <f>'BIO DATA'!E69</f>
        <v>0094680485</v>
      </c>
      <c r="E71" s="89" t="str">
        <f>'BIO DATA'!F69</f>
        <v>Ibad Naufal Uthman</v>
      </c>
      <c r="F71" s="49" t="str">
        <f>'BIO DATA'!M69</f>
        <v>Laki-laki</v>
      </c>
      <c r="G71" s="8" t="str">
        <f>'BIO DATA'!N69</f>
        <v>Kulon Progo</v>
      </c>
      <c r="H71" s="51">
        <f>'BIO DATA'!P69</f>
        <v>39897</v>
      </c>
      <c r="I71" s="49" t="str">
        <f>'BIO DATA'!S69</f>
        <v>Islam</v>
      </c>
      <c r="J71" s="50">
        <f>'BIO DATA'!J69:J231</f>
        <v>2</v>
      </c>
      <c r="K71" s="50">
        <f>'BIO DATA'!K69:K272</f>
        <v>1</v>
      </c>
      <c r="L71" s="8" t="str">
        <f>'BIO DATA'!T69:T231</f>
        <v>Jl. Patehan Lor No. 24 RT 17 RW 04 Kelurahan Patehan Kecamatan Kraton Kota Yogyakarta, DI Yogyakarta, 55133</v>
      </c>
      <c r="M71" s="8" t="str">
        <f>'BIO DATA'!V69:V272</f>
        <v>Patehan</v>
      </c>
      <c r="N71" s="8" t="str">
        <f>'BIO DATA'!W69:W272</f>
        <v>Kraton</v>
      </c>
      <c r="O71" s="8" t="str">
        <f>'BIO DATA'!X69:X272</f>
        <v>Yogyakarta</v>
      </c>
      <c r="P71" s="8" t="str">
        <f>'BIO DATA'!Y69:Y272</f>
        <v>DI Yogyakarta</v>
      </c>
      <c r="Q71" s="8" t="str">
        <f>'BIO DATA'!Z69:Z272</f>
        <v>MTs. Mu'allimin Muh. Yogyakarta</v>
      </c>
      <c r="R71" s="8" t="str">
        <f>'BIO DATA'!AA69:AA272</f>
        <v>Jl. Patehan Kidul 8, Patehan, Kec. Kraton, Kota Yogyakarta, Di Yogyakarta, dengan kode pos 55133</v>
      </c>
      <c r="S71" s="8">
        <f>'BIO DATA'!AB69:AB272</f>
        <v>0</v>
      </c>
      <c r="T71" s="8" t="str">
        <f>'BIO DATA'!AC69:AC272</f>
        <v>Faisal Ritonga</v>
      </c>
      <c r="U71" s="8" t="str">
        <f>'BIO DATA'!AD69</f>
        <v>Islam</v>
      </c>
      <c r="V71" s="8" t="str">
        <f>'BIO DATA'!AL69:AL272</f>
        <v>S1</v>
      </c>
      <c r="W71" s="8" t="str">
        <f>'BIO DATA'!AM69:AM272</f>
        <v>PNS</v>
      </c>
      <c r="X71" s="8" t="str">
        <f>'BIO DATA'!AG69:AG272</f>
        <v>&gt; Rp 2.500.000,00</v>
      </c>
      <c r="Y71" s="69" t="s">
        <v>217</v>
      </c>
      <c r="Z71" s="8">
        <f>'BIO DATA'!AI69:AI272</f>
        <v>0</v>
      </c>
      <c r="AA71" s="8" t="str">
        <f>'BIO DATA'!AJ69:AJ272</f>
        <v>Sri Yuriko</v>
      </c>
      <c r="AB71" s="8" t="str">
        <f>'BIO DATA'!AK69</f>
        <v>Islam</v>
      </c>
      <c r="AC71" s="8" t="str">
        <f>'BIO DATA'!AL69:AL272</f>
        <v>S1</v>
      </c>
      <c r="AD71" s="8" t="str">
        <f>'BIO DATA'!AM69:AM272</f>
        <v>PNS</v>
      </c>
      <c r="AE71" s="8">
        <f>'BIO DATA'!AN69:AN272</f>
        <v>0</v>
      </c>
      <c r="AF71" s="52"/>
      <c r="AG71" s="8">
        <f>'BIO DATA'!AP69</f>
        <v>0</v>
      </c>
      <c r="AH71" s="8">
        <f>'BIO DATA'!AZ69</f>
        <v>0</v>
      </c>
      <c r="AI71" s="8" t="str">
        <f>'BIO DATA'!BA69</f>
        <v>Islam</v>
      </c>
      <c r="AJ71" s="8">
        <f>'BIO DATA'!BB69</f>
        <v>0</v>
      </c>
      <c r="AK71" s="8">
        <f>'BIO DATA'!BC69</f>
        <v>0</v>
      </c>
      <c r="AL71" s="8">
        <f>'BIO DATA'!BD69</f>
        <v>0</v>
      </c>
      <c r="AM71" s="8">
        <f>'BIO DATA'!BE69</f>
        <v>0</v>
      </c>
      <c r="AN71" s="8">
        <f>'BIO DATA'!BF69</f>
        <v>0</v>
      </c>
      <c r="AO71" s="8">
        <f>'BIO DATA'!BG69</f>
        <v>0</v>
      </c>
      <c r="AP71" s="54" t="s">
        <v>169</v>
      </c>
    </row>
    <row r="72" spans="1:42" s="54" customFormat="1" ht="20.100000000000001" customHeight="1" thickBot="1">
      <c r="A72" s="16" t="s">
        <v>131</v>
      </c>
      <c r="B72">
        <v>233</v>
      </c>
      <c r="C72" s="90">
        <f>'BIO DATA'!D70</f>
        <v>11356</v>
      </c>
      <c r="D72" s="90" t="str">
        <f>'BIO DATA'!E70</f>
        <v>0092933365</v>
      </c>
      <c r="E72" s="89" t="str">
        <f>'BIO DATA'!F70</f>
        <v>Isa Azatta Fadhlan Faiq</v>
      </c>
      <c r="F72" s="49" t="str">
        <f>'BIO DATA'!M70</f>
        <v>Laki-laki</v>
      </c>
      <c r="G72" s="8" t="str">
        <f>'BIO DATA'!N70</f>
        <v>Kulon Progo</v>
      </c>
      <c r="H72" s="51">
        <f>'BIO DATA'!P70</f>
        <v>39919</v>
      </c>
      <c r="I72" s="49" t="str">
        <f>'BIO DATA'!S70</f>
        <v>Islam</v>
      </c>
      <c r="J72" s="50">
        <f>'BIO DATA'!J70:J232</f>
        <v>2</v>
      </c>
      <c r="K72" s="50">
        <f>'BIO DATA'!K70:K273</f>
        <v>2</v>
      </c>
      <c r="L72" s="8" t="str">
        <f>'BIO DATA'!T70:T232</f>
        <v>Jl. Baturgede RT 005 RW 001 Desa Petambakan 53462 Kec. Madukara, Kab. Banjarnegara, Prov. Jawa Tengah, Jawa Tengah, 53462</v>
      </c>
      <c r="M72" s="8" t="str">
        <f>'BIO DATA'!V70:V273</f>
        <v>Petambakan</v>
      </c>
      <c r="N72" s="8" t="str">
        <f>'BIO DATA'!W70:W273</f>
        <v>Madukara</v>
      </c>
      <c r="O72" s="8" t="str">
        <f>'BIO DATA'!X70:X273</f>
        <v>Banjarnegara</v>
      </c>
      <c r="P72" s="8" t="str">
        <f>'BIO DATA'!Y70:Y273</f>
        <v>Jawa Tengah</v>
      </c>
      <c r="Q72" s="8" t="str">
        <f>'BIO DATA'!Z70:Z273</f>
        <v>MTs. Mu'allimin Muh. Yogyakarta</v>
      </c>
      <c r="R72" s="8" t="str">
        <f>'BIO DATA'!AA70:AA273</f>
        <v>Satu, Petambakan, Kec. Madukara, Kab. Banjarnegara, Jawa Tengah 52482</v>
      </c>
      <c r="S72" s="8">
        <f>'BIO DATA'!AB70:AB273</f>
        <v>0</v>
      </c>
      <c r="T72" s="8" t="str">
        <f>'BIO DATA'!AC70:AC273</f>
        <v>Eko Budi Rahardjo</v>
      </c>
      <c r="U72" s="8" t="str">
        <f>'BIO DATA'!AD70</f>
        <v>Islam</v>
      </c>
      <c r="V72" s="8" t="str">
        <f>'BIO DATA'!AL70:AL273</f>
        <v>Diploma</v>
      </c>
      <c r="W72" s="8" t="str">
        <f>'BIO DATA'!AM70:AM273</f>
        <v>Bidan</v>
      </c>
      <c r="X72" s="8" t="str">
        <f>'BIO DATA'!AG70:AG273</f>
        <v>&gt; Rp 2.500.000,00</v>
      </c>
      <c r="Y72" s="69" t="s">
        <v>217</v>
      </c>
      <c r="Z72" s="8">
        <f>'BIO DATA'!AI70:AI273</f>
        <v>0</v>
      </c>
      <c r="AA72" s="8" t="str">
        <f>'BIO DATA'!AJ70:AJ273</f>
        <v>Ratih Rahmawati</v>
      </c>
      <c r="AB72" s="8" t="str">
        <f>'BIO DATA'!AK70</f>
        <v>Islam</v>
      </c>
      <c r="AC72" s="8" t="str">
        <f>'BIO DATA'!AL70:AL273</f>
        <v>Diploma</v>
      </c>
      <c r="AD72" s="8" t="str">
        <f>'BIO DATA'!AM70:AM273</f>
        <v>Bidan</v>
      </c>
      <c r="AE72" s="8">
        <f>'BIO DATA'!AN70:AN273</f>
        <v>0</v>
      </c>
      <c r="AF72" s="52"/>
      <c r="AG72" s="8">
        <f>'BIO DATA'!AP70</f>
        <v>0</v>
      </c>
      <c r="AH72" s="8">
        <f>'BIO DATA'!AZ70</f>
        <v>0</v>
      </c>
      <c r="AI72" s="8" t="str">
        <f>'BIO DATA'!BA70</f>
        <v>Islam</v>
      </c>
      <c r="AJ72" s="8">
        <f>'BIO DATA'!BB70</f>
        <v>0</v>
      </c>
      <c r="AK72" s="8">
        <f>'BIO DATA'!BC70</f>
        <v>0</v>
      </c>
      <c r="AL72" s="8">
        <f>'BIO DATA'!BD70</f>
        <v>0</v>
      </c>
      <c r="AM72" s="8">
        <f>'BIO DATA'!BE70</f>
        <v>0</v>
      </c>
      <c r="AN72" s="8">
        <f>'BIO DATA'!BF70</f>
        <v>0</v>
      </c>
      <c r="AO72" s="8">
        <f>'BIO DATA'!BG70</f>
        <v>0</v>
      </c>
      <c r="AP72" s="54" t="s">
        <v>169</v>
      </c>
    </row>
    <row r="73" spans="1:42" s="54" customFormat="1" ht="20.100000000000001" customHeight="1" thickBot="1">
      <c r="A73" s="16" t="s">
        <v>131</v>
      </c>
      <c r="B73">
        <v>237</v>
      </c>
      <c r="C73" s="90">
        <f>'BIO DATA'!D71</f>
        <v>11359</v>
      </c>
      <c r="D73" s="90" t="str">
        <f>'BIO DATA'!E71</f>
        <v>0098404173</v>
      </c>
      <c r="E73" s="89" t="str">
        <f>'BIO DATA'!F71</f>
        <v>Juanda Pranata Ritonga</v>
      </c>
      <c r="F73" s="49" t="str">
        <f>'BIO DATA'!M71</f>
        <v>Laki-laki</v>
      </c>
      <c r="G73" s="8" t="str">
        <f>'BIO DATA'!N71</f>
        <v>Padangsidempuan</v>
      </c>
      <c r="H73" s="51">
        <f>'BIO DATA'!P71</f>
        <v>39983</v>
      </c>
      <c r="I73" s="49" t="str">
        <f>'BIO DATA'!S71</f>
        <v>Islam</v>
      </c>
      <c r="J73" s="50">
        <f>'BIO DATA'!J71:J233</f>
        <v>1</v>
      </c>
      <c r="K73" s="50">
        <f>'BIO DATA'!K71:K274</f>
        <v>0</v>
      </c>
      <c r="L73" s="8" t="str">
        <f>'BIO DATA'!T71:T233</f>
        <v>Jl. KH. Mustofa No. 117  RT/RW. 003/004 Kel. Poris Jaya Kec. Batu Ceper Kota Tangerang Banten 15122</v>
      </c>
      <c r="M73" s="8" t="str">
        <f>'BIO DATA'!V71:V274</f>
        <v>Poris Jaya</v>
      </c>
      <c r="N73" s="8" t="str">
        <f>'BIO DATA'!W71:W274</f>
        <v>Batu Ceper</v>
      </c>
      <c r="O73" s="8" t="str">
        <f>'BIO DATA'!X71:X274</f>
        <v>Kota Tangerang</v>
      </c>
      <c r="P73" s="8" t="str">
        <f>'BIO DATA'!Y71:Y274</f>
        <v>Jawa Barat</v>
      </c>
      <c r="Q73" s="8" t="str">
        <f>'BIO DATA'!Z71:Z274</f>
        <v>MTs. Mu'allimin Muh. Yogyakarta</v>
      </c>
      <c r="R73" s="8" t="str">
        <f>'BIO DATA'!AA71:AA274</f>
        <v>Jl. Maulana Hasanudin, RT.003/RW.007, Poris Jaya, Kec. Batuceper, Kota Tangerang, Banten 15122</v>
      </c>
      <c r="S73" s="8">
        <f>'BIO DATA'!AB71:AB274</f>
        <v>0</v>
      </c>
      <c r="T73" s="8" t="str">
        <f>'BIO DATA'!AC71:AC274</f>
        <v>Muljadi</v>
      </c>
      <c r="U73" s="8" t="str">
        <f>'BIO DATA'!AD71</f>
        <v>Islam</v>
      </c>
      <c r="V73" s="8" t="str">
        <f>'BIO DATA'!AL71:AL274</f>
        <v>S1</v>
      </c>
      <c r="W73" s="8" t="str">
        <f>'BIO DATA'!AM71:AM274</f>
        <v>Karyawan Swasta</v>
      </c>
      <c r="X73" s="8" t="str">
        <f>'BIO DATA'!AG71:AG274</f>
        <v>&gt; Rp 2.500.000,00</v>
      </c>
      <c r="Y73" s="69" t="s">
        <v>217</v>
      </c>
      <c r="Z73" s="8">
        <f>'BIO DATA'!AI71:AI274</f>
        <v>0</v>
      </c>
      <c r="AA73" s="8" t="str">
        <f>'BIO DATA'!AJ71:AJ274</f>
        <v>Fitria Santi</v>
      </c>
      <c r="AB73" s="8" t="str">
        <f>'BIO DATA'!AK71</f>
        <v>Islam</v>
      </c>
      <c r="AC73" s="8" t="str">
        <f>'BIO DATA'!AL71:AL274</f>
        <v>S1</v>
      </c>
      <c r="AD73" s="8" t="str">
        <f>'BIO DATA'!AM71:AM274</f>
        <v>Karyawan Swasta</v>
      </c>
      <c r="AE73" s="8">
        <f>'BIO DATA'!AN71:AN274</f>
        <v>0</v>
      </c>
      <c r="AF73" s="52"/>
      <c r="AG73" s="8">
        <f>'BIO DATA'!AP71</f>
        <v>0</v>
      </c>
      <c r="AH73" s="8">
        <f>'BIO DATA'!AZ71</f>
        <v>0</v>
      </c>
      <c r="AI73" s="8" t="str">
        <f>'BIO DATA'!BA71</f>
        <v>Islam</v>
      </c>
      <c r="AJ73" s="8">
        <f>'BIO DATA'!BB71</f>
        <v>0</v>
      </c>
      <c r="AK73" s="8">
        <f>'BIO DATA'!BC71</f>
        <v>0</v>
      </c>
      <c r="AL73" s="8">
        <f>'BIO DATA'!BD71</f>
        <v>0</v>
      </c>
      <c r="AM73" s="8">
        <f>'BIO DATA'!BE71</f>
        <v>0</v>
      </c>
      <c r="AN73" s="8">
        <f>'BIO DATA'!BF71</f>
        <v>0</v>
      </c>
      <c r="AO73" s="8">
        <f>'BIO DATA'!BG71</f>
        <v>0</v>
      </c>
      <c r="AP73" s="54" t="s">
        <v>169</v>
      </c>
    </row>
    <row r="74" spans="1:42" s="54" customFormat="1" ht="20.100000000000001" customHeight="1" thickBot="1">
      <c r="A74" s="16" t="s">
        <v>131</v>
      </c>
      <c r="B74">
        <v>245</v>
      </c>
      <c r="C74" s="90">
        <f>'BIO DATA'!D72</f>
        <v>11360</v>
      </c>
      <c r="D74" s="90" t="str">
        <f>'BIO DATA'!E72</f>
        <v>0094648866</v>
      </c>
      <c r="E74" s="89" t="str">
        <f>'BIO DATA'!F72</f>
        <v>Juhdan Lintang Fahmi Habibi</v>
      </c>
      <c r="F74" s="49" t="str">
        <f>'BIO DATA'!M72</f>
        <v>Laki-laki</v>
      </c>
      <c r="G74" s="8" t="str">
        <f>'BIO DATA'!N72</f>
        <v>Banjarnegara</v>
      </c>
      <c r="H74" s="51">
        <f>'BIO DATA'!P72</f>
        <v>40008</v>
      </c>
      <c r="I74" s="49" t="str">
        <f>'BIO DATA'!S72</f>
        <v>Islam</v>
      </c>
      <c r="J74" s="50">
        <f>'BIO DATA'!J72:J234</f>
        <v>1</v>
      </c>
      <c r="K74" s="50">
        <f>'BIO DATA'!K72:K275</f>
        <v>2</v>
      </c>
      <c r="L74" s="8" t="str">
        <f>'BIO DATA'!T72:T234</f>
        <v>Jl. Wolter Monginsidi No. 33, Sengkang, Kabupaten Wajo, Sulawesi Selatan, 90915</v>
      </c>
      <c r="M74" s="8" t="str">
        <f>'BIO DATA'!V72:V275</f>
        <v>Sengkang</v>
      </c>
      <c r="N74" s="8" t="str">
        <f>'BIO DATA'!W72:W275</f>
        <v>Sengkang</v>
      </c>
      <c r="O74" s="8" t="str">
        <f>'BIO DATA'!X72:X275</f>
        <v>Wajo</v>
      </c>
      <c r="P74" s="8" t="str">
        <f>'BIO DATA'!Y72:Y275</f>
        <v xml:space="preserve"> Sulawesi Selatan</v>
      </c>
      <c r="Q74" s="8" t="str">
        <f>'BIO DATA'!Z72:Z275</f>
        <v>MTs. Mu'allimin Muh. Yogyakarta</v>
      </c>
      <c r="R74" s="8" t="str">
        <f>'BIO DATA'!AA72:AA275</f>
        <v>Jl. Durian No.8, Maddukelleng, Kec. Tempe, Kabupaten Wajo, Sulawesi Selatan 90918</v>
      </c>
      <c r="S74" s="8">
        <f>'BIO DATA'!AB72:AB275</f>
        <v>0</v>
      </c>
      <c r="T74" s="8" t="str">
        <f>'BIO DATA'!AC72:AC275</f>
        <v>Muh. Yasmin Maulana</v>
      </c>
      <c r="U74" s="8" t="str">
        <f>'BIO DATA'!AD72</f>
        <v>Islam</v>
      </c>
      <c r="V74" s="8" t="str">
        <f>'BIO DATA'!AL72:AL275</f>
        <v>S1</v>
      </c>
      <c r="W74" s="8" t="str">
        <f>'BIO DATA'!AM72:AM275</f>
        <v>Karyawan BUMN</v>
      </c>
      <c r="X74" s="8" t="str">
        <f>'BIO DATA'!AG72:AG275</f>
        <v>&gt; Rp 2.500.000,00</v>
      </c>
      <c r="Y74" s="69" t="s">
        <v>217</v>
      </c>
      <c r="Z74" s="8">
        <f>'BIO DATA'!AI72:AI275</f>
        <v>0</v>
      </c>
      <c r="AA74" s="8" t="str">
        <f>'BIO DATA'!AJ72:AJ275</f>
        <v>Hartina Dahlan</v>
      </c>
      <c r="AB74" s="8" t="str">
        <f>'BIO DATA'!AK72</f>
        <v>Islam</v>
      </c>
      <c r="AC74" s="8" t="str">
        <f>'BIO DATA'!AL72:AL275</f>
        <v>S1</v>
      </c>
      <c r="AD74" s="8" t="str">
        <f>'BIO DATA'!AM72:AM275</f>
        <v>Karyawan BUMN</v>
      </c>
      <c r="AE74" s="8">
        <f>'BIO DATA'!AN72:AN275</f>
        <v>0</v>
      </c>
      <c r="AF74" s="52"/>
      <c r="AG74" s="8">
        <f>'BIO DATA'!AP72</f>
        <v>0</v>
      </c>
      <c r="AH74" s="8">
        <f>'BIO DATA'!AZ72</f>
        <v>0</v>
      </c>
      <c r="AI74" s="8" t="str">
        <f>'BIO DATA'!BA72</f>
        <v>Islam</v>
      </c>
      <c r="AJ74" s="8">
        <f>'BIO DATA'!BB72</f>
        <v>0</v>
      </c>
      <c r="AK74" s="8">
        <f>'BIO DATA'!BC72</f>
        <v>0</v>
      </c>
      <c r="AL74" s="8">
        <f>'BIO DATA'!BD72</f>
        <v>0</v>
      </c>
      <c r="AM74" s="8">
        <f>'BIO DATA'!BE72</f>
        <v>0</v>
      </c>
      <c r="AN74" s="8">
        <f>'BIO DATA'!BF72</f>
        <v>0</v>
      </c>
      <c r="AO74" s="8">
        <f>'BIO DATA'!BG72</f>
        <v>0</v>
      </c>
      <c r="AP74" s="54" t="s">
        <v>169</v>
      </c>
    </row>
    <row r="75" spans="1:42" s="54" customFormat="1" ht="20.100000000000001" customHeight="1" thickBot="1">
      <c r="A75" s="16" t="s">
        <v>131</v>
      </c>
      <c r="B75">
        <v>249</v>
      </c>
      <c r="C75" s="90">
        <f>'BIO DATA'!D73</f>
        <v>11373</v>
      </c>
      <c r="D75" s="90" t="str">
        <f>'BIO DATA'!E73</f>
        <v>0097578694</v>
      </c>
      <c r="E75" s="89" t="str">
        <f>'BIO DATA'!F73</f>
        <v>M. Muttaqin Ar Rasyiid</v>
      </c>
      <c r="F75" s="49" t="str">
        <f>'BIO DATA'!M73</f>
        <v>Laki-laki</v>
      </c>
      <c r="G75" s="8" t="str">
        <f>'BIO DATA'!N73</f>
        <v>Tangerang</v>
      </c>
      <c r="H75" s="51">
        <f>'BIO DATA'!P73</f>
        <v>40102</v>
      </c>
      <c r="I75" s="49" t="str">
        <f>'BIO DATA'!S73</f>
        <v>Islam</v>
      </c>
      <c r="J75" s="50">
        <f>'BIO DATA'!J73:J235</f>
        <v>1</v>
      </c>
      <c r="K75" s="50">
        <f>'BIO DATA'!K73:K276</f>
        <v>0</v>
      </c>
      <c r="L75" s="8" t="str">
        <f>'BIO DATA'!T73:T235</f>
        <v>Jl. Mangga RT 011/004 Kelurahan Mendawai Kecamatan Sukamara Kabupaten Sukamara Kalteng 74712</v>
      </c>
      <c r="M75" s="8" t="str">
        <f>'BIO DATA'!V73:V276</f>
        <v>Mendawai</v>
      </c>
      <c r="N75" s="8" t="str">
        <f>'BIO DATA'!W73:W276</f>
        <v>Sukamara</v>
      </c>
      <c r="O75" s="8" t="str">
        <f>'BIO DATA'!X73:X276</f>
        <v>Sukamara</v>
      </c>
      <c r="P75" s="8" t="str">
        <f>'BIO DATA'!Y73:Y276</f>
        <v>Kaimantan Tengah</v>
      </c>
      <c r="Q75" s="8" t="str">
        <f>'BIO DATA'!Z73:Z276</f>
        <v>MTs. Mu'allimin Muh. Yogyakarta</v>
      </c>
      <c r="R75" s="8" t="str">
        <f>'BIO DATA'!AA73:AA276</f>
        <v>Jalan Tjilik Riwut, Mendawai, Kec. Sukamara, Kabupaten Sukamara, Kalimantan Tengah 74172</v>
      </c>
      <c r="S75" s="8">
        <f>'BIO DATA'!AB73:AB276</f>
        <v>0</v>
      </c>
      <c r="T75" s="8" t="str">
        <f>'BIO DATA'!AC73:AC276</f>
        <v>Sumaji</v>
      </c>
      <c r="U75" s="8" t="str">
        <f>'BIO DATA'!AD73</f>
        <v>Islam</v>
      </c>
      <c r="V75" s="8" t="str">
        <f>'BIO DATA'!AL73:AL276</f>
        <v>Diploma</v>
      </c>
      <c r="W75" s="8" t="str">
        <f>'BIO DATA'!AM73:AM276</f>
        <v>PNS</v>
      </c>
      <c r="X75" s="8" t="str">
        <f>'BIO DATA'!AG73:AG276</f>
        <v>&gt; Rp 2.500.000,00</v>
      </c>
      <c r="Y75" s="69" t="s">
        <v>217</v>
      </c>
      <c r="Z75" s="8">
        <f>'BIO DATA'!AI73:AI276</f>
        <v>0</v>
      </c>
      <c r="AA75" s="8" t="str">
        <f>'BIO DATA'!AJ73:AJ276</f>
        <v>Aning Eka Widiarsih</v>
      </c>
      <c r="AB75" s="8" t="str">
        <f>'BIO DATA'!AK73</f>
        <v>Islam</v>
      </c>
      <c r="AC75" s="8" t="str">
        <f>'BIO DATA'!AL73:AL276</f>
        <v>Diploma</v>
      </c>
      <c r="AD75" s="8" t="str">
        <f>'BIO DATA'!AM73:AM276</f>
        <v>PNS</v>
      </c>
      <c r="AE75" s="8">
        <f>'BIO DATA'!AN73:AN276</f>
        <v>0</v>
      </c>
      <c r="AF75" s="52"/>
      <c r="AG75" s="8">
        <f>'BIO DATA'!AP73</f>
        <v>0</v>
      </c>
      <c r="AH75" s="8">
        <f>'BIO DATA'!AZ73</f>
        <v>0</v>
      </c>
      <c r="AI75" s="8" t="str">
        <f>'BIO DATA'!BA73</f>
        <v>Islam</v>
      </c>
      <c r="AJ75" s="8">
        <f>'BIO DATA'!BB73</f>
        <v>0</v>
      </c>
      <c r="AK75" s="8">
        <f>'BIO DATA'!BC73</f>
        <v>0</v>
      </c>
      <c r="AL75" s="8">
        <f>'BIO DATA'!BD73</f>
        <v>0</v>
      </c>
      <c r="AM75" s="8">
        <f>'BIO DATA'!BE73</f>
        <v>0</v>
      </c>
      <c r="AN75" s="8">
        <f>'BIO DATA'!BF73</f>
        <v>0</v>
      </c>
      <c r="AO75" s="8">
        <f>'BIO DATA'!BG73</f>
        <v>0</v>
      </c>
      <c r="AP75" s="54" t="s">
        <v>169</v>
      </c>
    </row>
    <row r="76" spans="1:42" s="54" customFormat="1" ht="20.100000000000001" customHeight="1" thickBot="1">
      <c r="A76" s="16" t="s">
        <v>131</v>
      </c>
      <c r="B76">
        <v>253</v>
      </c>
      <c r="C76" s="90">
        <f>'BIO DATA'!D74</f>
        <v>11416</v>
      </c>
      <c r="D76" s="90" t="str">
        <f>'BIO DATA'!E74</f>
        <v>0108390286</v>
      </c>
      <c r="E76" s="89" t="str">
        <f>'BIO DATA'!F74</f>
        <v>Muh. Rifat Zehavi Yasmin</v>
      </c>
      <c r="F76" s="49" t="str">
        <f>'BIO DATA'!M74</f>
        <v>Laki-laki</v>
      </c>
      <c r="G76" s="8" t="str">
        <f>'BIO DATA'!N74</f>
        <v>Makassar</v>
      </c>
      <c r="H76" s="51">
        <f>'BIO DATA'!P74</f>
        <v>40181</v>
      </c>
      <c r="I76" s="49" t="str">
        <f>'BIO DATA'!S74</f>
        <v>Islam</v>
      </c>
      <c r="J76" s="50">
        <f>'BIO DATA'!J74:J236</f>
        <v>1</v>
      </c>
      <c r="K76" s="50">
        <f>'BIO DATA'!K74:K277</f>
        <v>2</v>
      </c>
      <c r="L76" s="8" t="str">
        <f>'BIO DATA'!T74:T236</f>
        <v>Ngijon, Rt. 01 /Rw. 15, Sendangarum, Minggir, Sleman, DI Yogyakarta 55562</v>
      </c>
      <c r="M76" s="8" t="str">
        <f>'BIO DATA'!V74:V277</f>
        <v>Sendangarum</v>
      </c>
      <c r="N76" s="8" t="str">
        <f>'BIO DATA'!W74:W277</f>
        <v>Minggir</v>
      </c>
      <c r="O76" s="8" t="str">
        <f>'BIO DATA'!X74:X277</f>
        <v>Sleman</v>
      </c>
      <c r="P76" s="8" t="str">
        <f>'BIO DATA'!Y74:Y277</f>
        <v>DI Yogyakarta</v>
      </c>
      <c r="Q76" s="8" t="str">
        <f>'BIO DATA'!Z74:Z277</f>
        <v>MTs. Mu'allimin Muh. Yogyakarta</v>
      </c>
      <c r="R76" s="8" t="str">
        <f>'BIO DATA'!AA74:AA277</f>
        <v xml:space="preserve"> Turgenen, Sumberagung, Kec. Moyudan, Kabupaten Sleman, Daerah Istimewa Yogyakarta 55563</v>
      </c>
      <c r="S76" s="8">
        <f>'BIO DATA'!AB74:AB277</f>
        <v>0</v>
      </c>
      <c r="T76" s="8" t="str">
        <f>'BIO DATA'!AC74:AC277</f>
        <v xml:space="preserve">Barid Setiawan </v>
      </c>
      <c r="U76" s="8" t="str">
        <f>'BIO DATA'!AD74</f>
        <v>Islam</v>
      </c>
      <c r="V76" s="8" t="str">
        <f>'BIO DATA'!AL74:AL277</f>
        <v>S1</v>
      </c>
      <c r="W76" s="8" t="str">
        <f>'BIO DATA'!AM74:AM277</f>
        <v>Karyawan Honorer</v>
      </c>
      <c r="X76" s="8" t="str">
        <f>'BIO DATA'!AG74:AG277</f>
        <v>&gt; Rp 2.500.000,00</v>
      </c>
      <c r="Y76" s="69" t="s">
        <v>217</v>
      </c>
      <c r="Z76" s="8">
        <f>'BIO DATA'!AI74:AI277</f>
        <v>0</v>
      </c>
      <c r="AA76" s="8" t="str">
        <f>'BIO DATA'!AJ74:AJ277</f>
        <v>Laila Saidah</v>
      </c>
      <c r="AB76" s="8" t="str">
        <f>'BIO DATA'!AK74</f>
        <v>Islam</v>
      </c>
      <c r="AC76" s="8" t="str">
        <f>'BIO DATA'!AL74:AL277</f>
        <v>S1</v>
      </c>
      <c r="AD76" s="8" t="str">
        <f>'BIO DATA'!AM74:AM277</f>
        <v>Karyawan Honorer</v>
      </c>
      <c r="AE76" s="8">
        <f>'BIO DATA'!AN74:AN277</f>
        <v>0</v>
      </c>
      <c r="AF76" s="52"/>
      <c r="AG76" s="8">
        <f>'BIO DATA'!AP74</f>
        <v>0</v>
      </c>
      <c r="AH76" s="8">
        <f>'BIO DATA'!AZ74</f>
        <v>0</v>
      </c>
      <c r="AI76" s="8" t="str">
        <f>'BIO DATA'!BA74</f>
        <v>Islam</v>
      </c>
      <c r="AJ76" s="8">
        <f>'BIO DATA'!BB74</f>
        <v>0</v>
      </c>
      <c r="AK76" s="8">
        <f>'BIO DATA'!BC74</f>
        <v>0</v>
      </c>
      <c r="AL76" s="8">
        <f>'BIO DATA'!BD74</f>
        <v>0</v>
      </c>
      <c r="AM76" s="8">
        <f>'BIO DATA'!BE74</f>
        <v>0</v>
      </c>
      <c r="AN76" s="8">
        <f>'BIO DATA'!BF74</f>
        <v>0</v>
      </c>
      <c r="AO76" s="8">
        <f>'BIO DATA'!BG74</f>
        <v>0</v>
      </c>
      <c r="AP76" s="54" t="s">
        <v>169</v>
      </c>
    </row>
    <row r="77" spans="1:42" s="54" customFormat="1" ht="20.100000000000001" customHeight="1" thickBot="1">
      <c r="A77" s="16" t="s">
        <v>131</v>
      </c>
      <c r="B77">
        <v>255</v>
      </c>
      <c r="C77" s="90">
        <f>'BIO DATA'!D75</f>
        <v>11440</v>
      </c>
      <c r="D77" s="90" t="str">
        <f>'BIO DATA'!E75</f>
        <v>0081876092</v>
      </c>
      <c r="E77" s="89" t="str">
        <f>'BIO DATA'!F75</f>
        <v>Muhamad Naufal Farisqi</v>
      </c>
      <c r="F77" s="49" t="str">
        <f>'BIO DATA'!M75</f>
        <v>Laki-laki</v>
      </c>
      <c r="G77" s="8" t="str">
        <f>'BIO DATA'!N75</f>
        <v>Sukamara</v>
      </c>
      <c r="H77" s="51">
        <f>'BIO DATA'!P75</f>
        <v>40144</v>
      </c>
      <c r="I77" s="49" t="str">
        <f>'BIO DATA'!S75</f>
        <v>Islam</v>
      </c>
      <c r="J77" s="50">
        <f>'BIO DATA'!J75:J237</f>
        <v>1</v>
      </c>
      <c r="K77" s="50">
        <f>'BIO DATA'!K75:K278</f>
        <v>1</v>
      </c>
      <c r="L77" s="8" t="str">
        <f>'BIO DATA'!T75:T237</f>
        <v>Krapyak RT 16 RW 09 Pakahan Jogonalan Klaten, Jawa Tengah, 57452</v>
      </c>
      <c r="M77" s="8" t="str">
        <f>'BIO DATA'!V75:V278</f>
        <v>Pakahan</v>
      </c>
      <c r="N77" s="8" t="str">
        <f>'BIO DATA'!W75:W278</f>
        <v>Jogonalan</v>
      </c>
      <c r="O77" s="8" t="str">
        <f>'BIO DATA'!X75:X278</f>
        <v>Klaten</v>
      </c>
      <c r="P77" s="8" t="str">
        <f>'BIO DATA'!Y75:Y278</f>
        <v>Jawa Tengah</v>
      </c>
      <c r="Q77" s="8" t="str">
        <f>'BIO DATA'!Z75:Z278</f>
        <v>MTs. Mu'allimin Muh. Yogyakarta</v>
      </c>
      <c r="R77" s="8" t="str">
        <f>'BIO DATA'!AA75:AA278</f>
        <v>Irobangsan, Pandes, Kec. Wedi, Kabupaten Klaten, Jawa Tengah 57461</v>
      </c>
      <c r="S77" s="8">
        <f>'BIO DATA'!AB75:AB278</f>
        <v>0</v>
      </c>
      <c r="T77" s="8" t="str">
        <f>'BIO DATA'!AC75:AC278</f>
        <v>Frida Agung Rakhmadi</v>
      </c>
      <c r="U77" s="8" t="str">
        <f>'BIO DATA'!AD75</f>
        <v>Islam</v>
      </c>
      <c r="V77" s="8" t="str">
        <f>'BIO DATA'!AL75:AL278</f>
        <v>S1</v>
      </c>
      <c r="W77" s="8" t="str">
        <f>'BIO DATA'!AM75:AM278</f>
        <v>Ibu Rumah Tangga</v>
      </c>
      <c r="X77" s="8" t="str">
        <f>'BIO DATA'!AG75:AG278</f>
        <v>&gt; Rp 2.500.000,00</v>
      </c>
      <c r="Y77" s="69" t="s">
        <v>217</v>
      </c>
      <c r="Z77" s="8">
        <f>'BIO DATA'!AI75:AI278</f>
        <v>0</v>
      </c>
      <c r="AA77" s="8" t="str">
        <f>'BIO DATA'!AJ75:AJ278</f>
        <v>Dian Alimatus Sholikha HS</v>
      </c>
      <c r="AB77" s="8" t="str">
        <f>'BIO DATA'!AK75</f>
        <v>Islam</v>
      </c>
      <c r="AC77" s="8" t="str">
        <f>'BIO DATA'!AL75:AL278</f>
        <v>S1</v>
      </c>
      <c r="AD77" s="8" t="str">
        <f>'BIO DATA'!AM75:AM278</f>
        <v>Ibu Rumah Tangga</v>
      </c>
      <c r="AE77" s="8">
        <f>'BIO DATA'!AN75:AN278</f>
        <v>0</v>
      </c>
      <c r="AF77" s="52"/>
      <c r="AG77" s="8">
        <f>'BIO DATA'!AP75</f>
        <v>0</v>
      </c>
      <c r="AH77" s="8">
        <f>'BIO DATA'!AZ75</f>
        <v>0</v>
      </c>
      <c r="AI77" s="8" t="str">
        <f>'BIO DATA'!BA75</f>
        <v>Islam</v>
      </c>
      <c r="AJ77" s="8">
        <f>'BIO DATA'!BB75</f>
        <v>0</v>
      </c>
      <c r="AK77" s="8">
        <f>'BIO DATA'!BC75</f>
        <v>0</v>
      </c>
      <c r="AL77" s="8">
        <f>'BIO DATA'!BD75</f>
        <v>0</v>
      </c>
      <c r="AM77" s="8">
        <f>'BIO DATA'!BE75</f>
        <v>0</v>
      </c>
      <c r="AN77" s="8">
        <f>'BIO DATA'!BF75</f>
        <v>0</v>
      </c>
      <c r="AO77" s="8">
        <f>'BIO DATA'!BG75</f>
        <v>0</v>
      </c>
      <c r="AP77" s="54" t="s">
        <v>169</v>
      </c>
    </row>
    <row r="78" spans="1:42" s="54" customFormat="1" ht="20.100000000000001" customHeight="1" thickBot="1">
      <c r="A78" s="16" t="s">
        <v>131</v>
      </c>
      <c r="B78">
        <v>266</v>
      </c>
      <c r="C78" s="90">
        <f>'BIO DATA'!D76</f>
        <v>11385</v>
      </c>
      <c r="D78" s="90" t="str">
        <f>'BIO DATA'!E76</f>
        <v>0104796123</v>
      </c>
      <c r="E78" s="89" t="str">
        <f>'BIO DATA'!F76</f>
        <v>Muhammad Al Fatih</v>
      </c>
      <c r="F78" s="49" t="str">
        <f>'BIO DATA'!M76</f>
        <v>Laki-laki</v>
      </c>
      <c r="G78" s="8" t="str">
        <f>'BIO DATA'!N76</f>
        <v>Sleman</v>
      </c>
      <c r="H78" s="51">
        <f>'BIO DATA'!P76</f>
        <v>40264</v>
      </c>
      <c r="I78" s="49" t="str">
        <f>'BIO DATA'!S76</f>
        <v>Islam</v>
      </c>
      <c r="J78" s="50">
        <f>'BIO DATA'!J76:J238</f>
        <v>1</v>
      </c>
      <c r="K78" s="50">
        <f>'BIO DATA'!K76:K279</f>
        <v>1</v>
      </c>
      <c r="L78" s="8" t="str">
        <f>'BIO DATA'!T76:T238</f>
        <v>Jl. Jambu I Wonosidi Lor RT: 07 RW: 12 Wates, Wates, Kulon Progo, Yogyakarta, DI Yogyakarta, 55651</v>
      </c>
      <c r="M78" s="8" t="str">
        <f>'BIO DATA'!V76:V279</f>
        <v>Wates</v>
      </c>
      <c r="N78" s="8" t="str">
        <f>'BIO DATA'!W76:W279</f>
        <v>Wates</v>
      </c>
      <c r="O78" s="8" t="str">
        <f>'BIO DATA'!X76:X279</f>
        <v>Kulon Progo</v>
      </c>
      <c r="P78" s="8" t="str">
        <f>'BIO DATA'!Y76:Y279</f>
        <v>DI Yogyakarta</v>
      </c>
      <c r="Q78" s="8" t="str">
        <f>'BIO DATA'!Z76:Z279</f>
        <v>MTs. Mu'allimin Muh. Yogyakarta</v>
      </c>
      <c r="R78" s="8" t="str">
        <f>'BIO DATA'!AA76:AA279</f>
        <v>RT.01/RW.02, Beji, Wates, Kec. Wates, Kabupaten Kulon Progo, Daerah Istimewa Yogyakarta 55611</v>
      </c>
      <c r="S78" s="8">
        <f>'BIO DATA'!AB76:AB279</f>
        <v>0</v>
      </c>
      <c r="T78" s="8" t="str">
        <f>'BIO DATA'!AC76:AC279</f>
        <v>Swastono Sapto Bintoro</v>
      </c>
      <c r="U78" s="8" t="str">
        <f>'BIO DATA'!AD76</f>
        <v>Islam</v>
      </c>
      <c r="V78" s="8" t="str">
        <f>'BIO DATA'!AL76:AL279</f>
        <v>S1</v>
      </c>
      <c r="W78" s="8" t="str">
        <f>'BIO DATA'!AM76:AM279</f>
        <v>PNS</v>
      </c>
      <c r="X78" s="8" t="str">
        <f>'BIO DATA'!AG76:AG279</f>
        <v>&gt; Rp 2.500.000,00</v>
      </c>
      <c r="Y78" s="69" t="s">
        <v>217</v>
      </c>
      <c r="Z78" s="8">
        <f>'BIO DATA'!AI76:AI279</f>
        <v>0</v>
      </c>
      <c r="AA78" s="8" t="str">
        <f>'BIO DATA'!AJ76:AJ279</f>
        <v>Dwi Astutiningsih</v>
      </c>
      <c r="AB78" s="8" t="str">
        <f>'BIO DATA'!AK76</f>
        <v>Islam</v>
      </c>
      <c r="AC78" s="8" t="str">
        <f>'BIO DATA'!AL76:AL279</f>
        <v>S1</v>
      </c>
      <c r="AD78" s="8" t="str">
        <f>'BIO DATA'!AM76:AM279</f>
        <v>PNS</v>
      </c>
      <c r="AE78" s="8">
        <f>'BIO DATA'!AN76:AN279</f>
        <v>0</v>
      </c>
      <c r="AF78" s="52"/>
      <c r="AG78" s="8">
        <f>'BIO DATA'!AP76</f>
        <v>0</v>
      </c>
      <c r="AH78" s="8">
        <f>'BIO DATA'!AZ76</f>
        <v>0</v>
      </c>
      <c r="AI78" s="8" t="str">
        <f>'BIO DATA'!BA76</f>
        <v>Islam</v>
      </c>
      <c r="AJ78" s="8">
        <f>'BIO DATA'!BB76</f>
        <v>0</v>
      </c>
      <c r="AK78" s="8">
        <f>'BIO DATA'!BC76</f>
        <v>0</v>
      </c>
      <c r="AL78" s="8">
        <f>'BIO DATA'!BD76</f>
        <v>0</v>
      </c>
      <c r="AM78" s="8">
        <f>'BIO DATA'!BE76</f>
        <v>0</v>
      </c>
      <c r="AN78" s="8">
        <f>'BIO DATA'!BF76</f>
        <v>0</v>
      </c>
      <c r="AO78" s="8">
        <f>'BIO DATA'!BG76</f>
        <v>0</v>
      </c>
      <c r="AP78" s="54" t="s">
        <v>169</v>
      </c>
    </row>
    <row r="79" spans="1:42" s="54" customFormat="1" ht="20.100000000000001" customHeight="1" thickBot="1">
      <c r="A79" s="16" t="s">
        <v>131</v>
      </c>
      <c r="B79">
        <v>282</v>
      </c>
      <c r="C79" s="90">
        <f>'BIO DATA'!D77</f>
        <v>11394</v>
      </c>
      <c r="D79" s="90" t="str">
        <f>'BIO DATA'!E77</f>
        <v>0099862281</v>
      </c>
      <c r="E79" s="89" t="str">
        <f>'BIO DATA'!F77</f>
        <v>Muhammad Azam Tawakkal</v>
      </c>
      <c r="F79" s="49" t="str">
        <f>'BIO DATA'!M77</f>
        <v>Laki-laki</v>
      </c>
      <c r="G79" s="8" t="str">
        <f>'BIO DATA'!N77</f>
        <v>Klaten</v>
      </c>
      <c r="H79" s="51">
        <f>'BIO DATA'!P77</f>
        <v>40141</v>
      </c>
      <c r="I79" s="49" t="str">
        <f>'BIO DATA'!S77</f>
        <v>Islam</v>
      </c>
      <c r="J79" s="50">
        <f>'BIO DATA'!J77:J239</f>
        <v>4</v>
      </c>
      <c r="K79" s="50">
        <f>'BIO DATA'!K77:K280</f>
        <v>3</v>
      </c>
      <c r="L79" s="8" t="str">
        <f>'BIO DATA'!T77:T239</f>
        <v>Jl Makom Raya no 33 Rt 06 Rt 04 Jatikramat Jatiasih Bekasi 17421</v>
      </c>
      <c r="M79" s="8" t="str">
        <f>'BIO DATA'!V77:V280</f>
        <v>Jatikramat</v>
      </c>
      <c r="N79" s="8" t="str">
        <f>'BIO DATA'!W77:W280</f>
        <v>Jatiasih</v>
      </c>
      <c r="O79" s="8" t="str">
        <f>'BIO DATA'!X77:X280</f>
        <v>Bekasi</v>
      </c>
      <c r="P79" s="8" t="str">
        <f>'BIO DATA'!Y77:Y280</f>
        <v>Jawa Barat</v>
      </c>
      <c r="Q79" s="8" t="str">
        <f>'BIO DATA'!Z77:Z280</f>
        <v>MTs. Mu'allimin Muh. Yogyakarta</v>
      </c>
      <c r="R79" s="8">
        <f>'BIO DATA'!AA77:AA280</f>
        <v>0</v>
      </c>
      <c r="S79" s="8">
        <f>'BIO DATA'!AB77:AB280</f>
        <v>0</v>
      </c>
      <c r="T79" s="8" t="str">
        <f>'BIO DATA'!AC77:AC280</f>
        <v>Sabrul Jamil, S.Si</v>
      </c>
      <c r="U79" s="8" t="str">
        <f>'BIO DATA'!AD77</f>
        <v>Islam</v>
      </c>
      <c r="V79" s="8" t="str">
        <f>'BIO DATA'!AL77:AL280</f>
        <v>S1</v>
      </c>
      <c r="W79" s="8" t="str">
        <f>'BIO DATA'!AM77:AM280</f>
        <v>Ibu Rumah Tangga</v>
      </c>
      <c r="X79" s="8" t="str">
        <f>'BIO DATA'!AG77:AG280</f>
        <v>&gt; Rp 2.500.000,00</v>
      </c>
      <c r="Y79" s="69" t="s">
        <v>217</v>
      </c>
      <c r="Z79" s="8">
        <f>'BIO DATA'!AI77:AI280</f>
        <v>0</v>
      </c>
      <c r="AA79" s="8" t="str">
        <f>'BIO DATA'!AJ77:AJ280</f>
        <v>Yudhanti Dwi Lestari</v>
      </c>
      <c r="AB79" s="8" t="str">
        <f>'BIO DATA'!AK77</f>
        <v>Islam</v>
      </c>
      <c r="AC79" s="8" t="str">
        <f>'BIO DATA'!AL77:AL280</f>
        <v>S1</v>
      </c>
      <c r="AD79" s="8" t="str">
        <f>'BIO DATA'!AM77:AM280</f>
        <v>Ibu Rumah Tangga</v>
      </c>
      <c r="AE79" s="8">
        <f>'BIO DATA'!AN77:AN280</f>
        <v>0</v>
      </c>
      <c r="AF79" s="52"/>
      <c r="AG79" s="8">
        <f>'BIO DATA'!AP77</f>
        <v>0</v>
      </c>
      <c r="AH79" s="8">
        <f>'BIO DATA'!AZ77</f>
        <v>0</v>
      </c>
      <c r="AI79" s="8" t="str">
        <f>'BIO DATA'!BA77</f>
        <v>Islam</v>
      </c>
      <c r="AJ79" s="8">
        <f>'BIO DATA'!BB77</f>
        <v>0</v>
      </c>
      <c r="AK79" s="8">
        <f>'BIO DATA'!BC77</f>
        <v>0</v>
      </c>
      <c r="AL79" s="8">
        <f>'BIO DATA'!BD77</f>
        <v>0</v>
      </c>
      <c r="AM79" s="8">
        <f>'BIO DATA'!BE77</f>
        <v>0</v>
      </c>
      <c r="AN79" s="8">
        <f>'BIO DATA'!BF77</f>
        <v>0</v>
      </c>
      <c r="AO79" s="8">
        <f>'BIO DATA'!BG77</f>
        <v>0</v>
      </c>
      <c r="AP79" s="54" t="s">
        <v>169</v>
      </c>
    </row>
    <row r="80" spans="1:42" s="54" customFormat="1" ht="20.100000000000001" customHeight="1" thickBot="1">
      <c r="A80" s="16" t="s">
        <v>131</v>
      </c>
      <c r="B80">
        <v>287</v>
      </c>
      <c r="C80" s="90">
        <f>'BIO DATA'!D78</f>
        <v>11401</v>
      </c>
      <c r="D80" s="90" t="str">
        <f>'BIO DATA'!E78</f>
        <v>0084963079</v>
      </c>
      <c r="E80" s="89" t="str">
        <f>'BIO DATA'!F78</f>
        <v>Muhammad Difa Ahnaf</v>
      </c>
      <c r="F80" s="49" t="str">
        <f>'BIO DATA'!M78</f>
        <v>Laki-laki</v>
      </c>
      <c r="G80" s="8" t="str">
        <f>'BIO DATA'!N78</f>
        <v>Kulon Progo</v>
      </c>
      <c r="H80" s="51">
        <f>'BIO DATA'!P78</f>
        <v>39810</v>
      </c>
      <c r="I80" s="49" t="str">
        <f>'BIO DATA'!S78</f>
        <v>Islam</v>
      </c>
      <c r="J80" s="50">
        <f>'BIO DATA'!J78:J240</f>
        <v>2</v>
      </c>
      <c r="K80" s="50">
        <f>'BIO DATA'!K78:K281</f>
        <v>1</v>
      </c>
      <c r="L80" s="8" t="str">
        <f>'BIO DATA'!T78:T240</f>
        <v>Wirobrajan WB II/ 335, Wirobrajan, Yogyakarta 55252</v>
      </c>
      <c r="M80" s="8" t="str">
        <f>'BIO DATA'!V78:V281</f>
        <v>Wirobrajan</v>
      </c>
      <c r="N80" s="8" t="str">
        <f>'BIO DATA'!W78:W281</f>
        <v>Wirobrajan</v>
      </c>
      <c r="O80" s="8" t="str">
        <f>'BIO DATA'!X78:X281</f>
        <v>Kota Yogyakarta</v>
      </c>
      <c r="P80" s="8" t="str">
        <f>'BIO DATA'!Y78:Y281</f>
        <v>DI Yogyakarta</v>
      </c>
      <c r="Q80" s="8" t="str">
        <f>'BIO DATA'!Z78:Z281</f>
        <v>MTs. Mu'allimin Muh. Yogyakarta</v>
      </c>
      <c r="R80" s="8" t="str">
        <f>'BIO DATA'!AA78:AA281</f>
        <v>Jl. Gatotkaca No.19A, Wirobrajan, Kota Yogyakarta, Daerah Istimewa Yogyakarta 55252</v>
      </c>
      <c r="S80" s="8">
        <f>'BIO DATA'!AB78:AB281</f>
        <v>0</v>
      </c>
      <c r="T80" s="8" t="str">
        <f>'BIO DATA'!AC78:AC281</f>
        <v>Syamsul Bukhari</v>
      </c>
      <c r="U80" s="8" t="str">
        <f>'BIO DATA'!AD78</f>
        <v>Islam</v>
      </c>
      <c r="V80" s="8" t="str">
        <f>'BIO DATA'!AL78:AL281</f>
        <v>S1</v>
      </c>
      <c r="W80" s="8" t="str">
        <f>'BIO DATA'!AM78:AM281</f>
        <v>Wiraswasta</v>
      </c>
      <c r="X80" s="8" t="str">
        <f>'BIO DATA'!AG78:AG281</f>
        <v>&gt; Rp 2.500.000,00</v>
      </c>
      <c r="Y80" s="69" t="s">
        <v>217</v>
      </c>
      <c r="Z80" s="8">
        <f>'BIO DATA'!AI78:AI281</f>
        <v>0</v>
      </c>
      <c r="AA80" s="8" t="str">
        <f>'BIO DATA'!AJ78:AJ281</f>
        <v>Yunika Sapta Savanty</v>
      </c>
      <c r="AB80" s="8" t="str">
        <f>'BIO DATA'!AK78</f>
        <v>Islam</v>
      </c>
      <c r="AC80" s="8" t="str">
        <f>'BIO DATA'!AL78:AL281</f>
        <v>S1</v>
      </c>
      <c r="AD80" s="8" t="str">
        <f>'BIO DATA'!AM78:AM281</f>
        <v>Wiraswasta</v>
      </c>
      <c r="AE80" s="8">
        <f>'BIO DATA'!AN78:AN281</f>
        <v>0</v>
      </c>
      <c r="AF80" s="52"/>
      <c r="AG80" s="8">
        <f>'BIO DATA'!AP78</f>
        <v>0</v>
      </c>
      <c r="AH80" s="8">
        <f>'BIO DATA'!AZ78</f>
        <v>0</v>
      </c>
      <c r="AI80" s="8" t="str">
        <f>'BIO DATA'!BA78</f>
        <v>Islam</v>
      </c>
      <c r="AJ80" s="8">
        <f>'BIO DATA'!BB78</f>
        <v>0</v>
      </c>
      <c r="AK80" s="8">
        <f>'BIO DATA'!BC78</f>
        <v>0</v>
      </c>
      <c r="AL80" s="8">
        <f>'BIO DATA'!BD78</f>
        <v>0</v>
      </c>
      <c r="AM80" s="8">
        <f>'BIO DATA'!BE78</f>
        <v>0</v>
      </c>
      <c r="AN80" s="8">
        <f>'BIO DATA'!BF78</f>
        <v>0</v>
      </c>
      <c r="AO80" s="8">
        <f>'BIO DATA'!BG78</f>
        <v>0</v>
      </c>
      <c r="AP80" s="54" t="s">
        <v>169</v>
      </c>
    </row>
    <row r="81" spans="1:42" s="54" customFormat="1" ht="20.100000000000001" customHeight="1" thickBot="1">
      <c r="A81" s="16" t="s">
        <v>131</v>
      </c>
      <c r="B81">
        <v>300</v>
      </c>
      <c r="C81" s="90">
        <f>'BIO DATA'!D79</f>
        <v>11407</v>
      </c>
      <c r="D81" s="90" t="str">
        <f>'BIO DATA'!E79</f>
        <v>0099605819</v>
      </c>
      <c r="E81" s="89" t="str">
        <f>'BIO DATA'!F79</f>
        <v>Muhammad Fairuz Nafis Azzahir</v>
      </c>
      <c r="F81" s="49" t="str">
        <f>'BIO DATA'!M79</f>
        <v>Laki-laki</v>
      </c>
      <c r="G81" s="8" t="str">
        <f>'BIO DATA'!N79</f>
        <v>Bekasi</v>
      </c>
      <c r="H81" s="51">
        <f>'BIO DATA'!P79</f>
        <v>40119</v>
      </c>
      <c r="I81" s="49" t="str">
        <f>'BIO DATA'!S79</f>
        <v>Islam</v>
      </c>
      <c r="J81" s="50">
        <f>'BIO DATA'!J79:J241</f>
        <v>4</v>
      </c>
      <c r="K81" s="50">
        <f>'BIO DATA'!K79:K282</f>
        <v>4</v>
      </c>
      <c r="L81" s="8" t="str">
        <f>'BIO DATA'!T79:T241</f>
        <v>Graha Permata Selabaya Blok A No.3, Kalimanah, Purbalingga Jawa Tengah 53371</v>
      </c>
      <c r="M81" s="8" t="str">
        <f>'BIO DATA'!V79:V282</f>
        <v>Selabaya</v>
      </c>
      <c r="N81" s="8" t="str">
        <f>'BIO DATA'!W79:W282</f>
        <v>Kalimanah</v>
      </c>
      <c r="O81" s="8" t="str">
        <f>'BIO DATA'!X79:X282</f>
        <v>Purbalingga</v>
      </c>
      <c r="P81" s="8" t="str">
        <f>'BIO DATA'!Y79:Y282</f>
        <v>Kalimanah</v>
      </c>
      <c r="Q81" s="8" t="str">
        <f>'BIO DATA'!Z79:Z282</f>
        <v>MTs. Mu'allimin Muh. Yogyakarta</v>
      </c>
      <c r="R81" s="8" t="str">
        <f>'BIO DATA'!AA79:AA282</f>
        <v>Jl. Letnan Sudani, RT.03/RW.02, Kembaran Kulon, Purbalingga, Kembaran Kulon, Kec. Purbalingga, Kabupaten Purbalingga, Jawa Tengah 53319</v>
      </c>
      <c r="S81" s="8">
        <f>'BIO DATA'!AB79:AB282</f>
        <v>0</v>
      </c>
      <c r="T81" s="8" t="str">
        <f>'BIO DATA'!AC79:AC282</f>
        <v>Nurhaji</v>
      </c>
      <c r="U81" s="8" t="str">
        <f>'BIO DATA'!AD79</f>
        <v>Islam</v>
      </c>
      <c r="V81" s="8" t="str">
        <f>'BIO DATA'!AL79:AL282</f>
        <v>SMA</v>
      </c>
      <c r="W81" s="8" t="str">
        <f>'BIO DATA'!AM79:AM282</f>
        <v>Ibu Rumah Tangga</v>
      </c>
      <c r="X81" s="8" t="str">
        <f>'BIO DATA'!AG79:AG282</f>
        <v>&gt; Rp 2.500.000,00</v>
      </c>
      <c r="Y81" s="69" t="s">
        <v>217</v>
      </c>
      <c r="Z81" s="8">
        <f>'BIO DATA'!AI79:AI282</f>
        <v>0</v>
      </c>
      <c r="AA81" s="8" t="str">
        <f>'BIO DATA'!AJ79:AJ282</f>
        <v>Rika Mulyani</v>
      </c>
      <c r="AB81" s="8" t="str">
        <f>'BIO DATA'!AK79</f>
        <v>Islam</v>
      </c>
      <c r="AC81" s="8" t="str">
        <f>'BIO DATA'!AL79:AL282</f>
        <v>SMA</v>
      </c>
      <c r="AD81" s="8" t="str">
        <f>'BIO DATA'!AM79:AM282</f>
        <v>Ibu Rumah Tangga</v>
      </c>
      <c r="AE81" s="8">
        <f>'BIO DATA'!AN79:AN282</f>
        <v>0</v>
      </c>
      <c r="AF81" s="52"/>
      <c r="AG81" s="8">
        <f>'BIO DATA'!AP79</f>
        <v>0</v>
      </c>
      <c r="AH81" s="8">
        <f>'BIO DATA'!AZ79</f>
        <v>0</v>
      </c>
      <c r="AI81" s="8" t="str">
        <f>'BIO DATA'!BA79</f>
        <v>Islam</v>
      </c>
      <c r="AJ81" s="8">
        <f>'BIO DATA'!BB79</f>
        <v>0</v>
      </c>
      <c r="AK81" s="8">
        <f>'BIO DATA'!BC79</f>
        <v>0</v>
      </c>
      <c r="AL81" s="8">
        <f>'BIO DATA'!BD79</f>
        <v>0</v>
      </c>
      <c r="AM81" s="8">
        <f>'BIO DATA'!BE79</f>
        <v>0</v>
      </c>
      <c r="AN81" s="8">
        <f>'BIO DATA'!BF79</f>
        <v>0</v>
      </c>
      <c r="AO81" s="8">
        <f>'BIO DATA'!BG79</f>
        <v>0</v>
      </c>
      <c r="AP81" s="54" t="s">
        <v>169</v>
      </c>
    </row>
    <row r="82" spans="1:42" s="54" customFormat="1" ht="20.100000000000001" customHeight="1" thickBot="1">
      <c r="A82" s="16" t="s">
        <v>131</v>
      </c>
      <c r="B82">
        <v>304</v>
      </c>
      <c r="C82" s="90">
        <f>'BIO DATA'!D80</f>
        <v>11418</v>
      </c>
      <c r="D82" s="90" t="str">
        <f>'BIO DATA'!E80</f>
        <v>0095045610</v>
      </c>
      <c r="E82" s="89" t="str">
        <f>'BIO DATA'!F80</f>
        <v>Muhammad Fayyadh Irsyad</v>
      </c>
      <c r="F82" s="49" t="str">
        <f>'BIO DATA'!M80</f>
        <v>Laki-laki</v>
      </c>
      <c r="G82" s="8" t="str">
        <f>'BIO DATA'!N80</f>
        <v>Sleman</v>
      </c>
      <c r="H82" s="51">
        <f>'BIO DATA'!P80</f>
        <v>40335</v>
      </c>
      <c r="I82" s="49" t="str">
        <f>'BIO DATA'!S80</f>
        <v>Islam</v>
      </c>
      <c r="J82" s="50">
        <f>'BIO DATA'!J80:J242</f>
        <v>1</v>
      </c>
      <c r="K82" s="50">
        <f>'BIO DATA'!K80:K283</f>
        <v>2</v>
      </c>
      <c r="L82" s="8" t="str">
        <f>'BIO DATA'!T80:T242</f>
        <v>JL Ngambar Bambe RT 14 RW 05 No 208 Driyorejo Gresik Jawa Timur 61177</v>
      </c>
      <c r="M82" s="8" t="str">
        <f>'BIO DATA'!V80:V283</f>
        <v>Bambe</v>
      </c>
      <c r="N82" s="8" t="str">
        <f>'BIO DATA'!W80:W283</f>
        <v>Driyorejo</v>
      </c>
      <c r="O82" s="8" t="str">
        <f>'BIO DATA'!X80:X283</f>
        <v>Gresik</v>
      </c>
      <c r="P82" s="8" t="str">
        <f>'BIO DATA'!Y80:Y283</f>
        <v>Jawa Timur</v>
      </c>
      <c r="Q82" s="8" t="str">
        <f>'BIO DATA'!Z80:Z283</f>
        <v>MTs. Mu'allimin Muh. Yogyakarta</v>
      </c>
      <c r="R82" s="8" t="str">
        <f>'BIO DATA'!AA80:AA283</f>
        <v>Jl. Barata Jaya I No.11, Baratajaya, Kec. Gubeng, Kota SBY, Jawa Timur 60284</v>
      </c>
      <c r="S82" s="8">
        <f>'BIO DATA'!AB80:AB283</f>
        <v>0</v>
      </c>
      <c r="T82" s="8" t="str">
        <f>'BIO DATA'!AC80:AC283</f>
        <v>Sugeng Trimawan</v>
      </c>
      <c r="U82" s="8" t="str">
        <f>'BIO DATA'!AD80</f>
        <v>Islam</v>
      </c>
      <c r="V82" s="8" t="str">
        <f>'BIO DATA'!AL80:AL283</f>
        <v>S1</v>
      </c>
      <c r="W82" s="8" t="str">
        <f>'BIO DATA'!AM80:AM283</f>
        <v>Ibu Rumah Tangga</v>
      </c>
      <c r="X82" s="8" t="str">
        <f>'BIO DATA'!AG80:AG283</f>
        <v>&gt; Rp 2.500.000,00</v>
      </c>
      <c r="Y82" s="69" t="s">
        <v>217</v>
      </c>
      <c r="Z82" s="8">
        <f>'BIO DATA'!AI80:AI283</f>
        <v>0</v>
      </c>
      <c r="AA82" s="8" t="str">
        <f>'BIO DATA'!AJ80:AJ283</f>
        <v>Amelia Rachman</v>
      </c>
      <c r="AB82" s="8" t="str">
        <f>'BIO DATA'!AK80</f>
        <v>Islam</v>
      </c>
      <c r="AC82" s="8" t="str">
        <f>'BIO DATA'!AL80:AL283</f>
        <v>S1</v>
      </c>
      <c r="AD82" s="8" t="str">
        <f>'BIO DATA'!AM80:AM283</f>
        <v>Ibu Rumah Tangga</v>
      </c>
      <c r="AE82" s="8">
        <f>'BIO DATA'!AN80:AN283</f>
        <v>0</v>
      </c>
      <c r="AF82" s="52"/>
      <c r="AG82" s="8">
        <f>'BIO DATA'!AP80</f>
        <v>0</v>
      </c>
      <c r="AH82" s="8">
        <f>'BIO DATA'!AZ80</f>
        <v>0</v>
      </c>
      <c r="AI82" s="8" t="str">
        <f>'BIO DATA'!BA80</f>
        <v>Islam</v>
      </c>
      <c r="AJ82" s="8">
        <f>'BIO DATA'!BB80</f>
        <v>0</v>
      </c>
      <c r="AK82" s="8">
        <f>'BIO DATA'!BC80</f>
        <v>0</v>
      </c>
      <c r="AL82" s="8">
        <f>'BIO DATA'!BD80</f>
        <v>0</v>
      </c>
      <c r="AM82" s="8">
        <f>'BIO DATA'!BE80</f>
        <v>0</v>
      </c>
      <c r="AN82" s="8">
        <f>'BIO DATA'!BF80</f>
        <v>0</v>
      </c>
      <c r="AO82" s="8">
        <f>'BIO DATA'!BG80</f>
        <v>0</v>
      </c>
      <c r="AP82" s="54" t="s">
        <v>169</v>
      </c>
    </row>
    <row r="83" spans="1:42" s="54" customFormat="1" ht="20.100000000000001" customHeight="1" thickBot="1">
      <c r="A83" s="16" t="s">
        <v>131</v>
      </c>
      <c r="B83">
        <v>314</v>
      </c>
      <c r="C83" s="90">
        <f>'BIO DATA'!D81</f>
        <v>11421</v>
      </c>
      <c r="D83" s="90" t="str">
        <f>'BIO DATA'!E81</f>
        <v>0106342851</v>
      </c>
      <c r="E83" s="89" t="str">
        <f>'BIO DATA'!F81</f>
        <v>Muhammad Hilmi Rabbani Abdullah</v>
      </c>
      <c r="F83" s="49" t="str">
        <f>'BIO DATA'!M81</f>
        <v>Laki-laki</v>
      </c>
      <c r="G83" s="8" t="str">
        <f>'BIO DATA'!N81</f>
        <v>Kab. Semarang</v>
      </c>
      <c r="H83" s="51" t="str">
        <f>'BIO DATA'!P81</f>
        <v>01/15/20210</v>
      </c>
      <c r="I83" s="49" t="str">
        <f>'BIO DATA'!S81</f>
        <v>Islam</v>
      </c>
      <c r="J83" s="50">
        <f>'BIO DATA'!J81:J243</f>
        <v>1</v>
      </c>
      <c r="K83" s="50">
        <f>'BIO DATA'!K81:K284</f>
        <v>1</v>
      </c>
      <c r="L83" s="8" t="str">
        <f>'BIO DATA'!T81:T243</f>
        <v>Perumahan Grand Intan Regency 1 Jl. Imogiri Timur KM 9 blok C8, Wonokromo, RT07/RW07, Pleret, Bantul, DIY 55791</v>
      </c>
      <c r="M83" s="8" t="str">
        <f>'BIO DATA'!V81:V284</f>
        <v>Wonokromo</v>
      </c>
      <c r="N83" s="8" t="str">
        <f>'BIO DATA'!W81:W284</f>
        <v>Pleret</v>
      </c>
      <c r="O83" s="8" t="str">
        <f>'BIO DATA'!X81:X284</f>
        <v>Bantul</v>
      </c>
      <c r="P83" s="8" t="str">
        <f>'BIO DATA'!Y81:Y284</f>
        <v>DI Yogyakarta</v>
      </c>
      <c r="Q83" s="8" t="str">
        <f>'BIO DATA'!Z81:Z284</f>
        <v>MTs. Mu'allimin Muh. Yogyakarta</v>
      </c>
      <c r="R83" s="8" t="str">
        <f>'BIO DATA'!AA81:AA284</f>
        <v>Jati, Wonokromo, Kec. Pleret, Kabupaten Bantul, Daerah Istimewa Yogyakarta 55791</v>
      </c>
      <c r="S83" s="8">
        <f>'BIO DATA'!AB81:AB284</f>
        <v>0</v>
      </c>
      <c r="T83" s="8" t="str">
        <f>'BIO DATA'!AC81:AC284</f>
        <v>Ardhika Kurniawan</v>
      </c>
      <c r="U83" s="8" t="str">
        <f>'BIO DATA'!AD81</f>
        <v>Islam</v>
      </c>
      <c r="V83" s="8" t="str">
        <f>'BIO DATA'!AL81:AL284</f>
        <v>SMA</v>
      </c>
      <c r="W83" s="8" t="str">
        <f>'BIO DATA'!AM81:AM284</f>
        <v>Ibu Rumah Tangga</v>
      </c>
      <c r="X83" s="8" t="str">
        <f>'BIO DATA'!AG81:AG284</f>
        <v>&gt; Rp 2.500.000,00</v>
      </c>
      <c r="Y83" s="69" t="s">
        <v>217</v>
      </c>
      <c r="Z83" s="8">
        <f>'BIO DATA'!AI81:AI284</f>
        <v>0</v>
      </c>
      <c r="AA83" s="8" t="str">
        <f>'BIO DATA'!AJ81:AJ284</f>
        <v>Fajar Dwi Wahyuni</v>
      </c>
      <c r="AB83" s="8" t="str">
        <f>'BIO DATA'!AK81</f>
        <v>Islam</v>
      </c>
      <c r="AC83" s="8" t="str">
        <f>'BIO DATA'!AL81:AL284</f>
        <v>SMA</v>
      </c>
      <c r="AD83" s="8" t="str">
        <f>'BIO DATA'!AM81:AM284</f>
        <v>Ibu Rumah Tangga</v>
      </c>
      <c r="AE83" s="8">
        <f>'BIO DATA'!AN81:AN284</f>
        <v>0</v>
      </c>
      <c r="AF83" s="52"/>
      <c r="AG83" s="8">
        <f>'BIO DATA'!AP81</f>
        <v>0</v>
      </c>
      <c r="AH83" s="8">
        <f>'BIO DATA'!AZ81</f>
        <v>0</v>
      </c>
      <c r="AI83" s="8" t="str">
        <f>'BIO DATA'!BA81</f>
        <v>Islam</v>
      </c>
      <c r="AJ83" s="8">
        <f>'BIO DATA'!BB81</f>
        <v>0</v>
      </c>
      <c r="AK83" s="8">
        <f>'BIO DATA'!BC81</f>
        <v>0</v>
      </c>
      <c r="AL83" s="8">
        <f>'BIO DATA'!BD81</f>
        <v>0</v>
      </c>
      <c r="AM83" s="8">
        <f>'BIO DATA'!BE81</f>
        <v>0</v>
      </c>
      <c r="AN83" s="8">
        <f>'BIO DATA'!BF81</f>
        <v>0</v>
      </c>
      <c r="AO83" s="8">
        <f>'BIO DATA'!BG81</f>
        <v>0</v>
      </c>
      <c r="AP83" s="54" t="s">
        <v>169</v>
      </c>
    </row>
    <row r="84" spans="1:42" s="54" customFormat="1" ht="20.100000000000001" customHeight="1" thickBot="1">
      <c r="A84" s="16" t="s">
        <v>131</v>
      </c>
      <c r="B84">
        <v>316</v>
      </c>
      <c r="C84" s="90">
        <f>'BIO DATA'!D82</f>
        <v>11435</v>
      </c>
      <c r="D84" s="90" t="str">
        <f>'BIO DATA'!E82</f>
        <v>0106558326</v>
      </c>
      <c r="E84" s="89" t="str">
        <f>'BIO DATA'!F82</f>
        <v>Muhammad Kimi As Shidiqi</v>
      </c>
      <c r="F84" s="49" t="str">
        <f>'BIO DATA'!M82</f>
        <v>Laki-laki</v>
      </c>
      <c r="G84" s="8" t="str">
        <f>'BIO DATA'!N82</f>
        <v>Sidoarjo</v>
      </c>
      <c r="H84" s="51">
        <f>'BIO DATA'!P82</f>
        <v>40226</v>
      </c>
      <c r="I84" s="49" t="str">
        <f>'BIO DATA'!S82</f>
        <v>Islam</v>
      </c>
      <c r="J84" s="50">
        <f>'BIO DATA'!J82:J244</f>
        <v>1</v>
      </c>
      <c r="K84" s="50">
        <f>'BIO DATA'!K82:K285</f>
        <v>2</v>
      </c>
      <c r="L84" s="8" t="str">
        <f>'BIO DATA'!T82:T244</f>
        <v>RT:09 RW:03 Desa Kedung Sukodani, Kec. Balongbendo, Kab. Sidoarjo Jawa Timur 61263</v>
      </c>
      <c r="M84" s="8" t="str">
        <f>'BIO DATA'!V82:V285</f>
        <v>Kedung Sukodani</v>
      </c>
      <c r="N84" s="8" t="str">
        <f>'BIO DATA'!W82:W285</f>
        <v>Balongbendo</v>
      </c>
      <c r="O84" s="8" t="str">
        <f>'BIO DATA'!X82:X285</f>
        <v>Sidoarjo</v>
      </c>
      <c r="P84" s="8" t="str">
        <f>'BIO DATA'!Y82:Y285</f>
        <v>Jawa Timur</v>
      </c>
      <c r="Q84" s="8" t="str">
        <f>'BIO DATA'!Z82:Z285</f>
        <v>MTs. Mu'allimin Muh. Yogyakarta</v>
      </c>
      <c r="R84" s="8" t="str">
        <f>'BIO DATA'!AA82:AA285</f>
        <v>Jl. Mayjen Bambang Yuwono, Temenggungan, Bakungtemenggungan, Kec. BalongBendo, Kabupaten Sidoarjo, Jawa Timur 61263</v>
      </c>
      <c r="S84" s="8">
        <f>'BIO DATA'!AB82:AB285</f>
        <v>0</v>
      </c>
      <c r="T84" s="8" t="str">
        <f>'BIO DATA'!AC82:AC285</f>
        <v>Anggoro Eko Purwanto</v>
      </c>
      <c r="U84" s="8" t="str">
        <f>'BIO DATA'!AD82</f>
        <v>Islam</v>
      </c>
      <c r="V84" s="8" t="str">
        <f>'BIO DATA'!AL82:AL285</f>
        <v>S1</v>
      </c>
      <c r="W84" s="8" t="str">
        <f>'BIO DATA'!AM82:AM285</f>
        <v>PNS</v>
      </c>
      <c r="X84" s="8" t="str">
        <f>'BIO DATA'!AG82:AG285</f>
        <v>&gt; Rp 2.500.000,00</v>
      </c>
      <c r="Y84" s="69" t="s">
        <v>217</v>
      </c>
      <c r="Z84" s="8">
        <f>'BIO DATA'!AI82:AI285</f>
        <v>0</v>
      </c>
      <c r="AA84" s="8" t="str">
        <f>'BIO DATA'!AJ82:AJ285</f>
        <v>Happy Febriana</v>
      </c>
      <c r="AB84" s="8" t="str">
        <f>'BIO DATA'!AK82</f>
        <v>Islam</v>
      </c>
      <c r="AC84" s="8" t="str">
        <f>'BIO DATA'!AL82:AL285</f>
        <v>S1</v>
      </c>
      <c r="AD84" s="8" t="str">
        <f>'BIO DATA'!AM82:AM285</f>
        <v>PNS</v>
      </c>
      <c r="AE84" s="8">
        <f>'BIO DATA'!AN82:AN285</f>
        <v>0</v>
      </c>
      <c r="AF84" s="52"/>
      <c r="AG84" s="8">
        <f>'BIO DATA'!AP82</f>
        <v>0</v>
      </c>
      <c r="AH84" s="8">
        <f>'BIO DATA'!AZ82</f>
        <v>0</v>
      </c>
      <c r="AI84" s="8" t="str">
        <f>'BIO DATA'!BA82</f>
        <v>Islam</v>
      </c>
      <c r="AJ84" s="8">
        <f>'BIO DATA'!BB82</f>
        <v>0</v>
      </c>
      <c r="AK84" s="8">
        <f>'BIO DATA'!BC82</f>
        <v>0</v>
      </c>
      <c r="AL84" s="8">
        <f>'BIO DATA'!BD82</f>
        <v>0</v>
      </c>
      <c r="AM84" s="8">
        <f>'BIO DATA'!BE82</f>
        <v>0</v>
      </c>
      <c r="AN84" s="8">
        <f>'BIO DATA'!BF82</f>
        <v>0</v>
      </c>
      <c r="AO84" s="8">
        <f>'BIO DATA'!BG82</f>
        <v>0</v>
      </c>
      <c r="AP84" s="54" t="s">
        <v>169</v>
      </c>
    </row>
    <row r="85" spans="1:42" s="54" customFormat="1" ht="20.100000000000001" customHeight="1" thickBot="1">
      <c r="A85" s="16" t="s">
        <v>131</v>
      </c>
      <c r="B85">
        <v>2</v>
      </c>
      <c r="C85" s="90">
        <f>'BIO DATA'!D83</f>
        <v>11447</v>
      </c>
      <c r="D85" s="90" t="str">
        <f>'BIO DATA'!E83</f>
        <v>3089655093</v>
      </c>
      <c r="E85" s="89" t="str">
        <f>'BIO DATA'!F83</f>
        <v>Muhammad Noval</v>
      </c>
      <c r="F85" s="49" t="str">
        <f>'BIO DATA'!M83</f>
        <v>Laki-laki</v>
      </c>
      <c r="G85" s="8" t="str">
        <f>'BIO DATA'!N83</f>
        <v>Sleman</v>
      </c>
      <c r="H85" s="51">
        <f>'BIO DATA'!P83</f>
        <v>39776</v>
      </c>
      <c r="I85" s="49" t="str">
        <f>'BIO DATA'!S83</f>
        <v>Islam</v>
      </c>
      <c r="J85" s="50">
        <f>'BIO DATA'!J83:J245</f>
        <v>3</v>
      </c>
      <c r="K85" s="50">
        <f>'BIO DATA'!K83:K286</f>
        <v>4</v>
      </c>
      <c r="L85" s="8" t="str">
        <f>'BIO DATA'!T83:T245</f>
        <v>Ds Beseran 1 RT 01 RW 01 Beseran, Kaliangkrik, Magelang, Jawa Tengah 56153</v>
      </c>
      <c r="M85" s="8" t="str">
        <f>'BIO DATA'!V83:V286</f>
        <v>Beseran</v>
      </c>
      <c r="N85" s="8" t="str">
        <f>'BIO DATA'!W83:W286</f>
        <v>Kaliangkrik</v>
      </c>
      <c r="O85" s="8" t="str">
        <f>'BIO DATA'!X83:X286</f>
        <v>Magelang</v>
      </c>
      <c r="P85" s="8" t="str">
        <f>'BIO DATA'!Y83:Y286</f>
        <v>Jawa Tengah</v>
      </c>
      <c r="Q85" s="8" t="str">
        <f>'BIO DATA'!Z83:Z286</f>
        <v>MTs. Mu'allimin Muh. Yogyakarta</v>
      </c>
      <c r="R85" s="8" t="str">
        <f>'BIO DATA'!AA83:AA286</f>
        <v>Bandongan, Kec. Bandongan, Kabupaten Magelang, Jawa Tengah 56151</v>
      </c>
      <c r="S85" s="8">
        <f>'BIO DATA'!AB83:AB286</f>
        <v>0</v>
      </c>
      <c r="T85" s="8" t="str">
        <f>'BIO DATA'!AC83:AC286</f>
        <v xml:space="preserve">Sekti Wibowo </v>
      </c>
      <c r="U85" s="8" t="str">
        <f>'BIO DATA'!AD83</f>
        <v>Islam</v>
      </c>
      <c r="V85" s="8" t="str">
        <f>'BIO DATA'!AL83:AL286</f>
        <v>SMA</v>
      </c>
      <c r="W85" s="8" t="str">
        <f>'BIO DATA'!AM83:AM286</f>
        <v>Pedagang</v>
      </c>
      <c r="X85" s="8" t="str">
        <f>'BIO DATA'!AG83:AG286</f>
        <v>Antara Rp 1.500.000,00 s.d. Rp 2.000,000,00</v>
      </c>
      <c r="Y85" s="69" t="s">
        <v>217</v>
      </c>
      <c r="Z85" s="8">
        <f>'BIO DATA'!AI83:AI286</f>
        <v>0</v>
      </c>
      <c r="AA85" s="8" t="str">
        <f>'BIO DATA'!AJ83:AJ286</f>
        <v>Etik Susanti</v>
      </c>
      <c r="AB85" s="8" t="str">
        <f>'BIO DATA'!AK83</f>
        <v>Islam</v>
      </c>
      <c r="AC85" s="8" t="str">
        <f>'BIO DATA'!AL83:AL286</f>
        <v>SMA</v>
      </c>
      <c r="AD85" s="8" t="str">
        <f>'BIO DATA'!AM83:AM286</f>
        <v>Pedagang</v>
      </c>
      <c r="AE85" s="8">
        <f>'BIO DATA'!AN83:AN286</f>
        <v>0</v>
      </c>
      <c r="AF85" s="52"/>
      <c r="AG85" s="8">
        <f>'BIO DATA'!AP83</f>
        <v>0</v>
      </c>
      <c r="AH85" s="8">
        <f>'BIO DATA'!AZ83</f>
        <v>0</v>
      </c>
      <c r="AI85" s="8" t="str">
        <f>'BIO DATA'!BA83</f>
        <v>Islam</v>
      </c>
      <c r="AJ85" s="8">
        <f>'BIO DATA'!BB83</f>
        <v>0</v>
      </c>
      <c r="AK85" s="8">
        <f>'BIO DATA'!BC83</f>
        <v>0</v>
      </c>
      <c r="AL85" s="8">
        <f>'BIO DATA'!BD83</f>
        <v>0</v>
      </c>
      <c r="AM85" s="8">
        <f>'BIO DATA'!BE83</f>
        <v>0</v>
      </c>
      <c r="AN85" s="8">
        <f>'BIO DATA'!BF83</f>
        <v>0</v>
      </c>
      <c r="AO85" s="8">
        <f>'BIO DATA'!BG83</f>
        <v>0</v>
      </c>
      <c r="AP85" s="54" t="s">
        <v>195</v>
      </c>
    </row>
    <row r="86" spans="1:42" s="54" customFormat="1" ht="20.100000000000001" customHeight="1" thickBot="1">
      <c r="A86" s="16" t="s">
        <v>131</v>
      </c>
      <c r="B86">
        <v>6</v>
      </c>
      <c r="C86" s="90">
        <f>'BIO DATA'!D84</f>
        <v>11451</v>
      </c>
      <c r="D86" s="90" t="str">
        <f>'BIO DATA'!E84</f>
        <v>0108911535</v>
      </c>
      <c r="E86" s="89" t="str">
        <f>'BIO DATA'!F84</f>
        <v>Muhammad Rafha Noorzakki</v>
      </c>
      <c r="F86" s="49" t="str">
        <f>'BIO DATA'!M84</f>
        <v>Laki-laki</v>
      </c>
      <c r="G86" s="8" t="str">
        <f>'BIO DATA'!N84</f>
        <v>Mojokerto</v>
      </c>
      <c r="H86" s="51">
        <f>'BIO DATA'!P84</f>
        <v>40271</v>
      </c>
      <c r="I86" s="49" t="str">
        <f>'BIO DATA'!S84</f>
        <v>Islam</v>
      </c>
      <c r="J86" s="50">
        <f>'BIO DATA'!J84:J246</f>
        <v>1</v>
      </c>
      <c r="K86" s="50">
        <f>'BIO DATA'!K84:K287</f>
        <v>2</v>
      </c>
      <c r="L86" s="8" t="str">
        <f>'BIO DATA'!T84:T246</f>
        <v>Jalan Raya Adiwerna 774 RT 21 RW 05 Kecamatan Adiwerna Tegal , Jawa Tengah, 52194</v>
      </c>
      <c r="M86" s="8" t="str">
        <f>'BIO DATA'!V84:V287</f>
        <v>Adiwerna</v>
      </c>
      <c r="N86" s="8" t="str">
        <f>'BIO DATA'!W84:W287</f>
        <v>Adiwerna Tegal</v>
      </c>
      <c r="O86" s="8" t="str">
        <f>'BIO DATA'!X84:X287</f>
        <v xml:space="preserve">Tegal </v>
      </c>
      <c r="P86" s="8" t="str">
        <f>'BIO DATA'!Y84:Y287</f>
        <v>Jawa Tengah</v>
      </c>
      <c r="Q86" s="8" t="str">
        <f>'BIO DATA'!Z84:Z287</f>
        <v>MTs. Mu'allimin Muh. Yogyakarta</v>
      </c>
      <c r="R86" s="8" t="str">
        <f>'BIO DATA'!AA84:AA287</f>
        <v>Banjaran, Tembok Banjaran, Kec. Adiwerna, Kabupaten Tegal, Jawa Tengah 52194</v>
      </c>
      <c r="S86" s="8">
        <f>'BIO DATA'!AB84:AB287</f>
        <v>0</v>
      </c>
      <c r="T86" s="8" t="str">
        <f>'BIO DATA'!AC84:AC287</f>
        <v>Muhammad Wildan Zain</v>
      </c>
      <c r="U86" s="8" t="str">
        <f>'BIO DATA'!AD84</f>
        <v>Islam</v>
      </c>
      <c r="V86" s="8" t="str">
        <f>'BIO DATA'!AL84:AL287</f>
        <v>S1</v>
      </c>
      <c r="W86" s="8" t="str">
        <f>'BIO DATA'!AM84:AM287</f>
        <v>Ibu Rumah Tangga</v>
      </c>
      <c r="X86" s="8" t="str">
        <f>'BIO DATA'!AG84:AG287</f>
        <v>&gt; Rp 2.500.000,00</v>
      </c>
      <c r="Y86" s="69" t="s">
        <v>217</v>
      </c>
      <c r="Z86" s="8">
        <f>'BIO DATA'!AI84:AI287</f>
        <v>0</v>
      </c>
      <c r="AA86" s="8" t="str">
        <f>'BIO DATA'!AJ84:AJ287</f>
        <v>Khasna Adkhalina</v>
      </c>
      <c r="AB86" s="8" t="str">
        <f>'BIO DATA'!AK84</f>
        <v>Islam</v>
      </c>
      <c r="AC86" s="8" t="str">
        <f>'BIO DATA'!AL84:AL287</f>
        <v>S1</v>
      </c>
      <c r="AD86" s="8" t="str">
        <f>'BIO DATA'!AM84:AM287</f>
        <v>Ibu Rumah Tangga</v>
      </c>
      <c r="AE86" s="8">
        <f>'BIO DATA'!AN84:AN287</f>
        <v>0</v>
      </c>
      <c r="AF86" s="52"/>
      <c r="AG86" s="8">
        <f>'BIO DATA'!AP84</f>
        <v>0</v>
      </c>
      <c r="AH86" s="8">
        <f>'BIO DATA'!AZ84</f>
        <v>0</v>
      </c>
      <c r="AI86" s="8" t="str">
        <f>'BIO DATA'!BA84</f>
        <v>Islam</v>
      </c>
      <c r="AJ86" s="8">
        <f>'BIO DATA'!BB84</f>
        <v>0</v>
      </c>
      <c r="AK86" s="8">
        <f>'BIO DATA'!BC84</f>
        <v>0</v>
      </c>
      <c r="AL86" s="8">
        <f>'BIO DATA'!BD84</f>
        <v>0</v>
      </c>
      <c r="AM86" s="8">
        <f>'BIO DATA'!BE84</f>
        <v>0</v>
      </c>
      <c r="AN86" s="8">
        <f>'BIO DATA'!BF84</f>
        <v>0</v>
      </c>
      <c r="AO86" s="8">
        <f>'BIO DATA'!BG84</f>
        <v>0</v>
      </c>
      <c r="AP86" s="54" t="s">
        <v>195</v>
      </c>
    </row>
    <row r="87" spans="1:42" s="54" customFormat="1" ht="20.100000000000001" customHeight="1" thickBot="1">
      <c r="A87" s="16" t="s">
        <v>131</v>
      </c>
      <c r="B87">
        <v>15</v>
      </c>
      <c r="C87" s="90">
        <f>'BIO DATA'!D85</f>
        <v>11453</v>
      </c>
      <c r="D87" s="90" t="str">
        <f>'BIO DATA'!E85</f>
        <v>0091813956</v>
      </c>
      <c r="E87" s="89" t="str">
        <f>'BIO DATA'!F85</f>
        <v>Muhammad Rusyda Aiqona</v>
      </c>
      <c r="F87" s="49" t="str">
        <f>'BIO DATA'!M85</f>
        <v>Laki-laki</v>
      </c>
      <c r="G87" s="8" t="str">
        <f>'BIO DATA'!N85</f>
        <v>Magelang</v>
      </c>
      <c r="H87" s="51">
        <f>'BIO DATA'!P85</f>
        <v>40169</v>
      </c>
      <c r="I87" s="49" t="str">
        <f>'BIO DATA'!S85</f>
        <v>Islam</v>
      </c>
      <c r="J87" s="50">
        <f>'BIO DATA'!J85:J247</f>
        <v>2</v>
      </c>
      <c r="K87" s="50">
        <f>'BIO DATA'!K85:K288</f>
        <v>1</v>
      </c>
      <c r="L87" s="8" t="str">
        <f>'BIO DATA'!T85:T247</f>
        <v>Tawarsari, RT 13, RW 19, Wonosari, Wonosari, Gunungkidul, Daerah Istimewa Yogyakarta 55812</v>
      </c>
      <c r="M87" s="8" t="str">
        <f>'BIO DATA'!V85:V288</f>
        <v>Wonosari</v>
      </c>
      <c r="N87" s="8" t="str">
        <f>'BIO DATA'!W85:W288</f>
        <v>Wonosari</v>
      </c>
      <c r="O87" s="8" t="str">
        <f>'BIO DATA'!X85:X288</f>
        <v>Gunungkidul</v>
      </c>
      <c r="P87" s="8" t="str">
        <f>'BIO DATA'!Y85:Y288</f>
        <v>DI Yogyakarta</v>
      </c>
      <c r="Q87" s="8" t="str">
        <f>'BIO DATA'!Z85:Z288</f>
        <v>MTs. Mu'allimin Muh. Yogyakarta</v>
      </c>
      <c r="R87" s="8" t="str">
        <f>'BIO DATA'!AA85:AA288</f>
        <v>Jl. Mayang, Gadungsari, Wonosari, Kec. Wonosari, Kabupaten Gunung Kidul, Daerah Istimewa Yogyakarta 55851</v>
      </c>
      <c r="S87" s="8">
        <f>'BIO DATA'!AB85:AB288</f>
        <v>0</v>
      </c>
      <c r="T87" s="8" t="str">
        <f>'BIO DATA'!AC85:AC288</f>
        <v>Setyo Prapto, S.Pd.T.</v>
      </c>
      <c r="U87" s="8" t="str">
        <f>'BIO DATA'!AD85</f>
        <v>Islam</v>
      </c>
      <c r="V87" s="8" t="str">
        <f>'BIO DATA'!AL85:AL288</f>
        <v>S1</v>
      </c>
      <c r="W87" s="8" t="str">
        <f>'BIO DATA'!AM85:AM288</f>
        <v>PNS</v>
      </c>
      <c r="X87" s="8" t="str">
        <f>'BIO DATA'!AG85:AG288</f>
        <v>&gt; Rp 2.500.000,00</v>
      </c>
      <c r="Y87" s="69" t="s">
        <v>217</v>
      </c>
      <c r="Z87" s="8">
        <f>'BIO DATA'!AI85:AI288</f>
        <v>0</v>
      </c>
      <c r="AA87" s="8" t="str">
        <f>'BIO DATA'!AJ85:AJ288</f>
        <v>Sri Winartini</v>
      </c>
      <c r="AB87" s="8" t="str">
        <f>'BIO DATA'!AK85</f>
        <v>Islam</v>
      </c>
      <c r="AC87" s="8" t="str">
        <f>'BIO DATA'!AL85:AL288</f>
        <v>S1</v>
      </c>
      <c r="AD87" s="8" t="str">
        <f>'BIO DATA'!AM85:AM288</f>
        <v>PNS</v>
      </c>
      <c r="AE87" s="8">
        <f>'BIO DATA'!AN85:AN288</f>
        <v>0</v>
      </c>
      <c r="AF87" s="52"/>
      <c r="AG87" s="8">
        <f>'BIO DATA'!AP85</f>
        <v>0</v>
      </c>
      <c r="AH87" s="8">
        <f>'BIO DATA'!AZ85</f>
        <v>0</v>
      </c>
      <c r="AI87" s="8" t="str">
        <f>'BIO DATA'!BA85</f>
        <v>Islam</v>
      </c>
      <c r="AJ87" s="8">
        <f>'BIO DATA'!BB85</f>
        <v>0</v>
      </c>
      <c r="AK87" s="8">
        <f>'BIO DATA'!BC85</f>
        <v>0</v>
      </c>
      <c r="AL87" s="8">
        <f>'BIO DATA'!BD85</f>
        <v>0</v>
      </c>
      <c r="AM87" s="8">
        <f>'BIO DATA'!BE85</f>
        <v>0</v>
      </c>
      <c r="AN87" s="8">
        <f>'BIO DATA'!BF85</f>
        <v>0</v>
      </c>
      <c r="AO87" s="8">
        <f>'BIO DATA'!BG85</f>
        <v>0</v>
      </c>
      <c r="AP87" s="54" t="s">
        <v>195</v>
      </c>
    </row>
    <row r="88" spans="1:42" s="54" customFormat="1" ht="20.100000000000001" customHeight="1" thickBot="1">
      <c r="A88" s="16" t="s">
        <v>131</v>
      </c>
      <c r="B88">
        <v>16</v>
      </c>
      <c r="C88" s="90">
        <f>'BIO DATA'!D86</f>
        <v>11455</v>
      </c>
      <c r="D88" s="90" t="str">
        <f>'BIO DATA'!E86</f>
        <v>0104178458</v>
      </c>
      <c r="E88" s="89" t="str">
        <f>'BIO DATA'!F86</f>
        <v>Muhammad Tsaqib Arsalan Zain</v>
      </c>
      <c r="F88" s="49" t="str">
        <f>'BIO DATA'!M86</f>
        <v>Laki-laki</v>
      </c>
      <c r="G88" s="8" t="str">
        <f>'BIO DATA'!N86</f>
        <v>Tegal</v>
      </c>
      <c r="H88" s="51">
        <f>'BIO DATA'!P86</f>
        <v>40219</v>
      </c>
      <c r="I88" s="49" t="str">
        <f>'BIO DATA'!S86</f>
        <v>Islam</v>
      </c>
      <c r="J88" s="50">
        <f>'BIO DATA'!J86:J248</f>
        <v>1</v>
      </c>
      <c r="K88" s="50">
        <f>'BIO DATA'!K86:K289</f>
        <v>1</v>
      </c>
      <c r="L88" s="8" t="str">
        <f>'BIO DATA'!T86:T248</f>
        <v>Desa Langkap RT 01 RW 05 Kecamatan Kedungwuni Kab Pekalongan Jawa Tengah 51173</v>
      </c>
      <c r="M88" s="8" t="str">
        <f>'BIO DATA'!V86:V289</f>
        <v>Langkap</v>
      </c>
      <c r="N88" s="8" t="str">
        <f>'BIO DATA'!W86:W289</f>
        <v>Kedungwuni</v>
      </c>
      <c r="O88" s="8" t="str">
        <f>'BIO DATA'!X86:X289</f>
        <v>Pekalongan</v>
      </c>
      <c r="P88" s="8" t="str">
        <f>'BIO DATA'!Y86:Y289</f>
        <v>Jawa Tengah</v>
      </c>
      <c r="Q88" s="8" t="str">
        <f>'BIO DATA'!Z86:Z289</f>
        <v>MTs. Mu'allimin Muh. Yogyakarta</v>
      </c>
      <c r="R88" s="8" t="str">
        <f>'BIO DATA'!AA86:AA289</f>
        <v>Gg. Beringin IV No.64, Paesan Utara, Kedungwuni Bar., Kec. Kedungwuni, Kabupaten Pekalongan, Jawa Tengah 51173</v>
      </c>
      <c r="S88" s="8">
        <f>'BIO DATA'!AB86:AB289</f>
        <v>0</v>
      </c>
      <c r="T88" s="8" t="str">
        <f>'BIO DATA'!AC86:AC289</f>
        <v>Mustakim</v>
      </c>
      <c r="U88" s="8" t="str">
        <f>'BIO DATA'!AD86</f>
        <v>Islam</v>
      </c>
      <c r="V88" s="8" t="str">
        <f>'BIO DATA'!AL86:AL289</f>
        <v>Diploma</v>
      </c>
      <c r="W88" s="8" t="str">
        <f>'BIO DATA'!AM86:AM289</f>
        <v>Bidan</v>
      </c>
      <c r="X88" s="8" t="str">
        <f>'BIO DATA'!AG86:AG289</f>
        <v>&gt; Rp 2.500.000,00</v>
      </c>
      <c r="Y88" s="69" t="s">
        <v>217</v>
      </c>
      <c r="Z88" s="8">
        <f>'BIO DATA'!AI86:AI289</f>
        <v>0</v>
      </c>
      <c r="AA88" s="8" t="str">
        <f>'BIO DATA'!AJ86:AJ289</f>
        <v>Tri Agustina</v>
      </c>
      <c r="AB88" s="8" t="str">
        <f>'BIO DATA'!AK86</f>
        <v>Islam</v>
      </c>
      <c r="AC88" s="8" t="str">
        <f>'BIO DATA'!AL86:AL289</f>
        <v>Diploma</v>
      </c>
      <c r="AD88" s="8" t="str">
        <f>'BIO DATA'!AM86:AM289</f>
        <v>Bidan</v>
      </c>
      <c r="AE88" s="8">
        <f>'BIO DATA'!AN86:AN289</f>
        <v>0</v>
      </c>
      <c r="AF88" s="52"/>
      <c r="AG88" s="8">
        <f>'BIO DATA'!AP86</f>
        <v>0</v>
      </c>
      <c r="AH88" s="8">
        <f>'BIO DATA'!AZ86</f>
        <v>0</v>
      </c>
      <c r="AI88" s="8" t="str">
        <f>'BIO DATA'!BA86</f>
        <v>Islam</v>
      </c>
      <c r="AJ88" s="8">
        <f>'BIO DATA'!BB86</f>
        <v>0</v>
      </c>
      <c r="AK88" s="8">
        <f>'BIO DATA'!BC86</f>
        <v>0</v>
      </c>
      <c r="AL88" s="8">
        <f>'BIO DATA'!BD86</f>
        <v>0</v>
      </c>
      <c r="AM88" s="8">
        <f>'BIO DATA'!BE86</f>
        <v>0</v>
      </c>
      <c r="AN88" s="8">
        <f>'BIO DATA'!BF86</f>
        <v>0</v>
      </c>
      <c r="AO88" s="8">
        <f>'BIO DATA'!BG86</f>
        <v>0</v>
      </c>
      <c r="AP88" s="54" t="s">
        <v>195</v>
      </c>
    </row>
    <row r="89" spans="1:42" s="54" customFormat="1" ht="20.100000000000001" customHeight="1" thickBot="1">
      <c r="A89" s="16" t="s">
        <v>131</v>
      </c>
      <c r="B89">
        <v>47</v>
      </c>
      <c r="C89" s="90">
        <f>'BIO DATA'!D87</f>
        <v>11465</v>
      </c>
      <c r="D89" s="90" t="str">
        <f>'BIO DATA'!E87</f>
        <v>0095183441</v>
      </c>
      <c r="E89" s="89" t="str">
        <f>'BIO DATA'!F87</f>
        <v>Nasywa Tifatur Rasyid</v>
      </c>
      <c r="F89" s="49" t="str">
        <f>'BIO DATA'!M87</f>
        <v>Laki-laki</v>
      </c>
      <c r="G89" s="8" t="str">
        <f>'BIO DATA'!N87</f>
        <v>Yogyakarta</v>
      </c>
      <c r="H89" s="51">
        <f>'BIO DATA'!P87</f>
        <v>39916</v>
      </c>
      <c r="I89" s="49" t="str">
        <f>'BIO DATA'!S87</f>
        <v>Islam</v>
      </c>
      <c r="J89" s="50">
        <f>'BIO DATA'!J87:J249</f>
        <v>1</v>
      </c>
      <c r="K89" s="50">
        <f>'BIO DATA'!K87:K290</f>
        <v>1</v>
      </c>
      <c r="L89" s="8" t="str">
        <f>'BIO DATA'!T87:T249</f>
        <v>Jl. Lapangan ds. Jatinegara RT 03/03 Kec. Jatinegara Kab. Tegal Jawa Tengah 52473</v>
      </c>
      <c r="M89" s="8" t="str">
        <f>'BIO DATA'!V87:V290</f>
        <v>Jatinegara</v>
      </c>
      <c r="N89" s="8" t="str">
        <f>'BIO DATA'!W87:W290</f>
        <v>Jatinegara</v>
      </c>
      <c r="O89" s="8" t="str">
        <f>'BIO DATA'!X87:X290</f>
        <v>Tegal</v>
      </c>
      <c r="P89" s="8" t="str">
        <f>'BIO DATA'!Y87:Y290</f>
        <v>Jawa Tengah</v>
      </c>
      <c r="Q89" s="8" t="str">
        <f>'BIO DATA'!Z87:Z290</f>
        <v>MTs. Mu'allimin Muh. Yogyakarta</v>
      </c>
      <c r="R89" s="8" t="str">
        <f>'BIO DATA'!AA87:AA290</f>
        <v>Jl. H. Ma'ruf, Jatinegara, Kec. Jatinegara, Kabupaten Tegal, Jawa Tengah 52473</v>
      </c>
      <c r="S89" s="8">
        <f>'BIO DATA'!AB87:AB290</f>
        <v>0</v>
      </c>
      <c r="T89" s="8" t="str">
        <f>'BIO DATA'!AC87:AC290</f>
        <v>Andri Koesworo</v>
      </c>
      <c r="U89" s="8" t="str">
        <f>'BIO DATA'!AD87</f>
        <v>Islam</v>
      </c>
      <c r="V89" s="8" t="str">
        <f>'BIO DATA'!AL87:AL290</f>
        <v>Diploma</v>
      </c>
      <c r="W89" s="8" t="str">
        <f>'BIO DATA'!AM87:AM290</f>
        <v>Bidan</v>
      </c>
      <c r="X89" s="8" t="str">
        <f>'BIO DATA'!AG87:AG290</f>
        <v>&gt; Rp 2.500.000,00</v>
      </c>
      <c r="Y89" s="69" t="s">
        <v>217</v>
      </c>
      <c r="Z89" s="8">
        <f>'BIO DATA'!AI87:AI290</f>
        <v>0</v>
      </c>
      <c r="AA89" s="8" t="str">
        <f>'BIO DATA'!AJ87:AJ290</f>
        <v>Musalamah</v>
      </c>
      <c r="AB89" s="8" t="str">
        <f>'BIO DATA'!AK87</f>
        <v>Islam</v>
      </c>
      <c r="AC89" s="8" t="str">
        <f>'BIO DATA'!AL87:AL290</f>
        <v>Diploma</v>
      </c>
      <c r="AD89" s="8" t="str">
        <f>'BIO DATA'!AM87:AM290</f>
        <v>Bidan</v>
      </c>
      <c r="AE89" s="8">
        <f>'BIO DATA'!AN87:AN290</f>
        <v>0</v>
      </c>
      <c r="AF89" s="52"/>
      <c r="AG89" s="8">
        <f>'BIO DATA'!AP87</f>
        <v>0</v>
      </c>
      <c r="AH89" s="8">
        <f>'BIO DATA'!AZ87</f>
        <v>0</v>
      </c>
      <c r="AI89" s="8" t="str">
        <f>'BIO DATA'!BA87</f>
        <v>Islam</v>
      </c>
      <c r="AJ89" s="8">
        <f>'BIO DATA'!BB87</f>
        <v>0</v>
      </c>
      <c r="AK89" s="8">
        <f>'BIO DATA'!BC87</f>
        <v>0</v>
      </c>
      <c r="AL89" s="8">
        <f>'BIO DATA'!BD87</f>
        <v>0</v>
      </c>
      <c r="AM89" s="8">
        <f>'BIO DATA'!BE87</f>
        <v>0</v>
      </c>
      <c r="AN89" s="8">
        <f>'BIO DATA'!BF87</f>
        <v>0</v>
      </c>
      <c r="AO89" s="8">
        <f>'BIO DATA'!BG87</f>
        <v>0</v>
      </c>
      <c r="AP89" s="54" t="s">
        <v>195</v>
      </c>
    </row>
    <row r="90" spans="1:42" s="54" customFormat="1" ht="20.100000000000001" customHeight="1" thickBot="1">
      <c r="A90" s="16" t="s">
        <v>131</v>
      </c>
      <c r="B90">
        <v>54</v>
      </c>
      <c r="C90" s="90">
        <f>'BIO DATA'!D88</f>
        <v>11470</v>
      </c>
      <c r="D90" s="90" t="str">
        <f>'BIO DATA'!E88</f>
        <v>0106317380</v>
      </c>
      <c r="E90" s="89" t="str">
        <f>'BIO DATA'!F88</f>
        <v>Nico Ghulam Mustaqim</v>
      </c>
      <c r="F90" s="49" t="str">
        <f>'BIO DATA'!M88</f>
        <v>Laki-laki</v>
      </c>
      <c r="G90" s="8" t="str">
        <f>'BIO DATA'!N88</f>
        <v>Pekalongan</v>
      </c>
      <c r="H90" s="51">
        <f>'BIO DATA'!P88</f>
        <v>40202</v>
      </c>
      <c r="I90" s="49" t="str">
        <f>'BIO DATA'!S88</f>
        <v>Islam</v>
      </c>
      <c r="J90" s="50">
        <f>'BIO DATA'!J88:J250</f>
        <v>1</v>
      </c>
      <c r="K90" s="50">
        <f>'BIO DATA'!K88:K291</f>
        <v>0</v>
      </c>
      <c r="L90" s="8" t="str">
        <f>'BIO DATA'!T88:T250</f>
        <v>Jl. Salak, RT 003, RW 001, Desa Karang Mulya, Kec. Pangkalan Banteng, Kab. Kotawaringin Barat. Kalimantan Tengah 74183</v>
      </c>
      <c r="M90" s="8" t="str">
        <f>'BIO DATA'!V88:V291</f>
        <v>Karang Mulya</v>
      </c>
      <c r="N90" s="8" t="str">
        <f>'BIO DATA'!W88:W291</f>
        <v>Pangkalan Banteng</v>
      </c>
      <c r="O90" s="8" t="str">
        <f>'BIO DATA'!X88:X291</f>
        <v>Kotawaringin Barat</v>
      </c>
      <c r="P90" s="8" t="str">
        <f>'BIO DATA'!Y88:Y291</f>
        <v>Kalimantan Tengah</v>
      </c>
      <c r="Q90" s="8" t="str">
        <f>'BIO DATA'!Z88:Z291</f>
        <v>MTs. Mu'allimin Muh. Yogyakarta</v>
      </c>
      <c r="R90" s="8" t="str">
        <f>'BIO DATA'!AA88:AA291</f>
        <v>Pangkalan Banteng, Kec. Pangkalan Banteng, Kabupaten Kotawaringin Barat, Kalimantan Tengah 74183</v>
      </c>
      <c r="S90" s="8">
        <f>'BIO DATA'!AB88:AB291</f>
        <v>0</v>
      </c>
      <c r="T90" s="8" t="str">
        <f>'BIO DATA'!AC88:AC291</f>
        <v>Juanis</v>
      </c>
      <c r="U90" s="8" t="str">
        <f>'BIO DATA'!AD88</f>
        <v>Islam</v>
      </c>
      <c r="V90" s="8" t="str">
        <f>'BIO DATA'!AL88:AL291</f>
        <v>Diploma</v>
      </c>
      <c r="W90" s="8" t="str">
        <f>'BIO DATA'!AM88:AM291</f>
        <v>PNS</v>
      </c>
      <c r="X90" s="8" t="str">
        <f>'BIO DATA'!AG88:AG291</f>
        <v>&gt; Rp 2.500.000,00</v>
      </c>
      <c r="Y90" s="69" t="s">
        <v>217</v>
      </c>
      <c r="Z90" s="8">
        <f>'BIO DATA'!AI88:AI291</f>
        <v>0</v>
      </c>
      <c r="AA90" s="8" t="str">
        <f>'BIO DATA'!AJ88:AJ291</f>
        <v>Sumarni</v>
      </c>
      <c r="AB90" s="8" t="str">
        <f>'BIO DATA'!AK88</f>
        <v>Islam</v>
      </c>
      <c r="AC90" s="8" t="str">
        <f>'BIO DATA'!AL88:AL291</f>
        <v>Diploma</v>
      </c>
      <c r="AD90" s="8" t="str">
        <f>'BIO DATA'!AM88:AM291</f>
        <v>PNS</v>
      </c>
      <c r="AE90" s="8">
        <f>'BIO DATA'!AN88:AN291</f>
        <v>0</v>
      </c>
      <c r="AF90" s="52"/>
      <c r="AG90" s="8">
        <f>'BIO DATA'!AP88</f>
        <v>0</v>
      </c>
      <c r="AH90" s="8">
        <f>'BIO DATA'!AZ88</f>
        <v>0</v>
      </c>
      <c r="AI90" s="8" t="str">
        <f>'BIO DATA'!BA88</f>
        <v>Islam</v>
      </c>
      <c r="AJ90" s="8">
        <f>'BIO DATA'!BB88</f>
        <v>0</v>
      </c>
      <c r="AK90" s="8">
        <f>'BIO DATA'!BC88</f>
        <v>0</v>
      </c>
      <c r="AL90" s="8">
        <f>'BIO DATA'!BD88</f>
        <v>0</v>
      </c>
      <c r="AM90" s="8">
        <f>'BIO DATA'!BE88</f>
        <v>0</v>
      </c>
      <c r="AN90" s="8">
        <f>'BIO DATA'!BF88</f>
        <v>0</v>
      </c>
      <c r="AO90" s="8">
        <f>'BIO DATA'!BG88</f>
        <v>0</v>
      </c>
      <c r="AP90" s="54" t="s">
        <v>195</v>
      </c>
    </row>
    <row r="91" spans="1:42" s="54" customFormat="1" ht="20.100000000000001" customHeight="1" thickBot="1">
      <c r="A91" s="16" t="s">
        <v>131</v>
      </c>
      <c r="B91">
        <v>58</v>
      </c>
      <c r="C91" s="90">
        <f>'BIO DATA'!D89</f>
        <v>11486</v>
      </c>
      <c r="D91" s="90" t="str">
        <f>'BIO DATA'!E89</f>
        <v>0098221404</v>
      </c>
      <c r="E91" s="89" t="str">
        <f>'BIO DATA'!F89</f>
        <v>Raka Haidar Altaf</v>
      </c>
      <c r="F91" s="49" t="str">
        <f>'BIO DATA'!M89</f>
        <v>Laki-laki</v>
      </c>
      <c r="G91" s="8" t="str">
        <f>'BIO DATA'!N89</f>
        <v>Tegal</v>
      </c>
      <c r="H91" s="51">
        <f>'BIO DATA'!P89</f>
        <v>40167</v>
      </c>
      <c r="I91" s="49" t="str">
        <f>'BIO DATA'!S89</f>
        <v>Islam</v>
      </c>
      <c r="J91" s="50">
        <f>'BIO DATA'!J89:J251</f>
        <v>4</v>
      </c>
      <c r="K91" s="50">
        <f>'BIO DATA'!K89:K292</f>
        <v>4</v>
      </c>
      <c r="L91" s="8" t="str">
        <f>'BIO DATA'!T89:T251</f>
        <v>Karangturi RT 07, Baturetno, Banguntapan, Bantul, DIY, DI Yogyakarta, 55197</v>
      </c>
      <c r="M91" s="8" t="str">
        <f>'BIO DATA'!V89:V292</f>
        <v>Baturetno</v>
      </c>
      <c r="N91" s="8" t="str">
        <f>'BIO DATA'!W89:W292</f>
        <v>Banguntapan</v>
      </c>
      <c r="O91" s="8" t="str">
        <f>'BIO DATA'!X89:X292</f>
        <v>Bantul</v>
      </c>
      <c r="P91" s="8" t="str">
        <f>'BIO DATA'!Y89:Y292</f>
        <v>DI Yogyakarta</v>
      </c>
      <c r="Q91" s="8" t="str">
        <f>'BIO DATA'!Z89:Z292</f>
        <v>MTs. Mu'allimin Muh. Yogyakarta</v>
      </c>
      <c r="R91" s="8" t="str">
        <f>'BIO DATA'!AA89:AA292</f>
        <v>JL. Karanglo, Jogoragan, Banguntapan Bantul, Yogyakarta (Timur Pasar Kotagede, Barat Ringroad)</v>
      </c>
      <c r="S91" s="8">
        <f>'BIO DATA'!AB89:AB292</f>
        <v>0</v>
      </c>
      <c r="T91" s="8" t="str">
        <f>'BIO DATA'!AC89:AC292</f>
        <v>Setiya</v>
      </c>
      <c r="U91" s="8" t="str">
        <f>'BIO DATA'!AD89</f>
        <v>Islam</v>
      </c>
      <c r="V91" s="8" t="str">
        <f>'BIO DATA'!AL89:AL292</f>
        <v>S1</v>
      </c>
      <c r="W91" s="8" t="str">
        <f>'BIO DATA'!AM89:AM292</f>
        <v>PNS</v>
      </c>
      <c r="X91" s="8" t="str">
        <f>'BIO DATA'!AG89:AG292</f>
        <v>&gt; Rp 2.500.000,00</v>
      </c>
      <c r="Y91" s="69" t="s">
        <v>217</v>
      </c>
      <c r="Z91" s="8">
        <f>'BIO DATA'!AI89:AI292</f>
        <v>0</v>
      </c>
      <c r="AA91" s="8" t="str">
        <f>'BIO DATA'!AJ89:AJ292</f>
        <v>Emma Kusumawati</v>
      </c>
      <c r="AB91" s="8" t="str">
        <f>'BIO DATA'!AK89</f>
        <v>Islam</v>
      </c>
      <c r="AC91" s="8" t="str">
        <f>'BIO DATA'!AL89:AL292</f>
        <v>S1</v>
      </c>
      <c r="AD91" s="8" t="str">
        <f>'BIO DATA'!AM89:AM292</f>
        <v>PNS</v>
      </c>
      <c r="AE91" s="8">
        <f>'BIO DATA'!AN89:AN292</f>
        <v>0</v>
      </c>
      <c r="AF91" s="52"/>
      <c r="AG91" s="8">
        <f>'BIO DATA'!AP89</f>
        <v>0</v>
      </c>
      <c r="AH91" s="8">
        <f>'BIO DATA'!AZ89</f>
        <v>0</v>
      </c>
      <c r="AI91" s="8" t="str">
        <f>'BIO DATA'!BA89</f>
        <v>Islam</v>
      </c>
      <c r="AJ91" s="8">
        <f>'BIO DATA'!BB89</f>
        <v>0</v>
      </c>
      <c r="AK91" s="8">
        <f>'BIO DATA'!BC89</f>
        <v>0</v>
      </c>
      <c r="AL91" s="8">
        <f>'BIO DATA'!BD89</f>
        <v>0</v>
      </c>
      <c r="AM91" s="8">
        <f>'BIO DATA'!BE89</f>
        <v>0</v>
      </c>
      <c r="AN91" s="8">
        <f>'BIO DATA'!BF89</f>
        <v>0</v>
      </c>
      <c r="AO91" s="8">
        <f>'BIO DATA'!BG89</f>
        <v>0</v>
      </c>
      <c r="AP91" s="54" t="s">
        <v>195</v>
      </c>
    </row>
    <row r="92" spans="1:42" s="54" customFormat="1" ht="20.100000000000001" customHeight="1" thickBot="1">
      <c r="A92" s="16" t="s">
        <v>131</v>
      </c>
      <c r="B92">
        <v>76</v>
      </c>
      <c r="C92" s="90">
        <f>'BIO DATA'!D90</f>
        <v>11498</v>
      </c>
      <c r="D92" s="90" t="str">
        <f>'BIO DATA'!E90</f>
        <v>3105066485</v>
      </c>
      <c r="E92" s="89" t="str">
        <f>'BIO DATA'!F90</f>
        <v>Shidiq Dwi Nur Rahman</v>
      </c>
      <c r="F92" s="49" t="str">
        <f>'BIO DATA'!M90</f>
        <v>Laki-laki</v>
      </c>
      <c r="G92" s="8" t="str">
        <f>'BIO DATA'!N90</f>
        <v>Kotawaringin Barat</v>
      </c>
      <c r="H92" s="51">
        <f>'BIO DATA'!P90</f>
        <v>40209</v>
      </c>
      <c r="I92" s="49" t="str">
        <f>'BIO DATA'!S90</f>
        <v>Islam</v>
      </c>
      <c r="J92" s="50">
        <f>'BIO DATA'!J90:J252</f>
        <v>3</v>
      </c>
      <c r="K92" s="50">
        <f>'BIO DATA'!K90:K293</f>
        <v>2</v>
      </c>
      <c r="L92" s="8" t="str">
        <f>'BIO DATA'!T90:T252</f>
        <v xml:space="preserve">Jl. Nangka 1 RT 12 Kampung Empat, Tarakan Timur, Kota Tarakan, Kalimantan Utara </v>
      </c>
      <c r="M92" s="8" t="str">
        <f>'BIO DATA'!V90:V293</f>
        <v>Kampung Empat</v>
      </c>
      <c r="N92" s="8" t="str">
        <f>'BIO DATA'!W90:W293</f>
        <v>Tarakan Timur</v>
      </c>
      <c r="O92" s="8" t="str">
        <f>'BIO DATA'!X90:X293</f>
        <v>Kota Tarakan</v>
      </c>
      <c r="P92" s="8" t="str">
        <f>'BIO DATA'!Y90:Y293</f>
        <v>Kalimantan Utara</v>
      </c>
      <c r="Q92" s="8" t="str">
        <f>'BIO DATA'!Z90:Z293</f>
        <v>MTs. Mu'allimin Muh. Yogyakarta</v>
      </c>
      <c r="R92" s="8" t="str">
        <f>'BIO DATA'!AA90:AA293</f>
        <v>Jl. Sumatera RT.14 No.03, Pamusian, Kec. Tarakan Tengah, Kota Tarakan Prov. Kalimantan Utara</v>
      </c>
      <c r="S92" s="8">
        <f>'BIO DATA'!AB90:AB293</f>
        <v>0</v>
      </c>
      <c r="T92" s="8" t="str">
        <f>'BIO DATA'!AC90:AC293</f>
        <v>Ir. Aris Ma'mun Riyadie</v>
      </c>
      <c r="U92" s="8" t="str">
        <f>'BIO DATA'!AD90</f>
        <v>Islam</v>
      </c>
      <c r="V92" s="8">
        <f>'BIO DATA'!AL90:AL293</f>
        <v>0</v>
      </c>
      <c r="W92" s="8">
        <f>'BIO DATA'!AM90:AM293</f>
        <v>0</v>
      </c>
      <c r="X92" s="8" t="str">
        <f>'BIO DATA'!AG90:AG293</f>
        <v>&gt; Rp 2.500.000,00</v>
      </c>
      <c r="Y92" s="69" t="s">
        <v>217</v>
      </c>
      <c r="Z92" s="8">
        <f>'BIO DATA'!AI90:AI293</f>
        <v>0</v>
      </c>
      <c r="AA92" s="8" t="str">
        <f>'BIO DATA'!AJ90:AJ293</f>
        <v>Dian Ning Utami</v>
      </c>
      <c r="AB92" s="8" t="str">
        <f>'BIO DATA'!AK90</f>
        <v>Islam</v>
      </c>
      <c r="AC92" s="8">
        <f>'BIO DATA'!AL90:AL293</f>
        <v>0</v>
      </c>
      <c r="AD92" s="8">
        <f>'BIO DATA'!AM90:AM293</f>
        <v>0</v>
      </c>
      <c r="AE92" s="8">
        <f>'BIO DATA'!AN90:AN293</f>
        <v>0</v>
      </c>
      <c r="AF92" s="52"/>
      <c r="AG92" s="8">
        <f>'BIO DATA'!AP90</f>
        <v>0</v>
      </c>
      <c r="AH92" s="8">
        <f>'BIO DATA'!AZ90</f>
        <v>0</v>
      </c>
      <c r="AI92" s="8" t="str">
        <f>'BIO DATA'!BA90</f>
        <v>Islam</v>
      </c>
      <c r="AJ92" s="8">
        <f>'BIO DATA'!BB90</f>
        <v>0</v>
      </c>
      <c r="AK92" s="8">
        <f>'BIO DATA'!BC90</f>
        <v>0</v>
      </c>
      <c r="AL92" s="8">
        <f>'BIO DATA'!BD90</f>
        <v>0</v>
      </c>
      <c r="AM92" s="8">
        <f>'BIO DATA'!BE90</f>
        <v>0</v>
      </c>
      <c r="AN92" s="8">
        <f>'BIO DATA'!BF90</f>
        <v>0</v>
      </c>
      <c r="AO92" s="8">
        <f>'BIO DATA'!BG90</f>
        <v>0</v>
      </c>
      <c r="AP92" s="54" t="s">
        <v>195</v>
      </c>
    </row>
    <row r="93" spans="1:42" s="54" customFormat="1" ht="20.100000000000001" customHeight="1" thickBot="1">
      <c r="A93" s="16" t="s">
        <v>131</v>
      </c>
      <c r="B93">
        <v>84</v>
      </c>
      <c r="C93" s="90">
        <f>'BIO DATA'!D91</f>
        <v>11499</v>
      </c>
      <c r="D93" s="90" t="str">
        <f>'BIO DATA'!E91</f>
        <v>0097315345</v>
      </c>
      <c r="E93" s="89" t="str">
        <f>'BIO DATA'!F91</f>
        <v>Sholih Muhammad Faiq Ali Syahada</v>
      </c>
      <c r="F93" s="49" t="str">
        <f>'BIO DATA'!M91</f>
        <v>Laki-laki</v>
      </c>
      <c r="G93" s="8" t="str">
        <f>'BIO DATA'!N91</f>
        <v>Bantul</v>
      </c>
      <c r="H93" s="51">
        <f>'BIO DATA'!P91</f>
        <v>40037</v>
      </c>
      <c r="I93" s="49" t="str">
        <f>'BIO DATA'!S91</f>
        <v>Islam</v>
      </c>
      <c r="J93" s="50">
        <f>'BIO DATA'!J91:J253</f>
        <v>1</v>
      </c>
      <c r="K93" s="50">
        <f>'BIO DATA'!K91:K294</f>
        <v>1</v>
      </c>
      <c r="L93" s="8" t="str">
        <f>'BIO DATA'!T91:T253</f>
        <v>Jalan Matoa 2 Nmr 6 Karangasem RT 1 RW 7 Laweyan Surakarta Jawa Tengah, 57145</v>
      </c>
      <c r="M93" s="8" t="str">
        <f>'BIO DATA'!V91:V294</f>
        <v>Karangasem</v>
      </c>
      <c r="N93" s="8" t="str">
        <f>'BIO DATA'!W91:W294</f>
        <v>Laweyan</v>
      </c>
      <c r="O93" s="8" t="str">
        <f>'BIO DATA'!X91:X294</f>
        <v>Surakarta</v>
      </c>
      <c r="P93" s="8" t="str">
        <f>'BIO DATA'!Y91:Y294</f>
        <v>Jawa Tengah</v>
      </c>
      <c r="Q93" s="8" t="str">
        <f>'BIO DATA'!Z91:Z294</f>
        <v>MTs. Mu'allimin Muh. Yogyakarta</v>
      </c>
      <c r="R93" s="8" t="str">
        <f>'BIO DATA'!AA91:AA294</f>
        <v>Gg. Mangga III, Jajar, Kec. Laweyan, Kota Surakarta, Jawa Tengah 57144</v>
      </c>
      <c r="S93" s="8">
        <f>'BIO DATA'!AB91:AB294</f>
        <v>0</v>
      </c>
      <c r="T93" s="8" t="str">
        <f>'BIO DATA'!AC91:AC294</f>
        <v>Muhammad Lutfi Arsyad</v>
      </c>
      <c r="U93" s="8" t="str">
        <f>'BIO DATA'!AD91</f>
        <v>Islam</v>
      </c>
      <c r="V93" s="8" t="str">
        <f>'BIO DATA'!AL91:AL294</f>
        <v>SMA</v>
      </c>
      <c r="W93" s="8" t="str">
        <f>'BIO DATA'!AM91:AM294</f>
        <v>Ibu Rumah Tangga</v>
      </c>
      <c r="X93" s="8" t="str">
        <f>'BIO DATA'!AG91:AG294</f>
        <v>&gt; Rp 2.500.000,00</v>
      </c>
      <c r="Y93" s="69" t="s">
        <v>217</v>
      </c>
      <c r="Z93" s="8">
        <f>'BIO DATA'!AI91:AI294</f>
        <v>0</v>
      </c>
      <c r="AA93" s="8" t="str">
        <f>'BIO DATA'!AJ91:AJ294</f>
        <v>Ela Fitria Rahma</v>
      </c>
      <c r="AB93" s="8" t="str">
        <f>'BIO DATA'!AK91</f>
        <v>Islam</v>
      </c>
      <c r="AC93" s="8" t="str">
        <f>'BIO DATA'!AL91:AL294</f>
        <v>SMA</v>
      </c>
      <c r="AD93" s="8" t="str">
        <f>'BIO DATA'!AM91:AM294</f>
        <v>Ibu Rumah Tangga</v>
      </c>
      <c r="AE93" s="8">
        <f>'BIO DATA'!AN91:AN294</f>
        <v>0</v>
      </c>
      <c r="AF93" s="52"/>
      <c r="AG93" s="8">
        <f>'BIO DATA'!AP91</f>
        <v>0</v>
      </c>
      <c r="AH93" s="8">
        <f>'BIO DATA'!AZ91</f>
        <v>0</v>
      </c>
      <c r="AI93" s="8" t="str">
        <f>'BIO DATA'!BA91</f>
        <v>Islam</v>
      </c>
      <c r="AJ93" s="8">
        <f>'BIO DATA'!BB91</f>
        <v>0</v>
      </c>
      <c r="AK93" s="8">
        <f>'BIO DATA'!BC91</f>
        <v>0</v>
      </c>
      <c r="AL93" s="8">
        <f>'BIO DATA'!BD91</f>
        <v>0</v>
      </c>
      <c r="AM93" s="8">
        <f>'BIO DATA'!BE91</f>
        <v>0</v>
      </c>
      <c r="AN93" s="8">
        <f>'BIO DATA'!BF91</f>
        <v>0</v>
      </c>
      <c r="AO93" s="8">
        <f>'BIO DATA'!BG91</f>
        <v>0</v>
      </c>
      <c r="AP93" s="54" t="s">
        <v>195</v>
      </c>
    </row>
    <row r="94" spans="1:42" s="54" customFormat="1" ht="20.100000000000001" customHeight="1" thickBot="1">
      <c r="A94" s="16" t="s">
        <v>131</v>
      </c>
      <c r="B94">
        <v>89</v>
      </c>
      <c r="C94" s="90">
        <f>'BIO DATA'!D92</f>
        <v>11514</v>
      </c>
      <c r="D94" s="90" t="str">
        <f>'BIO DATA'!E92</f>
        <v>0102663397</v>
      </c>
      <c r="E94" s="89" t="str">
        <f>'BIO DATA'!F92</f>
        <v>Zhafir Abhinaya Diera Riyadie</v>
      </c>
      <c r="F94" s="49" t="str">
        <f>'BIO DATA'!M92</f>
        <v>Laki-laki</v>
      </c>
      <c r="G94" s="8" t="str">
        <f>'BIO DATA'!N92</f>
        <v>Purbalingga</v>
      </c>
      <c r="H94" s="51">
        <f>'BIO DATA'!P92</f>
        <v>40410</v>
      </c>
      <c r="I94" s="49" t="str">
        <f>'BIO DATA'!S92</f>
        <v>Islam</v>
      </c>
      <c r="J94" s="50">
        <f>'BIO DATA'!J92:J254</f>
        <v>1</v>
      </c>
      <c r="K94" s="50">
        <f>'BIO DATA'!K92:K295</f>
        <v>1</v>
      </c>
      <c r="L94" s="8" t="str">
        <f>'BIO DATA'!T92:T254</f>
        <v>Perum Sawojajar Jl Danau Rawa Pening Dalam H5 E/23 Madyopuro, Kedungkandang, Kota Malang Jawa Timur 65138</v>
      </c>
      <c r="M94" s="8" t="str">
        <f>'BIO DATA'!V92:V295</f>
        <v>Madyopuro</v>
      </c>
      <c r="N94" s="8" t="str">
        <f>'BIO DATA'!W92:W295</f>
        <v>Kedungkandang</v>
      </c>
      <c r="O94" s="8" t="str">
        <f>'BIO DATA'!X92:X295</f>
        <v>Kota Malang</v>
      </c>
      <c r="P94" s="8" t="str">
        <f>'BIO DATA'!Y92:Y295</f>
        <v>Jawa Timur</v>
      </c>
      <c r="Q94" s="8" t="str">
        <f>'BIO DATA'!Z92:Z295</f>
        <v>MTs. Mu'allimin Muh. Yogyakarta</v>
      </c>
      <c r="R94" s="8" t="str">
        <f>'BIO DATA'!AA92:AA295</f>
        <v>Bunulrejo, Kec. Blimbing, Kota Malang, Jawa Timur</v>
      </c>
      <c r="S94" s="8">
        <f>'BIO DATA'!AB92:AB295</f>
        <v>0</v>
      </c>
      <c r="T94" s="8" t="str">
        <f>'BIO DATA'!AC92:AC295</f>
        <v>Ikuk Herry Kurniawan</v>
      </c>
      <c r="U94" s="8" t="str">
        <f>'BIO DATA'!AD92</f>
        <v>Islam</v>
      </c>
      <c r="V94" s="8" t="str">
        <f>'BIO DATA'!AL92:AL295</f>
        <v>S1</v>
      </c>
      <c r="W94" s="8" t="str">
        <f>'BIO DATA'!AM92:AM295</f>
        <v>Lainnya</v>
      </c>
      <c r="X94" s="8" t="str">
        <f>'BIO DATA'!AG92:AG295</f>
        <v>Antara Rp 2.000.000,00 s.d. Rp 2.500,000,00</v>
      </c>
      <c r="Y94" s="69" t="s">
        <v>217</v>
      </c>
      <c r="Z94" s="8">
        <f>'BIO DATA'!AI92:AI295</f>
        <v>0</v>
      </c>
      <c r="AA94" s="8" t="str">
        <f>'BIO DATA'!AJ92:AJ295</f>
        <v>Dhina Chahyantiningsih</v>
      </c>
      <c r="AB94" s="8" t="str">
        <f>'BIO DATA'!AK92</f>
        <v>Islam</v>
      </c>
      <c r="AC94" s="8" t="str">
        <f>'BIO DATA'!AL92:AL295</f>
        <v>S1</v>
      </c>
      <c r="AD94" s="8" t="str">
        <f>'BIO DATA'!AM92:AM295</f>
        <v>Lainnya</v>
      </c>
      <c r="AE94" s="8">
        <f>'BIO DATA'!AN92:AN295</f>
        <v>0</v>
      </c>
      <c r="AF94" s="52"/>
      <c r="AG94" s="8">
        <f>'BIO DATA'!AP92</f>
        <v>0</v>
      </c>
      <c r="AH94" s="8">
        <f>'BIO DATA'!AZ92</f>
        <v>0</v>
      </c>
      <c r="AI94" s="8" t="str">
        <f>'BIO DATA'!BA92</f>
        <v>Islam</v>
      </c>
      <c r="AJ94" s="8">
        <f>'BIO DATA'!BB92</f>
        <v>0</v>
      </c>
      <c r="AK94" s="8">
        <f>'BIO DATA'!BC92</f>
        <v>0</v>
      </c>
      <c r="AL94" s="8">
        <f>'BIO DATA'!BD92</f>
        <v>0</v>
      </c>
      <c r="AM94" s="8">
        <f>'BIO DATA'!BE92</f>
        <v>0</v>
      </c>
      <c r="AN94" s="8">
        <f>'BIO DATA'!BF92</f>
        <v>0</v>
      </c>
      <c r="AO94" s="8">
        <f>'BIO DATA'!BG92</f>
        <v>0</v>
      </c>
      <c r="AP94" s="54" t="s">
        <v>195</v>
      </c>
    </row>
    <row r="95" spans="1:42" s="54" customFormat="1" ht="20.100000000000001" customHeight="1" thickBot="1">
      <c r="A95" s="15" t="s">
        <v>77</v>
      </c>
      <c r="B95">
        <v>105</v>
      </c>
      <c r="C95" s="90">
        <f>'BIO DATA'!D93</f>
        <v>11204</v>
      </c>
      <c r="D95" s="90" t="str">
        <f>'BIO DATA'!E93</f>
        <v>0093875377</v>
      </c>
      <c r="E95" s="89" t="str">
        <f>'BIO DATA'!F93</f>
        <v>Abrisam Ahza Saladin Arsyad</v>
      </c>
      <c r="F95" s="49" t="str">
        <f>'BIO DATA'!M93</f>
        <v>Laki-laki</v>
      </c>
      <c r="G95" s="8" t="str">
        <f>'BIO DATA'!N93</f>
        <v>Sukoharjo</v>
      </c>
      <c r="H95" s="51">
        <f>'BIO DATA'!P93</f>
        <v>40171</v>
      </c>
      <c r="I95" s="49" t="str">
        <f>'BIO DATA'!S93</f>
        <v>Islam</v>
      </c>
      <c r="J95" s="50">
        <f>'BIO DATA'!J93:J255</f>
        <v>2</v>
      </c>
      <c r="K95" s="50">
        <f>'BIO DATA'!K93:K296</f>
        <v>2</v>
      </c>
      <c r="L95" s="8" t="str">
        <f>'BIO DATA'!T93:T255</f>
        <v>Dusun Polaman Rt 2 Rw 5 Kecamatan Kangkung Kabupaten Kendal, Jawa Tengah, 51353</v>
      </c>
      <c r="M95" s="8" t="str">
        <f>'BIO DATA'!V93:V296</f>
        <v>Polaman</v>
      </c>
      <c r="N95" s="8" t="str">
        <f>'BIO DATA'!W93:W296</f>
        <v>Kangkung</v>
      </c>
      <c r="O95" s="8" t="str">
        <f>'BIO DATA'!X93:X296</f>
        <v>Kendal</v>
      </c>
      <c r="P95" s="8" t="str">
        <f>'BIO DATA'!Y93:Y296</f>
        <v>Jawa Tengah</v>
      </c>
      <c r="Q95" s="8" t="str">
        <f>'BIO DATA'!Z93:Z296</f>
        <v>MTs. Mu'allimin Muh. Yogyakarta</v>
      </c>
      <c r="R95" s="8" t="str">
        <f>'BIO DATA'!AA93:AA296</f>
        <v>Polaman, Truko, Kec. Kangkung, Kabupaten Kendal, Jawa Tengah 51353</v>
      </c>
      <c r="S95" s="8">
        <f>'BIO DATA'!AB93:AB296</f>
        <v>0</v>
      </c>
      <c r="T95" s="8" t="str">
        <f>'BIO DATA'!AC93:AC296</f>
        <v>Nur Wakhid</v>
      </c>
      <c r="U95" s="8" t="str">
        <f>'BIO DATA'!AD93</f>
        <v>Islam</v>
      </c>
      <c r="V95" s="8" t="str">
        <f>'BIO DATA'!AL93:AL296</f>
        <v>SMA</v>
      </c>
      <c r="W95" s="8" t="str">
        <f>'BIO DATA'!AM93:AM296</f>
        <v>Ibu Rumah Tangga</v>
      </c>
      <c r="X95" s="8" t="str">
        <f>'BIO DATA'!AG93:AG296</f>
        <v>&gt; Rp 2.500.000,00</v>
      </c>
      <c r="Y95" s="69" t="s">
        <v>217</v>
      </c>
      <c r="Z95" s="8">
        <f>'BIO DATA'!AI93:AI296</f>
        <v>0</v>
      </c>
      <c r="AA95" s="8" t="str">
        <f>'BIO DATA'!AJ93:AJ296</f>
        <v>Yeni Sri Aryani</v>
      </c>
      <c r="AB95" s="8" t="str">
        <f>'BIO DATA'!AK93</f>
        <v>Islam</v>
      </c>
      <c r="AC95" s="8" t="str">
        <f>'BIO DATA'!AL93:AL296</f>
        <v>SMA</v>
      </c>
      <c r="AD95" s="8" t="str">
        <f>'BIO DATA'!AM93:AM296</f>
        <v>Ibu Rumah Tangga</v>
      </c>
      <c r="AE95" s="8">
        <f>'BIO DATA'!AN93:AN296</f>
        <v>0</v>
      </c>
      <c r="AF95" s="52"/>
      <c r="AG95" s="8">
        <f>'BIO DATA'!AP93</f>
        <v>0</v>
      </c>
      <c r="AH95" s="8">
        <f>'BIO DATA'!AZ93</f>
        <v>0</v>
      </c>
      <c r="AI95" s="8" t="str">
        <f>'BIO DATA'!BA93</f>
        <v>Islam</v>
      </c>
      <c r="AJ95" s="8">
        <f>'BIO DATA'!BB93</f>
        <v>0</v>
      </c>
      <c r="AK95" s="8">
        <f>'BIO DATA'!BC93</f>
        <v>0</v>
      </c>
      <c r="AL95" s="8">
        <f>'BIO DATA'!BD93</f>
        <v>0</v>
      </c>
      <c r="AM95" s="8">
        <f>'BIO DATA'!BE93</f>
        <v>0</v>
      </c>
      <c r="AN95" s="8">
        <f>'BIO DATA'!BF93</f>
        <v>0</v>
      </c>
      <c r="AO95" s="8">
        <f>'BIO DATA'!BG93</f>
        <v>0</v>
      </c>
      <c r="AP95" s="54" t="s">
        <v>195</v>
      </c>
    </row>
    <row r="96" spans="1:42" s="54" customFormat="1" ht="20.100000000000001" customHeight="1" thickBot="1">
      <c r="A96" s="15" t="s">
        <v>77</v>
      </c>
      <c r="B96">
        <v>108</v>
      </c>
      <c r="C96" s="90">
        <f>'BIO DATA'!D94</f>
        <v>11247</v>
      </c>
      <c r="D96" s="90" t="str">
        <f>'BIO DATA'!E94</f>
        <v>0104594944</v>
      </c>
      <c r="E96" s="89" t="str">
        <f>'BIO DATA'!F94</f>
        <v>Alfael Rumi</v>
      </c>
      <c r="F96" s="49" t="str">
        <f>'BIO DATA'!M94</f>
        <v>Laki-laki</v>
      </c>
      <c r="G96" s="8" t="str">
        <f>'BIO DATA'!N94</f>
        <v>Malang</v>
      </c>
      <c r="H96" s="51">
        <f>'BIO DATA'!P94</f>
        <v>40204</v>
      </c>
      <c r="I96" s="49" t="str">
        <f>'BIO DATA'!S94</f>
        <v>Islam</v>
      </c>
      <c r="J96" s="50">
        <f>'BIO DATA'!J94:J256</f>
        <v>1</v>
      </c>
      <c r="K96" s="50">
        <f>'BIO DATA'!K94:K297</f>
        <v>2</v>
      </c>
      <c r="L96" s="8" t="str">
        <f>'BIO DATA'!T94:T256</f>
        <v>Perum. Pondok Tanjung Permai I B6 Medokan Semampir, Sukolilo, Surabaya, Jawa Timur, 60119</v>
      </c>
      <c r="M96" s="8" t="str">
        <f>'BIO DATA'!V94:V297</f>
        <v>Semampir</v>
      </c>
      <c r="N96" s="8" t="str">
        <f>'BIO DATA'!W94:W297</f>
        <v>Sukolilo</v>
      </c>
      <c r="O96" s="8" t="str">
        <f>'BIO DATA'!X94:X297</f>
        <v>Surabaya</v>
      </c>
      <c r="P96" s="8" t="str">
        <f>'BIO DATA'!Y94:Y297</f>
        <v>Jawa Timur</v>
      </c>
      <c r="Q96" s="8" t="str">
        <f>'BIO DATA'!Z94:Z297</f>
        <v>MTs. Mu'allimin Muh. Yogyakarta</v>
      </c>
      <c r="R96" s="8" t="str">
        <f>'BIO DATA'!AA94:AA297</f>
        <v>Jl. Pucang Anom No.93, Kertajaya, Kec. Gubeng, Kota SBY, Jawa Timur 60282</v>
      </c>
      <c r="S96" s="8">
        <f>'BIO DATA'!AB94:AB297</f>
        <v>0</v>
      </c>
      <c r="T96" s="8" t="str">
        <f>'BIO DATA'!AC94:AC297</f>
        <v>Dr. Tumirin, S.E., M.Si.</v>
      </c>
      <c r="U96" s="8" t="str">
        <f>'BIO DATA'!AD94</f>
        <v>Islam</v>
      </c>
      <c r="V96" s="8" t="str">
        <f>'BIO DATA'!AL94:AL297</f>
        <v>Diploma</v>
      </c>
      <c r="W96" s="8" t="str">
        <f>'BIO DATA'!AM94:AM297</f>
        <v>Bidan</v>
      </c>
      <c r="X96" s="8" t="str">
        <f>'BIO DATA'!AG94:AG297</f>
        <v>&gt; Rp 2.500.000,00</v>
      </c>
      <c r="Y96" s="69" t="s">
        <v>217</v>
      </c>
      <c r="Z96" s="8">
        <f>'BIO DATA'!AI94:AI297</f>
        <v>0</v>
      </c>
      <c r="AA96" s="8" t="str">
        <f>'BIO DATA'!AJ94:AJ297</f>
        <v>Siti Muntowiyah</v>
      </c>
      <c r="AB96" s="8" t="str">
        <f>'BIO DATA'!AK94</f>
        <v>Islam</v>
      </c>
      <c r="AC96" s="8" t="str">
        <f>'BIO DATA'!AL94:AL297</f>
        <v>Diploma</v>
      </c>
      <c r="AD96" s="8" t="str">
        <f>'BIO DATA'!AM94:AM297</f>
        <v>Bidan</v>
      </c>
      <c r="AE96" s="8">
        <f>'BIO DATA'!AN94:AN297</f>
        <v>0</v>
      </c>
      <c r="AF96" s="52"/>
      <c r="AG96" s="8">
        <f>'BIO DATA'!AP94</f>
        <v>0</v>
      </c>
      <c r="AH96" s="8">
        <f>'BIO DATA'!AZ94</f>
        <v>0</v>
      </c>
      <c r="AI96" s="8" t="str">
        <f>'BIO DATA'!BA94</f>
        <v>Islam</v>
      </c>
      <c r="AJ96" s="8">
        <f>'BIO DATA'!BB94</f>
        <v>0</v>
      </c>
      <c r="AK96" s="8">
        <f>'BIO DATA'!BC94</f>
        <v>0</v>
      </c>
      <c r="AL96" s="8">
        <f>'BIO DATA'!BD94</f>
        <v>0</v>
      </c>
      <c r="AM96" s="8">
        <f>'BIO DATA'!BE94</f>
        <v>0</v>
      </c>
      <c r="AN96" s="8">
        <f>'BIO DATA'!BF94</f>
        <v>0</v>
      </c>
      <c r="AO96" s="8">
        <f>'BIO DATA'!BG94</f>
        <v>0</v>
      </c>
      <c r="AP96" s="54" t="s">
        <v>195</v>
      </c>
    </row>
    <row r="97" spans="1:42" s="54" customFormat="1" ht="20.100000000000001" customHeight="1" thickBot="1">
      <c r="A97" s="15" t="s">
        <v>77</v>
      </c>
      <c r="B97">
        <v>109</v>
      </c>
      <c r="C97" s="90">
        <f>'BIO DATA'!D95</f>
        <v>11263</v>
      </c>
      <c r="D97" s="90" t="str">
        <f>'BIO DATA'!E95</f>
        <v>0106069625</v>
      </c>
      <c r="E97" s="89" t="str">
        <f>'BIO DATA'!F95</f>
        <v>Aryanur Tegar Pribadi</v>
      </c>
      <c r="F97" s="49" t="str">
        <f>'BIO DATA'!M95</f>
        <v>Laki-laki</v>
      </c>
      <c r="G97" s="8" t="str">
        <f>'BIO DATA'!N95</f>
        <v>Makartitama</v>
      </c>
      <c r="H97" s="51">
        <f>'BIO DATA'!P95</f>
        <v>40478</v>
      </c>
      <c r="I97" s="49" t="str">
        <f>'BIO DATA'!S95</f>
        <v>Islam</v>
      </c>
      <c r="J97" s="50">
        <f>'BIO DATA'!J95:J257</f>
        <v>2</v>
      </c>
      <c r="K97" s="50">
        <f>'BIO DATA'!K95:K298</f>
        <v>2</v>
      </c>
      <c r="L97" s="8" t="str">
        <f>'BIO DATA'!T95:T257</f>
        <v>Jl. Patin Raya No. 21 Perumnas Rumbai RT/RW 011/010 Kelurahan LImbungan Baru Kecamatan Rumbai Pesisisr Kota Pekanbaru, Riau, 28269</v>
      </c>
      <c r="M97" s="8" t="str">
        <f>'BIO DATA'!V95:V298</f>
        <v>Limbungan Baru</v>
      </c>
      <c r="N97" s="8" t="str">
        <f>'BIO DATA'!W95:W298</f>
        <v>Rumbai Pesisir</v>
      </c>
      <c r="O97" s="8" t="str">
        <f>'BIO DATA'!X95:X298</f>
        <v>Kota Pekanbaru</v>
      </c>
      <c r="P97" s="8" t="str">
        <f>'BIO DATA'!Y95:Y298</f>
        <v>Riau</v>
      </c>
      <c r="Q97" s="8" t="str">
        <f>'BIO DATA'!Z95:Z298</f>
        <v>MTs. Mu'allimin Muh. Yogyakarta</v>
      </c>
      <c r="R97" s="8" t="str">
        <f>'BIO DATA'!AA95:AA298</f>
        <v>Komplek Masjid Al Ittihad Rumbai, Lembah Damai, Kec. Rumbai Pesisir, Kota Pekanbaru, Riau 28266</v>
      </c>
      <c r="S97" s="8">
        <f>'BIO DATA'!AB95:AB298</f>
        <v>0</v>
      </c>
      <c r="T97" s="8" t="str">
        <f>'BIO DATA'!AC95:AC298</f>
        <v>Dian Wahyudi Firdaus</v>
      </c>
      <c r="U97" s="8" t="str">
        <f>'BIO DATA'!AD95</f>
        <v>Islam</v>
      </c>
      <c r="V97" s="8" t="str">
        <f>'BIO DATA'!AL95:AL298</f>
        <v>S2</v>
      </c>
      <c r="W97" s="8" t="str">
        <f>'BIO DATA'!AM95:AM298</f>
        <v>PNS</v>
      </c>
      <c r="X97" s="8" t="str">
        <f>'BIO DATA'!AG95:AG298</f>
        <v>&gt; Rp 2.500.000,00</v>
      </c>
      <c r="Y97" s="69" t="s">
        <v>217</v>
      </c>
      <c r="Z97" s="8">
        <f>'BIO DATA'!AI95:AI298</f>
        <v>0</v>
      </c>
      <c r="AA97" s="8" t="str">
        <f>'BIO DATA'!AJ95:AJ298</f>
        <v>Fitrawati Azwar</v>
      </c>
      <c r="AB97" s="8" t="str">
        <f>'BIO DATA'!AK95</f>
        <v>Islam</v>
      </c>
      <c r="AC97" s="8" t="str">
        <f>'BIO DATA'!AL95:AL298</f>
        <v>S2</v>
      </c>
      <c r="AD97" s="8" t="str">
        <f>'BIO DATA'!AM95:AM298</f>
        <v>PNS</v>
      </c>
      <c r="AE97" s="8">
        <f>'BIO DATA'!AN95:AN298</f>
        <v>0</v>
      </c>
      <c r="AF97" s="52"/>
      <c r="AG97" s="8">
        <f>'BIO DATA'!AP95</f>
        <v>0</v>
      </c>
      <c r="AH97" s="8">
        <f>'BIO DATA'!AZ95</f>
        <v>0</v>
      </c>
      <c r="AI97" s="8" t="str">
        <f>'BIO DATA'!BA95</f>
        <v>Islam</v>
      </c>
      <c r="AJ97" s="8">
        <f>'BIO DATA'!BB95</f>
        <v>0</v>
      </c>
      <c r="AK97" s="8">
        <f>'BIO DATA'!BC95</f>
        <v>0</v>
      </c>
      <c r="AL97" s="8">
        <f>'BIO DATA'!BD95</f>
        <v>0</v>
      </c>
      <c r="AM97" s="8">
        <f>'BIO DATA'!BE95</f>
        <v>0</v>
      </c>
      <c r="AN97" s="8">
        <f>'BIO DATA'!BF95</f>
        <v>0</v>
      </c>
      <c r="AO97" s="8">
        <f>'BIO DATA'!BG95</f>
        <v>0</v>
      </c>
      <c r="AP97" s="54" t="s">
        <v>195</v>
      </c>
    </row>
    <row r="98" spans="1:42" s="54" customFormat="1" ht="20.100000000000001" customHeight="1" thickBot="1">
      <c r="A98" s="15" t="s">
        <v>77</v>
      </c>
      <c r="B98">
        <v>112</v>
      </c>
      <c r="C98" s="90">
        <f>'BIO DATA'!D96</f>
        <v>11268</v>
      </c>
      <c r="D98" s="90" t="str">
        <f>'BIO DATA'!E96</f>
        <v>0104685099</v>
      </c>
      <c r="E98" s="89" t="str">
        <f>'BIO DATA'!F96</f>
        <v>Auditya Ahmad Madani</v>
      </c>
      <c r="F98" s="49" t="str">
        <f>'BIO DATA'!M96</f>
        <v>Laki-laki</v>
      </c>
      <c r="G98" s="8" t="str">
        <f>'BIO DATA'!N96</f>
        <v>Surabaya</v>
      </c>
      <c r="H98" s="51">
        <f>'BIO DATA'!P96</f>
        <v>40257</v>
      </c>
      <c r="I98" s="49" t="str">
        <f>'BIO DATA'!S96</f>
        <v>Islam</v>
      </c>
      <c r="J98" s="50">
        <f>'BIO DATA'!J96:J258</f>
        <v>2</v>
      </c>
      <c r="K98" s="50">
        <f>'BIO DATA'!K96:K299</f>
        <v>2</v>
      </c>
      <c r="L98" s="8" t="str">
        <f>'BIO DATA'!T96:T258</f>
        <v>Dusun Krajan RT01/RW01 Desa Campurejo Kec. Boja Kab. Kendal, Jawa Tengah, 51381</v>
      </c>
      <c r="M98" s="8" t="str">
        <f>'BIO DATA'!V96:V299</f>
        <v>Campurejo</v>
      </c>
      <c r="N98" s="8" t="str">
        <f>'BIO DATA'!W96:W299</f>
        <v>Boja</v>
      </c>
      <c r="O98" s="8" t="str">
        <f>'BIO DATA'!X96:X299</f>
        <v>Kendal</v>
      </c>
      <c r="P98" s="8" t="str">
        <f>'BIO DATA'!Y96:Y299</f>
        <v>Jawa Tengah</v>
      </c>
      <c r="Q98" s="8" t="str">
        <f>'BIO DATA'!Z96:Z299</f>
        <v>MTs. Mu'allimin Muh. Yogyakarta</v>
      </c>
      <c r="R98" s="8" t="str">
        <f>'BIO DATA'!AA96:AA299</f>
        <v>Jl. Pramuka Jl. Kauman No.105, Kauman, Boja, Kec. Boja, Kabupaten Kendal, Jawa Tengah 51381</v>
      </c>
      <c r="S98" s="8">
        <f>'BIO DATA'!AB96:AB299</f>
        <v>0</v>
      </c>
      <c r="T98" s="8" t="str">
        <f>'BIO DATA'!AC96:AC299</f>
        <v>Ismu Wahyudi</v>
      </c>
      <c r="U98" s="8" t="str">
        <f>'BIO DATA'!AD96</f>
        <v>Islam</v>
      </c>
      <c r="V98" s="8" t="str">
        <f>'BIO DATA'!AL96:AL299</f>
        <v>Diploma</v>
      </c>
      <c r="W98" s="8" t="str">
        <f>'BIO DATA'!AM96:AM299</f>
        <v>Ibu Rumah Tangga</v>
      </c>
      <c r="X98" s="8" t="str">
        <f>'BIO DATA'!AG96:AG299</f>
        <v>&gt; Rp 2.500.000,00</v>
      </c>
      <c r="Y98" s="69" t="s">
        <v>217</v>
      </c>
      <c r="Z98" s="8">
        <f>'BIO DATA'!AI96:AI299</f>
        <v>0</v>
      </c>
      <c r="AA98" s="8" t="str">
        <f>'BIO DATA'!AJ96:AJ299</f>
        <v>Catur Widiastuti</v>
      </c>
      <c r="AB98" s="8" t="str">
        <f>'BIO DATA'!AK96</f>
        <v>Islam</v>
      </c>
      <c r="AC98" s="8" t="str">
        <f>'BIO DATA'!AL96:AL299</f>
        <v>Diploma</v>
      </c>
      <c r="AD98" s="8" t="str">
        <f>'BIO DATA'!AM96:AM299</f>
        <v>Ibu Rumah Tangga</v>
      </c>
      <c r="AE98" s="8">
        <f>'BIO DATA'!AN96:AN299</f>
        <v>0</v>
      </c>
      <c r="AF98" s="52"/>
      <c r="AG98" s="8">
        <f>'BIO DATA'!AP96</f>
        <v>0</v>
      </c>
      <c r="AH98" s="8">
        <f>'BIO DATA'!AZ96</f>
        <v>0</v>
      </c>
      <c r="AI98" s="8" t="str">
        <f>'BIO DATA'!BA96</f>
        <v>Islam</v>
      </c>
      <c r="AJ98" s="8">
        <f>'BIO DATA'!BB96</f>
        <v>0</v>
      </c>
      <c r="AK98" s="8">
        <f>'BIO DATA'!BC96</f>
        <v>0</v>
      </c>
      <c r="AL98" s="8">
        <f>'BIO DATA'!BD96</f>
        <v>0</v>
      </c>
      <c r="AM98" s="8">
        <f>'BIO DATA'!BE96</f>
        <v>0</v>
      </c>
      <c r="AN98" s="8">
        <f>'BIO DATA'!BF96</f>
        <v>0</v>
      </c>
      <c r="AO98" s="8">
        <f>'BIO DATA'!BG96</f>
        <v>0</v>
      </c>
      <c r="AP98" s="54" t="s">
        <v>195</v>
      </c>
    </row>
    <row r="99" spans="1:42" s="54" customFormat="1" ht="20.100000000000001" customHeight="1" thickBot="1">
      <c r="A99" s="15" t="s">
        <v>77</v>
      </c>
      <c r="B99">
        <v>152</v>
      </c>
      <c r="C99" s="90">
        <f>'BIO DATA'!D97</f>
        <v>11287</v>
      </c>
      <c r="D99" s="90" t="str">
        <f>'BIO DATA'!E97</f>
        <v>0105446619</v>
      </c>
      <c r="E99" s="89" t="str">
        <f>'BIO DATA'!F97</f>
        <v>Daffa Rasendriya Firdaus</v>
      </c>
      <c r="F99" s="49" t="str">
        <f>'BIO DATA'!M97</f>
        <v>Laki-laki</v>
      </c>
      <c r="G99" s="8" t="str">
        <f>'BIO DATA'!N97</f>
        <v>Pekanbaru</v>
      </c>
      <c r="H99" s="51">
        <f>'BIO DATA'!P97</f>
        <v>40277</v>
      </c>
      <c r="I99" s="49" t="str">
        <f>'BIO DATA'!S97</f>
        <v>Islam</v>
      </c>
      <c r="J99" s="50">
        <f>'BIO DATA'!J97:J259</f>
        <v>1</v>
      </c>
      <c r="K99" s="50">
        <f>'BIO DATA'!K97:K300</f>
        <v>2</v>
      </c>
      <c r="L99" s="8" t="str">
        <f>'BIO DATA'!T97:T259</f>
        <v>Jl. Masjid Besar 905-C RT.45/10 Dalem Purbayan Kotagede Yogyakarta 55173</v>
      </c>
      <c r="M99" s="8" t="str">
        <f>'BIO DATA'!V97:V300</f>
        <v>Purbayan</v>
      </c>
      <c r="N99" s="8" t="str">
        <f>'BIO DATA'!W97:W300</f>
        <v>Kotagede</v>
      </c>
      <c r="O99" s="8" t="str">
        <f>'BIO DATA'!X97:X300</f>
        <v>Kota Yogyakarta</v>
      </c>
      <c r="P99" s="8" t="str">
        <f>'BIO DATA'!Y97:Y300</f>
        <v>DI Yogyakarta</v>
      </c>
      <c r="Q99" s="8" t="str">
        <f>'BIO DATA'!Z97:Z300</f>
        <v>MTs. Mu'allimin Muh. Yogyakarta</v>
      </c>
      <c r="R99" s="8" t="str">
        <f>'BIO DATA'!AA97:AA300</f>
        <v>Jl. Mondorakan, Bodon, Jagalan, Kec. Banguntapan, Kabupaten Bantul, Daerah Istimewa Yogyakarta 55192</v>
      </c>
      <c r="S99" s="8">
        <f>'BIO DATA'!AB97:AB300</f>
        <v>0</v>
      </c>
      <c r="T99" s="8" t="str">
        <f>'BIO DATA'!AC97:AC300</f>
        <v>Rasikh Robbani Sigit</v>
      </c>
      <c r="U99" s="8" t="str">
        <f>'BIO DATA'!AD97</f>
        <v>Islam</v>
      </c>
      <c r="V99" s="8" t="str">
        <f>'BIO DATA'!AL97:AL300</f>
        <v>Diploma</v>
      </c>
      <c r="W99" s="8" t="str">
        <f>'BIO DATA'!AM97:AM300</f>
        <v>Ibu Rumah Tangga</v>
      </c>
      <c r="X99" s="8" t="str">
        <f>'BIO DATA'!AG97:AG300</f>
        <v>&gt; Rp 2.500.000,00</v>
      </c>
      <c r="Y99" s="69" t="s">
        <v>217</v>
      </c>
      <c r="Z99" s="8">
        <f>'BIO DATA'!AI97:AI300</f>
        <v>0</v>
      </c>
      <c r="AA99" s="8" t="str">
        <f>'BIO DATA'!AJ97:AJ300</f>
        <v>Sukidah</v>
      </c>
      <c r="AB99" s="8" t="str">
        <f>'BIO DATA'!AK97</f>
        <v>Islam</v>
      </c>
      <c r="AC99" s="8" t="str">
        <f>'BIO DATA'!AL97:AL300</f>
        <v>Diploma</v>
      </c>
      <c r="AD99" s="8" t="str">
        <f>'BIO DATA'!AM97:AM300</f>
        <v>Ibu Rumah Tangga</v>
      </c>
      <c r="AE99" s="8">
        <f>'BIO DATA'!AN97:AN300</f>
        <v>0</v>
      </c>
      <c r="AF99" s="52"/>
      <c r="AG99" s="8">
        <f>'BIO DATA'!AP97</f>
        <v>0</v>
      </c>
      <c r="AH99" s="8">
        <f>'BIO DATA'!AZ97</f>
        <v>0</v>
      </c>
      <c r="AI99" s="8" t="str">
        <f>'BIO DATA'!BA97</f>
        <v>Islam</v>
      </c>
      <c r="AJ99" s="8">
        <f>'BIO DATA'!BB97</f>
        <v>0</v>
      </c>
      <c r="AK99" s="8">
        <f>'BIO DATA'!BC97</f>
        <v>0</v>
      </c>
      <c r="AL99" s="8">
        <f>'BIO DATA'!BD97</f>
        <v>0</v>
      </c>
      <c r="AM99" s="8">
        <f>'BIO DATA'!BE97</f>
        <v>0</v>
      </c>
      <c r="AN99" s="8">
        <f>'BIO DATA'!BF97</f>
        <v>0</v>
      </c>
      <c r="AO99" s="8">
        <f>'BIO DATA'!BG97</f>
        <v>0</v>
      </c>
      <c r="AP99" s="54" t="s">
        <v>195</v>
      </c>
    </row>
    <row r="100" spans="1:42" s="54" customFormat="1" ht="20.100000000000001" customHeight="1" thickBot="1">
      <c r="A100" s="15" t="s">
        <v>77</v>
      </c>
      <c r="B100">
        <v>172</v>
      </c>
      <c r="C100" s="90">
        <f>'BIO DATA'!D98</f>
        <v>11303</v>
      </c>
      <c r="D100" s="90" t="str">
        <f>'BIO DATA'!E98</f>
        <v>0105132312</v>
      </c>
      <c r="E100" s="89" t="str">
        <f>'BIO DATA'!F98</f>
        <v>Evan Febrian Wahyuriski</v>
      </c>
      <c r="F100" s="49" t="str">
        <f>'BIO DATA'!M98</f>
        <v>Laki-laki</v>
      </c>
      <c r="G100" s="8" t="str">
        <f>'BIO DATA'!N98</f>
        <v>Kendal</v>
      </c>
      <c r="H100" s="51">
        <f>'BIO DATA'!P98</f>
        <v>40210</v>
      </c>
      <c r="I100" s="49" t="str">
        <f>'BIO DATA'!S98</f>
        <v>Islam</v>
      </c>
      <c r="J100" s="50">
        <f>'BIO DATA'!J98:J260</f>
        <v>1</v>
      </c>
      <c r="K100" s="50">
        <f>'BIO DATA'!K98:K301</f>
        <v>1</v>
      </c>
      <c r="L100" s="8" t="str">
        <f>'BIO DATA'!T98:T260</f>
        <v>Jalan Yos Sudarso No. 90 RT 03 RW 03 Desa Wero Kec. Gombong Kab. Kebumen Jawa Tengah 54416</v>
      </c>
      <c r="M100" s="8" t="str">
        <f>'BIO DATA'!V98:V301</f>
        <v>Wero</v>
      </c>
      <c r="N100" s="8" t="str">
        <f>'BIO DATA'!W98:W301</f>
        <v>Gombong</v>
      </c>
      <c r="O100" s="8" t="str">
        <f>'BIO DATA'!X98:X301</f>
        <v>Kebumen</v>
      </c>
      <c r="P100" s="8" t="str">
        <f>'BIO DATA'!Y98:Y301</f>
        <v>Jawa Tengah</v>
      </c>
      <c r="Q100" s="8" t="str">
        <f>'BIO DATA'!Z98:Z301</f>
        <v>MTs. Mu'allimin Muh. Yogyakarta</v>
      </c>
      <c r="R100" s="8" t="str">
        <f>'BIO DATA'!AA98:AA301</f>
        <v>Klapasawit, Wero, Kec. Gombong, Kabupaten Kebumen, Jawa Tengah 54416</v>
      </c>
      <c r="S100" s="8">
        <f>'BIO DATA'!AB98:AB301</f>
        <v>0</v>
      </c>
      <c r="T100" s="8" t="str">
        <f>'BIO DATA'!AC98:AC301</f>
        <v>Samhudi, SE</v>
      </c>
      <c r="U100" s="8" t="str">
        <f>'BIO DATA'!AD98</f>
        <v>Islam</v>
      </c>
      <c r="V100" s="8" t="str">
        <f>'BIO DATA'!AL98:AL301</f>
        <v>S1</v>
      </c>
      <c r="W100" s="8" t="str">
        <f>'BIO DATA'!AM98:AM301</f>
        <v>Ibu Rumah Tangga</v>
      </c>
      <c r="X100" s="8" t="str">
        <f>'BIO DATA'!AG98:AG301</f>
        <v>&gt; Rp 2.500.000,00</v>
      </c>
      <c r="Y100" s="69" t="s">
        <v>217</v>
      </c>
      <c r="Z100" s="8">
        <f>'BIO DATA'!AI98:AI301</f>
        <v>0</v>
      </c>
      <c r="AA100" s="8" t="str">
        <f>'BIO DATA'!AJ98:AJ301</f>
        <v>Anita Kurnianti, SE</v>
      </c>
      <c r="AB100" s="8" t="str">
        <f>'BIO DATA'!AK98</f>
        <v>Islam</v>
      </c>
      <c r="AC100" s="8" t="str">
        <f>'BIO DATA'!AL98:AL301</f>
        <v>S1</v>
      </c>
      <c r="AD100" s="8" t="str">
        <f>'BIO DATA'!AM98:AM301</f>
        <v>Ibu Rumah Tangga</v>
      </c>
      <c r="AE100" s="8">
        <f>'BIO DATA'!AN98:AN301</f>
        <v>0</v>
      </c>
      <c r="AF100" s="52"/>
      <c r="AG100" s="8">
        <f>'BIO DATA'!AP98</f>
        <v>0</v>
      </c>
      <c r="AH100" s="8">
        <f>'BIO DATA'!AZ98</f>
        <v>0</v>
      </c>
      <c r="AI100" s="8" t="str">
        <f>'BIO DATA'!BA98</f>
        <v>Islam</v>
      </c>
      <c r="AJ100" s="8">
        <f>'BIO DATA'!BB98</f>
        <v>0</v>
      </c>
      <c r="AK100" s="8">
        <f>'BIO DATA'!BC98</f>
        <v>0</v>
      </c>
      <c r="AL100" s="8">
        <f>'BIO DATA'!BD98</f>
        <v>0</v>
      </c>
      <c r="AM100" s="8">
        <f>'BIO DATA'!BE98</f>
        <v>0</v>
      </c>
      <c r="AN100" s="8">
        <f>'BIO DATA'!BF98</f>
        <v>0</v>
      </c>
      <c r="AO100" s="8">
        <f>'BIO DATA'!BG98</f>
        <v>0</v>
      </c>
      <c r="AP100" s="54" t="s">
        <v>195</v>
      </c>
    </row>
    <row r="101" spans="1:42" s="54" customFormat="1" ht="20.100000000000001" customHeight="1" thickBot="1">
      <c r="A101" s="15" t="s">
        <v>77</v>
      </c>
      <c r="B101">
        <v>175</v>
      </c>
      <c r="C101" s="90">
        <f>'BIO DATA'!D99</f>
        <v>11307</v>
      </c>
      <c r="D101" s="90" t="str">
        <f>'BIO DATA'!E99</f>
        <v>0097650066</v>
      </c>
      <c r="E101" s="89" t="str">
        <f>'BIO DATA'!F99</f>
        <v>Fadhil Muhammad Taqiyulloh</v>
      </c>
      <c r="F101" s="49" t="str">
        <f>'BIO DATA'!M99</f>
        <v>Laki-laki</v>
      </c>
      <c r="G101" s="8" t="str">
        <f>'BIO DATA'!N99</f>
        <v>Yogyakarta</v>
      </c>
      <c r="H101" s="51">
        <f>'BIO DATA'!P99</f>
        <v>39883</v>
      </c>
      <c r="I101" s="49" t="str">
        <f>'BIO DATA'!S99</f>
        <v>Islam</v>
      </c>
      <c r="J101" s="50">
        <f>'BIO DATA'!J99:J261</f>
        <v>1</v>
      </c>
      <c r="K101" s="50">
        <f>'BIO DATA'!K99:K302</f>
        <v>2</v>
      </c>
      <c r="L101" s="8" t="str">
        <f>'BIO DATA'!T99:T261</f>
        <v>Jln. Thamrin-Gg H.Rain No.63, RT03/05, Ketapang, Cipondoh, Kota Tangerang Banten 15148</v>
      </c>
      <c r="M101" s="8" t="str">
        <f>'BIO DATA'!V99:V302</f>
        <v>Ketapang</v>
      </c>
      <c r="N101" s="8" t="str">
        <f>'BIO DATA'!W99:W302</f>
        <v>Cipondoh</v>
      </c>
      <c r="O101" s="8" t="str">
        <f>'BIO DATA'!X99:X302</f>
        <v>Kota Tangerang</v>
      </c>
      <c r="P101" s="8" t="str">
        <f>'BIO DATA'!Y99:Y302</f>
        <v>Banten</v>
      </c>
      <c r="Q101" s="8" t="str">
        <f>'BIO DATA'!Z99:Z302</f>
        <v>MTs. Mu'allimin Muh. Yogyakarta</v>
      </c>
      <c r="R101" s="8" t="str">
        <f>'BIO DATA'!AA99:AA302</f>
        <v>Jl. Gaga Mangga Dua Rt 06/Rw 09 No.89, 11850, RT.6/RW.9, Semanan, Kec. Kalideres, Kota Jakarta Barat, Daerah Khusus Ibukota Jakarta 11850</v>
      </c>
      <c r="S101" s="8">
        <f>'BIO DATA'!AB99:AB302</f>
        <v>0</v>
      </c>
      <c r="T101" s="8" t="str">
        <f>'BIO DATA'!AC99:AC302</f>
        <v>Mubaher Sidiq</v>
      </c>
      <c r="U101" s="8" t="str">
        <f>'BIO DATA'!AD99</f>
        <v>Islam</v>
      </c>
      <c r="V101" s="8" t="str">
        <f>'BIO DATA'!AL99:AL302</f>
        <v>Diploma</v>
      </c>
      <c r="W101" s="8" t="str">
        <f>'BIO DATA'!AM99:AM302</f>
        <v>PNS</v>
      </c>
      <c r="X101" s="8" t="str">
        <f>'BIO DATA'!AG99:AG302</f>
        <v>&gt; Rp 2.500.000,00</v>
      </c>
      <c r="Y101" s="69" t="s">
        <v>217</v>
      </c>
      <c r="Z101" s="8">
        <f>'BIO DATA'!AI99:AI302</f>
        <v>0</v>
      </c>
      <c r="AA101" s="8" t="str">
        <f>'BIO DATA'!AJ99:AJ302</f>
        <v>Susy'ana Iriani</v>
      </c>
      <c r="AB101" s="8" t="str">
        <f>'BIO DATA'!AK99</f>
        <v>Islam</v>
      </c>
      <c r="AC101" s="8" t="str">
        <f>'BIO DATA'!AL99:AL302</f>
        <v>Diploma</v>
      </c>
      <c r="AD101" s="8" t="str">
        <f>'BIO DATA'!AM99:AM302</f>
        <v>PNS</v>
      </c>
      <c r="AE101" s="8">
        <f>'BIO DATA'!AN99:AN302</f>
        <v>0</v>
      </c>
      <c r="AF101" s="52"/>
      <c r="AG101" s="8">
        <f>'BIO DATA'!AP99</f>
        <v>0</v>
      </c>
      <c r="AH101" s="8">
        <f>'BIO DATA'!AZ99</f>
        <v>0</v>
      </c>
      <c r="AI101" s="8" t="str">
        <f>'BIO DATA'!BA99</f>
        <v>Islam</v>
      </c>
      <c r="AJ101" s="8">
        <f>'BIO DATA'!BB99</f>
        <v>0</v>
      </c>
      <c r="AK101" s="8">
        <f>'BIO DATA'!BC99</f>
        <v>0</v>
      </c>
      <c r="AL101" s="8">
        <f>'BIO DATA'!BD99</f>
        <v>0</v>
      </c>
      <c r="AM101" s="8">
        <f>'BIO DATA'!BE99</f>
        <v>0</v>
      </c>
      <c r="AN101" s="8">
        <f>'BIO DATA'!BF99</f>
        <v>0</v>
      </c>
      <c r="AO101" s="8">
        <f>'BIO DATA'!BG99</f>
        <v>0</v>
      </c>
      <c r="AP101" s="54" t="s">
        <v>195</v>
      </c>
    </row>
    <row r="102" spans="1:42" s="54" customFormat="1" ht="20.100000000000001" customHeight="1" thickBot="1">
      <c r="A102" s="15" t="s">
        <v>77</v>
      </c>
      <c r="B102">
        <v>186</v>
      </c>
      <c r="C102" s="90">
        <f>'BIO DATA'!D100</f>
        <v>11323</v>
      </c>
      <c r="D102" s="90" t="str">
        <f>'BIO DATA'!E100</f>
        <v>0094342740</v>
      </c>
      <c r="E102" s="89" t="str">
        <f>'BIO DATA'!F100</f>
        <v>Fakhri Raditya Affandi</v>
      </c>
      <c r="F102" s="49" t="str">
        <f>'BIO DATA'!M100</f>
        <v>Laki-laki</v>
      </c>
      <c r="G102" s="8" t="str">
        <f>'BIO DATA'!N100</f>
        <v>Kebumen</v>
      </c>
      <c r="H102" s="51">
        <f>'BIO DATA'!P100</f>
        <v>39886</v>
      </c>
      <c r="I102" s="49" t="str">
        <f>'BIO DATA'!S100</f>
        <v>Islam</v>
      </c>
      <c r="J102" s="50">
        <f>'BIO DATA'!J100:J262</f>
        <v>1</v>
      </c>
      <c r="K102" s="50">
        <f>'BIO DATA'!K100:K303</f>
        <v>1</v>
      </c>
      <c r="L102" s="8" t="str">
        <f>'BIO DATA'!T100:T262</f>
        <v>Hatiwe Kecil Depan Kantor Agraria Lorong 5 Nomor 2 Kec. Sirimau Kota Ambon 97128</v>
      </c>
      <c r="M102" s="8" t="str">
        <f>'BIO DATA'!V100:V303</f>
        <v>Hatiwe Kecil</v>
      </c>
      <c r="N102" s="8" t="str">
        <f>'BIO DATA'!W100:W303</f>
        <v>Sirimau</v>
      </c>
      <c r="O102" s="8" t="str">
        <f>'BIO DATA'!X100:X303</f>
        <v>Kota Ambon</v>
      </c>
      <c r="P102" s="8" t="str">
        <f>'BIO DATA'!Y100:Y303</f>
        <v>Maluku</v>
      </c>
      <c r="Q102" s="8" t="str">
        <f>'BIO DATA'!Z100:Z303</f>
        <v>MTs. Mu'allimin Muh. Yogyakarta</v>
      </c>
      <c r="R102" s="8" t="str">
        <f>'BIO DATA'!AA100:AA303</f>
        <v>Jl. Gn. Malintang, Hative Kecil, Kec. Sirimau, Kota Ambon, Maluku</v>
      </c>
      <c r="S102" s="8">
        <f>'BIO DATA'!AB100:AB303</f>
        <v>0</v>
      </c>
      <c r="T102" s="8" t="str">
        <f>'BIO DATA'!AC100:AC303</f>
        <v>Rizal Ardiansyah samal</v>
      </c>
      <c r="U102" s="8" t="str">
        <f>'BIO DATA'!AD100</f>
        <v>Islam</v>
      </c>
      <c r="V102" s="8" t="str">
        <f>'BIO DATA'!AL100:AL303</f>
        <v>Diploma</v>
      </c>
      <c r="W102" s="8" t="str">
        <f>'BIO DATA'!AM100:AM303</f>
        <v>PNS</v>
      </c>
      <c r="X102" s="8" t="str">
        <f>'BIO DATA'!AG100:AG303</f>
        <v>&gt; Rp 2.500.000,00</v>
      </c>
      <c r="Y102" s="69" t="s">
        <v>217</v>
      </c>
      <c r="Z102" s="8">
        <f>'BIO DATA'!AI100:AI303</f>
        <v>0</v>
      </c>
      <c r="AA102" s="8" t="str">
        <f>'BIO DATA'!AJ100:AJ303</f>
        <v>Haryati Mundjid</v>
      </c>
      <c r="AB102" s="8" t="str">
        <f>'BIO DATA'!AK100</f>
        <v>Islam</v>
      </c>
      <c r="AC102" s="8" t="str">
        <f>'BIO DATA'!AL100:AL303</f>
        <v>Diploma</v>
      </c>
      <c r="AD102" s="8" t="str">
        <f>'BIO DATA'!AM100:AM303</f>
        <v>PNS</v>
      </c>
      <c r="AE102" s="8">
        <f>'BIO DATA'!AN100:AN303</f>
        <v>0</v>
      </c>
      <c r="AF102" s="52"/>
      <c r="AG102" s="8">
        <f>'BIO DATA'!AP100</f>
        <v>0</v>
      </c>
      <c r="AH102" s="8">
        <f>'BIO DATA'!AZ100</f>
        <v>0</v>
      </c>
      <c r="AI102" s="8" t="str">
        <f>'BIO DATA'!BA100</f>
        <v>Islam</v>
      </c>
      <c r="AJ102" s="8">
        <f>'BIO DATA'!BB100</f>
        <v>0</v>
      </c>
      <c r="AK102" s="8">
        <f>'BIO DATA'!BC100</f>
        <v>0</v>
      </c>
      <c r="AL102" s="8">
        <f>'BIO DATA'!BD100</f>
        <v>0</v>
      </c>
      <c r="AM102" s="8">
        <f>'BIO DATA'!BE100</f>
        <v>0</v>
      </c>
      <c r="AN102" s="8">
        <f>'BIO DATA'!BF100</f>
        <v>0</v>
      </c>
      <c r="AO102" s="8">
        <f>'BIO DATA'!BG100</f>
        <v>0</v>
      </c>
      <c r="AP102" s="54" t="s">
        <v>195</v>
      </c>
    </row>
    <row r="103" spans="1:42" s="54" customFormat="1" ht="20.100000000000001" customHeight="1" thickBot="1">
      <c r="A103" s="15" t="s">
        <v>77</v>
      </c>
      <c r="B103">
        <v>209</v>
      </c>
      <c r="C103" s="90">
        <f>'BIO DATA'!D101</f>
        <v>11331</v>
      </c>
      <c r="D103" s="90" t="str">
        <f>'BIO DATA'!E101</f>
        <v>0096595719</v>
      </c>
      <c r="E103" s="89" t="str">
        <f>'BIO DATA'!F101</f>
        <v>Fathan Abqo Sidiq</v>
      </c>
      <c r="F103" s="49" t="str">
        <f>'BIO DATA'!M101</f>
        <v>Laki-laki</v>
      </c>
      <c r="G103" s="8" t="str">
        <f>'BIO DATA'!N101</f>
        <v>Semarang</v>
      </c>
      <c r="H103" s="51">
        <f>'BIO DATA'!P101</f>
        <v>40090</v>
      </c>
      <c r="I103" s="49" t="str">
        <f>'BIO DATA'!S101</f>
        <v>Islam</v>
      </c>
      <c r="J103" s="50">
        <f>'BIO DATA'!J101:J263</f>
        <v>1</v>
      </c>
      <c r="K103" s="50">
        <f>'BIO DATA'!K101:K304</f>
        <v>0</v>
      </c>
      <c r="L103" s="8" t="str">
        <f>'BIO DATA'!T101:T263</f>
        <v>Jl. Pisang No. 39 RT 04/12 Susiloharjo Siswodipuran Boyolali Jawa Tengah 57311</v>
      </c>
      <c r="M103" s="8" t="str">
        <f>'BIO DATA'!V101:V304</f>
        <v>Susiloharjo</v>
      </c>
      <c r="N103" s="8" t="str">
        <f>'BIO DATA'!W101:W304</f>
        <v>Siswodipuran</v>
      </c>
      <c r="O103" s="8" t="str">
        <f>'BIO DATA'!X101:X304</f>
        <v>Boyolali</v>
      </c>
      <c r="P103" s="8" t="str">
        <f>'BIO DATA'!Y101:Y304</f>
        <v>Jawa Tengah</v>
      </c>
      <c r="Q103" s="8" t="str">
        <f>'BIO DATA'!Z101:Z304</f>
        <v>MTs. Mu'allimin Muh. Yogyakarta</v>
      </c>
      <c r="R103" s="8" t="str">
        <f>'BIO DATA'!AA101:AA304</f>
        <v>Jl. Pisang No.8, Gatak, Siswodipuran, Kec. Boyolali, Kabupaten Boyolali, Jawa Tengah 57311</v>
      </c>
      <c r="S103" s="8">
        <f>'BIO DATA'!AB101:AB304</f>
        <v>0</v>
      </c>
      <c r="T103" s="8">
        <f>'BIO DATA'!AC101:AC304</f>
        <v>0</v>
      </c>
      <c r="U103" s="8" t="str">
        <f>'BIO DATA'!AD101</f>
        <v>Islam</v>
      </c>
      <c r="V103" s="8" t="str">
        <f>'BIO DATA'!AL101:AL304</f>
        <v>S1</v>
      </c>
      <c r="W103" s="8" t="str">
        <f>'BIO DATA'!AM101:AM304</f>
        <v>Wiraswasta</v>
      </c>
      <c r="X103" s="8">
        <f>'BIO DATA'!AG101:AG304</f>
        <v>0</v>
      </c>
      <c r="Y103" s="69" t="s">
        <v>217</v>
      </c>
      <c r="Z103" s="8">
        <f>'BIO DATA'!AI101:AI304</f>
        <v>0</v>
      </c>
      <c r="AA103" s="8" t="str">
        <f>'BIO DATA'!AJ101:AJ304</f>
        <v>Ruly Astuti Hestiningrum</v>
      </c>
      <c r="AB103" s="8" t="str">
        <f>'BIO DATA'!AK101</f>
        <v>Islam</v>
      </c>
      <c r="AC103" s="8" t="str">
        <f>'BIO DATA'!AL101:AL304</f>
        <v>S1</v>
      </c>
      <c r="AD103" s="8" t="str">
        <f>'BIO DATA'!AM101:AM304</f>
        <v>Wiraswasta</v>
      </c>
      <c r="AE103" s="8" t="str">
        <f>'BIO DATA'!AN101:AN304</f>
        <v>&gt; Rp 2.500.000,00</v>
      </c>
      <c r="AF103" s="52"/>
      <c r="AG103" s="8">
        <f>'BIO DATA'!AP101</f>
        <v>0</v>
      </c>
      <c r="AH103" s="8">
        <f>'BIO DATA'!AZ101</f>
        <v>0</v>
      </c>
      <c r="AI103" s="8" t="str">
        <f>'BIO DATA'!BA101</f>
        <v>Islam</v>
      </c>
      <c r="AJ103" s="8">
        <f>'BIO DATA'!BB101</f>
        <v>0</v>
      </c>
      <c r="AK103" s="8">
        <f>'BIO DATA'!BC101</f>
        <v>0</v>
      </c>
      <c r="AL103" s="8">
        <f>'BIO DATA'!BD101</f>
        <v>0</v>
      </c>
      <c r="AM103" s="8">
        <f>'BIO DATA'!BE101</f>
        <v>0</v>
      </c>
      <c r="AN103" s="8">
        <f>'BIO DATA'!BF101</f>
        <v>0</v>
      </c>
      <c r="AO103" s="8">
        <f>'BIO DATA'!BG101</f>
        <v>0</v>
      </c>
      <c r="AP103" s="54" t="s">
        <v>195</v>
      </c>
    </row>
    <row r="104" spans="1:42" s="54" customFormat="1" ht="20.100000000000001" customHeight="1" thickBot="1">
      <c r="A104" s="15" t="s">
        <v>77</v>
      </c>
      <c r="B104">
        <v>212</v>
      </c>
      <c r="C104" s="90">
        <f>'BIO DATA'!D102</f>
        <v>11326</v>
      </c>
      <c r="D104" s="90" t="str">
        <f>'BIO DATA'!E102</f>
        <v>0098125156</v>
      </c>
      <c r="E104" s="89" t="str">
        <f>'BIO DATA'!F102</f>
        <v>Fathullah Qamarul Adzami Samal</v>
      </c>
      <c r="F104" s="49" t="str">
        <f>'BIO DATA'!M102</f>
        <v>Laki-laki</v>
      </c>
      <c r="G104" s="8" t="str">
        <f>'BIO DATA'!N102</f>
        <v>Ambon</v>
      </c>
      <c r="H104" s="51">
        <f>'BIO DATA'!P102</f>
        <v>39942</v>
      </c>
      <c r="I104" s="49" t="str">
        <f>'BIO DATA'!S102</f>
        <v>Islam</v>
      </c>
      <c r="J104" s="50">
        <f>'BIO DATA'!J102:J264</f>
        <v>1</v>
      </c>
      <c r="K104" s="50">
        <f>'BIO DATA'!K102:K305</f>
        <v>0</v>
      </c>
      <c r="L104" s="8" t="str">
        <f>'BIO DATA'!T102:T264</f>
        <v>Jl. Kauman RT 002 RW 011 Jenang, Majenang - Cilacap, Jawa Tengah, 53257</v>
      </c>
      <c r="M104" s="8" t="str">
        <f>'BIO DATA'!V102:V305</f>
        <v>Jenang</v>
      </c>
      <c r="N104" s="8" t="str">
        <f>'BIO DATA'!W102:W305</f>
        <v>Majenang</v>
      </c>
      <c r="O104" s="8" t="str">
        <f>'BIO DATA'!X102:X305</f>
        <v>Cilacap</v>
      </c>
      <c r="P104" s="8" t="str">
        <f>'BIO DATA'!Y102:Y305</f>
        <v>Jawa Tengah</v>
      </c>
      <c r="Q104" s="8" t="str">
        <f>'BIO DATA'!Z102:Z305</f>
        <v>MTs. Mu'allimin Muh. Yogyakarta</v>
      </c>
      <c r="R104" s="8" t="str">
        <f>'BIO DATA'!AA102:AA305</f>
        <v>Jl. Sirkaya 3/18 Cipancur Jenang Majenang Cilacap Jateng</v>
      </c>
      <c r="S104" s="8">
        <f>'BIO DATA'!AB102:AB305</f>
        <v>0</v>
      </c>
      <c r="T104" s="8" t="str">
        <f>'BIO DATA'!AC102:AC305</f>
        <v>Eko Budi Prasetyo</v>
      </c>
      <c r="U104" s="8" t="str">
        <f>'BIO DATA'!AD102</f>
        <v>Islam</v>
      </c>
      <c r="V104" s="8" t="str">
        <f>'BIO DATA'!AL102:AL305</f>
        <v>SMA</v>
      </c>
      <c r="W104" s="8" t="str">
        <f>'BIO DATA'!AM102:AM305</f>
        <v>Lainnya</v>
      </c>
      <c r="X104" s="8">
        <f>'BIO DATA'!AG102:AG305</f>
        <v>0</v>
      </c>
      <c r="Y104" s="69" t="s">
        <v>217</v>
      </c>
      <c r="Z104" s="8">
        <f>'BIO DATA'!AI102:AI305</f>
        <v>0</v>
      </c>
      <c r="AA104" s="8" t="str">
        <f>'BIO DATA'!AJ102:AJ305</f>
        <v>Indriyati</v>
      </c>
      <c r="AB104" s="8" t="str">
        <f>'BIO DATA'!AK102</f>
        <v>Islam</v>
      </c>
      <c r="AC104" s="8" t="str">
        <f>'BIO DATA'!AL102:AL305</f>
        <v>SMA</v>
      </c>
      <c r="AD104" s="8" t="str">
        <f>'BIO DATA'!AM102:AM305</f>
        <v>Lainnya</v>
      </c>
      <c r="AE104" s="8" t="str">
        <f>'BIO DATA'!AN102:AN305</f>
        <v>&gt; Rp 2.500.000,00</v>
      </c>
      <c r="AF104" s="52"/>
      <c r="AG104" s="8">
        <f>'BIO DATA'!AP102</f>
        <v>0</v>
      </c>
      <c r="AH104" s="8">
        <f>'BIO DATA'!AZ102</f>
        <v>0</v>
      </c>
      <c r="AI104" s="8" t="str">
        <f>'BIO DATA'!BA102</f>
        <v>Islam</v>
      </c>
      <c r="AJ104" s="8">
        <f>'BIO DATA'!BB102</f>
        <v>0</v>
      </c>
      <c r="AK104" s="8">
        <f>'BIO DATA'!BC102</f>
        <v>0</v>
      </c>
      <c r="AL104" s="8">
        <f>'BIO DATA'!BD102</f>
        <v>0</v>
      </c>
      <c r="AM104" s="8">
        <f>'BIO DATA'!BE102</f>
        <v>0</v>
      </c>
      <c r="AN104" s="8">
        <f>'BIO DATA'!BF102</f>
        <v>0</v>
      </c>
      <c r="AO104" s="8">
        <f>'BIO DATA'!BG102</f>
        <v>0</v>
      </c>
      <c r="AP104" s="54" t="s">
        <v>195</v>
      </c>
    </row>
    <row r="105" spans="1:42" s="54" customFormat="1" ht="20.100000000000001" customHeight="1" thickBot="1">
      <c r="A105" s="15" t="s">
        <v>77</v>
      </c>
      <c r="B105">
        <v>219</v>
      </c>
      <c r="C105" s="90">
        <f>'BIO DATA'!D103</f>
        <v>11328</v>
      </c>
      <c r="D105" s="90" t="str">
        <f>'BIO DATA'!E103</f>
        <v>0103219593</v>
      </c>
      <c r="E105" s="89" t="str">
        <f>'BIO DATA'!F103</f>
        <v>Fausta Dharu Reginald</v>
      </c>
      <c r="F105" s="49" t="str">
        <f>'BIO DATA'!M103</f>
        <v>Laki-laki</v>
      </c>
      <c r="G105" s="8" t="str">
        <f>'BIO DATA'!N103</f>
        <v>Brebes</v>
      </c>
      <c r="H105" s="51">
        <f>'BIO DATA'!P103</f>
        <v>40325</v>
      </c>
      <c r="I105" s="49" t="str">
        <f>'BIO DATA'!S103</f>
        <v>Islam</v>
      </c>
      <c r="J105" s="50">
        <f>'BIO DATA'!J103:J265</f>
        <v>1</v>
      </c>
      <c r="K105" s="50">
        <f>'BIO DATA'!K103:K306</f>
        <v>0</v>
      </c>
      <c r="L105" s="8" t="str">
        <f>'BIO DATA'!T103:T265</f>
        <v>Salam Wetan RT 01/RW 02, Desa Purwosari, Kec. Purwodadi, Kab. Purworejo Jawa Tengah 541763</v>
      </c>
      <c r="M105" s="8" t="str">
        <f>'BIO DATA'!V103:V306</f>
        <v>Purwosari</v>
      </c>
      <c r="N105" s="8" t="str">
        <f>'BIO DATA'!W103:W306</f>
        <v>Purwodadi</v>
      </c>
      <c r="O105" s="8" t="str">
        <f>'BIO DATA'!X103:X306</f>
        <v>Purworejo</v>
      </c>
      <c r="P105" s="8" t="str">
        <f>'BIO DATA'!Y103:Y306</f>
        <v>Jawa Tengah</v>
      </c>
      <c r="Q105" s="8" t="str">
        <f>'BIO DATA'!Z103:Z306</f>
        <v>MTs. Mu'allimin Muh. Yogyakarta</v>
      </c>
      <c r="R105" s="8" t="str">
        <f>'BIO DATA'!AA103:AA306</f>
        <v>Jalan Sultan Agung Dusun II, RT.01/RW.02, Dusun II, Purwodadi, Kec. Purwodadi, Kabupaten Purworejo, Jawa Tengah 54173</v>
      </c>
      <c r="S105" s="8">
        <f>'BIO DATA'!AB103:AB306</f>
        <v>0</v>
      </c>
      <c r="T105" s="8" t="str">
        <f>'BIO DATA'!AC103:AC306</f>
        <v>Budi Riyantoko, S.Pd</v>
      </c>
      <c r="U105" s="8" t="str">
        <f>'BIO DATA'!AD103</f>
        <v>Islam</v>
      </c>
      <c r="V105" s="8" t="str">
        <f>'BIO DATA'!AL103:AL306</f>
        <v>SMA</v>
      </c>
      <c r="W105" s="8" t="str">
        <f>'BIO DATA'!AM103:AM306</f>
        <v>Ibu Rumah Tangga</v>
      </c>
      <c r="X105" s="8" t="str">
        <f>'BIO DATA'!AG103:AG306</f>
        <v>Antara Rp    500.000,00 s.d. Rp 1.000,000,00</v>
      </c>
      <c r="Y105" s="69" t="s">
        <v>217</v>
      </c>
      <c r="Z105" s="8">
        <f>'BIO DATA'!AI103:AI306</f>
        <v>0</v>
      </c>
      <c r="AA105" s="8" t="str">
        <f>'BIO DATA'!AJ103:AJ306</f>
        <v>Sri Sukarsih</v>
      </c>
      <c r="AB105" s="8" t="str">
        <f>'BIO DATA'!AK103</f>
        <v>Islam</v>
      </c>
      <c r="AC105" s="8" t="str">
        <f>'BIO DATA'!AL103:AL306</f>
        <v>SMA</v>
      </c>
      <c r="AD105" s="8" t="str">
        <f>'BIO DATA'!AM103:AM306</f>
        <v>Ibu Rumah Tangga</v>
      </c>
      <c r="AE105" s="8">
        <f>'BIO DATA'!AN103:AN306</f>
        <v>0</v>
      </c>
      <c r="AF105" s="52"/>
      <c r="AG105" s="8">
        <f>'BIO DATA'!AP103</f>
        <v>0</v>
      </c>
      <c r="AH105" s="8">
        <f>'BIO DATA'!AZ103</f>
        <v>0</v>
      </c>
      <c r="AI105" s="8" t="str">
        <f>'BIO DATA'!BA103</f>
        <v>Islam</v>
      </c>
      <c r="AJ105" s="8">
        <f>'BIO DATA'!BB103</f>
        <v>0</v>
      </c>
      <c r="AK105" s="8">
        <f>'BIO DATA'!BC103</f>
        <v>0</v>
      </c>
      <c r="AL105" s="8">
        <f>'BIO DATA'!BD103</f>
        <v>0</v>
      </c>
      <c r="AM105" s="8">
        <f>'BIO DATA'!BE103</f>
        <v>0</v>
      </c>
      <c r="AN105" s="8">
        <f>'BIO DATA'!BF103</f>
        <v>0</v>
      </c>
      <c r="AO105" s="8">
        <f>'BIO DATA'!BG103</f>
        <v>0</v>
      </c>
      <c r="AP105" s="54" t="s">
        <v>195</v>
      </c>
    </row>
    <row r="106" spans="1:42" s="54" customFormat="1" ht="20.100000000000001" customHeight="1" thickBot="1">
      <c r="A106" s="15" t="s">
        <v>77</v>
      </c>
      <c r="B106">
        <v>220</v>
      </c>
      <c r="C106" s="90">
        <f>'BIO DATA'!D104</f>
        <v>11339</v>
      </c>
      <c r="D106" s="90" t="str">
        <f>'BIO DATA'!E104</f>
        <v>0097956722</v>
      </c>
      <c r="E106" s="89" t="str">
        <f>'BIO DATA'!F104</f>
        <v>Gunawan Agung Christianto</v>
      </c>
      <c r="F106" s="49" t="str">
        <f>'BIO DATA'!M104</f>
        <v>Laki-laki</v>
      </c>
      <c r="G106" s="8" t="str">
        <f>'BIO DATA'!N104</f>
        <v>Cilacap</v>
      </c>
      <c r="H106" s="51">
        <f>'BIO DATA'!P104</f>
        <v>40163</v>
      </c>
      <c r="I106" s="49" t="str">
        <f>'BIO DATA'!S104</f>
        <v>Islam</v>
      </c>
      <c r="J106" s="50">
        <f>'BIO DATA'!J104:J266</f>
        <v>1</v>
      </c>
      <c r="K106" s="50">
        <f>'BIO DATA'!K104:K307</f>
        <v>2</v>
      </c>
      <c r="L106" s="8" t="str">
        <f>'BIO DATA'!T104:T266</f>
        <v>Dk Kelinggihan Perum GPI Blok E2 No. 1 RT./RW. : 003/001 Desa Banjarejo Kec. Karanganyar Kab. Pekalongan Jawa Tengah 51182</v>
      </c>
      <c r="M106" s="8" t="str">
        <f>'BIO DATA'!V104:V307</f>
        <v>Banjarejo</v>
      </c>
      <c r="N106" s="8" t="str">
        <f>'BIO DATA'!W104:W307</f>
        <v>Karangannyar</v>
      </c>
      <c r="O106" s="8" t="str">
        <f>'BIO DATA'!X104:X307</f>
        <v>Pekalongan</v>
      </c>
      <c r="P106" s="8" t="str">
        <f>'BIO DATA'!Y104:Y307</f>
        <v>Jawa Tengah</v>
      </c>
      <c r="Q106" s="8" t="str">
        <f>'BIO DATA'!Z104:Z307</f>
        <v>MTs. Mu'allimin Muh. Yogyakarta</v>
      </c>
      <c r="R106" s="8" t="str">
        <f>'BIO DATA'!AA104:AA307</f>
        <v>Jl. Daha, RT.02/RW.III, Tanjunganom, Tj. Kulon, Kec. Kajen, Kabupaten Pekalongan, Jawa Tengah 51161</v>
      </c>
      <c r="S106" s="8">
        <f>'BIO DATA'!AB104:AB307</f>
        <v>0</v>
      </c>
      <c r="T106" s="8" t="str">
        <f>'BIO DATA'!AC104:AC307</f>
        <v>Irwan Susanto</v>
      </c>
      <c r="U106" s="8" t="str">
        <f>'BIO DATA'!AD104</f>
        <v>Islam</v>
      </c>
      <c r="V106" s="8" t="str">
        <f>'BIO DATA'!AL104:AL307</f>
        <v>S1</v>
      </c>
      <c r="W106" s="8" t="str">
        <f>'BIO DATA'!AM104:AM307</f>
        <v>PNS</v>
      </c>
      <c r="X106" s="8" t="str">
        <f>'BIO DATA'!AG104:AG307</f>
        <v>&gt; Rp 2.500.000,00</v>
      </c>
      <c r="Y106" s="69" t="s">
        <v>217</v>
      </c>
      <c r="Z106" s="8">
        <f>'BIO DATA'!AI104:AI307</f>
        <v>0</v>
      </c>
      <c r="AA106" s="8" t="str">
        <f>'BIO DATA'!AJ104:AJ307</f>
        <v>Dwi Yuliana</v>
      </c>
      <c r="AB106" s="8" t="str">
        <f>'BIO DATA'!AK104</f>
        <v>Islam</v>
      </c>
      <c r="AC106" s="8" t="str">
        <f>'BIO DATA'!AL104:AL307</f>
        <v>S1</v>
      </c>
      <c r="AD106" s="8" t="str">
        <f>'BIO DATA'!AM104:AM307</f>
        <v>PNS</v>
      </c>
      <c r="AE106" s="8">
        <f>'BIO DATA'!AN104:AN307</f>
        <v>0</v>
      </c>
      <c r="AF106" s="52"/>
      <c r="AG106" s="8">
        <f>'BIO DATA'!AP104</f>
        <v>0</v>
      </c>
      <c r="AH106" s="8">
        <f>'BIO DATA'!AZ104</f>
        <v>0</v>
      </c>
      <c r="AI106" s="8" t="str">
        <f>'BIO DATA'!BA104</f>
        <v>Islam</v>
      </c>
      <c r="AJ106" s="8">
        <f>'BIO DATA'!BB104</f>
        <v>0</v>
      </c>
      <c r="AK106" s="8">
        <f>'BIO DATA'!BC104</f>
        <v>0</v>
      </c>
      <c r="AL106" s="8">
        <f>'BIO DATA'!BD104</f>
        <v>0</v>
      </c>
      <c r="AM106" s="8">
        <f>'BIO DATA'!BE104</f>
        <v>0</v>
      </c>
      <c r="AN106" s="8">
        <f>'BIO DATA'!BF104</f>
        <v>0</v>
      </c>
      <c r="AO106" s="8">
        <f>'BIO DATA'!BG104</f>
        <v>0</v>
      </c>
      <c r="AP106" s="54" t="s">
        <v>195</v>
      </c>
    </row>
    <row r="107" spans="1:42" s="54" customFormat="1" ht="20.100000000000001" customHeight="1" thickBot="1">
      <c r="A107" s="15" t="s">
        <v>77</v>
      </c>
      <c r="B107">
        <v>221</v>
      </c>
      <c r="C107" s="90">
        <f>'BIO DATA'!D105</f>
        <v>11363</v>
      </c>
      <c r="D107" s="90" t="str">
        <f>'BIO DATA'!E105</f>
        <v>0097901144</v>
      </c>
      <c r="E107" s="89" t="str">
        <f>'BIO DATA'!F105</f>
        <v>Ilham Risky Saputra</v>
      </c>
      <c r="F107" s="49" t="str">
        <f>'BIO DATA'!M105</f>
        <v>Laki-laki</v>
      </c>
      <c r="G107" s="8" t="str">
        <f>'BIO DATA'!N105</f>
        <v>Sanggau</v>
      </c>
      <c r="H107" s="51">
        <f>'BIO DATA'!P105</f>
        <v>39966</v>
      </c>
      <c r="I107" s="49" t="str">
        <f>'BIO DATA'!S105</f>
        <v>Islam</v>
      </c>
      <c r="J107" s="50">
        <f>'BIO DATA'!J105:J267</f>
        <v>1</v>
      </c>
      <c r="K107" s="50">
        <f>'BIO DATA'!K105:K308</f>
        <v>3</v>
      </c>
      <c r="L107" s="8" t="str">
        <f>'BIO DATA'!T105:T267</f>
        <v>Simpang Hindoli RT:04 RW:03 Kec. Sungai Lilin Kab. Musi Banyuasin Sumatera Selatan 37055</v>
      </c>
      <c r="M107" s="8" t="str">
        <f>'BIO DATA'!V105:V308</f>
        <v>Simpang Hindoli</v>
      </c>
      <c r="N107" s="8" t="str">
        <f>'BIO DATA'!W105:W308</f>
        <v>Sungai Lilin</v>
      </c>
      <c r="O107" s="8" t="str">
        <f>'BIO DATA'!X105:X308</f>
        <v>Musi banyuasin</v>
      </c>
      <c r="P107" s="8" t="str">
        <f>'BIO DATA'!Y105:Y308</f>
        <v>Sumatera Selatan</v>
      </c>
      <c r="Q107" s="8" t="str">
        <f>'BIO DATA'!Z105:Z308</f>
        <v>MTs. Mu'allimin Muh. Yogyakarta</v>
      </c>
      <c r="R107" s="8" t="str">
        <f>'BIO DATA'!AA105:AA308</f>
        <v>Jl. Lintas Sumatra No.KM. 115, Mekar Jadi, Kec. Sungai Lilin, Kabupaten Musi Banyuasin, Sumatera Selatan 30755</v>
      </c>
      <c r="S107" s="8">
        <f>'BIO DATA'!AB105:AB308</f>
        <v>0</v>
      </c>
      <c r="T107" s="8" t="str">
        <f>'BIO DATA'!AC105:AC308</f>
        <v>M syairozi sobrun jamil</v>
      </c>
      <c r="U107" s="8" t="str">
        <f>'BIO DATA'!AD105</f>
        <v>Islam</v>
      </c>
      <c r="V107" s="8" t="str">
        <f>'BIO DATA'!AL105:AL308</f>
        <v>SMA</v>
      </c>
      <c r="W107" s="8" t="str">
        <f>'BIO DATA'!AM105:AM308</f>
        <v>Ibu Rumah Tangga</v>
      </c>
      <c r="X107" s="8" t="str">
        <f>'BIO DATA'!AG105:AG308</f>
        <v>&gt; Rp 2.500.000,00</v>
      </c>
      <c r="Y107" s="69" t="s">
        <v>217</v>
      </c>
      <c r="Z107" s="8">
        <f>'BIO DATA'!AI105:AI308</f>
        <v>0</v>
      </c>
      <c r="AA107" s="8" t="str">
        <f>'BIO DATA'!AJ105:AJ308</f>
        <v>Karmila</v>
      </c>
      <c r="AB107" s="8" t="str">
        <f>'BIO DATA'!AK105</f>
        <v>Islam</v>
      </c>
      <c r="AC107" s="8" t="str">
        <f>'BIO DATA'!AL105:AL308</f>
        <v>SMA</v>
      </c>
      <c r="AD107" s="8" t="str">
        <f>'BIO DATA'!AM105:AM308</f>
        <v>Ibu Rumah Tangga</v>
      </c>
      <c r="AE107" s="8">
        <f>'BIO DATA'!AN105:AN308</f>
        <v>0</v>
      </c>
      <c r="AF107" s="52"/>
      <c r="AG107" s="8">
        <f>'BIO DATA'!AP105</f>
        <v>0</v>
      </c>
      <c r="AH107" s="8">
        <f>'BIO DATA'!AZ105</f>
        <v>0</v>
      </c>
      <c r="AI107" s="8" t="str">
        <f>'BIO DATA'!BA105</f>
        <v>Islam</v>
      </c>
      <c r="AJ107" s="8">
        <f>'BIO DATA'!BB105</f>
        <v>0</v>
      </c>
      <c r="AK107" s="8">
        <f>'BIO DATA'!BC105</f>
        <v>0</v>
      </c>
      <c r="AL107" s="8">
        <f>'BIO DATA'!BD105</f>
        <v>0</v>
      </c>
      <c r="AM107" s="8">
        <f>'BIO DATA'!BE105</f>
        <v>0</v>
      </c>
      <c r="AN107" s="8">
        <f>'BIO DATA'!BF105</f>
        <v>0</v>
      </c>
      <c r="AO107" s="8">
        <f>'BIO DATA'!BG105</f>
        <v>0</v>
      </c>
      <c r="AP107" s="54" t="s">
        <v>195</v>
      </c>
    </row>
    <row r="108" spans="1:42" s="54" customFormat="1" ht="20.100000000000001" customHeight="1" thickBot="1">
      <c r="A108" s="15" t="s">
        <v>77</v>
      </c>
      <c r="B108">
        <v>231</v>
      </c>
      <c r="C108" s="90">
        <f>'BIO DATA'!D106</f>
        <v>11355</v>
      </c>
      <c r="D108" s="90" t="str">
        <f>'BIO DATA'!E106</f>
        <v>0093486745</v>
      </c>
      <c r="E108" s="89" t="str">
        <f>'BIO DATA'!F106</f>
        <v>Irvin Kalevi El Zurafa</v>
      </c>
      <c r="F108" s="49" t="str">
        <f>'BIO DATA'!M106</f>
        <v>Laki-laki</v>
      </c>
      <c r="G108" s="8" t="str">
        <f>'BIO DATA'!N106</f>
        <v>Pekalongan</v>
      </c>
      <c r="H108" s="51">
        <f>'BIO DATA'!P106</f>
        <v>40073</v>
      </c>
      <c r="I108" s="49" t="str">
        <f>'BIO DATA'!S106</f>
        <v>Islam</v>
      </c>
      <c r="J108" s="50">
        <f>'BIO DATA'!J106:J268</f>
        <v>1</v>
      </c>
      <c r="K108" s="50">
        <f>'BIO DATA'!K106:K309</f>
        <v>1</v>
      </c>
      <c r="L108" s="8" t="str">
        <f>'BIO DATA'!T106:T268</f>
        <v>JL. Kaca Piring 3, RT. 017 RW. 004, Kel. Ketapang , Kec. Mentawa Baru Ketapang, Kab. Kotawaringin Timur, Kalimantan Tengah 74325</v>
      </c>
      <c r="M108" s="8" t="str">
        <f>'BIO DATA'!V106:V309</f>
        <v>Ketapang</v>
      </c>
      <c r="N108" s="8" t="str">
        <f>'BIO DATA'!W106:W309</f>
        <v>Mentawa Baru</v>
      </c>
      <c r="O108" s="8" t="str">
        <f>'BIO DATA'!X106:X309</f>
        <v>Kotawaringin Timur</v>
      </c>
      <c r="P108" s="8" t="str">
        <f>'BIO DATA'!Y106:Y309</f>
        <v>Kalimantan Tengah</v>
      </c>
      <c r="Q108" s="8" t="str">
        <f>'BIO DATA'!Z106:Z309</f>
        <v>MTs. Mu'allimin Muh. Yogyakarta</v>
      </c>
      <c r="R108" s="8" t="str">
        <f>'BIO DATA'!AA106:AA309</f>
        <v>Jl. Jend. S. Parman No.5, Mentawa Baru Hulu, Kec. Mentawa Baru Ketapang, Kabupaten Kotawaringin Timur, Kalimantan Tengah 74311</v>
      </c>
      <c r="S108" s="8">
        <f>'BIO DATA'!AB106:AB309</f>
        <v>0</v>
      </c>
      <c r="T108" s="8" t="str">
        <f>'BIO DATA'!AC106:AC309</f>
        <v>Nanang Sri Haryono</v>
      </c>
      <c r="U108" s="8" t="str">
        <f>'BIO DATA'!AD106</f>
        <v>Islam</v>
      </c>
      <c r="V108" s="8" t="str">
        <f>'BIO DATA'!AL106:AL309</f>
        <v>S1</v>
      </c>
      <c r="W108" s="8" t="str">
        <f>'BIO DATA'!AM106:AM309</f>
        <v>PNS</v>
      </c>
      <c r="X108" s="8" t="str">
        <f>'BIO DATA'!AG106:AG309</f>
        <v>Rp 2.500.000,00</v>
      </c>
      <c r="Y108" s="69" t="s">
        <v>217</v>
      </c>
      <c r="Z108" s="8">
        <f>'BIO DATA'!AI106:AI309</f>
        <v>0</v>
      </c>
      <c r="AA108" s="8" t="str">
        <f>'BIO DATA'!AJ106:AJ309</f>
        <v>Suminah, S.Pd</v>
      </c>
      <c r="AB108" s="8" t="str">
        <f>'BIO DATA'!AK106</f>
        <v>Islam</v>
      </c>
      <c r="AC108" s="8" t="str">
        <f>'BIO DATA'!AL106:AL309</f>
        <v>S1</v>
      </c>
      <c r="AD108" s="8" t="str">
        <f>'BIO DATA'!AM106:AM309</f>
        <v>PNS</v>
      </c>
      <c r="AE108" s="8">
        <f>'BIO DATA'!AN106:AN309</f>
        <v>0</v>
      </c>
      <c r="AF108" s="52"/>
      <c r="AG108" s="8">
        <f>'BIO DATA'!AP106</f>
        <v>0</v>
      </c>
      <c r="AH108" s="8">
        <f>'BIO DATA'!AZ106</f>
        <v>0</v>
      </c>
      <c r="AI108" s="8" t="str">
        <f>'BIO DATA'!BA106</f>
        <v>Islam</v>
      </c>
      <c r="AJ108" s="8">
        <f>'BIO DATA'!BB106</f>
        <v>0</v>
      </c>
      <c r="AK108" s="8">
        <f>'BIO DATA'!BC106</f>
        <v>0</v>
      </c>
      <c r="AL108" s="8">
        <f>'BIO DATA'!BD106</f>
        <v>0</v>
      </c>
      <c r="AM108" s="8">
        <f>'BIO DATA'!BE106</f>
        <v>0</v>
      </c>
      <c r="AN108" s="8">
        <f>'BIO DATA'!BF106</f>
        <v>0</v>
      </c>
      <c r="AO108" s="8">
        <f>'BIO DATA'!BG106</f>
        <v>0</v>
      </c>
      <c r="AP108" s="54" t="s">
        <v>195</v>
      </c>
    </row>
    <row r="109" spans="1:42" s="54" customFormat="1" ht="20.100000000000001" customHeight="1" thickBot="1">
      <c r="A109" s="15" t="s">
        <v>77</v>
      </c>
      <c r="B109">
        <v>240</v>
      </c>
      <c r="C109" s="90">
        <f>'BIO DATA'!D107</f>
        <v>11368</v>
      </c>
      <c r="D109" s="90" t="str">
        <f>'BIO DATA'!E107</f>
        <v>0106648959</v>
      </c>
      <c r="E109" s="89" t="str">
        <f>'BIO DATA'!F107</f>
        <v>M. Adnan Kamil Syairozi</v>
      </c>
      <c r="F109" s="49" t="str">
        <f>'BIO DATA'!M107</f>
        <v>Laki-laki</v>
      </c>
      <c r="G109" s="8" t="str">
        <f>'BIO DATA'!N107</f>
        <v>Musi Banyuasin</v>
      </c>
      <c r="H109" s="51">
        <f>'BIO DATA'!P107</f>
        <v>40384</v>
      </c>
      <c r="I109" s="49" t="str">
        <f>'BIO DATA'!S107</f>
        <v>Islam</v>
      </c>
      <c r="J109" s="50">
        <f>'BIO DATA'!J107:J269</f>
        <v>3</v>
      </c>
      <c r="K109" s="50">
        <f>'BIO DATA'!K107:K310</f>
        <v>2</v>
      </c>
      <c r="L109" s="8" t="str">
        <f>'BIO DATA'!T107:T269</f>
        <v>G.obos IX. Kel. Menteng. Kec. Jekan Raya. Kota Palangka Raya, Kalimantan Tengah, 73112</v>
      </c>
      <c r="M109" s="8" t="str">
        <f>'BIO DATA'!V107:V310</f>
        <v>Menteng</v>
      </c>
      <c r="N109" s="8" t="str">
        <f>'BIO DATA'!W107:W310</f>
        <v>Jekan Raya</v>
      </c>
      <c r="O109" s="8" t="str">
        <f>'BIO DATA'!X107:X310</f>
        <v>Kota Palangkaraya</v>
      </c>
      <c r="P109" s="8" t="str">
        <f>'BIO DATA'!Y107:Y310</f>
        <v>Kalimantan Tengah</v>
      </c>
      <c r="Q109" s="8" t="str">
        <f>'BIO DATA'!Z107:Z310</f>
        <v>MTs. Mu'allimin Muh. Yogyakarta</v>
      </c>
      <c r="R109" s="8" t="str">
        <f>'BIO DATA'!AA107:AA310</f>
        <v>Jl. R. A. Kartini No.4, Langkai, Kec. Pahandut, Kota Palangka Raya, Kalimantan Tengah 73111</v>
      </c>
      <c r="S109" s="8">
        <f>'BIO DATA'!AB107:AB310</f>
        <v>0</v>
      </c>
      <c r="T109" s="8" t="str">
        <f>'BIO DATA'!AC107:AC310</f>
        <v>Rus'ansyah, S. Ag, M. Pd</v>
      </c>
      <c r="U109" s="8" t="str">
        <f>'BIO DATA'!AD107</f>
        <v>Islam</v>
      </c>
      <c r="V109" s="8" t="str">
        <f>'BIO DATA'!AL107:AL310</f>
        <v>S1</v>
      </c>
      <c r="W109" s="8" t="str">
        <f>'BIO DATA'!AM107:AM310</f>
        <v>Guru</v>
      </c>
      <c r="X109" s="8" t="str">
        <f>'BIO DATA'!AG107:AG310</f>
        <v>&gt; Rp 2.500.000,00</v>
      </c>
      <c r="Y109" s="69" t="s">
        <v>217</v>
      </c>
      <c r="Z109" s="8">
        <f>'BIO DATA'!AI107:AI310</f>
        <v>0</v>
      </c>
      <c r="AA109" s="8" t="str">
        <f>'BIO DATA'!AJ107:AJ310</f>
        <v>Rus Sugianti</v>
      </c>
      <c r="AB109" s="8" t="str">
        <f>'BIO DATA'!AK107</f>
        <v>Islam</v>
      </c>
      <c r="AC109" s="8" t="str">
        <f>'BIO DATA'!AL107:AL310</f>
        <v>S1</v>
      </c>
      <c r="AD109" s="8" t="str">
        <f>'BIO DATA'!AM107:AM310</f>
        <v>Guru</v>
      </c>
      <c r="AE109" s="8">
        <f>'BIO DATA'!AN107:AN310</f>
        <v>0</v>
      </c>
      <c r="AF109" s="52"/>
      <c r="AG109" s="8">
        <f>'BIO DATA'!AP107</f>
        <v>0</v>
      </c>
      <c r="AH109" s="8">
        <f>'BIO DATA'!AZ107</f>
        <v>0</v>
      </c>
      <c r="AI109" s="8" t="str">
        <f>'BIO DATA'!BA107</f>
        <v>Islam</v>
      </c>
      <c r="AJ109" s="8">
        <f>'BIO DATA'!BB107</f>
        <v>0</v>
      </c>
      <c r="AK109" s="8">
        <f>'BIO DATA'!BC107</f>
        <v>0</v>
      </c>
      <c r="AL109" s="8">
        <f>'BIO DATA'!BD107</f>
        <v>0</v>
      </c>
      <c r="AM109" s="8">
        <f>'BIO DATA'!BE107</f>
        <v>0</v>
      </c>
      <c r="AN109" s="8">
        <f>'BIO DATA'!BF107</f>
        <v>0</v>
      </c>
      <c r="AO109" s="8">
        <f>'BIO DATA'!BG107</f>
        <v>0</v>
      </c>
      <c r="AP109" s="54" t="s">
        <v>195</v>
      </c>
    </row>
    <row r="110" spans="1:42" s="54" customFormat="1" ht="20.100000000000001" customHeight="1" thickBot="1">
      <c r="A110" s="15" t="s">
        <v>77</v>
      </c>
      <c r="B110">
        <v>243</v>
      </c>
      <c r="C110" s="90">
        <f>'BIO DATA'!D108</f>
        <v>11369</v>
      </c>
      <c r="D110" s="90" t="str">
        <f>'BIO DATA'!E108</f>
        <v>0094701302</v>
      </c>
      <c r="E110" s="89" t="str">
        <f>'BIO DATA'!F108</f>
        <v>M. Afuww Galih Jati</v>
      </c>
      <c r="F110" s="49" t="str">
        <f>'BIO DATA'!M108</f>
        <v>Laki-laki</v>
      </c>
      <c r="G110" s="8" t="str">
        <f>'BIO DATA'!N108</f>
        <v>Kotawaringin Timur</v>
      </c>
      <c r="H110" s="51">
        <f>'BIO DATA'!P108</f>
        <v>40088</v>
      </c>
      <c r="I110" s="49" t="str">
        <f>'BIO DATA'!S108</f>
        <v>Islam</v>
      </c>
      <c r="J110" s="50">
        <f>'BIO DATA'!J108:J270</f>
        <v>1</v>
      </c>
      <c r="K110" s="50">
        <f>'BIO DATA'!K108:K311</f>
        <v>1</v>
      </c>
      <c r="L110" s="8" t="str">
        <f>'BIO DATA'!T108:T270</f>
        <v>Jl. Nyimeleng no.1, RT. 05/03, Arcawinangun, Kec. Purwokerto Timur, Kab. Banyumas, Jawa Tengah 53146</v>
      </c>
      <c r="M110" s="8" t="str">
        <f>'BIO DATA'!V108:V311</f>
        <v>Arcawinangun</v>
      </c>
      <c r="N110" s="8" t="str">
        <f>'BIO DATA'!W108:W311</f>
        <v>Purwokerto Timur</v>
      </c>
      <c r="O110" s="8" t="str">
        <f>'BIO DATA'!X108:X311</f>
        <v>Banyumas</v>
      </c>
      <c r="P110" s="8" t="str">
        <f>'BIO DATA'!Y108:Y311</f>
        <v>Jawa Tengah</v>
      </c>
      <c r="Q110" s="8" t="str">
        <f>'BIO DATA'!Z108:Z311</f>
        <v>MTs. Mu'allimin Muh. Yogyakarta</v>
      </c>
      <c r="R110" s="8" t="str">
        <f>'BIO DATA'!AA108:AA311</f>
        <v>Jl. Senopati, Dusun IV, Dukuhwaluh, Kec. Kembaran, Kabupaten Banyumas, Jawa Tengah 53182</v>
      </c>
      <c r="S110" s="8">
        <f>'BIO DATA'!AB108:AB311</f>
        <v>0</v>
      </c>
      <c r="T110" s="8" t="str">
        <f>'BIO DATA'!AC108:AC311</f>
        <v>Guntur Setiawan</v>
      </c>
      <c r="U110" s="8" t="str">
        <f>'BIO DATA'!AD108</f>
        <v>Islam</v>
      </c>
      <c r="V110" s="8" t="str">
        <f>'BIO DATA'!AL108:AL311</f>
        <v>S2</v>
      </c>
      <c r="W110" s="8" t="str">
        <f>'BIO DATA'!AM108:AM311</f>
        <v>Dosen</v>
      </c>
      <c r="X110" s="8" t="str">
        <f>'BIO DATA'!AG108:AG311</f>
        <v>&gt; Rp 2.500.000,00</v>
      </c>
      <c r="Y110" s="69" t="s">
        <v>217</v>
      </c>
      <c r="Z110" s="8">
        <f>'BIO DATA'!AI108:AI311</f>
        <v>0</v>
      </c>
      <c r="AA110" s="8" t="str">
        <f>'BIO DATA'!AJ108:AJ311</f>
        <v>Endang Ekasari</v>
      </c>
      <c r="AB110" s="8" t="str">
        <f>'BIO DATA'!AK108</f>
        <v>Islam</v>
      </c>
      <c r="AC110" s="8" t="str">
        <f>'BIO DATA'!AL108:AL311</f>
        <v>S2</v>
      </c>
      <c r="AD110" s="8" t="str">
        <f>'BIO DATA'!AM108:AM311</f>
        <v>Dosen</v>
      </c>
      <c r="AE110" s="8">
        <f>'BIO DATA'!AN108:AN311</f>
        <v>0</v>
      </c>
      <c r="AF110" s="52"/>
      <c r="AG110" s="8">
        <f>'BIO DATA'!AP108</f>
        <v>0</v>
      </c>
      <c r="AH110" s="8">
        <f>'BIO DATA'!AZ108</f>
        <v>0</v>
      </c>
      <c r="AI110" s="8" t="str">
        <f>'BIO DATA'!BA108</f>
        <v>Islam</v>
      </c>
      <c r="AJ110" s="8">
        <f>'BIO DATA'!BB108</f>
        <v>0</v>
      </c>
      <c r="AK110" s="8">
        <f>'BIO DATA'!BC108</f>
        <v>0</v>
      </c>
      <c r="AL110" s="8">
        <f>'BIO DATA'!BD108</f>
        <v>0</v>
      </c>
      <c r="AM110" s="8">
        <f>'BIO DATA'!BE108</f>
        <v>0</v>
      </c>
      <c r="AN110" s="8">
        <f>'BIO DATA'!BF108</f>
        <v>0</v>
      </c>
      <c r="AO110" s="8">
        <f>'BIO DATA'!BG108</f>
        <v>0</v>
      </c>
      <c r="AP110" s="54" t="s">
        <v>195</v>
      </c>
    </row>
    <row r="111" spans="1:42" s="54" customFormat="1" ht="20.100000000000001" customHeight="1" thickBot="1">
      <c r="A111" s="15" t="s">
        <v>77</v>
      </c>
      <c r="B111">
        <v>244</v>
      </c>
      <c r="C111" s="90">
        <f>'BIO DATA'!D109</f>
        <v>11380</v>
      </c>
      <c r="D111" s="90" t="str">
        <f>'BIO DATA'!E109</f>
        <v>3101522194</v>
      </c>
      <c r="E111" s="89" t="str">
        <f>'BIO DATA'!F109</f>
        <v>Muhammad Abqari Zakwannur</v>
      </c>
      <c r="F111" s="49" t="str">
        <f>'BIO DATA'!M109</f>
        <v>Laki-laki</v>
      </c>
      <c r="G111" s="8" t="str">
        <f>'BIO DATA'!N109</f>
        <v>Palangkaraya</v>
      </c>
      <c r="H111" s="51">
        <f>'BIO DATA'!P109</f>
        <v>40429</v>
      </c>
      <c r="I111" s="49" t="str">
        <f>'BIO DATA'!S109</f>
        <v>Islam</v>
      </c>
      <c r="J111" s="50">
        <f>'BIO DATA'!J109:J271</f>
        <v>1</v>
      </c>
      <c r="K111" s="50">
        <f>'BIO DATA'!K109:K312</f>
        <v>2</v>
      </c>
      <c r="L111" s="8" t="str">
        <f>'BIO DATA'!T109:T271</f>
        <v>Pandansari 31 RT.03 RW.07 Pucungrejo, Muntilan, Magelang, Jawa Tengah, 56414</v>
      </c>
      <c r="M111" s="8" t="str">
        <f>'BIO DATA'!V109:V312</f>
        <v>Pucungrejo</v>
      </c>
      <c r="N111" s="8" t="str">
        <f>'BIO DATA'!W109:W312</f>
        <v>Muntilan</v>
      </c>
      <c r="O111" s="8" t="str">
        <f>'BIO DATA'!X109:X312</f>
        <v>Magelang</v>
      </c>
      <c r="P111" s="8" t="str">
        <f>'BIO DATA'!Y109:Y312</f>
        <v xml:space="preserve"> Jawa Tengah</v>
      </c>
      <c r="Q111" s="8" t="str">
        <f>'BIO DATA'!Z109:Z312</f>
        <v>MTs. Mu'allimin Muh. Yogyakarta</v>
      </c>
      <c r="R111" s="8" t="str">
        <f>'BIO DATA'!AA109:AA312</f>
        <v>Ruko Gorongan, Jl. Perumnas Gorongan No.1, Ngropoh, Condongcatur, Kec. Depok, Kabupaten Sleman, Daerah Istimewa Yogyakarta 55283</v>
      </c>
      <c r="S111" s="8">
        <f>'BIO DATA'!AB109:AB312</f>
        <v>0</v>
      </c>
      <c r="T111" s="8" t="str">
        <f>'BIO DATA'!AC109:AC312</f>
        <v>Doni Setiawan</v>
      </c>
      <c r="U111" s="8" t="str">
        <f>'BIO DATA'!AD109</f>
        <v>Islam</v>
      </c>
      <c r="V111" s="8" t="str">
        <f>'BIO DATA'!AL109:AL312</f>
        <v>S1</v>
      </c>
      <c r="W111" s="8" t="str">
        <f>'BIO DATA'!AM109:AM312</f>
        <v>Ibu Rumah Tangga</v>
      </c>
      <c r="X111" s="8" t="str">
        <f>'BIO DATA'!AG109:AG312</f>
        <v>&gt; Rp 2.500.000,00</v>
      </c>
      <c r="Y111" s="69" t="s">
        <v>217</v>
      </c>
      <c r="Z111" s="8">
        <f>'BIO DATA'!AI109:AI312</f>
        <v>0</v>
      </c>
      <c r="AA111" s="8" t="str">
        <f>'BIO DATA'!AJ109:AJ312</f>
        <v>Is Nur Beiti</v>
      </c>
      <c r="AB111" s="8" t="str">
        <f>'BIO DATA'!AK109</f>
        <v>Islam</v>
      </c>
      <c r="AC111" s="8" t="str">
        <f>'BIO DATA'!AL109:AL312</f>
        <v>S1</v>
      </c>
      <c r="AD111" s="8" t="str">
        <f>'BIO DATA'!AM109:AM312</f>
        <v>Ibu Rumah Tangga</v>
      </c>
      <c r="AE111" s="8">
        <f>'BIO DATA'!AN109:AN312</f>
        <v>0</v>
      </c>
      <c r="AF111" s="52"/>
      <c r="AG111" s="8">
        <f>'BIO DATA'!AP109</f>
        <v>0</v>
      </c>
      <c r="AH111" s="8">
        <f>'BIO DATA'!AZ109</f>
        <v>0</v>
      </c>
      <c r="AI111" s="8" t="str">
        <f>'BIO DATA'!BA109</f>
        <v>Islam</v>
      </c>
      <c r="AJ111" s="8">
        <f>'BIO DATA'!BB109</f>
        <v>0</v>
      </c>
      <c r="AK111" s="8">
        <f>'BIO DATA'!BC109</f>
        <v>0</v>
      </c>
      <c r="AL111" s="8">
        <f>'BIO DATA'!BD109</f>
        <v>0</v>
      </c>
      <c r="AM111" s="8">
        <f>'BIO DATA'!BE109</f>
        <v>0</v>
      </c>
      <c r="AN111" s="8">
        <f>'BIO DATA'!BF109</f>
        <v>0</v>
      </c>
      <c r="AO111" s="8">
        <f>'BIO DATA'!BG109</f>
        <v>0</v>
      </c>
      <c r="AP111" s="54" t="s">
        <v>195</v>
      </c>
    </row>
    <row r="112" spans="1:42" s="54" customFormat="1" ht="20.100000000000001" customHeight="1" thickBot="1">
      <c r="A112" s="15" t="s">
        <v>77</v>
      </c>
      <c r="B112">
        <v>279</v>
      </c>
      <c r="C112" s="90">
        <f>'BIO DATA'!D110</f>
        <v>11390</v>
      </c>
      <c r="D112" s="90" t="str">
        <f>'BIO DATA'!E110</f>
        <v>0168884626</v>
      </c>
      <c r="E112" s="89" t="str">
        <f>'BIO DATA'!F110</f>
        <v>Muhammad Alzam Pradana</v>
      </c>
      <c r="F112" s="49" t="str">
        <f>'BIO DATA'!M110</f>
        <v>Laki-laki</v>
      </c>
      <c r="G112" s="8" t="str">
        <f>'BIO DATA'!N110</f>
        <v>Banyumas</v>
      </c>
      <c r="H112" s="51">
        <f>'BIO DATA'!P110</f>
        <v>40184</v>
      </c>
      <c r="I112" s="49" t="str">
        <f>'BIO DATA'!S110</f>
        <v>Islam</v>
      </c>
      <c r="J112" s="50">
        <f>'BIO DATA'!J110:J272</f>
        <v>2</v>
      </c>
      <c r="K112" s="50">
        <f>'BIO DATA'!K110:K313</f>
        <v>2</v>
      </c>
      <c r="L112" s="8" t="str">
        <f>'BIO DATA'!T110:T272</f>
        <v>Jalan Betet, RT 024 RW 009 Kel. Hadimulyo Timur Kec. Metro Pusat Kota Metro, Lampung, 34114</v>
      </c>
      <c r="M112" s="8" t="str">
        <f>'BIO DATA'!V110:V313</f>
        <v>Hadimulyo Timur</v>
      </c>
      <c r="N112" s="8" t="str">
        <f>'BIO DATA'!W110:W313</f>
        <v>Metro Pusat</v>
      </c>
      <c r="O112" s="8" t="str">
        <f>'BIO DATA'!X110:X313</f>
        <v>Kota Metro</v>
      </c>
      <c r="P112" s="8" t="str">
        <f>'BIO DATA'!Y110:Y313</f>
        <v xml:space="preserve"> Lampung</v>
      </c>
      <c r="Q112" s="8" t="str">
        <f>'BIO DATA'!Z110:Z313</f>
        <v>MTs. Mu'allimin Muh. Yogyakarta</v>
      </c>
      <c r="R112" s="8" t="str">
        <f>'BIO DATA'!AA110:AA313</f>
        <v>Jl. Raden Intan No.92, Imopuro, Kec. Metro Pusat, Kota Metro, Lampung 34125</v>
      </c>
      <c r="S112" s="8">
        <f>'BIO DATA'!AB110:AB313</f>
        <v>0</v>
      </c>
      <c r="T112" s="8" t="str">
        <f>'BIO DATA'!AC110:AC313</f>
        <v>Suhono</v>
      </c>
      <c r="U112" s="8" t="str">
        <f>'BIO DATA'!AD110</f>
        <v>Islam</v>
      </c>
      <c r="V112" s="8" t="str">
        <f>'BIO DATA'!AL110:AL313</f>
        <v>S1</v>
      </c>
      <c r="W112" s="8" t="str">
        <f>'BIO DATA'!AM110:AM313</f>
        <v>PNS</v>
      </c>
      <c r="X112" s="8" t="str">
        <f>'BIO DATA'!AG110:AG313</f>
        <v>&gt; Rp 2.500.000,00</v>
      </c>
      <c r="Y112" s="69" t="s">
        <v>217</v>
      </c>
      <c r="Z112" s="8">
        <f>'BIO DATA'!AI110:AI313</f>
        <v>0</v>
      </c>
      <c r="AA112" s="8" t="str">
        <f>'BIO DATA'!AJ110:AJ313</f>
        <v>Robikhah</v>
      </c>
      <c r="AB112" s="8" t="str">
        <f>'BIO DATA'!AK110</f>
        <v>Islam</v>
      </c>
      <c r="AC112" s="8" t="str">
        <f>'BIO DATA'!AL110:AL313</f>
        <v>S1</v>
      </c>
      <c r="AD112" s="8" t="str">
        <f>'BIO DATA'!AM110:AM313</f>
        <v>PNS</v>
      </c>
      <c r="AE112" s="8">
        <f>'BIO DATA'!AN110:AN313</f>
        <v>0</v>
      </c>
      <c r="AF112" s="52"/>
      <c r="AG112" s="8">
        <f>'BIO DATA'!AP110</f>
        <v>0</v>
      </c>
      <c r="AH112" s="8">
        <f>'BIO DATA'!AZ110</f>
        <v>0</v>
      </c>
      <c r="AI112" s="8" t="str">
        <f>'BIO DATA'!BA110</f>
        <v>Islam</v>
      </c>
      <c r="AJ112" s="8">
        <f>'BIO DATA'!BB110</f>
        <v>0</v>
      </c>
      <c r="AK112" s="8">
        <f>'BIO DATA'!BC110</f>
        <v>0</v>
      </c>
      <c r="AL112" s="8">
        <f>'BIO DATA'!BD110</f>
        <v>0</v>
      </c>
      <c r="AM112" s="8">
        <f>'BIO DATA'!BE110</f>
        <v>0</v>
      </c>
      <c r="AN112" s="8">
        <f>'BIO DATA'!BF110</f>
        <v>0</v>
      </c>
      <c r="AO112" s="8">
        <f>'BIO DATA'!BG110</f>
        <v>0</v>
      </c>
      <c r="AP112" s="54" t="s">
        <v>195</v>
      </c>
    </row>
    <row r="113" spans="1:42" s="54" customFormat="1" ht="20.100000000000001" customHeight="1" thickBot="1">
      <c r="A113" s="15" t="s">
        <v>77</v>
      </c>
      <c r="B113">
        <v>280</v>
      </c>
      <c r="C113" s="90">
        <f>'BIO DATA'!D111</f>
        <v>11398</v>
      </c>
      <c r="D113" s="90" t="str">
        <f>'BIO DATA'!E111</f>
        <v>0107539414</v>
      </c>
      <c r="E113" s="89" t="str">
        <f>'BIO DATA'!F111</f>
        <v>Muhammad Dafi Abqory</v>
      </c>
      <c r="F113" s="49" t="str">
        <f>'BIO DATA'!M111</f>
        <v>Laki-laki</v>
      </c>
      <c r="G113" s="8" t="str">
        <f>'BIO DATA'!N111</f>
        <v>Magelang</v>
      </c>
      <c r="H113" s="51">
        <f>'BIO DATA'!P111</f>
        <v>40227</v>
      </c>
      <c r="I113" s="49" t="str">
        <f>'BIO DATA'!S111</f>
        <v>Islam</v>
      </c>
      <c r="J113" s="50">
        <f>'BIO DATA'!J111:J273</f>
        <v>2</v>
      </c>
      <c r="K113" s="50">
        <f>'BIO DATA'!K111:K314</f>
        <v>2</v>
      </c>
      <c r="L113" s="8" t="str">
        <f>'BIO DATA'!T111:T273</f>
        <v>Belitung Darat Simp Rahmat Rt. 18 No. 65 Banjarmasin Kalimantan Selatan 70129</v>
      </c>
      <c r="M113" s="8" t="str">
        <f>'BIO DATA'!V111:V314</f>
        <v>Belitung Darat</v>
      </c>
      <c r="N113" s="8" t="str">
        <f>'BIO DATA'!W111:W314</f>
        <v>Simp Rahmat</v>
      </c>
      <c r="O113" s="8" t="str">
        <f>'BIO DATA'!X111:X314</f>
        <v>Banjarmasin</v>
      </c>
      <c r="P113" s="8" t="str">
        <f>'BIO DATA'!Y111:Y314</f>
        <v>Kalimantan Selatan</v>
      </c>
      <c r="Q113" s="8" t="str">
        <f>'BIO DATA'!Z111:Z314</f>
        <v>MTs. Mu'allimin Muh. Yogyakarta</v>
      </c>
      <c r="R113" s="8" t="str">
        <f>'BIO DATA'!AA111:AA314</f>
        <v>Jl. Cemp. 2 No.29, Kertak Baru Ulu, Kec. Banjarmasin Tengah, Kota Banjarmasin, Kalimantan Selatan 70231</v>
      </c>
      <c r="S113" s="8">
        <f>'BIO DATA'!AB111:AB314</f>
        <v>0</v>
      </c>
      <c r="T113" s="8" t="str">
        <f>'BIO DATA'!AC111:AC314</f>
        <v>Subchan Noor S.Sos ; M.AP</v>
      </c>
      <c r="U113" s="8" t="str">
        <f>'BIO DATA'!AD111</f>
        <v>Islam</v>
      </c>
      <c r="V113" s="8">
        <f>'BIO DATA'!AL111:AL314</f>
        <v>0</v>
      </c>
      <c r="W113" s="8">
        <f>'BIO DATA'!AM111:AM314</f>
        <v>0</v>
      </c>
      <c r="X113" s="8" t="str">
        <f>'BIO DATA'!AG111:AG314</f>
        <v>&gt; Rp 2.500.000,00</v>
      </c>
      <c r="Y113" s="69" t="s">
        <v>217</v>
      </c>
      <c r="Z113" s="8">
        <f>'BIO DATA'!AI111:AI314</f>
        <v>0</v>
      </c>
      <c r="AA113" s="8" t="str">
        <f>'BIO DATA'!AJ111:AJ314</f>
        <v>Nurul Latifah</v>
      </c>
      <c r="AB113" s="8" t="str">
        <f>'BIO DATA'!AK111</f>
        <v>Islam</v>
      </c>
      <c r="AC113" s="8">
        <f>'BIO DATA'!AL111:AL314</f>
        <v>0</v>
      </c>
      <c r="AD113" s="8">
        <f>'BIO DATA'!AM111:AM314</f>
        <v>0</v>
      </c>
      <c r="AE113" s="8">
        <f>'BIO DATA'!AN111:AN314</f>
        <v>0</v>
      </c>
      <c r="AF113" s="52"/>
      <c r="AG113" s="8">
        <f>'BIO DATA'!AP111</f>
        <v>0</v>
      </c>
      <c r="AH113" s="8">
        <f>'BIO DATA'!AZ111</f>
        <v>0</v>
      </c>
      <c r="AI113" s="8" t="str">
        <f>'BIO DATA'!BA111</f>
        <v>Islam</v>
      </c>
      <c r="AJ113" s="8">
        <f>'BIO DATA'!BB111</f>
        <v>0</v>
      </c>
      <c r="AK113" s="8">
        <f>'BIO DATA'!BC111</f>
        <v>0</v>
      </c>
      <c r="AL113" s="8">
        <f>'BIO DATA'!BD111</f>
        <v>0</v>
      </c>
      <c r="AM113" s="8">
        <f>'BIO DATA'!BE111</f>
        <v>0</v>
      </c>
      <c r="AN113" s="8">
        <f>'BIO DATA'!BF111</f>
        <v>0</v>
      </c>
      <c r="AO113" s="8">
        <f>'BIO DATA'!BG111</f>
        <v>0</v>
      </c>
      <c r="AP113" s="54" t="s">
        <v>195</v>
      </c>
    </row>
    <row r="114" spans="1:42" s="54" customFormat="1" ht="20.100000000000001" customHeight="1" thickBot="1">
      <c r="A114" s="15" t="s">
        <v>77</v>
      </c>
      <c r="B114">
        <v>293</v>
      </c>
      <c r="C114" s="90">
        <f>'BIO DATA'!D112</f>
        <v>11403</v>
      </c>
      <c r="D114" s="90" t="str">
        <f>'BIO DATA'!E112</f>
        <v>0105652380</v>
      </c>
      <c r="E114" s="89" t="str">
        <f>'BIO DATA'!F112</f>
        <v>Muhammad Fadlan Nadhif</v>
      </c>
      <c r="F114" s="49" t="str">
        <f>'BIO DATA'!M112</f>
        <v>Laki-laki</v>
      </c>
      <c r="G114" s="8" t="str">
        <f>'BIO DATA'!N112</f>
        <v>Metro</v>
      </c>
      <c r="H114" s="51">
        <f>'BIO DATA'!P112</f>
        <v>40183</v>
      </c>
      <c r="I114" s="49" t="str">
        <f>'BIO DATA'!S112</f>
        <v>Islam</v>
      </c>
      <c r="J114" s="50">
        <f>'BIO DATA'!J112:J274</f>
        <v>1</v>
      </c>
      <c r="K114" s="50">
        <f>'BIO DATA'!K112:K315</f>
        <v>0</v>
      </c>
      <c r="L114" s="8" t="str">
        <f>'BIO DATA'!T112:T274</f>
        <v>D'OASIS Residence Blok A.26 Pulosari, Brebes, Jawa Tengah, Jawa Tengah, 52212</v>
      </c>
      <c r="M114" s="8" t="str">
        <f>'BIO DATA'!V112:V315</f>
        <v>Pulosari</v>
      </c>
      <c r="N114" s="8" t="str">
        <f>'BIO DATA'!W112:W315</f>
        <v>Brebes</v>
      </c>
      <c r="O114" s="8" t="str">
        <f>'BIO DATA'!X112:X315</f>
        <v>Brebes</v>
      </c>
      <c r="P114" s="8" t="str">
        <f>'BIO DATA'!Y112:Y315</f>
        <v>Jawa Tengah</v>
      </c>
      <c r="Q114" s="8" t="str">
        <f>'BIO DATA'!Z112:Z315</f>
        <v>MTs. Mu'allimin Muh. Yogyakarta</v>
      </c>
      <c r="R114" s="8" t="str">
        <f>'BIO DATA'!AA112:AA315</f>
        <v>jl.YOS Sudarso No.km.3, Silenggang, Ps. Batang, Kec. Brebes, Kabupaten Brebes, Jawa Tengah 52212</v>
      </c>
      <c r="S114" s="8">
        <f>'BIO DATA'!AB112:AB315</f>
        <v>0</v>
      </c>
      <c r="T114" s="8" t="str">
        <f>'BIO DATA'!AC112:AC315</f>
        <v>Eko Prasetyo</v>
      </c>
      <c r="U114" s="8" t="str">
        <f>'BIO DATA'!AD112</f>
        <v>Islam</v>
      </c>
      <c r="V114" s="8">
        <f>'BIO DATA'!AL112:AL315</f>
        <v>0</v>
      </c>
      <c r="W114" s="8">
        <f>'BIO DATA'!AM112:AM315</f>
        <v>0</v>
      </c>
      <c r="X114" s="8" t="str">
        <f>'BIO DATA'!AG112:AG315</f>
        <v>&gt; Rp 2.500.000,00</v>
      </c>
      <c r="Y114" s="69" t="s">
        <v>217</v>
      </c>
      <c r="Z114" s="8">
        <f>'BIO DATA'!AI112:AI315</f>
        <v>0</v>
      </c>
      <c r="AA114" s="8" t="str">
        <f>'BIO DATA'!AJ112:AJ315</f>
        <v>Mar'ah Hidayati</v>
      </c>
      <c r="AB114" s="8" t="str">
        <f>'BIO DATA'!AK112</f>
        <v>Islam</v>
      </c>
      <c r="AC114" s="8">
        <f>'BIO DATA'!AL112:AL315</f>
        <v>0</v>
      </c>
      <c r="AD114" s="8">
        <f>'BIO DATA'!AM112:AM315</f>
        <v>0</v>
      </c>
      <c r="AE114" s="8">
        <f>'BIO DATA'!AN112:AN315</f>
        <v>0</v>
      </c>
      <c r="AF114" s="52"/>
      <c r="AG114" s="8">
        <f>'BIO DATA'!AP112</f>
        <v>0</v>
      </c>
      <c r="AH114" s="8">
        <f>'BIO DATA'!AZ112</f>
        <v>0</v>
      </c>
      <c r="AI114" s="8" t="str">
        <f>'BIO DATA'!BA112</f>
        <v>Islam</v>
      </c>
      <c r="AJ114" s="8">
        <f>'BIO DATA'!BB112</f>
        <v>0</v>
      </c>
      <c r="AK114" s="8">
        <f>'BIO DATA'!BC112</f>
        <v>0</v>
      </c>
      <c r="AL114" s="8">
        <f>'BIO DATA'!BD112</f>
        <v>0</v>
      </c>
      <c r="AM114" s="8">
        <f>'BIO DATA'!BE112</f>
        <v>0</v>
      </c>
      <c r="AN114" s="8">
        <f>'BIO DATA'!BF112</f>
        <v>0</v>
      </c>
      <c r="AO114" s="8">
        <f>'BIO DATA'!BG112</f>
        <v>0</v>
      </c>
      <c r="AP114" s="54" t="s">
        <v>195</v>
      </c>
    </row>
    <row r="115" spans="1:42" s="54" customFormat="1" ht="20.100000000000001" customHeight="1" thickBot="1">
      <c r="A115" s="15" t="s">
        <v>77</v>
      </c>
      <c r="B115">
        <v>305</v>
      </c>
      <c r="C115" s="90">
        <f>'BIO DATA'!D113</f>
        <v>11409</v>
      </c>
      <c r="D115" s="90" t="str">
        <f>'BIO DATA'!E113</f>
        <v>0093225178</v>
      </c>
      <c r="E115" s="89" t="str">
        <f>'BIO DATA'!F113</f>
        <v>Muhammad Fa'iz</v>
      </c>
      <c r="F115" s="49" t="str">
        <f>'BIO DATA'!M113</f>
        <v>Laki-laki</v>
      </c>
      <c r="G115" s="8" t="str">
        <f>'BIO DATA'!N113</f>
        <v>Banjarmasin</v>
      </c>
      <c r="H115" s="51">
        <f>'BIO DATA'!P113</f>
        <v>40036</v>
      </c>
      <c r="I115" s="49" t="str">
        <f>'BIO DATA'!S113</f>
        <v>Islam</v>
      </c>
      <c r="J115" s="50">
        <f>'BIO DATA'!J113:J275</f>
        <v>3</v>
      </c>
      <c r="K115" s="50">
        <f>'BIO DATA'!K113:K316</f>
        <v>2</v>
      </c>
      <c r="L115" s="8" t="str">
        <f>'BIO DATA'!T113:T275</f>
        <v>Jl.woret RT/RW 001/007 Kel. Malasom Kec. Aimas Sorong Papua Barat 98444</v>
      </c>
      <c r="M115" s="8" t="str">
        <f>'BIO DATA'!V113:V316</f>
        <v>Malasom</v>
      </c>
      <c r="N115" s="8" t="str">
        <f>'BIO DATA'!W113:W316</f>
        <v>Aimas</v>
      </c>
      <c r="O115" s="8" t="str">
        <f>'BIO DATA'!X113:X316</f>
        <v>Sorong</v>
      </c>
      <c r="P115" s="8" t="str">
        <f>'BIO DATA'!Y113:Y316</f>
        <v>Papua Barat</v>
      </c>
      <c r="Q115" s="8" t="str">
        <f>'BIO DATA'!Z113:Z316</f>
        <v>MTs. Mu'allimin Muh. Yogyakarta</v>
      </c>
      <c r="R115" s="8" t="str">
        <f>'BIO DATA'!AA113:AA316</f>
        <v>Jl. Wortel, Malawele, Kec. Aimas, Kabupaten Sorong, Papua Bar. 98414</v>
      </c>
      <c r="S115" s="8">
        <f>'BIO DATA'!AB113:AB316</f>
        <v>0</v>
      </c>
      <c r="T115" s="8" t="str">
        <f>'BIO DATA'!AC113:AC316</f>
        <v>Sutrisna</v>
      </c>
      <c r="U115" s="8" t="str">
        <f>'BIO DATA'!AD113</f>
        <v>Islam</v>
      </c>
      <c r="V115" s="8" t="str">
        <f>'BIO DATA'!AL113:AL316</f>
        <v>S1</v>
      </c>
      <c r="W115" s="8" t="str">
        <f>'BIO DATA'!AM113:AM316</f>
        <v>Wiraswasta</v>
      </c>
      <c r="X115" s="8" t="str">
        <f>'BIO DATA'!AG113:AG316</f>
        <v>&gt; Rp 2.500.000,00</v>
      </c>
      <c r="Y115" s="69" t="s">
        <v>217</v>
      </c>
      <c r="Z115" s="8">
        <f>'BIO DATA'!AI113:AI316</f>
        <v>0</v>
      </c>
      <c r="AA115" s="8" t="str">
        <f>'BIO DATA'!AJ113:AJ316</f>
        <v>Choiriyah</v>
      </c>
      <c r="AB115" s="8" t="str">
        <f>'BIO DATA'!AK113</f>
        <v>Islam</v>
      </c>
      <c r="AC115" s="8" t="str">
        <f>'BIO DATA'!AL113:AL316</f>
        <v>S1</v>
      </c>
      <c r="AD115" s="8" t="str">
        <f>'BIO DATA'!AM113:AM316</f>
        <v>Wiraswasta</v>
      </c>
      <c r="AE115" s="8">
        <f>'BIO DATA'!AN113:AN316</f>
        <v>0</v>
      </c>
      <c r="AF115" s="52"/>
      <c r="AG115" s="8">
        <f>'BIO DATA'!AP113</f>
        <v>0</v>
      </c>
      <c r="AH115" s="8">
        <f>'BIO DATA'!AZ113</f>
        <v>0</v>
      </c>
      <c r="AI115" s="8" t="str">
        <f>'BIO DATA'!BA113</f>
        <v>Islam</v>
      </c>
      <c r="AJ115" s="8">
        <f>'BIO DATA'!BB113</f>
        <v>0</v>
      </c>
      <c r="AK115" s="8">
        <f>'BIO DATA'!BC113</f>
        <v>0</v>
      </c>
      <c r="AL115" s="8">
        <f>'BIO DATA'!BD113</f>
        <v>0</v>
      </c>
      <c r="AM115" s="8">
        <f>'BIO DATA'!BE113</f>
        <v>0</v>
      </c>
      <c r="AN115" s="8">
        <f>'BIO DATA'!BF113</f>
        <v>0</v>
      </c>
      <c r="AO115" s="8">
        <f>'BIO DATA'!BG113</f>
        <v>0</v>
      </c>
      <c r="AP115" s="54" t="s">
        <v>195</v>
      </c>
    </row>
    <row r="116" spans="1:42" s="54" customFormat="1" ht="20.100000000000001" customHeight="1" thickBot="1">
      <c r="A116" s="15" t="s">
        <v>77</v>
      </c>
      <c r="B116">
        <v>307</v>
      </c>
      <c r="C116" s="90">
        <f>'BIO DATA'!D114</f>
        <v>11415</v>
      </c>
      <c r="D116" s="90" t="str">
        <f>'BIO DATA'!E114</f>
        <v>0168955856</v>
      </c>
      <c r="E116" s="89" t="str">
        <f>'BIO DATA'!F114</f>
        <v>Muhammad Fathin Ar Rosyid</v>
      </c>
      <c r="F116" s="49" t="str">
        <f>'BIO DATA'!M114</f>
        <v>Laki-laki</v>
      </c>
      <c r="G116" s="8" t="str">
        <f>'BIO DATA'!N114</f>
        <v>Brebes</v>
      </c>
      <c r="H116" s="51">
        <f>'BIO DATA'!P114</f>
        <v>40269</v>
      </c>
      <c r="I116" s="49" t="str">
        <f>'BIO DATA'!S114</f>
        <v>Islam</v>
      </c>
      <c r="J116" s="50">
        <f>'BIO DATA'!J114:J276</f>
        <v>3</v>
      </c>
      <c r="K116" s="50">
        <f>'BIO DATA'!K114:K317</f>
        <v>4</v>
      </c>
      <c r="L116" s="8" t="str">
        <f>'BIO DATA'!T114:T276</f>
        <v>Barak 1, RT 04 / RW 15, Margoluwih, Seyegan, Sleman, DIY 5561, DI Yogyakarta, 55561</v>
      </c>
      <c r="M116" s="8" t="str">
        <f>'BIO DATA'!V114:V317</f>
        <v>Margoluwih</v>
      </c>
      <c r="N116" s="8" t="str">
        <f>'BIO DATA'!W114:W317</f>
        <v>Seyegan</v>
      </c>
      <c r="O116" s="8" t="str">
        <f>'BIO DATA'!X114:X317</f>
        <v>Sleman</v>
      </c>
      <c r="P116" s="8" t="str">
        <f>'BIO DATA'!Y114:Y317</f>
        <v>DI Yogyakarta</v>
      </c>
      <c r="Q116" s="8" t="str">
        <f>'BIO DATA'!Z114:Z317</f>
        <v>MTs. Mu'allimin Muh. Yogyakarta</v>
      </c>
      <c r="R116" s="8" t="str">
        <f>'BIO DATA'!AA114:AA317</f>
        <v>Kasuran, Pete, Margodadi, Kec. Seyegan, Kabupaten Sleman, Daerah Istimewa Yogyakarta 55561</v>
      </c>
      <c r="S116" s="8">
        <f>'BIO DATA'!AB114:AB317</f>
        <v>0</v>
      </c>
      <c r="T116" s="8" t="str">
        <f>'BIO DATA'!AC114:AC317</f>
        <v>Agus Joko Pitoyo</v>
      </c>
      <c r="U116" s="8" t="str">
        <f>'BIO DATA'!AD114</f>
        <v>Islam</v>
      </c>
      <c r="V116" s="8" t="str">
        <f>'BIO DATA'!AL114:AL317</f>
        <v>S1</v>
      </c>
      <c r="W116" s="8" t="str">
        <f>'BIO DATA'!AM114:AM317</f>
        <v>Karyawan Swasta</v>
      </c>
      <c r="X116" s="8" t="str">
        <f>'BIO DATA'!AG114:AG317</f>
        <v>&gt; Rp 2.500.000,00</v>
      </c>
      <c r="Y116" s="69" t="s">
        <v>217</v>
      </c>
      <c r="Z116" s="8">
        <f>'BIO DATA'!AI114:AI317</f>
        <v>0</v>
      </c>
      <c r="AA116" s="8" t="str">
        <f>'BIO DATA'!AJ114:AJ317</f>
        <v>Titi Subekti</v>
      </c>
      <c r="AB116" s="8" t="str">
        <f>'BIO DATA'!AK114</f>
        <v>Islam</v>
      </c>
      <c r="AC116" s="8" t="str">
        <f>'BIO DATA'!AL114:AL317</f>
        <v>S1</v>
      </c>
      <c r="AD116" s="8" t="str">
        <f>'BIO DATA'!AM114:AM317</f>
        <v>Karyawan Swasta</v>
      </c>
      <c r="AE116" s="8">
        <f>'BIO DATA'!AN114:AN317</f>
        <v>0</v>
      </c>
      <c r="AF116" s="52"/>
      <c r="AG116" s="8">
        <f>'BIO DATA'!AP114</f>
        <v>0</v>
      </c>
      <c r="AH116" s="8">
        <f>'BIO DATA'!AZ114</f>
        <v>0</v>
      </c>
      <c r="AI116" s="8" t="str">
        <f>'BIO DATA'!BA114</f>
        <v>Islam</v>
      </c>
      <c r="AJ116" s="8">
        <f>'BIO DATA'!BB114</f>
        <v>0</v>
      </c>
      <c r="AK116" s="8">
        <f>'BIO DATA'!BC114</f>
        <v>0</v>
      </c>
      <c r="AL116" s="8">
        <f>'BIO DATA'!BD114</f>
        <v>0</v>
      </c>
      <c r="AM116" s="8">
        <f>'BIO DATA'!BE114</f>
        <v>0</v>
      </c>
      <c r="AN116" s="8">
        <f>'BIO DATA'!BF114</f>
        <v>0</v>
      </c>
      <c r="AO116" s="8">
        <f>'BIO DATA'!BG114</f>
        <v>0</v>
      </c>
      <c r="AP116" s="54" t="s">
        <v>195</v>
      </c>
    </row>
    <row r="117" spans="1:42" s="54" customFormat="1" ht="20.100000000000001" customHeight="1" thickBot="1">
      <c r="A117" s="15" t="s">
        <v>77</v>
      </c>
      <c r="B117">
        <v>4</v>
      </c>
      <c r="C117" s="90">
        <f>'BIO DATA'!D115</f>
        <v>11425</v>
      </c>
      <c r="D117" s="90" t="str">
        <f>'BIO DATA'!E115</f>
        <v>3098485813</v>
      </c>
      <c r="E117" s="89" t="str">
        <f>'BIO DATA'!F115</f>
        <v>Muhammad Ilham Khoirullah</v>
      </c>
      <c r="F117" s="49" t="str">
        <f>'BIO DATA'!M115</f>
        <v>Laki-laki</v>
      </c>
      <c r="G117" s="8" t="str">
        <f>'BIO DATA'!N115</f>
        <v>Sorong</v>
      </c>
      <c r="H117" s="51">
        <f>'BIO DATA'!P115</f>
        <v>40167</v>
      </c>
      <c r="I117" s="49" t="str">
        <f>'BIO DATA'!S115</f>
        <v>Islam</v>
      </c>
      <c r="J117" s="50">
        <f>'BIO DATA'!J115:J277</f>
        <v>3</v>
      </c>
      <c r="K117" s="50">
        <f>'BIO DATA'!K115:K318</f>
        <v>3</v>
      </c>
      <c r="L117" s="8" t="str">
        <f>'BIO DATA'!T115:T277</f>
        <v>Jalan Juanda 2 Komplek Wijaya Kusuma VI, No. 73, Rt. 19, Kel. Air Putih, Kec. Samarinda Ulu, Kota Samarinda, Kalimantan Timur, Kalimantan Timur, 75124</v>
      </c>
      <c r="M117" s="8" t="str">
        <f>'BIO DATA'!V115:V318</f>
        <v>Air Putih</v>
      </c>
      <c r="N117" s="8" t="str">
        <f>'BIO DATA'!W115:W318</f>
        <v>Samarinda Ulu</v>
      </c>
      <c r="O117" s="8" t="str">
        <f>'BIO DATA'!X115:X318</f>
        <v>Kota Samarinda</v>
      </c>
      <c r="P117" s="8" t="str">
        <f>'BIO DATA'!Y115:Y318</f>
        <v>Kalimantan Timur</v>
      </c>
      <c r="Q117" s="8" t="str">
        <f>'BIO DATA'!Z115:Z318</f>
        <v>MTs. Mu'allimin Muh. Yogyakarta</v>
      </c>
      <c r="R117" s="8" t="str">
        <f>'BIO DATA'!AA115:AA318</f>
        <v>SD Muhammadiyah 1 Samarinda</v>
      </c>
      <c r="S117" s="8">
        <f>'BIO DATA'!AB115:AB318</f>
        <v>0</v>
      </c>
      <c r="T117" s="8" t="str">
        <f>'BIO DATA'!AC115:AC318</f>
        <v>Ismawardi</v>
      </c>
      <c r="U117" s="8" t="str">
        <f>'BIO DATA'!AD115</f>
        <v>Islam</v>
      </c>
      <c r="V117" s="8" t="str">
        <f>'BIO DATA'!AL115:AL318</f>
        <v>S1</v>
      </c>
      <c r="W117" s="8" t="str">
        <f>'BIO DATA'!AM115:AM318</f>
        <v>Ibu Rumah Tangga</v>
      </c>
      <c r="X117" s="8" t="str">
        <f>'BIO DATA'!AG115:AG318</f>
        <v>&gt; Rp 2.500.000,00</v>
      </c>
      <c r="Y117" s="69" t="s">
        <v>217</v>
      </c>
      <c r="Z117" s="8">
        <f>'BIO DATA'!AI115:AI318</f>
        <v>0</v>
      </c>
      <c r="AA117" s="8" t="str">
        <f>'BIO DATA'!AJ115:AJ318</f>
        <v>Nisha Jamilah</v>
      </c>
      <c r="AB117" s="8" t="str">
        <f>'BIO DATA'!AK115</f>
        <v>Islam</v>
      </c>
      <c r="AC117" s="8" t="str">
        <f>'BIO DATA'!AL115:AL318</f>
        <v>S1</v>
      </c>
      <c r="AD117" s="8" t="str">
        <f>'BIO DATA'!AM115:AM318</f>
        <v>Ibu Rumah Tangga</v>
      </c>
      <c r="AE117" s="8">
        <f>'BIO DATA'!AN115:AN318</f>
        <v>0</v>
      </c>
      <c r="AF117" s="52"/>
      <c r="AG117" s="8">
        <f>'BIO DATA'!AP115</f>
        <v>0</v>
      </c>
      <c r="AH117" s="8">
        <f>'BIO DATA'!AZ115</f>
        <v>0</v>
      </c>
      <c r="AI117" s="8" t="str">
        <f>'BIO DATA'!BA115</f>
        <v>Islam</v>
      </c>
      <c r="AJ117" s="8">
        <f>'BIO DATA'!BB115</f>
        <v>0</v>
      </c>
      <c r="AK117" s="8">
        <f>'BIO DATA'!BC115</f>
        <v>0</v>
      </c>
      <c r="AL117" s="8">
        <f>'BIO DATA'!BD115</f>
        <v>0</v>
      </c>
      <c r="AM117" s="8">
        <f>'BIO DATA'!BE115</f>
        <v>0</v>
      </c>
      <c r="AN117" s="8">
        <f>'BIO DATA'!BF115</f>
        <v>0</v>
      </c>
      <c r="AO117" s="8">
        <f>'BIO DATA'!BG115</f>
        <v>0</v>
      </c>
      <c r="AP117" s="54" t="s">
        <v>197</v>
      </c>
    </row>
    <row r="118" spans="1:42" s="54" customFormat="1" ht="20.100000000000001" customHeight="1" thickBot="1">
      <c r="A118" s="15" t="s">
        <v>77</v>
      </c>
      <c r="B118">
        <v>8</v>
      </c>
      <c r="C118" s="90">
        <f>'BIO DATA'!D116</f>
        <v>11436</v>
      </c>
      <c r="D118" s="90" t="str">
        <f>'BIO DATA'!E116</f>
        <v>0099269909</v>
      </c>
      <c r="E118" s="89" t="str">
        <f>'BIO DATA'!F116</f>
        <v>Muhammad Miqdad Nur Al Haqqi</v>
      </c>
      <c r="F118" s="49" t="str">
        <f>'BIO DATA'!M116</f>
        <v>Laki-laki</v>
      </c>
      <c r="G118" s="8" t="str">
        <f>'BIO DATA'!N116</f>
        <v>Sleman</v>
      </c>
      <c r="H118" s="51">
        <f>'BIO DATA'!P116</f>
        <v>39930</v>
      </c>
      <c r="I118" s="49" t="str">
        <f>'BIO DATA'!S116</f>
        <v>Islam</v>
      </c>
      <c r="J118" s="50">
        <f>'BIO DATA'!J116:J278</f>
        <v>2</v>
      </c>
      <c r="K118" s="50">
        <f>'BIO DATA'!K116:K319</f>
        <v>2</v>
      </c>
      <c r="L118" s="8" t="str">
        <f>'BIO DATA'!T116:T278</f>
        <v>Bukit Gading Balaraja Blok K2/32 Desa Cangkudu Kecamatan Balaraja Kabupaten Tangerang Propinsi Banten, 15610</v>
      </c>
      <c r="M118" s="8" t="str">
        <f>'BIO DATA'!V116:V319</f>
        <v>Cangkudu</v>
      </c>
      <c r="N118" s="8" t="str">
        <f>'BIO DATA'!W116:W319</f>
        <v>Balaraja</v>
      </c>
      <c r="O118" s="8" t="str">
        <f>'BIO DATA'!X116:X319</f>
        <v>Tangerang</v>
      </c>
      <c r="P118" s="8" t="str">
        <f>'BIO DATA'!Y116:Y319</f>
        <v>Banten</v>
      </c>
      <c r="Q118" s="8" t="str">
        <f>'BIO DATA'!Z116:Z319</f>
        <v>MTs. Mu'allimin Muh. Yogyakarta</v>
      </c>
      <c r="R118" s="8" t="str">
        <f>'BIO DATA'!AA116:AA319</f>
        <v>Sentul Jaya, Kec. Balaraja, Kabupaten Tangerang, Banten 15610</v>
      </c>
      <c r="S118" s="8">
        <f>'BIO DATA'!AB116:AB319</f>
        <v>0</v>
      </c>
      <c r="T118" s="8" t="str">
        <f>'BIO DATA'!AC116:AC319</f>
        <v>Suparmanto</v>
      </c>
      <c r="U118" s="8" t="str">
        <f>'BIO DATA'!AD116</f>
        <v>Islam</v>
      </c>
      <c r="V118" s="8" t="str">
        <f>'BIO DATA'!AL116:AL319</f>
        <v>SMA</v>
      </c>
      <c r="W118" s="8" t="str">
        <f>'BIO DATA'!AM116:AM319</f>
        <v>Ibu Rumah Tangga</v>
      </c>
      <c r="X118" s="8" t="str">
        <f>'BIO DATA'!AG116:AG319</f>
        <v>&gt; Rp 2.500.000,00</v>
      </c>
      <c r="Y118" s="69" t="s">
        <v>217</v>
      </c>
      <c r="Z118" s="8">
        <f>'BIO DATA'!AI116:AI319</f>
        <v>0</v>
      </c>
      <c r="AA118" s="8" t="str">
        <f>'BIO DATA'!AJ116:AJ319</f>
        <v>Delta Ucu Yuliana</v>
      </c>
      <c r="AB118" s="8" t="str">
        <f>'BIO DATA'!AK116</f>
        <v>Islam</v>
      </c>
      <c r="AC118" s="8" t="str">
        <f>'BIO DATA'!AL116:AL319</f>
        <v>SMA</v>
      </c>
      <c r="AD118" s="8" t="str">
        <f>'BIO DATA'!AM116:AM319</f>
        <v>Ibu Rumah Tangga</v>
      </c>
      <c r="AE118" s="8">
        <f>'BIO DATA'!AN116:AN319</f>
        <v>0</v>
      </c>
      <c r="AF118" s="52"/>
      <c r="AG118" s="8">
        <f>'BIO DATA'!AP116</f>
        <v>0</v>
      </c>
      <c r="AH118" s="8">
        <f>'BIO DATA'!AZ116</f>
        <v>0</v>
      </c>
      <c r="AI118" s="8" t="str">
        <f>'BIO DATA'!BA116</f>
        <v>Islam</v>
      </c>
      <c r="AJ118" s="8">
        <f>'BIO DATA'!BB116</f>
        <v>0</v>
      </c>
      <c r="AK118" s="8">
        <f>'BIO DATA'!BC116</f>
        <v>0</v>
      </c>
      <c r="AL118" s="8">
        <f>'BIO DATA'!BD116</f>
        <v>0</v>
      </c>
      <c r="AM118" s="8">
        <f>'BIO DATA'!BE116</f>
        <v>0</v>
      </c>
      <c r="AN118" s="8">
        <f>'BIO DATA'!BF116</f>
        <v>0</v>
      </c>
      <c r="AO118" s="8">
        <f>'BIO DATA'!BG116</f>
        <v>0</v>
      </c>
      <c r="AP118" s="54" t="s">
        <v>197</v>
      </c>
    </row>
    <row r="119" spans="1:42" s="54" customFormat="1" ht="20.100000000000001" customHeight="1" thickBot="1">
      <c r="A119" s="15" t="s">
        <v>77</v>
      </c>
      <c r="B119">
        <v>9</v>
      </c>
      <c r="C119" s="90">
        <f>'BIO DATA'!D117</f>
        <v>11449</v>
      </c>
      <c r="D119" s="90" t="str">
        <f>'BIO DATA'!E117</f>
        <v>0095835944</v>
      </c>
      <c r="E119" s="89" t="str">
        <f>'BIO DATA'!F117</f>
        <v>Muhammad Raziq Niswardi Azhar</v>
      </c>
      <c r="F119" s="49" t="str">
        <f>'BIO DATA'!M117</f>
        <v>Laki-laki</v>
      </c>
      <c r="G119" s="8" t="str">
        <f>'BIO DATA'!N117</f>
        <v>Samarinda</v>
      </c>
      <c r="H119" s="51">
        <f>'BIO DATA'!P117</f>
        <v>40175</v>
      </c>
      <c r="I119" s="49" t="str">
        <f>'BIO DATA'!S117</f>
        <v>Islam</v>
      </c>
      <c r="J119" s="50">
        <f>'BIO DATA'!J117:J279</f>
        <v>2</v>
      </c>
      <c r="K119" s="50">
        <f>'BIO DATA'!K117:K320</f>
        <v>1</v>
      </c>
      <c r="L119" s="8" t="str">
        <f>'BIO DATA'!T117:T279</f>
        <v>Perumahan Bukit Asri Ringin Agung No C-4 Kec. Magetan Kab. Magetan Jawa Timur 63319</v>
      </c>
      <c r="M119" s="8" t="str">
        <f>'BIO DATA'!V117:V320</f>
        <v>Ringin Agung</v>
      </c>
      <c r="N119" s="8" t="str">
        <f>'BIO DATA'!W117:W320</f>
        <v>Magetan</v>
      </c>
      <c r="O119" s="8" t="str">
        <f>'BIO DATA'!X117:X320</f>
        <v>Magetan</v>
      </c>
      <c r="P119" s="8" t="str">
        <f>'BIO DATA'!Y117:Y320</f>
        <v>Jawa Timur</v>
      </c>
      <c r="Q119" s="8" t="str">
        <f>'BIO DATA'!Z117:Z320</f>
        <v>MTs. Mu'allimin Muh. Yogyakarta</v>
      </c>
      <c r="R119" s="8" t="str">
        <f>'BIO DATA'!AA117:AA320</f>
        <v>Krajan, Mantren, Kec. Karangrejo, Kabupaten Magetan, Jawa Timur 63395</v>
      </c>
      <c r="S119" s="8">
        <f>'BIO DATA'!AB117:AB320</f>
        <v>0</v>
      </c>
      <c r="T119" s="8" t="str">
        <f>'BIO DATA'!AC117:AC320</f>
        <v>Didik Wibowo</v>
      </c>
      <c r="U119" s="8" t="str">
        <f>'BIO DATA'!AD117</f>
        <v>Islam</v>
      </c>
      <c r="V119" s="8" t="str">
        <f>'BIO DATA'!AL117:AL320</f>
        <v>SMA</v>
      </c>
      <c r="W119" s="8" t="str">
        <f>'BIO DATA'!AM117:AM320</f>
        <v>PNS</v>
      </c>
      <c r="X119" s="8" t="str">
        <f>'BIO DATA'!AG117:AG320</f>
        <v>Antara Rp 2.000.000,00 s.d. Rp 2.500,000,00</v>
      </c>
      <c r="Y119" s="69" t="s">
        <v>217</v>
      </c>
      <c r="Z119" s="8">
        <f>'BIO DATA'!AI117:AI320</f>
        <v>0</v>
      </c>
      <c r="AA119" s="8" t="str">
        <f>'BIO DATA'!AJ117:AJ320</f>
        <v>Yantini</v>
      </c>
      <c r="AB119" s="8" t="str">
        <f>'BIO DATA'!AK117</f>
        <v>Islam</v>
      </c>
      <c r="AC119" s="8" t="str">
        <f>'BIO DATA'!AL117:AL320</f>
        <v>SMA</v>
      </c>
      <c r="AD119" s="8" t="str">
        <f>'BIO DATA'!AM117:AM320</f>
        <v>PNS</v>
      </c>
      <c r="AE119" s="8">
        <f>'BIO DATA'!AN117:AN320</f>
        <v>0</v>
      </c>
      <c r="AF119" s="52"/>
      <c r="AG119" s="8">
        <f>'BIO DATA'!AP117</f>
        <v>0</v>
      </c>
      <c r="AH119" s="8">
        <f>'BIO DATA'!AZ117</f>
        <v>0</v>
      </c>
      <c r="AI119" s="8" t="str">
        <f>'BIO DATA'!BA117</f>
        <v>Islam</v>
      </c>
      <c r="AJ119" s="8">
        <f>'BIO DATA'!BB117</f>
        <v>0</v>
      </c>
      <c r="AK119" s="8">
        <f>'BIO DATA'!BC117</f>
        <v>0</v>
      </c>
      <c r="AL119" s="8">
        <f>'BIO DATA'!BD117</f>
        <v>0</v>
      </c>
      <c r="AM119" s="8">
        <f>'BIO DATA'!BE117</f>
        <v>0</v>
      </c>
      <c r="AN119" s="8">
        <f>'BIO DATA'!BF117</f>
        <v>0</v>
      </c>
      <c r="AO119" s="8">
        <f>'BIO DATA'!BG117</f>
        <v>0</v>
      </c>
      <c r="AP119" s="54" t="s">
        <v>197</v>
      </c>
    </row>
    <row r="120" spans="1:42" s="54" customFormat="1" ht="20.100000000000001" customHeight="1" thickBot="1">
      <c r="A120" s="15" t="s">
        <v>77</v>
      </c>
      <c r="B120">
        <v>17</v>
      </c>
      <c r="C120" s="90">
        <f>'BIO DATA'!D118</f>
        <v>11459</v>
      </c>
      <c r="D120" s="90" t="str">
        <f>'BIO DATA'!E118</f>
        <v>0102418685</v>
      </c>
      <c r="E120" s="89" t="str">
        <f>'BIO DATA'!F118</f>
        <v>Nabil Abrar</v>
      </c>
      <c r="F120" s="49" t="str">
        <f>'BIO DATA'!M118</f>
        <v>Laki-laki</v>
      </c>
      <c r="G120" s="8" t="str">
        <f>'BIO DATA'!N118</f>
        <v>Tangerang</v>
      </c>
      <c r="H120" s="51">
        <f>'BIO DATA'!P118</f>
        <v>40424</v>
      </c>
      <c r="I120" s="49" t="str">
        <f>'BIO DATA'!S118</f>
        <v>Islam</v>
      </c>
      <c r="J120" s="50">
        <f>'BIO DATA'!J118:J280</f>
        <v>1</v>
      </c>
      <c r="K120" s="50">
        <f>'BIO DATA'!K118:K321</f>
        <v>2</v>
      </c>
      <c r="L120" s="8" t="str">
        <f>'BIO DATA'!T118:T280</f>
        <v>Mlipak RT 002/RW 002 Wonosobo , Jawa Tengah, 56312</v>
      </c>
      <c r="M120" s="8" t="str">
        <f>'BIO DATA'!V118:V321</f>
        <v>Mlipak</v>
      </c>
      <c r="N120" s="8" t="str">
        <f>'BIO DATA'!W118:W321</f>
        <v>Wonosobo</v>
      </c>
      <c r="O120" s="8" t="str">
        <f>'BIO DATA'!X118:X321</f>
        <v>Wonosobo</v>
      </c>
      <c r="P120" s="8" t="str">
        <f>'BIO DATA'!Y118:Y321</f>
        <v>Jawa Tengah</v>
      </c>
      <c r="Q120" s="8" t="str">
        <f>'BIO DATA'!Z118:Z321</f>
        <v>MTs. Mu'allimin Muh. Yogyakarta</v>
      </c>
      <c r="R120" s="8" t="str">
        <f>'BIO DATA'!AA118:AA321</f>
        <v>Jl. Tosari No.9, Wonosobo Timur, Wonosobo Tim., Kec. Wonosobo, Kabupaten Wonosobo, Jawa Tengah 56311</v>
      </c>
      <c r="S120" s="8">
        <f>'BIO DATA'!AB118:AB321</f>
        <v>0</v>
      </c>
      <c r="T120" s="8" t="str">
        <f>'BIO DATA'!AC118:AC321</f>
        <v>Eko Prasetyo Nugroho</v>
      </c>
      <c r="U120" s="8" t="str">
        <f>'BIO DATA'!AD118</f>
        <v>Islam</v>
      </c>
      <c r="V120" s="8" t="str">
        <f>'BIO DATA'!AL118:AL321</f>
        <v>SMP</v>
      </c>
      <c r="W120" s="8" t="str">
        <f>'BIO DATA'!AM118:AM321</f>
        <v>Ibu Rumah Tangga</v>
      </c>
      <c r="X120" s="8" t="str">
        <f>'BIO DATA'!AG118:AG321</f>
        <v>&gt; Rp 2.500.000,00</v>
      </c>
      <c r="Y120" s="69" t="s">
        <v>217</v>
      </c>
      <c r="Z120" s="8">
        <f>'BIO DATA'!AI118:AI321</f>
        <v>0</v>
      </c>
      <c r="AA120" s="8" t="str">
        <f>'BIO DATA'!AJ118:AJ321</f>
        <v>Tutik Handayani</v>
      </c>
      <c r="AB120" s="8" t="str">
        <f>'BIO DATA'!AK118</f>
        <v>Islam</v>
      </c>
      <c r="AC120" s="8" t="str">
        <f>'BIO DATA'!AL118:AL321</f>
        <v>SMP</v>
      </c>
      <c r="AD120" s="8" t="str">
        <f>'BIO DATA'!AM118:AM321</f>
        <v>Ibu Rumah Tangga</v>
      </c>
      <c r="AE120" s="8">
        <f>'BIO DATA'!AN118:AN321</f>
        <v>0</v>
      </c>
      <c r="AF120" s="52"/>
      <c r="AG120" s="8">
        <f>'BIO DATA'!AP118</f>
        <v>0</v>
      </c>
      <c r="AH120" s="8">
        <f>'BIO DATA'!AZ118</f>
        <v>0</v>
      </c>
      <c r="AI120" s="8" t="str">
        <f>'BIO DATA'!BA118</f>
        <v>Islam</v>
      </c>
      <c r="AJ120" s="8">
        <f>'BIO DATA'!BB118</f>
        <v>0</v>
      </c>
      <c r="AK120" s="8">
        <f>'BIO DATA'!BC118</f>
        <v>0</v>
      </c>
      <c r="AL120" s="8">
        <f>'BIO DATA'!BD118</f>
        <v>0</v>
      </c>
      <c r="AM120" s="8">
        <f>'BIO DATA'!BE118</f>
        <v>0</v>
      </c>
      <c r="AN120" s="8">
        <f>'BIO DATA'!BF118</f>
        <v>0</v>
      </c>
      <c r="AO120" s="8">
        <f>'BIO DATA'!BG118</f>
        <v>0</v>
      </c>
      <c r="AP120" s="54" t="s">
        <v>197</v>
      </c>
    </row>
    <row r="121" spans="1:42" s="54" customFormat="1" ht="20.100000000000001" customHeight="1" thickBot="1">
      <c r="A121" s="15" t="s">
        <v>77</v>
      </c>
      <c r="B121">
        <v>24</v>
      </c>
      <c r="C121" s="90">
        <f>'BIO DATA'!D119</f>
        <v>11467</v>
      </c>
      <c r="D121" s="90" t="str">
        <f>'BIO DATA'!E119</f>
        <v>0104075497</v>
      </c>
      <c r="E121" s="89" t="str">
        <f>'BIO DATA'!F119</f>
        <v>Naufal Ramadhan Putra Wibowo</v>
      </c>
      <c r="F121" s="49" t="str">
        <f>'BIO DATA'!M119</f>
        <v>Laki-laki</v>
      </c>
      <c r="G121" s="8" t="str">
        <f>'BIO DATA'!N119</f>
        <v>Sendawar</v>
      </c>
      <c r="H121" s="51">
        <f>'BIO DATA'!P119</f>
        <v>40407</v>
      </c>
      <c r="I121" s="49" t="str">
        <f>'BIO DATA'!S119</f>
        <v>Islam</v>
      </c>
      <c r="J121" s="50">
        <f>'BIO DATA'!J119:J281</f>
        <v>1</v>
      </c>
      <c r="K121" s="50">
        <f>'BIO DATA'!K119:K322</f>
        <v>1</v>
      </c>
      <c r="L121" s="8" t="str">
        <f>'BIO DATA'!T119:T281</f>
        <v>Perum Bukit Gading Cisoka Blok C4 no.12A,Selaparang,Cisoka,Tangerang Jawa Barat 15370</v>
      </c>
      <c r="M121" s="8" t="str">
        <f>'BIO DATA'!V119:V322</f>
        <v>Selaparang</v>
      </c>
      <c r="N121" s="8" t="str">
        <f>'BIO DATA'!W119:W322</f>
        <v>Cisoka</v>
      </c>
      <c r="O121" s="8" t="str">
        <f>'BIO DATA'!X119:X322</f>
        <v>Tangerang</v>
      </c>
      <c r="P121" s="8" t="str">
        <f>'BIO DATA'!Y119:Y322</f>
        <v>Banten</v>
      </c>
      <c r="Q121" s="8" t="str">
        <f>'BIO DATA'!Z119:Z322</f>
        <v>MTs. Mu'allimin Muh. Yogyakarta</v>
      </c>
      <c r="R121" s="8" t="str">
        <f>'BIO DATA'!AA119:AA322</f>
        <v>Sentul Jaya, Kec. Balaraja, Kabupaten Tangerang, Banten 15610</v>
      </c>
      <c r="S121" s="8">
        <f>'BIO DATA'!AB119:AB322</f>
        <v>0</v>
      </c>
      <c r="T121" s="8" t="str">
        <f>'BIO DATA'!AC119:AC322</f>
        <v>Mulyadi</v>
      </c>
      <c r="U121" s="8" t="str">
        <f>'BIO DATA'!AD119</f>
        <v>Islam</v>
      </c>
      <c r="V121" s="8" t="str">
        <f>'BIO DATA'!AL119:AL322</f>
        <v>Diploma</v>
      </c>
      <c r="W121" s="8" t="str">
        <f>'BIO DATA'!AM119:AM322</f>
        <v>Lainnya</v>
      </c>
      <c r="X121" s="8" t="str">
        <f>'BIO DATA'!AG119:AG322</f>
        <v>&gt; Rp 2.500.000,00</v>
      </c>
      <c r="Y121" s="69" t="s">
        <v>217</v>
      </c>
      <c r="Z121" s="8">
        <f>'BIO DATA'!AI119:AI322</f>
        <v>0</v>
      </c>
      <c r="AA121" s="8" t="str">
        <f>'BIO DATA'!AJ119:AJ322</f>
        <v>Agustina</v>
      </c>
      <c r="AB121" s="8" t="str">
        <f>'BIO DATA'!AK119</f>
        <v>Islam</v>
      </c>
      <c r="AC121" s="8" t="str">
        <f>'BIO DATA'!AL119:AL322</f>
        <v>Diploma</v>
      </c>
      <c r="AD121" s="8" t="str">
        <f>'BIO DATA'!AM119:AM322</f>
        <v>Lainnya</v>
      </c>
      <c r="AE121" s="8">
        <f>'BIO DATA'!AN119:AN322</f>
        <v>0</v>
      </c>
      <c r="AF121" s="52"/>
      <c r="AG121" s="8">
        <f>'BIO DATA'!AP119</f>
        <v>0</v>
      </c>
      <c r="AH121" s="8">
        <f>'BIO DATA'!AZ119</f>
        <v>0</v>
      </c>
      <c r="AI121" s="8" t="str">
        <f>'BIO DATA'!BA119</f>
        <v>Islam</v>
      </c>
      <c r="AJ121" s="8">
        <f>'BIO DATA'!BB119</f>
        <v>0</v>
      </c>
      <c r="AK121" s="8">
        <f>'BIO DATA'!BC119</f>
        <v>0</v>
      </c>
      <c r="AL121" s="8">
        <f>'BIO DATA'!BD119</f>
        <v>0</v>
      </c>
      <c r="AM121" s="8">
        <f>'BIO DATA'!BE119</f>
        <v>0</v>
      </c>
      <c r="AN121" s="8">
        <f>'BIO DATA'!BF119</f>
        <v>0</v>
      </c>
      <c r="AO121" s="8">
        <f>'BIO DATA'!BG119</f>
        <v>0</v>
      </c>
      <c r="AP121" s="54" t="s">
        <v>197</v>
      </c>
    </row>
    <row r="122" spans="1:42" s="54" customFormat="1" ht="20.100000000000001" customHeight="1" thickBot="1">
      <c r="A122" s="15" t="s">
        <v>77</v>
      </c>
      <c r="B122">
        <v>25</v>
      </c>
      <c r="C122" s="90">
        <f>'BIO DATA'!D120</f>
        <v>11468</v>
      </c>
      <c r="D122" s="90" t="str">
        <f>'BIO DATA'!E120</f>
        <v>0093964413</v>
      </c>
      <c r="E122" s="89" t="str">
        <f>'BIO DATA'!F120</f>
        <v>Naufal Yatha Nugroho</v>
      </c>
      <c r="F122" s="49" t="str">
        <f>'BIO DATA'!M120</f>
        <v>Laki-laki</v>
      </c>
      <c r="G122" s="8" t="str">
        <f>'BIO DATA'!N120</f>
        <v>Wonosobo</v>
      </c>
      <c r="H122" s="51">
        <f>'BIO DATA'!P120</f>
        <v>40314</v>
      </c>
      <c r="I122" s="49" t="str">
        <f>'BIO DATA'!S120</f>
        <v>Islam</v>
      </c>
      <c r="J122" s="50">
        <f>'BIO DATA'!J120:J282</f>
        <v>2</v>
      </c>
      <c r="K122" s="50">
        <f>'BIO DATA'!K120:K323</f>
        <v>1</v>
      </c>
      <c r="L122" s="8" t="str">
        <f>'BIO DATA'!T120:T282</f>
        <v>Gading Mediterania Residences (Tower B 5BK) Jl. Boulevard Bukit Gading Raya, Kelapa Gading  Jakarta Utara DKI Jakarta 14240</v>
      </c>
      <c r="M122" s="8" t="str">
        <f>'BIO DATA'!V120:V323</f>
        <v>Kelapa Gading Barat</v>
      </c>
      <c r="N122" s="8" t="str">
        <f>'BIO DATA'!W120:W323</f>
        <v>Kelapa Gading</v>
      </c>
      <c r="O122" s="8" t="str">
        <f>'BIO DATA'!X120:X323</f>
        <v>Jakarta Utara</v>
      </c>
      <c r="P122" s="8" t="str">
        <f>'BIO DATA'!Y120:Y323</f>
        <v>DKI Jakarta</v>
      </c>
      <c r="Q122" s="8" t="str">
        <f>'BIO DATA'!Z120:Z323</f>
        <v>MTs. Mu'allimin Muh. Yogyakarta</v>
      </c>
      <c r="R122" s="8" t="str">
        <f>'BIO DATA'!AA120:AA323</f>
        <v>RT.13/RW.3, Kayu Putih, Kec. Pulo Gadung, Kota Jakarta Timur, Daerah Khusus Ibukota Jakarta 13210</v>
      </c>
      <c r="S122" s="8">
        <f>'BIO DATA'!AB120:AB323</f>
        <v>0</v>
      </c>
      <c r="T122" s="8" t="str">
        <f>'BIO DATA'!AC120:AC323</f>
        <v>Muhammad Ardiansyah</v>
      </c>
      <c r="U122" s="8" t="str">
        <f>'BIO DATA'!AD120</f>
        <v>Islam</v>
      </c>
      <c r="V122" s="8" t="str">
        <f>'BIO DATA'!AL120:AL323</f>
        <v>Diploma</v>
      </c>
      <c r="W122" s="8" t="str">
        <f>'BIO DATA'!AM120:AM323</f>
        <v>Ibu Rumah Tangga</v>
      </c>
      <c r="X122" s="8" t="str">
        <f>'BIO DATA'!AG120:AG323</f>
        <v>&gt; Rp 2.500.000,00</v>
      </c>
      <c r="Y122" s="69" t="s">
        <v>217</v>
      </c>
      <c r="Z122" s="8">
        <f>'BIO DATA'!AI120:AI323</f>
        <v>0</v>
      </c>
      <c r="AA122" s="8" t="str">
        <f>'BIO DATA'!AJ120:AJ323</f>
        <v>Indah Setiawati</v>
      </c>
      <c r="AB122" s="8" t="str">
        <f>'BIO DATA'!AK120</f>
        <v>Islam</v>
      </c>
      <c r="AC122" s="8" t="str">
        <f>'BIO DATA'!AL120:AL323</f>
        <v>Diploma</v>
      </c>
      <c r="AD122" s="8" t="str">
        <f>'BIO DATA'!AM120:AM323</f>
        <v>Ibu Rumah Tangga</v>
      </c>
      <c r="AE122" s="8">
        <f>'BIO DATA'!AN120:AN323</f>
        <v>0</v>
      </c>
      <c r="AF122" s="52"/>
      <c r="AG122" s="8">
        <f>'BIO DATA'!AP120</f>
        <v>0</v>
      </c>
      <c r="AH122" s="8">
        <f>'BIO DATA'!AZ120</f>
        <v>0</v>
      </c>
      <c r="AI122" s="8" t="str">
        <f>'BIO DATA'!BA120</f>
        <v>Islam</v>
      </c>
      <c r="AJ122" s="8">
        <f>'BIO DATA'!BB120</f>
        <v>0</v>
      </c>
      <c r="AK122" s="8">
        <f>'BIO DATA'!BC120</f>
        <v>0</v>
      </c>
      <c r="AL122" s="8">
        <f>'BIO DATA'!BD120</f>
        <v>0</v>
      </c>
      <c r="AM122" s="8">
        <f>'BIO DATA'!BE120</f>
        <v>0</v>
      </c>
      <c r="AN122" s="8">
        <f>'BIO DATA'!BF120</f>
        <v>0</v>
      </c>
      <c r="AO122" s="8">
        <f>'BIO DATA'!BG120</f>
        <v>0</v>
      </c>
      <c r="AP122" s="54" t="s">
        <v>197</v>
      </c>
    </row>
    <row r="123" spans="1:42" s="54" customFormat="1" ht="20.100000000000001" customHeight="1" thickBot="1">
      <c r="A123" s="15" t="s">
        <v>77</v>
      </c>
      <c r="B123">
        <v>95</v>
      </c>
      <c r="C123" s="90">
        <f>'BIO DATA'!D121</f>
        <v>11480</v>
      </c>
      <c r="D123" s="90" t="str">
        <f>'BIO DATA'!E121</f>
        <v>3104966719</v>
      </c>
      <c r="E123" s="89" t="str">
        <f>'BIO DATA'!F121</f>
        <v>Raafi Annas Majid</v>
      </c>
      <c r="F123" s="49" t="str">
        <f>'BIO DATA'!M121</f>
        <v>Laki-laki</v>
      </c>
      <c r="G123" s="8" t="str">
        <f>'BIO DATA'!N121</f>
        <v>Tangerang</v>
      </c>
      <c r="H123" s="51">
        <f>'BIO DATA'!P121</f>
        <v>40324</v>
      </c>
      <c r="I123" s="49" t="str">
        <f>'BIO DATA'!S121</f>
        <v>Islam</v>
      </c>
      <c r="J123" s="50">
        <f>'BIO DATA'!J121:J283</f>
        <v>2</v>
      </c>
      <c r="K123" s="50">
        <f>'BIO DATA'!K121:K324</f>
        <v>1</v>
      </c>
      <c r="L123" s="8" t="str">
        <f>'BIO DATA'!T121:T283</f>
        <v>Kagokan 001/002 Kemudo Prambanan Klaten Jawa Tengah 54754</v>
      </c>
      <c r="M123" s="8" t="str">
        <f>'BIO DATA'!V121:V324</f>
        <v>Kemudo</v>
      </c>
      <c r="N123" s="8" t="str">
        <f>'BIO DATA'!W121:W324</f>
        <v>Prambanan</v>
      </c>
      <c r="O123" s="8" t="str">
        <f>'BIO DATA'!X121:X324</f>
        <v>Klaten</v>
      </c>
      <c r="P123" s="8" t="str">
        <f>'BIO DATA'!Y121:Y324</f>
        <v>Jawa Tengah</v>
      </c>
      <c r="Q123" s="8" t="str">
        <f>'BIO DATA'!Z121:Z324</f>
        <v>MTs. Mu'allimin Muh. Yogyakarta</v>
      </c>
      <c r="R123" s="8" t="str">
        <f>'BIO DATA'!AA121:AA324</f>
        <v>Dukutalit, Juwana, Brumbun, Dukutalit, Kec. Pati, Kabupaten Pati, Jawa Tengah 59185</v>
      </c>
      <c r="S123" s="8">
        <f>'BIO DATA'!AB121:AB324</f>
        <v>0</v>
      </c>
      <c r="T123" s="8" t="str">
        <f>'BIO DATA'!AC121:AC324</f>
        <v>Supriyadi</v>
      </c>
      <c r="U123" s="8" t="str">
        <f>'BIO DATA'!AD121</f>
        <v>Islam</v>
      </c>
      <c r="V123" s="8" t="str">
        <f>'BIO DATA'!AL121:AL324</f>
        <v>SMA</v>
      </c>
      <c r="W123" s="8" t="str">
        <f>'BIO DATA'!AM121:AM324</f>
        <v>Ibu Rumah Tangga</v>
      </c>
      <c r="X123" s="8" t="str">
        <f>'BIO DATA'!AG121:AG324</f>
        <v>&gt; Rp 2.500.000,00</v>
      </c>
      <c r="Y123" s="69" t="s">
        <v>217</v>
      </c>
      <c r="Z123" s="8">
        <f>'BIO DATA'!AI121:AI324</f>
        <v>0</v>
      </c>
      <c r="AA123" s="8" t="str">
        <f>'BIO DATA'!AJ121:AJ324</f>
        <v>Suminten</v>
      </c>
      <c r="AB123" s="8" t="str">
        <f>'BIO DATA'!AK121</f>
        <v>Islam</v>
      </c>
      <c r="AC123" s="8" t="str">
        <f>'BIO DATA'!AL121:AL324</f>
        <v>SMA</v>
      </c>
      <c r="AD123" s="8" t="str">
        <f>'BIO DATA'!AM121:AM324</f>
        <v>Ibu Rumah Tangga</v>
      </c>
      <c r="AE123" s="8">
        <f>'BIO DATA'!AN121:AN324</f>
        <v>0</v>
      </c>
      <c r="AF123" s="52"/>
      <c r="AG123" s="8">
        <f>'BIO DATA'!AP121</f>
        <v>0</v>
      </c>
      <c r="AH123" s="8">
        <f>'BIO DATA'!AZ121</f>
        <v>0</v>
      </c>
      <c r="AI123" s="8" t="str">
        <f>'BIO DATA'!BA121</f>
        <v>Islam</v>
      </c>
      <c r="AJ123" s="8">
        <f>'BIO DATA'!BB121</f>
        <v>0</v>
      </c>
      <c r="AK123" s="8">
        <f>'BIO DATA'!BC121</f>
        <v>0</v>
      </c>
      <c r="AL123" s="8">
        <f>'BIO DATA'!BD121</f>
        <v>0</v>
      </c>
      <c r="AM123" s="8">
        <f>'BIO DATA'!BE121</f>
        <v>0</v>
      </c>
      <c r="AN123" s="8">
        <f>'BIO DATA'!BF121</f>
        <v>0</v>
      </c>
      <c r="AO123" s="8">
        <f>'BIO DATA'!BG121</f>
        <v>0</v>
      </c>
      <c r="AP123" s="54" t="s">
        <v>197</v>
      </c>
    </row>
    <row r="124" spans="1:42" s="54" customFormat="1" ht="20.100000000000001" customHeight="1" thickBot="1">
      <c r="A124" s="15" t="s">
        <v>77</v>
      </c>
      <c r="B124">
        <v>100</v>
      </c>
      <c r="C124" s="90">
        <f>'BIO DATA'!D122</f>
        <v>11496</v>
      </c>
      <c r="D124" s="90" t="str">
        <f>'BIO DATA'!E122</f>
        <v>0107909427</v>
      </c>
      <c r="E124" s="89" t="str">
        <f>'BIO DATA'!F122</f>
        <v>Satria Bamakerti Adz-Dzaki</v>
      </c>
      <c r="F124" s="49" t="str">
        <f>'BIO DATA'!M122</f>
        <v>Laki-laki</v>
      </c>
      <c r="G124" s="8" t="str">
        <f>'BIO DATA'!N122</f>
        <v>Pekalongan</v>
      </c>
      <c r="H124" s="51">
        <f>'BIO DATA'!P122</f>
        <v>40291</v>
      </c>
      <c r="I124" s="49" t="str">
        <f>'BIO DATA'!S122</f>
        <v>Islam</v>
      </c>
      <c r="J124" s="50">
        <f>'BIO DATA'!J122:J284</f>
        <v>2</v>
      </c>
      <c r="K124" s="50">
        <f>'BIO DATA'!K122:K325</f>
        <v>2</v>
      </c>
      <c r="L124" s="8" t="str">
        <f>'BIO DATA'!T122:T284</f>
        <v>Sangubanyu RT 04 RW 34 Sumberrahayu Moyudan Sleman Yogyakarta 77124</v>
      </c>
      <c r="M124" s="8" t="str">
        <f>'BIO DATA'!V122:V325</f>
        <v>Sumberrahayu</v>
      </c>
      <c r="N124" s="8" t="str">
        <f>'BIO DATA'!W122:W325</f>
        <v>Moyudan</v>
      </c>
      <c r="O124" s="8" t="str">
        <f>'BIO DATA'!X122:X325</f>
        <v>Sleman</v>
      </c>
      <c r="P124" s="8" t="str">
        <f>'BIO DATA'!Y122:Y325</f>
        <v>DI Yogyakarta</v>
      </c>
      <c r="Q124" s="8" t="str">
        <f>'BIO DATA'!Z122:Z325</f>
        <v>MTs. Mu'allimin Muh. Yogyakarta</v>
      </c>
      <c r="R124" s="8" t="str">
        <f>'BIO DATA'!AA122:AA325</f>
        <v>Gamping Lor, Ambarketawang, Kec. Gamping, Kabupaten Sleman, Daerah Istimewa Yogyakarta 55294</v>
      </c>
      <c r="S124" s="8">
        <f>'BIO DATA'!AB122:AB325</f>
        <v>0</v>
      </c>
      <c r="T124" s="8" t="str">
        <f>'BIO DATA'!AC122:AC325</f>
        <v>Ihsan Effendi, A.Md.</v>
      </c>
      <c r="U124" s="8" t="str">
        <f>'BIO DATA'!AD122</f>
        <v>Islam</v>
      </c>
      <c r="V124" s="8" t="str">
        <f>'BIO DATA'!AL122:AL325</f>
        <v>S2</v>
      </c>
      <c r="W124" s="8" t="str">
        <f>'BIO DATA'!AM122:AM325</f>
        <v>PNS</v>
      </c>
      <c r="X124" s="8" t="str">
        <f>'BIO DATA'!AG122:AG325</f>
        <v>&gt; Rp 2.500.000,00</v>
      </c>
      <c r="Y124" s="69" t="s">
        <v>217</v>
      </c>
      <c r="Z124" s="8">
        <f>'BIO DATA'!AI122:AI325</f>
        <v>0</v>
      </c>
      <c r="AA124" s="8" t="str">
        <f>'BIO DATA'!AJ122:AJ325</f>
        <v>Siti Marwati, M.Si.</v>
      </c>
      <c r="AB124" s="8" t="str">
        <f>'BIO DATA'!AK122</f>
        <v>Islam</v>
      </c>
      <c r="AC124" s="8" t="str">
        <f>'BIO DATA'!AL122:AL325</f>
        <v>S2</v>
      </c>
      <c r="AD124" s="8" t="str">
        <f>'BIO DATA'!AM122:AM325</f>
        <v>PNS</v>
      </c>
      <c r="AE124" s="8">
        <f>'BIO DATA'!AN122:AN325</f>
        <v>0</v>
      </c>
      <c r="AF124" s="52"/>
      <c r="AG124" s="8">
        <f>'BIO DATA'!AP122</f>
        <v>0</v>
      </c>
      <c r="AH124" s="8">
        <f>'BIO DATA'!AZ122</f>
        <v>0</v>
      </c>
      <c r="AI124" s="8" t="str">
        <f>'BIO DATA'!BA122</f>
        <v>Islam</v>
      </c>
      <c r="AJ124" s="8">
        <f>'BIO DATA'!BB122</f>
        <v>0</v>
      </c>
      <c r="AK124" s="8">
        <f>'BIO DATA'!BC122</f>
        <v>0</v>
      </c>
      <c r="AL124" s="8">
        <f>'BIO DATA'!BD122</f>
        <v>0</v>
      </c>
      <c r="AM124" s="8">
        <f>'BIO DATA'!BE122</f>
        <v>0</v>
      </c>
      <c r="AN124" s="8">
        <f>'BIO DATA'!BF122</f>
        <v>0</v>
      </c>
      <c r="AO124" s="8">
        <f>'BIO DATA'!BG122</f>
        <v>0</v>
      </c>
      <c r="AP124" s="54" t="s">
        <v>197</v>
      </c>
    </row>
    <row r="125" spans="1:42" s="54" customFormat="1" ht="20.100000000000001" customHeight="1" thickBot="1">
      <c r="A125" s="15" t="s">
        <v>77</v>
      </c>
      <c r="B125">
        <v>104</v>
      </c>
      <c r="C125" s="90">
        <f>'BIO DATA'!D123</f>
        <v>11511</v>
      </c>
      <c r="D125" s="90" t="str">
        <f>'BIO DATA'!E123</f>
        <v>0098463515</v>
      </c>
      <c r="E125" s="89" t="str">
        <f>'BIO DATA'!F123</f>
        <v>Syafatullah Ismail Pamungkas</v>
      </c>
      <c r="F125" s="49" t="str">
        <f>'BIO DATA'!M123</f>
        <v>Laki-laki</v>
      </c>
      <c r="G125" s="8" t="str">
        <f>'BIO DATA'!N123</f>
        <v>Klaten</v>
      </c>
      <c r="H125" s="51">
        <f>'BIO DATA'!P123</f>
        <v>40143</v>
      </c>
      <c r="I125" s="49" t="str">
        <f>'BIO DATA'!S123</f>
        <v>Islam</v>
      </c>
      <c r="J125" s="50">
        <f>'BIO DATA'!J123:J285</f>
        <v>3</v>
      </c>
      <c r="K125" s="50">
        <f>'BIO DATA'!K123:K326</f>
        <v>3</v>
      </c>
      <c r="L125" s="8" t="str">
        <f>'BIO DATA'!T123:T285</f>
        <v>JL. Telaga Mas XV Blok G4/20 RT015 RW014 Kel. Harapan Baru Kec. Bekasi Utara Bekasi Jawa Barat 17123</v>
      </c>
      <c r="M125" s="8" t="str">
        <f>'BIO DATA'!V123:V326</f>
        <v>Harapan Baru</v>
      </c>
      <c r="N125" s="8" t="str">
        <f>'BIO DATA'!W123:W326</f>
        <v>Bekasi Utara</v>
      </c>
      <c r="O125" s="8" t="str">
        <f>'BIO DATA'!X123:X326</f>
        <v>Bekasi</v>
      </c>
      <c r="P125" s="8" t="str">
        <f>'BIO DATA'!Y123:Y326</f>
        <v>Jawa Barat</v>
      </c>
      <c r="Q125" s="8" t="str">
        <f>'BIO DATA'!Z123:Z326</f>
        <v>MTs. Mu'allimin Muh. Yogyakarta</v>
      </c>
      <c r="R125" s="8" t="str">
        <f>'BIO DATA'!AA123:AA326</f>
        <v>Jl. Taman Wisma Asri, RT.004/RW.007, Tlk. Pucung, Kec. Bekasi Utara, Kota Bks, Jawa Barat 17121</v>
      </c>
      <c r="S125" s="8">
        <f>'BIO DATA'!AB123:AB326</f>
        <v>0</v>
      </c>
      <c r="T125" s="8" t="str">
        <f>'BIO DATA'!AC123:AC326</f>
        <v>Aspuri</v>
      </c>
      <c r="U125" s="8" t="str">
        <f>'BIO DATA'!AD123</f>
        <v>Islam</v>
      </c>
      <c r="V125" s="8" t="str">
        <f>'BIO DATA'!AL123:AL326</f>
        <v>S1</v>
      </c>
      <c r="W125" s="8" t="str">
        <f>'BIO DATA'!AM123:AM326</f>
        <v>Karyawan Swasta</v>
      </c>
      <c r="X125" s="8" t="str">
        <f>'BIO DATA'!AG123:AG326</f>
        <v>&gt; Rp 2.500.000,00</v>
      </c>
      <c r="Y125" s="69" t="s">
        <v>217</v>
      </c>
      <c r="Z125" s="8">
        <f>'BIO DATA'!AI123:AI326</f>
        <v>0</v>
      </c>
      <c r="AA125" s="8" t="str">
        <f>'BIO DATA'!AJ123:AJ326</f>
        <v>Febriyani</v>
      </c>
      <c r="AB125" s="8" t="str">
        <f>'BIO DATA'!AK123</f>
        <v>Islam</v>
      </c>
      <c r="AC125" s="8" t="str">
        <f>'BIO DATA'!AL123:AL326</f>
        <v>S1</v>
      </c>
      <c r="AD125" s="8" t="str">
        <f>'BIO DATA'!AM123:AM326</f>
        <v>Karyawan Swasta</v>
      </c>
      <c r="AE125" s="8">
        <f>'BIO DATA'!AN123:AN326</f>
        <v>0</v>
      </c>
      <c r="AF125" s="52"/>
      <c r="AG125" s="8">
        <f>'BIO DATA'!AP123</f>
        <v>0</v>
      </c>
      <c r="AH125" s="8">
        <f>'BIO DATA'!AZ123</f>
        <v>0</v>
      </c>
      <c r="AI125" s="8" t="str">
        <f>'BIO DATA'!BA123</f>
        <v>Islam</v>
      </c>
      <c r="AJ125" s="8">
        <f>'BIO DATA'!BB123</f>
        <v>0</v>
      </c>
      <c r="AK125" s="8">
        <f>'BIO DATA'!BC123</f>
        <v>0</v>
      </c>
      <c r="AL125" s="8">
        <f>'BIO DATA'!BD123</f>
        <v>0</v>
      </c>
      <c r="AM125" s="8">
        <f>'BIO DATA'!BE123</f>
        <v>0</v>
      </c>
      <c r="AN125" s="8">
        <f>'BIO DATA'!BF123</f>
        <v>0</v>
      </c>
      <c r="AO125" s="8">
        <f>'BIO DATA'!BG123</f>
        <v>0</v>
      </c>
      <c r="AP125" s="54" t="s">
        <v>197</v>
      </c>
    </row>
    <row r="126" spans="1:42" s="54" customFormat="1" ht="20.100000000000001" customHeight="1" thickBot="1">
      <c r="A126" s="15" t="s">
        <v>77</v>
      </c>
      <c r="B126">
        <v>126</v>
      </c>
      <c r="C126" s="90">
        <f>'BIO DATA'!D124</f>
        <v>11513</v>
      </c>
      <c r="D126" s="90" t="str">
        <f>'BIO DATA'!E124</f>
        <v>0093184505</v>
      </c>
      <c r="E126" s="89" t="str">
        <f>'BIO DATA'!F124</f>
        <v>Zaidan Mumtaz</v>
      </c>
      <c r="F126" s="49" t="str">
        <f>'BIO DATA'!M124</f>
        <v>Laki-laki</v>
      </c>
      <c r="G126" s="8" t="str">
        <f>'BIO DATA'!N124</f>
        <v>Yogyakarta</v>
      </c>
      <c r="H126" s="51">
        <f>'BIO DATA'!P124</f>
        <v>40867</v>
      </c>
      <c r="I126" s="49" t="str">
        <f>'BIO DATA'!S124</f>
        <v>Islam</v>
      </c>
      <c r="J126" s="50">
        <f>'BIO DATA'!J124:J286</f>
        <v>2</v>
      </c>
      <c r="K126" s="50">
        <f>'BIO DATA'!K124:K327</f>
        <v>1</v>
      </c>
      <c r="L126" s="8" t="str">
        <f>'BIO DATA'!T124:T286</f>
        <v>RT/ RW. 019/ 009, Dusun Demangan, Desa Congkrang, Kec. Muntilan, Kab. Magelang, Jawa Tengah 56451</v>
      </c>
      <c r="M126" s="8" t="str">
        <f>'BIO DATA'!V124:V327</f>
        <v>Congkrang</v>
      </c>
      <c r="N126" s="8" t="str">
        <f>'BIO DATA'!W124:W327</f>
        <v>Muntilan</v>
      </c>
      <c r="O126" s="8" t="str">
        <f>'BIO DATA'!X124:X327</f>
        <v>Magelang</v>
      </c>
      <c r="P126" s="8" t="str">
        <f>'BIO DATA'!Y124:Y327</f>
        <v>Jawa Tengah</v>
      </c>
      <c r="Q126" s="8" t="str">
        <f>'BIO DATA'!Z124:Z327</f>
        <v>MTs. Mu'allimin Muh. Yogyakarta</v>
      </c>
      <c r="R126" s="8" t="str">
        <f>'BIO DATA'!AA124:AA327</f>
        <v>Gg. Santren I No.II, Santren, Gunungpring, Kec. Muntilan, Kabupaten Magelang, Jawa Tengah 56415</v>
      </c>
      <c r="S126" s="8">
        <f>'BIO DATA'!AB124:AB327</f>
        <v>0</v>
      </c>
      <c r="T126" s="8" t="str">
        <f>'BIO DATA'!AC124:AC327</f>
        <v>Sukadi</v>
      </c>
      <c r="U126" s="8" t="str">
        <f>'BIO DATA'!AD124</f>
        <v>Islam</v>
      </c>
      <c r="V126" s="8" t="str">
        <f>'BIO DATA'!AL124:AL327</f>
        <v>SMA</v>
      </c>
      <c r="W126" s="8" t="str">
        <f>'BIO DATA'!AM124:AM327</f>
        <v>Pedagang</v>
      </c>
      <c r="X126" s="8" t="str">
        <f>'BIO DATA'!AG124:AG327</f>
        <v>Antara Rp    500.000,00 s.d. Rp 1.000,000,00</v>
      </c>
      <c r="Y126" s="69" t="s">
        <v>217</v>
      </c>
      <c r="Z126" s="8">
        <f>'BIO DATA'!AI124:AI327</f>
        <v>0</v>
      </c>
      <c r="AA126" s="8" t="str">
        <f>'BIO DATA'!AJ124:AJ327</f>
        <v>Hartiningsih</v>
      </c>
      <c r="AB126" s="8" t="str">
        <f>'BIO DATA'!AK124</f>
        <v>Islam</v>
      </c>
      <c r="AC126" s="8" t="str">
        <f>'BIO DATA'!AL124:AL327</f>
        <v>SMA</v>
      </c>
      <c r="AD126" s="8" t="str">
        <f>'BIO DATA'!AM124:AM327</f>
        <v>Pedagang</v>
      </c>
      <c r="AE126" s="8">
        <f>'BIO DATA'!AN124:AN327</f>
        <v>0</v>
      </c>
      <c r="AF126" s="52"/>
      <c r="AG126" s="8">
        <f>'BIO DATA'!AP124</f>
        <v>0</v>
      </c>
      <c r="AH126" s="8">
        <f>'BIO DATA'!AZ124</f>
        <v>0</v>
      </c>
      <c r="AI126" s="8" t="str">
        <f>'BIO DATA'!BA124</f>
        <v>Islam</v>
      </c>
      <c r="AJ126" s="8">
        <f>'BIO DATA'!BB124</f>
        <v>0</v>
      </c>
      <c r="AK126" s="8">
        <f>'BIO DATA'!BC124</f>
        <v>0</v>
      </c>
      <c r="AL126" s="8">
        <f>'BIO DATA'!BD124</f>
        <v>0</v>
      </c>
      <c r="AM126" s="8">
        <f>'BIO DATA'!BE124</f>
        <v>0</v>
      </c>
      <c r="AN126" s="8">
        <f>'BIO DATA'!BF124</f>
        <v>0</v>
      </c>
      <c r="AO126" s="8">
        <f>'BIO DATA'!BG124</f>
        <v>0</v>
      </c>
      <c r="AP126" s="54" t="s">
        <v>197</v>
      </c>
    </row>
    <row r="127" spans="1:42" s="54" customFormat="1" ht="20.100000000000001" customHeight="1" thickBot="1">
      <c r="A127" s="14" t="s">
        <v>130</v>
      </c>
      <c r="B127">
        <v>138</v>
      </c>
      <c r="C127" s="90">
        <f>'BIO DATA'!D125</f>
        <v>11203</v>
      </c>
      <c r="D127" s="90" t="str">
        <f>'BIO DATA'!E125</f>
        <v>0109105515</v>
      </c>
      <c r="E127" s="89" t="str">
        <f>'BIO DATA'!F125</f>
        <v>Abiyyu Fikri</v>
      </c>
      <c r="F127" s="49" t="str">
        <f>'BIO DATA'!M125</f>
        <v>Laki-laki</v>
      </c>
      <c r="G127" s="8" t="str">
        <f>'BIO DATA'!N125</f>
        <v>Bekasi</v>
      </c>
      <c r="H127" s="51">
        <f>'BIO DATA'!P125</f>
        <v>40483</v>
      </c>
      <c r="I127" s="49" t="str">
        <f>'BIO DATA'!S125</f>
        <v>Islam</v>
      </c>
      <c r="J127" s="50">
        <f>'BIO DATA'!J125:J287</f>
        <v>2</v>
      </c>
      <c r="K127" s="50">
        <f>'BIO DATA'!K125:K328</f>
        <v>2</v>
      </c>
      <c r="L127" s="8" t="str">
        <f>'BIO DATA'!T125:T287</f>
        <v>Jl. Ali Ahmad RT.09 RW.03 Kelurahan Mendawai Kecamatan Sukamara Kabupaten Sukamara Kalimantan Tengah 74712</v>
      </c>
      <c r="M127" s="8" t="str">
        <f>'BIO DATA'!V125:V328</f>
        <v>Mendawai</v>
      </c>
      <c r="N127" s="8" t="str">
        <f>'BIO DATA'!W125:W328</f>
        <v>Sukamara</v>
      </c>
      <c r="O127" s="8" t="str">
        <f>'BIO DATA'!X125:X328</f>
        <v>Sukamara</v>
      </c>
      <c r="P127" s="8" t="str">
        <f>'BIO DATA'!Y125:Y328</f>
        <v>Kalimantan Tengah</v>
      </c>
      <c r="Q127" s="8" t="str">
        <f>'BIO DATA'!Z125:Z328</f>
        <v>MTs. Mu'allimin Muh. Yogyakarta</v>
      </c>
      <c r="R127" s="8" t="str">
        <f>'BIO DATA'!AA125:AA328</f>
        <v>Jalan Tjilik Riwut, Mendawai, Kec. Sukamara, Kabupaten Sukamara, Kalimantan Tengah 74172</v>
      </c>
      <c r="S127" s="8">
        <f>'BIO DATA'!AB125:AB328</f>
        <v>0</v>
      </c>
      <c r="T127" s="8" t="str">
        <f>'BIO DATA'!AC125:AC328</f>
        <v>Kusno, S.Ag.</v>
      </c>
      <c r="U127" s="8" t="str">
        <f>'BIO DATA'!AD125</f>
        <v>Islam</v>
      </c>
      <c r="V127" s="8" t="str">
        <f>'BIO DATA'!AL125:AL328</f>
        <v>Diploma</v>
      </c>
      <c r="W127" s="8" t="str">
        <f>'BIO DATA'!AM125:AM328</f>
        <v>PNS</v>
      </c>
      <c r="X127" s="8" t="str">
        <f>'BIO DATA'!AG125:AG328</f>
        <v>&gt; Rp 2.500.000,00</v>
      </c>
      <c r="Y127" s="69" t="s">
        <v>217</v>
      </c>
      <c r="Z127" s="8">
        <f>'BIO DATA'!AI125:AI328</f>
        <v>0</v>
      </c>
      <c r="AA127" s="8" t="str">
        <f>'BIO DATA'!AJ125:AJ328</f>
        <v>Muslimah</v>
      </c>
      <c r="AB127" s="8" t="str">
        <f>'BIO DATA'!AK125</f>
        <v>Islam</v>
      </c>
      <c r="AC127" s="8" t="str">
        <f>'BIO DATA'!AL125:AL328</f>
        <v>Diploma</v>
      </c>
      <c r="AD127" s="8" t="str">
        <f>'BIO DATA'!AM125:AM328</f>
        <v>PNS</v>
      </c>
      <c r="AE127" s="8">
        <f>'BIO DATA'!AN125:AN328</f>
        <v>0</v>
      </c>
      <c r="AF127" s="52"/>
      <c r="AG127" s="8">
        <f>'BIO DATA'!AP125</f>
        <v>0</v>
      </c>
      <c r="AH127" s="8">
        <f>'BIO DATA'!AZ125</f>
        <v>0</v>
      </c>
      <c r="AI127" s="8" t="str">
        <f>'BIO DATA'!BA125</f>
        <v>Islam</v>
      </c>
      <c r="AJ127" s="8">
        <f>'BIO DATA'!BB125</f>
        <v>0</v>
      </c>
      <c r="AK127" s="8">
        <f>'BIO DATA'!BC125</f>
        <v>0</v>
      </c>
      <c r="AL127" s="8">
        <f>'BIO DATA'!BD125</f>
        <v>0</v>
      </c>
      <c r="AM127" s="8">
        <f>'BIO DATA'!BE125</f>
        <v>0</v>
      </c>
      <c r="AN127" s="8">
        <f>'BIO DATA'!BF125</f>
        <v>0</v>
      </c>
      <c r="AO127" s="8">
        <f>'BIO DATA'!BG125</f>
        <v>0</v>
      </c>
      <c r="AP127" s="54" t="s">
        <v>197</v>
      </c>
    </row>
    <row r="128" spans="1:42" s="54" customFormat="1" ht="20.100000000000001" customHeight="1" thickBot="1">
      <c r="A128" s="14" t="s">
        <v>130</v>
      </c>
      <c r="B128">
        <v>140</v>
      </c>
      <c r="C128" s="90">
        <f>'BIO DATA'!D126</f>
        <v>11210</v>
      </c>
      <c r="D128" s="90" t="str">
        <f>'BIO DATA'!E126</f>
        <v>0098659090</v>
      </c>
      <c r="E128" s="89" t="str">
        <f>'BIO DATA'!F126</f>
        <v>Adnan Azukhri</v>
      </c>
      <c r="F128" s="49" t="str">
        <f>'BIO DATA'!M126</f>
        <v>Laki-laki</v>
      </c>
      <c r="G128" s="8" t="str">
        <f>'BIO DATA'!N126</f>
        <v>Magelang</v>
      </c>
      <c r="H128" s="51">
        <f>'BIO DATA'!P126</f>
        <v>40062</v>
      </c>
      <c r="I128" s="49" t="str">
        <f>'BIO DATA'!S126</f>
        <v>Islam</v>
      </c>
      <c r="J128" s="50">
        <f>'BIO DATA'!J126:J288</f>
        <v>1</v>
      </c>
      <c r="K128" s="50">
        <f>'BIO DATA'!K126:K329</f>
        <v>1</v>
      </c>
      <c r="L128" s="8" t="str">
        <f>'BIO DATA'!T126:T288</f>
        <v>Dusun Keduwul Desa Menongo RT. 003 RW. 002 Kec. Sukodadi Kab. Lamongan, Jawa Timur, 62253</v>
      </c>
      <c r="M128" s="8" t="str">
        <f>'BIO DATA'!V126:V329</f>
        <v>Menongo</v>
      </c>
      <c r="N128" s="8" t="str">
        <f>'BIO DATA'!W126:W329</f>
        <v>Sukodadi</v>
      </c>
      <c r="O128" s="8" t="str">
        <f>'BIO DATA'!X126:X329</f>
        <v>Lamongan</v>
      </c>
      <c r="P128" s="8" t="str">
        <f>'BIO DATA'!Y126:Y329</f>
        <v>Jawa Timur</v>
      </c>
      <c r="Q128" s="8" t="str">
        <f>'BIO DATA'!Z126:Z329</f>
        <v>MTs. Mu'allimin Muh. Yogyakarta</v>
      </c>
      <c r="R128" s="8" t="str">
        <f>'BIO DATA'!AA126:AA329</f>
        <v xml:space="preserve">Jl. Raden Wijaya Sukodadi, Sukodadi, Kec. Sukodadi, Kab. Lamongan Prov. Jawa Timur </v>
      </c>
      <c r="S128" s="8">
        <f>'BIO DATA'!AB126:AB329</f>
        <v>0</v>
      </c>
      <c r="T128" s="8" t="str">
        <f>'BIO DATA'!AC126:AC329</f>
        <v>Wahyuddin Ahmadi</v>
      </c>
      <c r="U128" s="8" t="str">
        <f>'BIO DATA'!AD126</f>
        <v>Islam</v>
      </c>
      <c r="V128" s="8" t="str">
        <f>'BIO DATA'!AL126:AL329</f>
        <v>S1</v>
      </c>
      <c r="W128" s="8" t="str">
        <f>'BIO DATA'!AM126:AM329</f>
        <v>Ibu Rumah Tangga</v>
      </c>
      <c r="X128" s="8" t="str">
        <f>'BIO DATA'!AG126:AG329</f>
        <v xml:space="preserve"> Antara Rp 1.000.000,00 s.d. Rp 1.500,000,00</v>
      </c>
      <c r="Y128" s="69" t="s">
        <v>217</v>
      </c>
      <c r="Z128" s="8">
        <f>'BIO DATA'!AI126:AI329</f>
        <v>0</v>
      </c>
      <c r="AA128" s="8" t="str">
        <f>'BIO DATA'!AJ126:AJ329</f>
        <v>Yayuk Handayani</v>
      </c>
      <c r="AB128" s="8" t="str">
        <f>'BIO DATA'!AK126</f>
        <v>Islam</v>
      </c>
      <c r="AC128" s="8" t="str">
        <f>'BIO DATA'!AL126:AL329</f>
        <v>S1</v>
      </c>
      <c r="AD128" s="8" t="str">
        <f>'BIO DATA'!AM126:AM329</f>
        <v>Ibu Rumah Tangga</v>
      </c>
      <c r="AE128" s="8">
        <f>'BIO DATA'!AN126:AN329</f>
        <v>0</v>
      </c>
      <c r="AF128" s="52"/>
      <c r="AG128" s="8">
        <f>'BIO DATA'!AP126</f>
        <v>0</v>
      </c>
      <c r="AH128" s="8">
        <f>'BIO DATA'!AZ126</f>
        <v>0</v>
      </c>
      <c r="AI128" s="8" t="str">
        <f>'BIO DATA'!BA126</f>
        <v>Islam</v>
      </c>
      <c r="AJ128" s="8">
        <f>'BIO DATA'!BB126</f>
        <v>0</v>
      </c>
      <c r="AK128" s="8">
        <f>'BIO DATA'!BC126</f>
        <v>0</v>
      </c>
      <c r="AL128" s="8">
        <f>'BIO DATA'!BD126</f>
        <v>0</v>
      </c>
      <c r="AM128" s="8">
        <f>'BIO DATA'!BE126</f>
        <v>0</v>
      </c>
      <c r="AN128" s="8">
        <f>'BIO DATA'!BF126</f>
        <v>0</v>
      </c>
      <c r="AO128" s="8">
        <f>'BIO DATA'!BG126</f>
        <v>0</v>
      </c>
      <c r="AP128" s="54" t="s">
        <v>197</v>
      </c>
    </row>
    <row r="129" spans="1:42" s="54" customFormat="1" ht="20.100000000000001" customHeight="1" thickBot="1">
      <c r="A129" s="14" t="s">
        <v>130</v>
      </c>
      <c r="B129">
        <v>151</v>
      </c>
      <c r="C129" s="90">
        <f>'BIO DATA'!D127</f>
        <v>11213</v>
      </c>
      <c r="D129" s="90" t="str">
        <f>'BIO DATA'!E127</f>
        <v xml:space="preserve">0094860620	</v>
      </c>
      <c r="E129" s="89" t="str">
        <f>'BIO DATA'!F127</f>
        <v>Afif Daegal</v>
      </c>
      <c r="F129" s="49" t="str">
        <f>'BIO DATA'!M127</f>
        <v>Laki-laki</v>
      </c>
      <c r="G129" s="8" t="str">
        <f>'BIO DATA'!N127</f>
        <v>Sukamara</v>
      </c>
      <c r="H129" s="51">
        <f>'BIO DATA'!P127</f>
        <v>39979</v>
      </c>
      <c r="I129" s="49" t="str">
        <f>'BIO DATA'!S127</f>
        <v>Islam</v>
      </c>
      <c r="J129" s="50">
        <f>'BIO DATA'!J127:J289</f>
        <v>1</v>
      </c>
      <c r="K129" s="50">
        <f>'BIO DATA'!K127:K330</f>
        <v>3</v>
      </c>
      <c r="L129" s="8" t="str">
        <f>'BIO DATA'!T127:T289</f>
        <v>Jln Sudirman SH No 10 RT 03 Sidorejo Arut Selatan, Kalimantan Tengah, 74111</v>
      </c>
      <c r="M129" s="8" t="str">
        <f>'BIO DATA'!V127:V330</f>
        <v>Sidorejo</v>
      </c>
      <c r="N129" s="8" t="str">
        <f>'BIO DATA'!W127:W330</f>
        <v>Arut Selatan</v>
      </c>
      <c r="O129" s="8" t="str">
        <f>'BIO DATA'!X127:X330</f>
        <v>Arut Selatan</v>
      </c>
      <c r="P129" s="8" t="str">
        <f>'BIO DATA'!Y127:Y330</f>
        <v>Kalimantan Tengah</v>
      </c>
      <c r="Q129" s="8" t="str">
        <f>'BIO DATA'!Z127:Z330</f>
        <v>MTs. Mu'allimin Muh. Yogyakarta</v>
      </c>
      <c r="R129" s="8" t="str">
        <f>'BIO DATA'!AA127:AA330</f>
        <v>Jl. Haji Moestalim, RT.16/RW.04, Madurejo, Kec. Arut Sel., Kabupaten Kotawaringin Barat, Kalimantan Tengah 74112</v>
      </c>
      <c r="S129" s="8">
        <f>'BIO DATA'!AB127:AB330</f>
        <v>0</v>
      </c>
      <c r="T129" s="8" t="str">
        <f>'BIO DATA'!AC127:AC330</f>
        <v>Muhaammad Rhopidha Ardiani</v>
      </c>
      <c r="U129" s="8" t="str">
        <f>'BIO DATA'!AD127</f>
        <v>Islam</v>
      </c>
      <c r="V129" s="8" t="str">
        <f>'BIO DATA'!AL127:AL330</f>
        <v>Diploma</v>
      </c>
      <c r="W129" s="8" t="str">
        <f>'BIO DATA'!AM127:AM330</f>
        <v>PNS</v>
      </c>
      <c r="X129" s="8" t="str">
        <f>'BIO DATA'!AG127:AG330</f>
        <v>&gt; Rp 2.500.000,00</v>
      </c>
      <c r="Y129" s="69" t="s">
        <v>217</v>
      </c>
      <c r="Z129" s="8">
        <f>'BIO DATA'!AI127:AI330</f>
        <v>0</v>
      </c>
      <c r="AA129" s="8" t="str">
        <f>'BIO DATA'!AJ127:AJ330</f>
        <v>Devi Virgoastiwi</v>
      </c>
      <c r="AB129" s="8" t="str">
        <f>'BIO DATA'!AK127</f>
        <v>Islam</v>
      </c>
      <c r="AC129" s="8" t="str">
        <f>'BIO DATA'!AL127:AL330</f>
        <v>Diploma</v>
      </c>
      <c r="AD129" s="8" t="str">
        <f>'BIO DATA'!AM127:AM330</f>
        <v>PNS</v>
      </c>
      <c r="AE129" s="8">
        <f>'BIO DATA'!AN127:AN330</f>
        <v>0</v>
      </c>
      <c r="AF129" s="52"/>
      <c r="AG129" s="8">
        <f>'BIO DATA'!AP127</f>
        <v>0</v>
      </c>
      <c r="AH129" s="8">
        <f>'BIO DATA'!AZ127</f>
        <v>0</v>
      </c>
      <c r="AI129" s="8" t="str">
        <f>'BIO DATA'!BA127</f>
        <v>Islam</v>
      </c>
      <c r="AJ129" s="8">
        <f>'BIO DATA'!BB127</f>
        <v>0</v>
      </c>
      <c r="AK129" s="8">
        <f>'BIO DATA'!BC127</f>
        <v>0</v>
      </c>
      <c r="AL129" s="8">
        <f>'BIO DATA'!BD127</f>
        <v>0</v>
      </c>
      <c r="AM129" s="8">
        <f>'BIO DATA'!BE127</f>
        <v>0</v>
      </c>
      <c r="AN129" s="8">
        <f>'BIO DATA'!BF127</f>
        <v>0</v>
      </c>
      <c r="AO129" s="8">
        <f>'BIO DATA'!BG127</f>
        <v>0</v>
      </c>
      <c r="AP129" s="54" t="s">
        <v>197</v>
      </c>
    </row>
    <row r="130" spans="1:42" s="54" customFormat="1" ht="20.100000000000001" customHeight="1" thickBot="1">
      <c r="A130" s="14" t="s">
        <v>130</v>
      </c>
      <c r="B130">
        <v>158</v>
      </c>
      <c r="C130" s="90" t="e">
        <f>'BIO DATA'!#REF!</f>
        <v>#REF!</v>
      </c>
      <c r="D130" s="90" t="e">
        <f>'BIO DATA'!#REF!</f>
        <v>#REF!</v>
      </c>
      <c r="E130" s="89" t="e">
        <f>'BIO DATA'!#REF!</f>
        <v>#REF!</v>
      </c>
      <c r="F130" s="49" t="e">
        <f>'BIO DATA'!#REF!</f>
        <v>#REF!</v>
      </c>
      <c r="G130" s="8" t="e">
        <f>'BIO DATA'!#REF!</f>
        <v>#REF!</v>
      </c>
      <c r="H130" s="51" t="e">
        <f>'BIO DATA'!#REF!</f>
        <v>#REF!</v>
      </c>
      <c r="I130" s="49" t="e">
        <f>'BIO DATA'!#REF!</f>
        <v>#REF!</v>
      </c>
      <c r="J130" s="50">
        <f>'BIO DATA'!J128:J290</f>
        <v>3</v>
      </c>
      <c r="K130" s="50">
        <f>'BIO DATA'!K128:K331</f>
        <v>3</v>
      </c>
      <c r="L130" s="8" t="str">
        <f>'BIO DATA'!T128:T290</f>
        <v>Dukuh RT 02 RW 05 Manjung Ngawen Klaten Jawa Tengah 57466</v>
      </c>
      <c r="M130" s="8" t="str">
        <f>'BIO DATA'!V128:V331</f>
        <v>Manjung</v>
      </c>
      <c r="N130" s="8" t="str">
        <f>'BIO DATA'!W128:W331</f>
        <v>Ngawen</v>
      </c>
      <c r="O130" s="8" t="str">
        <f>'BIO DATA'!X128:X331</f>
        <v>Klaten</v>
      </c>
      <c r="P130" s="8" t="str">
        <f>'BIO DATA'!Y128:Y331</f>
        <v>Jawa Tengah</v>
      </c>
      <c r="Q130" s="8" t="str">
        <f>'BIO DATA'!Z128:Z331</f>
        <v>MTs. Mu'allimin Muh. Yogyakarta</v>
      </c>
      <c r="R130" s="8" t="str">
        <f>'BIO DATA'!AA128:AA331</f>
        <v>Jl. Singosari, Jetis, Belang Wetan, Kec. Klaten Utara, Kabupaten Klaten, Jawa Tengah 57436</v>
      </c>
      <c r="S130" s="8">
        <f>'BIO DATA'!AB128:AB331</f>
        <v>0</v>
      </c>
      <c r="T130" s="8" t="str">
        <f>'BIO DATA'!AC128:AC331</f>
        <v>Budi Santoso</v>
      </c>
      <c r="U130" s="8" t="e">
        <f>'BIO DATA'!#REF!</f>
        <v>#REF!</v>
      </c>
      <c r="V130" s="8" t="str">
        <f>'BIO DATA'!AL128:AL331</f>
        <v>SMA</v>
      </c>
      <c r="W130" s="8" t="str">
        <f>'BIO DATA'!AM128:AM331</f>
        <v>Wiraswasta</v>
      </c>
      <c r="X130" s="8" t="str">
        <f>'BIO DATA'!AG128:AG331</f>
        <v xml:space="preserve"> &gt; Rp 2.500.000,00</v>
      </c>
      <c r="Y130" s="69" t="s">
        <v>217</v>
      </c>
      <c r="Z130" s="8">
        <f>'BIO DATA'!AI128:AI331</f>
        <v>0</v>
      </c>
      <c r="AA130" s="8" t="str">
        <f>'BIO DATA'!AJ128:AJ331</f>
        <v>Wahyutiningsih</v>
      </c>
      <c r="AB130" s="8" t="e">
        <f>'BIO DATA'!#REF!</f>
        <v>#REF!</v>
      </c>
      <c r="AC130" s="8" t="str">
        <f>'BIO DATA'!AL128:AL331</f>
        <v>SMA</v>
      </c>
      <c r="AD130" s="8" t="str">
        <f>'BIO DATA'!AM128:AM331</f>
        <v>Wiraswasta</v>
      </c>
      <c r="AE130" s="8">
        <f>'BIO DATA'!AN128:AN331</f>
        <v>0</v>
      </c>
      <c r="AF130" s="52"/>
      <c r="AG130" s="8" t="e">
        <f>'BIO DATA'!#REF!</f>
        <v>#REF!</v>
      </c>
      <c r="AH130" s="8" t="e">
        <f>'BIO DATA'!#REF!</f>
        <v>#REF!</v>
      </c>
      <c r="AI130" s="8" t="e">
        <f>'BIO DATA'!#REF!</f>
        <v>#REF!</v>
      </c>
      <c r="AJ130" s="8" t="e">
        <f>'BIO DATA'!#REF!</f>
        <v>#REF!</v>
      </c>
      <c r="AK130" s="8" t="e">
        <f>'BIO DATA'!#REF!</f>
        <v>#REF!</v>
      </c>
      <c r="AL130" s="8" t="e">
        <f>'BIO DATA'!#REF!</f>
        <v>#REF!</v>
      </c>
      <c r="AM130" s="8" t="e">
        <f>'BIO DATA'!#REF!</f>
        <v>#REF!</v>
      </c>
      <c r="AN130" s="8" t="e">
        <f>'BIO DATA'!#REF!</f>
        <v>#REF!</v>
      </c>
      <c r="AO130" s="8" t="e">
        <f>'BIO DATA'!#REF!</f>
        <v>#REF!</v>
      </c>
      <c r="AP130" s="54" t="s">
        <v>197</v>
      </c>
    </row>
    <row r="131" spans="1:42" s="54" customFormat="1" ht="20.100000000000001" customHeight="1" thickBot="1">
      <c r="A131" s="14" t="s">
        <v>130</v>
      </c>
      <c r="B131">
        <v>160</v>
      </c>
      <c r="C131" s="90">
        <f>'BIO DATA'!D128</f>
        <v>11220</v>
      </c>
      <c r="D131" s="90" t="str">
        <f>'BIO DATA'!E128</f>
        <v>3106774949</v>
      </c>
      <c r="E131" s="89" t="str">
        <f>'BIO DATA'!F128</f>
        <v>Ahmad Darwis Al Kahfi</v>
      </c>
      <c r="F131" s="49" t="str">
        <f>'BIO DATA'!M128</f>
        <v>Laki-laki</v>
      </c>
      <c r="G131" s="8" t="str">
        <f>'BIO DATA'!N128</f>
        <v>Lamongan</v>
      </c>
      <c r="H131" s="51">
        <f>'BIO DATA'!P128</f>
        <v>40440</v>
      </c>
      <c r="I131" s="49" t="str">
        <f>'BIO DATA'!S128</f>
        <v>Islam</v>
      </c>
      <c r="J131" s="50">
        <f>'BIO DATA'!J128:J291</f>
        <v>1</v>
      </c>
      <c r="K131" s="50">
        <f>'BIO DATA'!K128:K332</f>
        <v>1</v>
      </c>
      <c r="L131" s="8" t="str">
        <f>'BIO DATA'!T128:T291</f>
        <v>Perum Bojonggede Asri Blok C.5/25 001/015 Kedungwaringin Bojong Gede Bogor Jawa Barat 16923</v>
      </c>
      <c r="M131" s="8" t="str">
        <f>'BIO DATA'!V128:V332</f>
        <v>Kedungwaringin</v>
      </c>
      <c r="N131" s="8" t="str">
        <f>'BIO DATA'!W128:W332</f>
        <v>Bojong Gede</v>
      </c>
      <c r="O131" s="8" t="str">
        <f>'BIO DATA'!X128:X332</f>
        <v>Bogor</v>
      </c>
      <c r="P131" s="8" t="str">
        <f>'BIO DATA'!Y128:Y332</f>
        <v>Jawa Barat</v>
      </c>
      <c r="Q131" s="8" t="str">
        <f>'BIO DATA'!Z128:Z332</f>
        <v>MTs. Mu'allimin Muh. Yogyakarta</v>
      </c>
      <c r="R131" s="8" t="str">
        <f>'BIO DATA'!AA128:AA332</f>
        <v>blok gapura no, Gg. Lurah Muda Blok Gapura No.40, RT.3/RW.3, Cimanggis, Kecamatan Bojonggede, Kabupaten Bogor, Jawa Barat 16920</v>
      </c>
      <c r="S131" s="8">
        <f>'BIO DATA'!AB128:AB332</f>
        <v>0</v>
      </c>
      <c r="T131" s="8" t="str">
        <f>'BIO DATA'!AC128:AC332</f>
        <v>Arif Ridho</v>
      </c>
      <c r="U131" s="8" t="str">
        <f>'BIO DATA'!AD128</f>
        <v>Islam</v>
      </c>
      <c r="V131" s="8" t="str">
        <f>'BIO DATA'!AL128:AL332</f>
        <v>S1</v>
      </c>
      <c r="W131" s="8" t="str">
        <f>'BIO DATA'!AM128:AM332</f>
        <v>Guru</v>
      </c>
      <c r="X131" s="8" t="str">
        <f>'BIO DATA'!AG128:AG332</f>
        <v xml:space="preserve"> &gt; Rp 2.500.000,00</v>
      </c>
      <c r="Y131" s="69" t="s">
        <v>217</v>
      </c>
      <c r="Z131" s="8">
        <f>'BIO DATA'!AI128:AI332</f>
        <v>0</v>
      </c>
      <c r="AA131" s="8" t="str">
        <f>'BIO DATA'!AJ128:AJ332</f>
        <v>Dwi Suci Lestari</v>
      </c>
      <c r="AB131" s="8" t="str">
        <f>'BIO DATA'!AK128</f>
        <v>Islam</v>
      </c>
      <c r="AC131" s="8" t="str">
        <f>'BIO DATA'!AL128:AL332</f>
        <v>S1</v>
      </c>
      <c r="AD131" s="8" t="str">
        <f>'BIO DATA'!AM128:AM332</f>
        <v>Guru</v>
      </c>
      <c r="AE131" s="8">
        <f>'BIO DATA'!AN128:AN332</f>
        <v>0</v>
      </c>
      <c r="AF131" s="52"/>
      <c r="AG131" s="8">
        <f>'BIO DATA'!AP128</f>
        <v>0</v>
      </c>
      <c r="AH131" s="8">
        <f>'BIO DATA'!AZ128</f>
        <v>0</v>
      </c>
      <c r="AI131" s="8" t="str">
        <f>'BIO DATA'!BA128</f>
        <v>Islam</v>
      </c>
      <c r="AJ131" s="8">
        <f>'BIO DATA'!BB128</f>
        <v>0</v>
      </c>
      <c r="AK131" s="8">
        <f>'BIO DATA'!BC128</f>
        <v>0</v>
      </c>
      <c r="AL131" s="8">
        <f>'BIO DATA'!BD128</f>
        <v>0</v>
      </c>
      <c r="AM131" s="8">
        <f>'BIO DATA'!BE128</f>
        <v>0</v>
      </c>
      <c r="AN131" s="8">
        <f>'BIO DATA'!BF128</f>
        <v>0</v>
      </c>
      <c r="AO131" s="8">
        <f>'BIO DATA'!BG128</f>
        <v>0</v>
      </c>
      <c r="AP131" s="54" t="s">
        <v>197</v>
      </c>
    </row>
    <row r="132" spans="1:42" s="54" customFormat="1" ht="20.100000000000001" customHeight="1" thickBot="1">
      <c r="A132" s="14" t="s">
        <v>130</v>
      </c>
      <c r="B132">
        <v>196</v>
      </c>
      <c r="C132" s="90">
        <f>'BIO DATA'!D129</f>
        <v>11230</v>
      </c>
      <c r="D132" s="90" t="str">
        <f>'BIO DATA'!E129</f>
        <v>0094459999</v>
      </c>
      <c r="E132" s="89" t="str">
        <f>'BIO DATA'!F129</f>
        <v>Ahmad Royyan Al Maqdis</v>
      </c>
      <c r="F132" s="49" t="str">
        <f>'BIO DATA'!M129</f>
        <v>Laki-laki</v>
      </c>
      <c r="G132" s="8" t="str">
        <f>'BIO DATA'!N129</f>
        <v>Pangkalan Bun</v>
      </c>
      <c r="H132" s="51">
        <f>'BIO DATA'!P129</f>
        <v>40104</v>
      </c>
      <c r="I132" s="49" t="str">
        <f>'BIO DATA'!S129</f>
        <v>Islam</v>
      </c>
      <c r="J132" s="50">
        <f>'BIO DATA'!J129:J292</f>
        <v>1</v>
      </c>
      <c r="K132" s="50">
        <f>'BIO DATA'!K129:K333</f>
        <v>1</v>
      </c>
      <c r="L132" s="8" t="str">
        <f>'BIO DATA'!T129:T292</f>
        <v>Jl. Mawar No. 61 Pisangan Ciputat Timur, Ciputat Timur, Tangsel, Banten, 15446</v>
      </c>
      <c r="M132" s="8" t="str">
        <f>'BIO DATA'!V129:V333</f>
        <v>Pisangan</v>
      </c>
      <c r="N132" s="8" t="str">
        <f>'BIO DATA'!W129:W333</f>
        <v>Ciputat Timur</v>
      </c>
      <c r="O132" s="8" t="str">
        <f>'BIO DATA'!X129:X333</f>
        <v xml:space="preserve"> Tangerang Selatan</v>
      </c>
      <c r="P132" s="8" t="str">
        <f>'BIO DATA'!Y129:Y333</f>
        <v>Banten</v>
      </c>
      <c r="Q132" s="8" t="str">
        <f>'BIO DATA'!Z129:Z333</f>
        <v>MTs. Mu'allimin Muh. Yogyakarta</v>
      </c>
      <c r="R132" s="8" t="str">
        <f>'BIO DATA'!AA129:AA333</f>
        <v>Komplek UIN Syarif Hidayatullah Jakarta, Jl. Ibnu Taimia IV, Pisangan, Kec. Ciputat Tim., Kota Tangerang Selatan, Banten 15419</v>
      </c>
      <c r="S132" s="8">
        <f>'BIO DATA'!AB129:AB333</f>
        <v>0</v>
      </c>
      <c r="T132" s="8" t="str">
        <f>'BIO DATA'!AC129:AC333</f>
        <v>Kusno</v>
      </c>
      <c r="U132" s="8" t="str">
        <f>'BIO DATA'!AD129</f>
        <v>Islam</v>
      </c>
      <c r="V132" s="8" t="str">
        <f>'BIO DATA'!AL129:AL333</f>
        <v>S1</v>
      </c>
      <c r="W132" s="8" t="str">
        <f>'BIO DATA'!AM129:AM333</f>
        <v>PNS</v>
      </c>
      <c r="X132" s="8" t="str">
        <f>'BIO DATA'!AG129:AG333</f>
        <v>&gt; Rp 2.500.000,00</v>
      </c>
      <c r="Y132" s="69" t="s">
        <v>217</v>
      </c>
      <c r="Z132" s="8">
        <f>'BIO DATA'!AI129:AI333</f>
        <v>0</v>
      </c>
      <c r="AA132" s="8" t="str">
        <f>'BIO DATA'!AJ129:AJ333</f>
        <v>Nurkhayati</v>
      </c>
      <c r="AB132" s="8" t="str">
        <f>'BIO DATA'!AK129</f>
        <v>Islam</v>
      </c>
      <c r="AC132" s="8" t="str">
        <f>'BIO DATA'!AL129:AL333</f>
        <v>S1</v>
      </c>
      <c r="AD132" s="8" t="str">
        <f>'BIO DATA'!AM129:AM333</f>
        <v>PNS</v>
      </c>
      <c r="AE132" s="8">
        <f>'BIO DATA'!AN129:AN333</f>
        <v>0</v>
      </c>
      <c r="AF132" s="52"/>
      <c r="AG132" s="8">
        <f>'BIO DATA'!AP129</f>
        <v>0</v>
      </c>
      <c r="AH132" s="8">
        <f>'BIO DATA'!AZ129</f>
        <v>0</v>
      </c>
      <c r="AI132" s="8" t="str">
        <f>'BIO DATA'!BA129</f>
        <v>Islam</v>
      </c>
      <c r="AJ132" s="8">
        <f>'BIO DATA'!BB129</f>
        <v>0</v>
      </c>
      <c r="AK132" s="8">
        <f>'BIO DATA'!BC129</f>
        <v>0</v>
      </c>
      <c r="AL132" s="8">
        <f>'BIO DATA'!BD129</f>
        <v>0</v>
      </c>
      <c r="AM132" s="8">
        <f>'BIO DATA'!BE129</f>
        <v>0</v>
      </c>
      <c r="AN132" s="8">
        <f>'BIO DATA'!BF129</f>
        <v>0</v>
      </c>
      <c r="AO132" s="8">
        <f>'BIO DATA'!BG129</f>
        <v>0</v>
      </c>
      <c r="AP132" s="54" t="s">
        <v>197</v>
      </c>
    </row>
    <row r="133" spans="1:42" s="54" customFormat="1" ht="20.100000000000001" customHeight="1" thickBot="1">
      <c r="A133" s="14" t="s">
        <v>130</v>
      </c>
      <c r="B133">
        <v>201</v>
      </c>
      <c r="C133" s="90">
        <f>'BIO DATA'!D130</f>
        <v>11233</v>
      </c>
      <c r="D133" s="90" t="str">
        <f>'BIO DATA'!E130</f>
        <v>0096562579</v>
      </c>
      <c r="E133" s="89" t="str">
        <f>'BIO DATA'!F130</f>
        <v>Ahmad Syarif Rajendra Nata</v>
      </c>
      <c r="F133" s="49" t="str">
        <f>'BIO DATA'!M130</f>
        <v>Laki-laki</v>
      </c>
      <c r="G133" s="8" t="str">
        <f>'BIO DATA'!N130</f>
        <v>Klaten</v>
      </c>
      <c r="H133" s="51">
        <f>'BIO DATA'!P130</f>
        <v>40070</v>
      </c>
      <c r="I133" s="49" t="str">
        <f>'BIO DATA'!S130</f>
        <v>Islam</v>
      </c>
      <c r="J133" s="50">
        <f>'BIO DATA'!J130:J293</f>
        <v>1</v>
      </c>
      <c r="K133" s="50">
        <f>'BIO DATA'!K130:K334</f>
        <v>1</v>
      </c>
      <c r="L133" s="8" t="str">
        <f>'BIO DATA'!T130:T293</f>
        <v>Dramaga Cantik Residence Blok M No.3 RT 02 RW 07, Desa Dramaga, Kec. Dramaga Kab. Bogor, Jawa Barat, 16680</v>
      </c>
      <c r="M133" s="8" t="str">
        <f>'BIO DATA'!V130:V334</f>
        <v>Dramaga</v>
      </c>
      <c r="N133" s="8" t="str">
        <f>'BIO DATA'!W130:W334</f>
        <v>Dramaga</v>
      </c>
      <c r="O133" s="8" t="str">
        <f>'BIO DATA'!X130:X334</f>
        <v>Bogor</v>
      </c>
      <c r="P133" s="8" t="str">
        <f>'BIO DATA'!Y130:Y334</f>
        <v>Jawa Barat</v>
      </c>
      <c r="Q133" s="8" t="str">
        <f>'BIO DATA'!Z130:Z334</f>
        <v>MTs. Mu'allimin Muh. Yogyakarta</v>
      </c>
      <c r="R133" s="8" t="str">
        <f>'BIO DATA'!AA130:AA334</f>
        <v>RT.03/RW.01, Margajaya, Kec. Bogor Bar., Kota Bogor, Jawa Barat 16116</v>
      </c>
      <c r="S133" s="8">
        <f>'BIO DATA'!AB130:AB334</f>
        <v>0</v>
      </c>
      <c r="T133" s="8" t="str">
        <f>'BIO DATA'!AC130:AC334</f>
        <v>Arief Sidik</v>
      </c>
      <c r="U133" s="8" t="str">
        <f>'BIO DATA'!AD130</f>
        <v>Islam</v>
      </c>
      <c r="V133" s="8" t="str">
        <f>'BIO DATA'!AL130:AL334</f>
        <v>S1</v>
      </c>
      <c r="W133" s="8" t="str">
        <f>'BIO DATA'!AM130:AM334</f>
        <v>Ibu Rumah Tangga</v>
      </c>
      <c r="X133" s="8" t="str">
        <f>'BIO DATA'!AG130:AG334</f>
        <v>&gt; Rp 2.500.000,00</v>
      </c>
      <c r="Y133" s="69" t="s">
        <v>217</v>
      </c>
      <c r="Z133" s="8">
        <f>'BIO DATA'!AI130:AI334</f>
        <v>0</v>
      </c>
      <c r="AA133" s="8" t="str">
        <f>'BIO DATA'!AJ130:AJ334</f>
        <v>Nur Habibah Yuliastuti</v>
      </c>
      <c r="AB133" s="8" t="str">
        <f>'BIO DATA'!AK130</f>
        <v>Islam</v>
      </c>
      <c r="AC133" s="8" t="str">
        <f>'BIO DATA'!AL130:AL334</f>
        <v>S1</v>
      </c>
      <c r="AD133" s="8" t="str">
        <f>'BIO DATA'!AM130:AM334</f>
        <v>Ibu Rumah Tangga</v>
      </c>
      <c r="AE133" s="8">
        <f>'BIO DATA'!AN130:AN334</f>
        <v>0</v>
      </c>
      <c r="AF133" s="52"/>
      <c r="AG133" s="8">
        <f>'BIO DATA'!AP130</f>
        <v>0</v>
      </c>
      <c r="AH133" s="8">
        <f>'BIO DATA'!AZ130</f>
        <v>0</v>
      </c>
      <c r="AI133" s="8" t="str">
        <f>'BIO DATA'!BA130</f>
        <v>Islam</v>
      </c>
      <c r="AJ133" s="8">
        <f>'BIO DATA'!BB130</f>
        <v>0</v>
      </c>
      <c r="AK133" s="8">
        <f>'BIO DATA'!BC130</f>
        <v>0</v>
      </c>
      <c r="AL133" s="8">
        <f>'BIO DATA'!BD130</f>
        <v>0</v>
      </c>
      <c r="AM133" s="8">
        <f>'BIO DATA'!BE130</f>
        <v>0</v>
      </c>
      <c r="AN133" s="8">
        <f>'BIO DATA'!BF130</f>
        <v>0</v>
      </c>
      <c r="AO133" s="8">
        <f>'BIO DATA'!BG130</f>
        <v>0</v>
      </c>
      <c r="AP133" s="54" t="s">
        <v>197</v>
      </c>
    </row>
    <row r="134" spans="1:42" s="54" customFormat="1" ht="20.100000000000001" customHeight="1" thickBot="1">
      <c r="A134" s="14" t="s">
        <v>130</v>
      </c>
      <c r="B134">
        <v>206</v>
      </c>
      <c r="C134" s="90">
        <f>'BIO DATA'!D131</f>
        <v>11237</v>
      </c>
      <c r="D134" s="90" t="str">
        <f>'BIO DATA'!E131</f>
        <v>0091692757</v>
      </c>
      <c r="E134" s="89" t="str">
        <f>'BIO DATA'!F131</f>
        <v>Ajda Satria Wistara</v>
      </c>
      <c r="F134" s="49" t="str">
        <f>'BIO DATA'!M131</f>
        <v>Laki-laki</v>
      </c>
      <c r="G134" s="8" t="str">
        <f>'BIO DATA'!N131</f>
        <v>Jakarta</v>
      </c>
      <c r="H134" s="51">
        <f>'BIO DATA'!P131</f>
        <v>40243</v>
      </c>
      <c r="I134" s="49" t="str">
        <f>'BIO DATA'!S131</f>
        <v>Islam</v>
      </c>
      <c r="J134" s="50">
        <f>'BIO DATA'!J131:J294</f>
        <v>1</v>
      </c>
      <c r="K134" s="50">
        <f>'BIO DATA'!K131:K335</f>
        <v>3</v>
      </c>
      <c r="L134" s="8" t="str">
        <f>'BIO DATA'!T131:T294</f>
        <v>Jl Tegal Gendu gang Merapi No 1123A Prenggan Kotagede DIY 55172</v>
      </c>
      <c r="M134" s="8" t="str">
        <f>'BIO DATA'!V131:V335</f>
        <v>Prenggan</v>
      </c>
      <c r="N134" s="8" t="str">
        <f>'BIO DATA'!W131:W335</f>
        <v>Kotagede</v>
      </c>
      <c r="O134" s="8" t="str">
        <f>'BIO DATA'!X131:X335</f>
        <v>Kota Yogyakarta</v>
      </c>
      <c r="P134" s="8" t="str">
        <f>'BIO DATA'!Y131:Y335</f>
        <v>DI Yogyakarta</v>
      </c>
      <c r="Q134" s="8" t="str">
        <f>'BIO DATA'!Z131:Z335</f>
        <v>MTs. Mu'allimin Muh. Yogyakarta</v>
      </c>
      <c r="R134" s="8" t="str">
        <f>'BIO DATA'!AA131:AA335</f>
        <v>Jl. Tegalturi No.45, Giwangan, Kec. Umbulharjo, Kota Yogyakarta, Daerah Istimewa Yogyakarta 55163</v>
      </c>
      <c r="S134" s="8">
        <f>'BIO DATA'!AB131:AB335</f>
        <v>0</v>
      </c>
      <c r="T134" s="8" t="str">
        <f>'BIO DATA'!AC131:AC335</f>
        <v>Parjiyanto</v>
      </c>
      <c r="U134" s="8" t="str">
        <f>'BIO DATA'!AD131</f>
        <v>Islam</v>
      </c>
      <c r="V134" s="8" t="str">
        <f>'BIO DATA'!AL131:AL335</f>
        <v>S1</v>
      </c>
      <c r="W134" s="8" t="str">
        <f>'BIO DATA'!AM131:AM335</f>
        <v>Lainnya</v>
      </c>
      <c r="X134" s="8">
        <f>'BIO DATA'!AG131:AG335</f>
        <v>0</v>
      </c>
      <c r="Y134" s="69" t="s">
        <v>217</v>
      </c>
      <c r="Z134" s="8">
        <f>'BIO DATA'!AI131:AI335</f>
        <v>0</v>
      </c>
      <c r="AA134" s="8" t="str">
        <f>'BIO DATA'!AJ131:AJ335</f>
        <v>Dian Megawati</v>
      </c>
      <c r="AB134" s="8" t="str">
        <f>'BIO DATA'!AK131</f>
        <v>Islam</v>
      </c>
      <c r="AC134" s="8" t="str">
        <f>'BIO DATA'!AL131:AL335</f>
        <v>S1</v>
      </c>
      <c r="AD134" s="8" t="str">
        <f>'BIO DATA'!AM131:AM335</f>
        <v>Lainnya</v>
      </c>
      <c r="AE134" s="8">
        <f>'BIO DATA'!AN131:AN335</f>
        <v>0</v>
      </c>
      <c r="AF134" s="52"/>
      <c r="AG134" s="8">
        <f>'BIO DATA'!AP131</f>
        <v>0</v>
      </c>
      <c r="AH134" s="8">
        <f>'BIO DATA'!AZ131</f>
        <v>0</v>
      </c>
      <c r="AI134" s="8" t="str">
        <f>'BIO DATA'!BA131</f>
        <v>Islam</v>
      </c>
      <c r="AJ134" s="8">
        <f>'BIO DATA'!BB131</f>
        <v>0</v>
      </c>
      <c r="AK134" s="8">
        <f>'BIO DATA'!BC131</f>
        <v>0</v>
      </c>
      <c r="AL134" s="8">
        <f>'BIO DATA'!BD131</f>
        <v>0</v>
      </c>
      <c r="AM134" s="8">
        <f>'BIO DATA'!BE131</f>
        <v>0</v>
      </c>
      <c r="AN134" s="8">
        <f>'BIO DATA'!BF131</f>
        <v>0</v>
      </c>
      <c r="AO134" s="8">
        <f>'BIO DATA'!BG131</f>
        <v>0</v>
      </c>
      <c r="AP134" s="54" t="s">
        <v>197</v>
      </c>
    </row>
    <row r="135" spans="1:42" s="54" customFormat="1" ht="20.100000000000001" customHeight="1" thickBot="1">
      <c r="A135" s="14" t="s">
        <v>130</v>
      </c>
      <c r="B135">
        <v>236</v>
      </c>
      <c r="C135" s="90">
        <f>'BIO DATA'!D132</f>
        <v>11241</v>
      </c>
      <c r="D135" s="90" t="str">
        <f>'BIO DATA'!E132</f>
        <v>3100014362</v>
      </c>
      <c r="E135" s="89" t="str">
        <f>'BIO DATA'!F132</f>
        <v>Akbar Shidqi Al Karim</v>
      </c>
      <c r="F135" s="49" t="str">
        <f>'BIO DATA'!M132</f>
        <v>Laki-laki</v>
      </c>
      <c r="G135" s="8" t="str">
        <f>'BIO DATA'!N132</f>
        <v>Tangerang</v>
      </c>
      <c r="H135" s="51">
        <f>'BIO DATA'!P132</f>
        <v>40456</v>
      </c>
      <c r="I135" s="49" t="str">
        <f>'BIO DATA'!S132</f>
        <v>Islam</v>
      </c>
      <c r="J135" s="50">
        <f>'BIO DATA'!J132:J295</f>
        <v>2</v>
      </c>
      <c r="K135" s="50">
        <f>'BIO DATA'!K132:K336</f>
        <v>1</v>
      </c>
      <c r="L135" s="8" t="str">
        <f>'BIO DATA'!T132:T295</f>
        <v>Mejing rt.02, Kalirandu, Bangunjiwo, Kasihan, Bantul, Yogyakarta 55184</v>
      </c>
      <c r="M135" s="8" t="str">
        <f>'BIO DATA'!V132:V336</f>
        <v>Banngunjiwo</v>
      </c>
      <c r="N135" s="8" t="str">
        <f>'BIO DATA'!W132:W336</f>
        <v>Kasihan</v>
      </c>
      <c r="O135" s="8" t="str">
        <f>'BIO DATA'!X132:X336</f>
        <v>Bantul</v>
      </c>
      <c r="P135" s="8" t="str">
        <f>'BIO DATA'!Y132:Y336</f>
        <v>DI Yogyakarta</v>
      </c>
      <c r="Q135" s="8" t="str">
        <f>'BIO DATA'!Z132:Z336</f>
        <v>MTs. Mu'allimin Muh. Yogyakarta</v>
      </c>
      <c r="R135" s="8" t="str">
        <f>'BIO DATA'!AA132:AA336</f>
        <v>Jl. Ringroad barat, Dusun Cambahan, Desa Nogotirto, Kecamatan Gamping, Cambahan, Nogotirto, Sleman, Kabupaten Sleman, Daerah Istimewa Yogyakarta 55292</v>
      </c>
      <c r="S135" s="8">
        <f>'BIO DATA'!AB132:AB336</f>
        <v>0</v>
      </c>
      <c r="T135" s="8" t="str">
        <f>'BIO DATA'!AC132:AC336</f>
        <v>Agus Mulyono</v>
      </c>
      <c r="U135" s="8" t="str">
        <f>'BIO DATA'!AD132</f>
        <v>Islam</v>
      </c>
      <c r="V135" s="8" t="str">
        <f>'BIO DATA'!AL132:AL336</f>
        <v>Diploma</v>
      </c>
      <c r="W135" s="8" t="str">
        <f>'BIO DATA'!AM132:AM336</f>
        <v>Karyawan Swasta</v>
      </c>
      <c r="X135" s="8" t="str">
        <f>'BIO DATA'!AG132:AG336</f>
        <v>&gt; Rp 2.500.000,00</v>
      </c>
      <c r="Y135" s="69" t="s">
        <v>217</v>
      </c>
      <c r="Z135" s="8">
        <f>'BIO DATA'!AI132:AI336</f>
        <v>0</v>
      </c>
      <c r="AA135" s="8" t="str">
        <f>'BIO DATA'!AJ132:AJ336</f>
        <v>Eni Martiningsih</v>
      </c>
      <c r="AB135" s="8" t="str">
        <f>'BIO DATA'!AK132</f>
        <v>Islam</v>
      </c>
      <c r="AC135" s="8" t="str">
        <f>'BIO DATA'!AL132:AL336</f>
        <v>Diploma</v>
      </c>
      <c r="AD135" s="8" t="str">
        <f>'BIO DATA'!AM132:AM336</f>
        <v>Karyawan Swasta</v>
      </c>
      <c r="AE135" s="8">
        <f>'BIO DATA'!AN132:AN336</f>
        <v>0</v>
      </c>
      <c r="AF135" s="52"/>
      <c r="AG135" s="8">
        <f>'BIO DATA'!AP132</f>
        <v>0</v>
      </c>
      <c r="AH135" s="8">
        <f>'BIO DATA'!AZ132</f>
        <v>0</v>
      </c>
      <c r="AI135" s="8" t="str">
        <f>'BIO DATA'!BA132</f>
        <v>Islam</v>
      </c>
      <c r="AJ135" s="8">
        <f>'BIO DATA'!BB132</f>
        <v>0</v>
      </c>
      <c r="AK135" s="8">
        <f>'BIO DATA'!BC132</f>
        <v>0</v>
      </c>
      <c r="AL135" s="8">
        <f>'BIO DATA'!BD132</f>
        <v>0</v>
      </c>
      <c r="AM135" s="8">
        <f>'BIO DATA'!BE132</f>
        <v>0</v>
      </c>
      <c r="AN135" s="8">
        <f>'BIO DATA'!BF132</f>
        <v>0</v>
      </c>
      <c r="AO135" s="8">
        <f>'BIO DATA'!BG132</f>
        <v>0</v>
      </c>
      <c r="AP135" s="54" t="s">
        <v>197</v>
      </c>
    </row>
    <row r="136" spans="1:42" s="54" customFormat="1" ht="20.100000000000001" customHeight="1" thickBot="1">
      <c r="A136" s="14" t="s">
        <v>130</v>
      </c>
      <c r="B136">
        <v>250</v>
      </c>
      <c r="C136" s="90">
        <f>'BIO DATA'!D133</f>
        <v>11248</v>
      </c>
      <c r="D136" s="90" t="str">
        <f>'BIO DATA'!E133</f>
        <v>0108107632</v>
      </c>
      <c r="E136" s="89" t="str">
        <f>'BIO DATA'!F133</f>
        <v>Al Fath Malik Sidik</v>
      </c>
      <c r="F136" s="49" t="str">
        <f>'BIO DATA'!M133</f>
        <v>Laki-laki</v>
      </c>
      <c r="G136" s="8" t="str">
        <f>'BIO DATA'!N133</f>
        <v>Bogor</v>
      </c>
      <c r="H136" s="51">
        <f>'BIO DATA'!P133</f>
        <v>40360</v>
      </c>
      <c r="I136" s="49" t="str">
        <f>'BIO DATA'!S133</f>
        <v>Islam</v>
      </c>
      <c r="J136" s="50">
        <f>'BIO DATA'!J133:J296</f>
        <v>1</v>
      </c>
      <c r="K136" s="50">
        <f>'BIO DATA'!K133:K337</f>
        <v>1</v>
      </c>
      <c r="L136" s="8" t="str">
        <f>'BIO DATA'!T133:T296</f>
        <v>Jl Pattimura, RT.4 Kelurahan Kenali Besar Kecamatan Alam Barajo Kota Jambi Prop. Jambi 36129</v>
      </c>
      <c r="M136" s="8" t="str">
        <f>'BIO DATA'!V133:V337</f>
        <v>Kenali Besar</v>
      </c>
      <c r="N136" s="8" t="str">
        <f>'BIO DATA'!W133:W337</f>
        <v>Alam Barajo</v>
      </c>
      <c r="O136" s="8" t="str">
        <f>'BIO DATA'!X133:X337</f>
        <v>Kota Jambi</v>
      </c>
      <c r="P136" s="8" t="str">
        <f>'BIO DATA'!Y133:Y337</f>
        <v>Jambi</v>
      </c>
      <c r="Q136" s="8" t="str">
        <f>'BIO DATA'!Z133:Z337</f>
        <v>MTs. Mu'allimin Muh. Yogyakarta</v>
      </c>
      <c r="R136" s="8" t="str">
        <f>'BIO DATA'!AA133:AA337</f>
        <v>Lorong Syech Mahmud Kelurahan No.RT 16, Kenali Besar, Kecamatan Alam Barajo, Kota Jambi, Jambi 36361</v>
      </c>
      <c r="S136" s="8">
        <f>'BIO DATA'!AB133:AB337</f>
        <v>0</v>
      </c>
      <c r="T136" s="8" t="str">
        <f>'BIO DATA'!AC133:AC337</f>
        <v>Lilik Nova Putra</v>
      </c>
      <c r="U136" s="8" t="str">
        <f>'BIO DATA'!AD133</f>
        <v>Islam</v>
      </c>
      <c r="V136" s="8" t="str">
        <f>'BIO DATA'!AL133:AL337</f>
        <v>S2</v>
      </c>
      <c r="W136" s="8" t="str">
        <f>'BIO DATA'!AM133:AM337</f>
        <v>PNS</v>
      </c>
      <c r="X136" s="8" t="str">
        <f>'BIO DATA'!AG133:AG337</f>
        <v xml:space="preserve"> &gt; Rp 2.500.000,00</v>
      </c>
      <c r="Y136" s="69" t="s">
        <v>217</v>
      </c>
      <c r="Z136" s="8">
        <f>'BIO DATA'!AI133:AI337</f>
        <v>0</v>
      </c>
      <c r="AA136" s="8" t="str">
        <f>'BIO DATA'!AJ133:AJ337</f>
        <v>Sri Rizki Dwi Putri</v>
      </c>
      <c r="AB136" s="8" t="str">
        <f>'BIO DATA'!AK133</f>
        <v>Islam</v>
      </c>
      <c r="AC136" s="8" t="str">
        <f>'BIO DATA'!AL133:AL337</f>
        <v>S2</v>
      </c>
      <c r="AD136" s="8" t="str">
        <f>'BIO DATA'!AM133:AM337</f>
        <v>PNS</v>
      </c>
      <c r="AE136" s="8">
        <f>'BIO DATA'!AN133:AN337</f>
        <v>0</v>
      </c>
      <c r="AF136" s="52"/>
      <c r="AG136" s="8">
        <f>'BIO DATA'!AP133</f>
        <v>0</v>
      </c>
      <c r="AH136" s="8">
        <f>'BIO DATA'!AZ133</f>
        <v>0</v>
      </c>
      <c r="AI136" s="8" t="str">
        <f>'BIO DATA'!BA133</f>
        <v>Islam</v>
      </c>
      <c r="AJ136" s="8">
        <f>'BIO DATA'!BB133</f>
        <v>0</v>
      </c>
      <c r="AK136" s="8">
        <f>'BIO DATA'!BC133</f>
        <v>0</v>
      </c>
      <c r="AL136" s="8">
        <f>'BIO DATA'!BD133</f>
        <v>0</v>
      </c>
      <c r="AM136" s="8">
        <f>'BIO DATA'!BE133</f>
        <v>0</v>
      </c>
      <c r="AN136" s="8">
        <f>'BIO DATA'!BF133</f>
        <v>0</v>
      </c>
      <c r="AO136" s="8">
        <f>'BIO DATA'!BG133</f>
        <v>0</v>
      </c>
      <c r="AP136" s="54" t="s">
        <v>197</v>
      </c>
    </row>
    <row r="137" spans="1:42" s="54" customFormat="1" ht="20.100000000000001" customHeight="1" thickBot="1">
      <c r="A137" s="14" t="s">
        <v>130</v>
      </c>
      <c r="B137">
        <v>257</v>
      </c>
      <c r="C137" s="90">
        <f>'BIO DATA'!D134</f>
        <v>11252</v>
      </c>
      <c r="D137" s="90" t="str">
        <f>'BIO DATA'!E134</f>
        <v>0082594855</v>
      </c>
      <c r="E137" s="89" t="str">
        <f>'BIO DATA'!F134</f>
        <v>Alvino Arkan</v>
      </c>
      <c r="F137" s="49" t="str">
        <f>'BIO DATA'!M134</f>
        <v>Laki-laki</v>
      </c>
      <c r="G137" s="8" t="str">
        <f>'BIO DATA'!N134</f>
        <v>Temanggung</v>
      </c>
      <c r="H137" s="51">
        <f>'BIO DATA'!P134</f>
        <v>39804</v>
      </c>
      <c r="I137" s="49" t="str">
        <f>'BIO DATA'!S134</f>
        <v>Islam</v>
      </c>
      <c r="J137" s="50">
        <f>'BIO DATA'!J134:J297</f>
        <v>2</v>
      </c>
      <c r="K137" s="50">
        <f>'BIO DATA'!K134:K338</f>
        <v>2</v>
      </c>
      <c r="L137" s="8" t="str">
        <f>'BIO DATA'!T134:T297</f>
        <v>Jalan Pasukan Ronggolawe Sirandu, Pagerkukuh, Kec. Wonosobo, Kabupaten Wonosobo, Jawa Tengah 56311</v>
      </c>
      <c r="M137" s="8" t="str">
        <f>'BIO DATA'!V134:V338</f>
        <v>Wonosobo Timur</v>
      </c>
      <c r="N137" s="8" t="str">
        <f>'BIO DATA'!W134:W338</f>
        <v>Wonosobo</v>
      </c>
      <c r="O137" s="8" t="str">
        <f>'BIO DATA'!X134:X338</f>
        <v>Wonosobo</v>
      </c>
      <c r="P137" s="8" t="str">
        <f>'BIO DATA'!Y134:Y338</f>
        <v>Jawa Tengah</v>
      </c>
      <c r="Q137" s="8" t="str">
        <f>'BIO DATA'!Z134:Z338</f>
        <v>MTs. Mu'allimin Muh. Yogyakarta</v>
      </c>
      <c r="R137" s="8" t="str">
        <f>'BIO DATA'!AA134:AA338</f>
        <v>Jl. Pasukan Ronggolawe, Sirandu, Pagerkukuh, Kec. Wonosobo, Kabupaten Wonosobo, Jawa Tengah 56311</v>
      </c>
      <c r="S137" s="8">
        <f>'BIO DATA'!AB134:AB338</f>
        <v>0</v>
      </c>
      <c r="T137" s="8" t="str">
        <f>'BIO DATA'!AC134:AC338</f>
        <v>Nur Hidayat</v>
      </c>
      <c r="U137" s="8" t="str">
        <f>'BIO DATA'!AD134</f>
        <v>Islam</v>
      </c>
      <c r="V137" s="8" t="str">
        <f>'BIO DATA'!AL134:AL338</f>
        <v>SMA</v>
      </c>
      <c r="W137" s="8" t="str">
        <f>'BIO DATA'!AM134:AM338</f>
        <v>Ibu Rumah Tangga</v>
      </c>
      <c r="X137" s="8" t="str">
        <f>'BIO DATA'!AG134:AG338</f>
        <v>&gt; Rp 2.500.000,00</v>
      </c>
      <c r="Y137" s="69" t="s">
        <v>217</v>
      </c>
      <c r="Z137" s="8">
        <f>'BIO DATA'!AI134:AI338</f>
        <v>0</v>
      </c>
      <c r="AA137" s="8" t="str">
        <f>'BIO DATA'!AJ134:AJ338</f>
        <v>Evy Sus Mahfitaningrum</v>
      </c>
      <c r="AB137" s="8" t="str">
        <f>'BIO DATA'!AK134</f>
        <v>Islam</v>
      </c>
      <c r="AC137" s="8" t="str">
        <f>'BIO DATA'!AL134:AL338</f>
        <v>SMA</v>
      </c>
      <c r="AD137" s="8" t="str">
        <f>'BIO DATA'!AM134:AM338</f>
        <v>Ibu Rumah Tangga</v>
      </c>
      <c r="AE137" s="8">
        <f>'BIO DATA'!AN134:AN338</f>
        <v>0</v>
      </c>
      <c r="AF137" s="52"/>
      <c r="AG137" s="8">
        <f>'BIO DATA'!AP134</f>
        <v>0</v>
      </c>
      <c r="AH137" s="8">
        <f>'BIO DATA'!AZ134</f>
        <v>0</v>
      </c>
      <c r="AI137" s="8" t="str">
        <f>'BIO DATA'!BA134</f>
        <v>Islam</v>
      </c>
      <c r="AJ137" s="8">
        <f>'BIO DATA'!BB134</f>
        <v>0</v>
      </c>
      <c r="AK137" s="8">
        <f>'BIO DATA'!BC134</f>
        <v>0</v>
      </c>
      <c r="AL137" s="8">
        <f>'BIO DATA'!BD134</f>
        <v>0</v>
      </c>
      <c r="AM137" s="8">
        <f>'BIO DATA'!BE134</f>
        <v>0</v>
      </c>
      <c r="AN137" s="8">
        <f>'BIO DATA'!BF134</f>
        <v>0</v>
      </c>
      <c r="AO137" s="8">
        <f>'BIO DATA'!BG134</f>
        <v>0</v>
      </c>
      <c r="AP137" s="54" t="s">
        <v>197</v>
      </c>
    </row>
    <row r="138" spans="1:42" s="54" customFormat="1" ht="20.100000000000001" customHeight="1" thickBot="1">
      <c r="A138" s="14" t="s">
        <v>130</v>
      </c>
      <c r="B138">
        <v>269</v>
      </c>
      <c r="C138" s="90" t="e">
        <f>'BIO DATA'!#REF!</f>
        <v>#REF!</v>
      </c>
      <c r="D138" s="90" t="e">
        <f>'BIO DATA'!#REF!</f>
        <v>#REF!</v>
      </c>
      <c r="E138" s="89" t="e">
        <f>'BIO DATA'!#REF!</f>
        <v>#REF!</v>
      </c>
      <c r="F138" s="49" t="e">
        <f>'BIO DATA'!#REF!</f>
        <v>#REF!</v>
      </c>
      <c r="G138" s="8" t="e">
        <f>'BIO DATA'!#REF!</f>
        <v>#REF!</v>
      </c>
      <c r="H138" s="51" t="e">
        <f>'BIO DATA'!#REF!</f>
        <v>#REF!</v>
      </c>
      <c r="I138" s="49" t="e">
        <f>'BIO DATA'!#REF!</f>
        <v>#REF!</v>
      </c>
      <c r="J138" s="50">
        <f>'BIO DATA'!J135:J298</f>
        <v>1</v>
      </c>
      <c r="K138" s="50">
        <f>'BIO DATA'!K135:K339</f>
        <v>1</v>
      </c>
      <c r="L138" s="8" t="str">
        <f>'BIO DATA'!T135:T298</f>
        <v>Victoria Park Residence No. A 17 RT 005/006 Gedangan Grogol Sukoharjo, Jawa Tengah 57552</v>
      </c>
      <c r="M138" s="8" t="str">
        <f>'BIO DATA'!V135:V339</f>
        <v>Gedangan</v>
      </c>
      <c r="N138" s="8" t="str">
        <f>'BIO DATA'!W135:W339</f>
        <v>Grogol</v>
      </c>
      <c r="O138" s="8" t="str">
        <f>'BIO DATA'!X135:X339</f>
        <v>Sukoharjo</v>
      </c>
      <c r="P138" s="8" t="str">
        <f>'BIO DATA'!Y135:Y339</f>
        <v>Jawa Tengah</v>
      </c>
      <c r="Q138" s="8" t="str">
        <f>'BIO DATA'!Z135:Z339</f>
        <v>MTs. Mu'allimin Muh. Yogyakarta</v>
      </c>
      <c r="R138" s="8" t="str">
        <f>'BIO DATA'!AA135:AA339</f>
        <v>Jl. Dr. Wahidin No.36, Bumi, Kec. Laweyan, Kota Surakarta, Jawa Tengah 57149</v>
      </c>
      <c r="S138" s="8">
        <f>'BIO DATA'!AB135:AB339</f>
        <v>0</v>
      </c>
      <c r="T138" s="8" t="str">
        <f>'BIO DATA'!AC135:AC339</f>
        <v>Bambang Priyono</v>
      </c>
      <c r="U138" s="8" t="e">
        <f>'BIO DATA'!#REF!</f>
        <v>#REF!</v>
      </c>
      <c r="V138" s="8" t="str">
        <f>'BIO DATA'!AL135:AL339</f>
        <v>S1</v>
      </c>
      <c r="W138" s="8" t="str">
        <f>'BIO DATA'!AM135:AM339</f>
        <v>Ibu Rumah Tangga</v>
      </c>
      <c r="X138" s="8" t="str">
        <f>'BIO DATA'!AG135:AG339</f>
        <v>&gt; Rp 2.500.000,00</v>
      </c>
      <c r="Y138" s="69" t="s">
        <v>217</v>
      </c>
      <c r="Z138" s="8">
        <f>'BIO DATA'!AI135:AI339</f>
        <v>0</v>
      </c>
      <c r="AA138" s="8" t="str">
        <f>'BIO DATA'!AJ135:AJ339</f>
        <v>Dwi Yani Yuniarti, SEI</v>
      </c>
      <c r="AB138" s="8" t="e">
        <f>'BIO DATA'!#REF!</f>
        <v>#REF!</v>
      </c>
      <c r="AC138" s="8" t="str">
        <f>'BIO DATA'!AL135:AL339</f>
        <v>S1</v>
      </c>
      <c r="AD138" s="8" t="str">
        <f>'BIO DATA'!AM135:AM339</f>
        <v>Ibu Rumah Tangga</v>
      </c>
      <c r="AE138" s="8">
        <f>'BIO DATA'!AN135:AN339</f>
        <v>0</v>
      </c>
      <c r="AF138" s="52"/>
      <c r="AG138" s="8" t="e">
        <f>'BIO DATA'!#REF!</f>
        <v>#REF!</v>
      </c>
      <c r="AH138" s="8" t="e">
        <f>'BIO DATA'!#REF!</f>
        <v>#REF!</v>
      </c>
      <c r="AI138" s="8" t="e">
        <f>'BIO DATA'!#REF!</f>
        <v>#REF!</v>
      </c>
      <c r="AJ138" s="8" t="e">
        <f>'BIO DATA'!#REF!</f>
        <v>#REF!</v>
      </c>
      <c r="AK138" s="8" t="e">
        <f>'BIO DATA'!#REF!</f>
        <v>#REF!</v>
      </c>
      <c r="AL138" s="8" t="e">
        <f>'BIO DATA'!#REF!</f>
        <v>#REF!</v>
      </c>
      <c r="AM138" s="8" t="e">
        <f>'BIO DATA'!#REF!</f>
        <v>#REF!</v>
      </c>
      <c r="AN138" s="8" t="e">
        <f>'BIO DATA'!#REF!</f>
        <v>#REF!</v>
      </c>
      <c r="AO138" s="8" t="e">
        <f>'BIO DATA'!#REF!</f>
        <v>#REF!</v>
      </c>
      <c r="AP138" s="54" t="s">
        <v>197</v>
      </c>
    </row>
    <row r="139" spans="1:42" s="54" customFormat="1" ht="20.100000000000001" customHeight="1" thickBot="1">
      <c r="A139" s="14" t="s">
        <v>130</v>
      </c>
      <c r="B139">
        <v>271</v>
      </c>
      <c r="C139" s="90" t="e">
        <f>'BIO DATA'!#REF!</f>
        <v>#REF!</v>
      </c>
      <c r="D139" s="90" t="e">
        <f>'BIO DATA'!#REF!</f>
        <v>#REF!</v>
      </c>
      <c r="E139" s="89" t="e">
        <f>'BIO DATA'!#REF!</f>
        <v>#REF!</v>
      </c>
      <c r="F139" s="49" t="e">
        <f>'BIO DATA'!#REF!</f>
        <v>#REF!</v>
      </c>
      <c r="G139" s="8" t="e">
        <f>'BIO DATA'!#REF!</f>
        <v>#REF!</v>
      </c>
      <c r="H139" s="51" t="e">
        <f>'BIO DATA'!#REF!</f>
        <v>#REF!</v>
      </c>
      <c r="I139" s="49" t="e">
        <f>'BIO DATA'!#REF!</f>
        <v>#REF!</v>
      </c>
      <c r="J139" s="50">
        <f>'BIO DATA'!J135:J299</f>
        <v>2</v>
      </c>
      <c r="K139" s="50">
        <f>'BIO DATA'!K135:K340</f>
        <v>2</v>
      </c>
      <c r="L139" s="8" t="str">
        <f>'BIO DATA'!T135:T299</f>
        <v>Sariagung No.19 RT 01/RW10 Kel. Jaraksari Kec. Wonosobo Kab. Wonosobo Jawa Tengah 56314</v>
      </c>
      <c r="M139" s="8" t="str">
        <f>'BIO DATA'!V135:V340</f>
        <v>Jaraksari</v>
      </c>
      <c r="N139" s="8" t="str">
        <f>'BIO DATA'!W135:W340</f>
        <v>Wonosobo</v>
      </c>
      <c r="O139" s="8" t="str">
        <f>'BIO DATA'!X135:X340</f>
        <v>Wonosobo</v>
      </c>
      <c r="P139" s="8" t="str">
        <f>'BIO DATA'!Y135:Y340</f>
        <v>Jawa Tengah</v>
      </c>
      <c r="Q139" s="8" t="str">
        <f>'BIO DATA'!Z135:Z340</f>
        <v>MTs. Mu'allimin Muh. Yogyakarta</v>
      </c>
      <c r="R139" s="8" t="str">
        <f>'BIO DATA'!AA135:AA340</f>
        <v>Jl. Pasukan Ronggolawe, Sirandu, Pagerkukuh, Kec. Wonosobo, Kabupaten Wonosobo, Jawa Tengah 56311</v>
      </c>
      <c r="S139" s="8">
        <f>'BIO DATA'!AB135:AB340</f>
        <v>0</v>
      </c>
      <c r="T139" s="8" t="str">
        <f>'BIO DATA'!AC135:AC340</f>
        <v>Budiyono</v>
      </c>
      <c r="U139" s="8" t="e">
        <f>'BIO DATA'!#REF!</f>
        <v>#REF!</v>
      </c>
      <c r="V139" s="8" t="str">
        <f>'BIO DATA'!AL135:AL340</f>
        <v>S1</v>
      </c>
      <c r="W139" s="8" t="str">
        <f>'BIO DATA'!AM135:AM340</f>
        <v>PNS</v>
      </c>
      <c r="X139" s="8" t="str">
        <f>'BIO DATA'!AG135:AG340</f>
        <v>&gt; Rp 2.500.000,00</v>
      </c>
      <c r="Y139" s="69" t="s">
        <v>217</v>
      </c>
      <c r="Z139" s="8">
        <f>'BIO DATA'!AI135:AI340</f>
        <v>0</v>
      </c>
      <c r="AA139" s="8" t="str">
        <f>'BIO DATA'!AJ135:AJ340</f>
        <v>Vitri Widya Lestari</v>
      </c>
      <c r="AB139" s="8" t="e">
        <f>'BIO DATA'!#REF!</f>
        <v>#REF!</v>
      </c>
      <c r="AC139" s="8" t="str">
        <f>'BIO DATA'!AL135:AL340</f>
        <v>S1</v>
      </c>
      <c r="AD139" s="8" t="str">
        <f>'BIO DATA'!AM135:AM340</f>
        <v>PNS</v>
      </c>
      <c r="AE139" s="8">
        <f>'BIO DATA'!AN135:AN340</f>
        <v>0</v>
      </c>
      <c r="AF139" s="52"/>
      <c r="AG139" s="8" t="e">
        <f>'BIO DATA'!#REF!</f>
        <v>#REF!</v>
      </c>
      <c r="AH139" s="8" t="e">
        <f>'BIO DATA'!#REF!</f>
        <v>#REF!</v>
      </c>
      <c r="AI139" s="8" t="e">
        <f>'BIO DATA'!#REF!</f>
        <v>#REF!</v>
      </c>
      <c r="AJ139" s="8" t="e">
        <f>'BIO DATA'!#REF!</f>
        <v>#REF!</v>
      </c>
      <c r="AK139" s="8" t="e">
        <f>'BIO DATA'!#REF!</f>
        <v>#REF!</v>
      </c>
      <c r="AL139" s="8" t="e">
        <f>'BIO DATA'!#REF!</f>
        <v>#REF!</v>
      </c>
      <c r="AM139" s="8" t="e">
        <f>'BIO DATA'!#REF!</f>
        <v>#REF!</v>
      </c>
      <c r="AN139" s="8" t="e">
        <f>'BIO DATA'!#REF!</f>
        <v>#REF!</v>
      </c>
      <c r="AO139" s="8" t="e">
        <f>'BIO DATA'!#REF!</f>
        <v>#REF!</v>
      </c>
      <c r="AP139" s="54" t="s">
        <v>197</v>
      </c>
    </row>
    <row r="140" spans="1:42" s="54" customFormat="1" ht="20.100000000000001" customHeight="1" thickBot="1">
      <c r="A140" s="14" t="s">
        <v>130</v>
      </c>
      <c r="B140">
        <v>292</v>
      </c>
      <c r="C140" s="90">
        <f>'BIO DATA'!D135</f>
        <v>11282</v>
      </c>
      <c r="D140" s="90" t="str">
        <f>'BIO DATA'!E135</f>
        <v>0091212716</v>
      </c>
      <c r="E140" s="89" t="str">
        <f>'BIO DATA'!F135</f>
        <v>Chairul Farand Dhiaulhaq</v>
      </c>
      <c r="F140" s="49" t="str">
        <f>'BIO DATA'!M135</f>
        <v>Laki-laki</v>
      </c>
      <c r="G140" s="8" t="str">
        <f>'BIO DATA'!N135</f>
        <v>Yogyakarta</v>
      </c>
      <c r="H140" s="51">
        <f>'BIO DATA'!P135</f>
        <v>39855</v>
      </c>
      <c r="I140" s="49" t="str">
        <f>'BIO DATA'!S135</f>
        <v>Islam</v>
      </c>
      <c r="J140" s="50">
        <f>'BIO DATA'!J135:J300</f>
        <v>1</v>
      </c>
      <c r="K140" s="50">
        <f>'BIO DATA'!K135:K341</f>
        <v>1</v>
      </c>
      <c r="L140" s="8" t="str">
        <f>'BIO DATA'!T135:T300</f>
        <v>Kamal Rt 02 Rw 04 Pagersari Mungkid Kabupaten Magelang, Jawa Tengah, 56512</v>
      </c>
      <c r="M140" s="8" t="str">
        <f>'BIO DATA'!V135:V341</f>
        <v>Pagersari</v>
      </c>
      <c r="N140" s="8" t="str">
        <f>'BIO DATA'!W135:W341</f>
        <v>Mungkid</v>
      </c>
      <c r="O140" s="8" t="str">
        <f>'BIO DATA'!X135:X341</f>
        <v>Magelang</v>
      </c>
      <c r="P140" s="8" t="str">
        <f>'BIO DATA'!Y135:Y341</f>
        <v>Jawa Tengah</v>
      </c>
      <c r="Q140" s="8" t="str">
        <f>'BIO DATA'!Z135:Z341</f>
        <v>MTs. Mu'allimin Muh. Yogyakarta</v>
      </c>
      <c r="R140" s="8" t="str">
        <f>'BIO DATA'!AA135:AA341</f>
        <v>JL Jeruk Timur 5, RT. 03 RW. 06, Sanden - Kramat Selatan - Magelang Utara, Kramat Sel., Kec. Magelang Utara, Kota Magelang, Jawa Tengah 56115</v>
      </c>
      <c r="S140" s="8">
        <f>'BIO DATA'!AB135:AB341</f>
        <v>0</v>
      </c>
      <c r="T140" s="8" t="str">
        <f>'BIO DATA'!AC135:AC341</f>
        <v>Taufiq Kurniawan</v>
      </c>
      <c r="U140" s="8" t="str">
        <f>'BIO DATA'!AD135</f>
        <v>Islam</v>
      </c>
      <c r="V140" s="8" t="str">
        <f>'BIO DATA'!AL135:AL341</f>
        <v>S1</v>
      </c>
      <c r="W140" s="8" t="str">
        <f>'BIO DATA'!AM135:AM341</f>
        <v>Guru</v>
      </c>
      <c r="X140" s="8" t="str">
        <f>'BIO DATA'!AG135:AG341</f>
        <v>&gt; Rp 2.500.000,00</v>
      </c>
      <c r="Y140" s="69" t="s">
        <v>217</v>
      </c>
      <c r="Z140" s="8">
        <f>'BIO DATA'!AI135:AI341</f>
        <v>0</v>
      </c>
      <c r="AA140" s="8" t="str">
        <f>'BIO DATA'!AJ135:AJ341</f>
        <v>Sebti Wulandari</v>
      </c>
      <c r="AB140" s="8" t="str">
        <f>'BIO DATA'!AK135</f>
        <v>Islam</v>
      </c>
      <c r="AC140" s="8" t="str">
        <f>'BIO DATA'!AL135:AL341</f>
        <v>S1</v>
      </c>
      <c r="AD140" s="8" t="str">
        <f>'BIO DATA'!AM135:AM341</f>
        <v>Guru</v>
      </c>
      <c r="AE140" s="8">
        <f>'BIO DATA'!AN135:AN341</f>
        <v>0</v>
      </c>
      <c r="AF140" s="52"/>
      <c r="AG140" s="8">
        <f>'BIO DATA'!AP135</f>
        <v>0</v>
      </c>
      <c r="AH140" s="8">
        <f>'BIO DATA'!AZ135</f>
        <v>0</v>
      </c>
      <c r="AI140" s="8" t="str">
        <f>'BIO DATA'!BA135</f>
        <v>Islam</v>
      </c>
      <c r="AJ140" s="8">
        <f>'BIO DATA'!BB135</f>
        <v>0</v>
      </c>
      <c r="AK140" s="8">
        <f>'BIO DATA'!BC135</f>
        <v>0</v>
      </c>
      <c r="AL140" s="8">
        <f>'BIO DATA'!BD135</f>
        <v>0</v>
      </c>
      <c r="AM140" s="8">
        <f>'BIO DATA'!BE135</f>
        <v>0</v>
      </c>
      <c r="AN140" s="8">
        <f>'BIO DATA'!BF135</f>
        <v>0</v>
      </c>
      <c r="AO140" s="8">
        <f>'BIO DATA'!BG135</f>
        <v>0</v>
      </c>
      <c r="AP140" s="54" t="s">
        <v>197</v>
      </c>
    </row>
    <row r="141" spans="1:42" s="54" customFormat="1" ht="20.100000000000001" customHeight="1" thickBot="1">
      <c r="A141" s="14" t="s">
        <v>130</v>
      </c>
      <c r="B141">
        <v>296</v>
      </c>
      <c r="C141" s="90">
        <f>'BIO DATA'!D136</f>
        <v>11286</v>
      </c>
      <c r="D141" s="90" t="str">
        <f>'BIO DATA'!E136</f>
        <v>0098038482</v>
      </c>
      <c r="E141" s="89" t="str">
        <f>'BIO DATA'!F136</f>
        <v>Cleon Ivander Xavier</v>
      </c>
      <c r="F141" s="49" t="str">
        <f>'BIO DATA'!M136</f>
        <v>Laki-laki</v>
      </c>
      <c r="G141" s="8" t="str">
        <f>'BIO DATA'!N136</f>
        <v>Palembang</v>
      </c>
      <c r="H141" s="51">
        <f>'BIO DATA'!P136</f>
        <v>40096</v>
      </c>
      <c r="I141" s="49" t="str">
        <f>'BIO DATA'!S136</f>
        <v>Islam</v>
      </c>
      <c r="J141" s="50">
        <f>'BIO DATA'!J136:J301</f>
        <v>7</v>
      </c>
      <c r="K141" s="50">
        <f>'BIO DATA'!K136:K342</f>
        <v>6</v>
      </c>
      <c r="L141" s="8" t="str">
        <f>'BIO DATA'!T136:T301</f>
        <v>Jln. Suronatan 51-53, Suronatan, Notoprajan, Ngampilan Yogyakarta, DI Yogyakarta, 55262</v>
      </c>
      <c r="M141" s="8" t="str">
        <f>'BIO DATA'!V136:V342</f>
        <v>Notoprajan</v>
      </c>
      <c r="N141" s="8" t="str">
        <f>'BIO DATA'!W136:W342</f>
        <v>Ngampilan</v>
      </c>
      <c r="O141" s="8" t="str">
        <f>'BIO DATA'!X136:X342</f>
        <v>Yogyakarta</v>
      </c>
      <c r="P141" s="8" t="str">
        <f>'BIO DATA'!Y136:Y342</f>
        <v>DI Yogyakarta</v>
      </c>
      <c r="Q141" s="8" t="str">
        <f>'BIO DATA'!Z136:Z342</f>
        <v>MTs. Mu'allimin Muh. Yogyakarta</v>
      </c>
      <c r="R141" s="8" t="str">
        <f>'BIO DATA'!AA136:AA342</f>
        <v>Jl. Imogiri Barat No.Km. 7, Semail, Bangunharjo, Kec. Sewon, Kabupaten Bantul, Daerah Istimewa Yogyakarta 55188</v>
      </c>
      <c r="S141" s="8">
        <f>'BIO DATA'!AB136:AB342</f>
        <v>0</v>
      </c>
      <c r="T141" s="8" t="str">
        <f>'BIO DATA'!AC136:AC342</f>
        <v>Sumarwoko</v>
      </c>
      <c r="U141" s="8" t="str">
        <f>'BIO DATA'!AD136</f>
        <v>Islam</v>
      </c>
      <c r="V141" s="8" t="str">
        <f>'BIO DATA'!AL136:AL342</f>
        <v>SMA</v>
      </c>
      <c r="W141" s="8" t="str">
        <f>'BIO DATA'!AM136:AM342</f>
        <v>Ibu Rumah Tangga</v>
      </c>
      <c r="X141" s="8" t="str">
        <f>'BIO DATA'!AG136:AG342</f>
        <v>&gt; Rp 2.500.000,00</v>
      </c>
      <c r="Y141" s="69" t="s">
        <v>217</v>
      </c>
      <c r="Z141" s="8">
        <f>'BIO DATA'!AI136:AI342</f>
        <v>0</v>
      </c>
      <c r="AA141" s="8" t="str">
        <f>'BIO DATA'!AJ136:AJ342</f>
        <v>Sri Purwaningsih</v>
      </c>
      <c r="AB141" s="8" t="str">
        <f>'BIO DATA'!AK136</f>
        <v>Islam</v>
      </c>
      <c r="AC141" s="8" t="str">
        <f>'BIO DATA'!AL136:AL342</f>
        <v>SMA</v>
      </c>
      <c r="AD141" s="8" t="str">
        <f>'BIO DATA'!AM136:AM342</f>
        <v>Ibu Rumah Tangga</v>
      </c>
      <c r="AE141" s="8">
        <f>'BIO DATA'!AN136:AN342</f>
        <v>0</v>
      </c>
      <c r="AF141" s="52"/>
      <c r="AG141" s="8">
        <f>'BIO DATA'!AP136</f>
        <v>0</v>
      </c>
      <c r="AH141" s="8">
        <f>'BIO DATA'!AZ136</f>
        <v>0</v>
      </c>
      <c r="AI141" s="8" t="str">
        <f>'BIO DATA'!BA136</f>
        <v>Islam</v>
      </c>
      <c r="AJ141" s="8">
        <f>'BIO DATA'!BB136</f>
        <v>0</v>
      </c>
      <c r="AK141" s="8">
        <f>'BIO DATA'!BC136</f>
        <v>0</v>
      </c>
      <c r="AL141" s="8">
        <f>'BIO DATA'!BD136</f>
        <v>0</v>
      </c>
      <c r="AM141" s="8">
        <f>'BIO DATA'!BE136</f>
        <v>0</v>
      </c>
      <c r="AN141" s="8">
        <f>'BIO DATA'!BF136</f>
        <v>0</v>
      </c>
      <c r="AO141" s="8">
        <f>'BIO DATA'!BG136</f>
        <v>0</v>
      </c>
      <c r="AP141" s="54" t="s">
        <v>197</v>
      </c>
    </row>
    <row r="142" spans="1:42" s="54" customFormat="1" ht="20.100000000000001" customHeight="1" thickBot="1">
      <c r="A142" s="14" t="s">
        <v>130</v>
      </c>
      <c r="B142">
        <v>5</v>
      </c>
      <c r="C142" s="90">
        <f>'BIO DATA'!D137</f>
        <v>11291</v>
      </c>
      <c r="D142" s="90" t="str">
        <f>'BIO DATA'!E137</f>
        <v>0109180870</v>
      </c>
      <c r="E142" s="89" t="str">
        <f>'BIO DATA'!F137</f>
        <v>Davito Al Kindi</v>
      </c>
      <c r="F142" s="49" t="str">
        <f>'BIO DATA'!M137</f>
        <v>Laki-laki</v>
      </c>
      <c r="G142" s="8" t="str">
        <f>'BIO DATA'!N137</f>
        <v>Wonosobo</v>
      </c>
      <c r="H142" s="51">
        <f>'BIO DATA'!P137</f>
        <v>40266</v>
      </c>
      <c r="I142" s="49" t="str">
        <f>'BIO DATA'!S137</f>
        <v>Islam</v>
      </c>
      <c r="J142" s="50">
        <f>'BIO DATA'!J137:J302</f>
        <v>1</v>
      </c>
      <c r="K142" s="50">
        <f>'BIO DATA'!K137:K343</f>
        <v>1</v>
      </c>
      <c r="L142" s="8" t="str">
        <f>'BIO DATA'!T137:T302</f>
        <v>Jl. Telaga Warna RT 4 RW 1 Dieng Wetan Kejajar Wonosobo, Jawa Tengah, 56354</v>
      </c>
      <c r="M142" s="8" t="str">
        <f>'BIO DATA'!V137:V343</f>
        <v>Dieng Wetan</v>
      </c>
      <c r="N142" s="8" t="str">
        <f>'BIO DATA'!W137:W343</f>
        <v>Kejajar</v>
      </c>
      <c r="O142" s="8" t="str">
        <f>'BIO DATA'!X137:X343</f>
        <v>Wonosobo</v>
      </c>
      <c r="P142" s="8" t="str">
        <f>'BIO DATA'!Y137:Y343</f>
        <v>Jawa Tengah</v>
      </c>
      <c r="Q142" s="8" t="str">
        <f>'BIO DATA'!Z137:Z343</f>
        <v>MTs. Mu'allimin Muh. Yogyakarta</v>
      </c>
      <c r="R142" s="8" t="str">
        <f>'BIO DATA'!AA137:AA343</f>
        <v>Jl. Telaga Warna, Dieng, Kec. Kejajar, Kabupaten Wonosobo, Jawa Tengah 56354</v>
      </c>
      <c r="S142" s="8">
        <f>'BIO DATA'!AB137:AB343</f>
        <v>0</v>
      </c>
      <c r="T142" s="8" t="str">
        <f>'BIO DATA'!AC137:AC343</f>
        <v>Slamet waluyo</v>
      </c>
      <c r="U142" s="8" t="str">
        <f>'BIO DATA'!AD137</f>
        <v>Islam</v>
      </c>
      <c r="V142" s="8">
        <f>'BIO DATA'!AL137:AL343</f>
        <v>0</v>
      </c>
      <c r="W142" s="8">
        <f>'BIO DATA'!AM137:AM343</f>
        <v>0</v>
      </c>
      <c r="X142" s="8">
        <f>'BIO DATA'!AG137:AG343</f>
        <v>0</v>
      </c>
      <c r="Y142" s="69" t="s">
        <v>217</v>
      </c>
      <c r="Z142" s="8">
        <f>'BIO DATA'!AI137:AI343</f>
        <v>0</v>
      </c>
      <c r="AA142" s="8" t="str">
        <f>'BIO DATA'!AJ137:AJ343</f>
        <v>Marfina</v>
      </c>
      <c r="AB142" s="8" t="str">
        <f>'BIO DATA'!AK137</f>
        <v>Islam</v>
      </c>
      <c r="AC142" s="8">
        <f>'BIO DATA'!AL137:AL343</f>
        <v>0</v>
      </c>
      <c r="AD142" s="8">
        <f>'BIO DATA'!AM137:AM343</f>
        <v>0</v>
      </c>
      <c r="AE142" s="8">
        <f>'BIO DATA'!AN137:AN343</f>
        <v>0</v>
      </c>
      <c r="AF142" s="52"/>
      <c r="AG142" s="8">
        <f>'BIO DATA'!AP137</f>
        <v>0</v>
      </c>
      <c r="AH142" s="8">
        <f>'BIO DATA'!AZ137</f>
        <v>0</v>
      </c>
      <c r="AI142" s="8" t="str">
        <f>'BIO DATA'!BA137</f>
        <v>Islam</v>
      </c>
      <c r="AJ142" s="8">
        <f>'BIO DATA'!BB137</f>
        <v>0</v>
      </c>
      <c r="AK142" s="8">
        <f>'BIO DATA'!BC137</f>
        <v>0</v>
      </c>
      <c r="AL142" s="8">
        <f>'BIO DATA'!BD137</f>
        <v>0</v>
      </c>
      <c r="AM142" s="8">
        <f>'BIO DATA'!BE137</f>
        <v>0</v>
      </c>
      <c r="AN142" s="8">
        <f>'BIO DATA'!BF137</f>
        <v>0</v>
      </c>
      <c r="AO142" s="8">
        <f>'BIO DATA'!BG137</f>
        <v>0</v>
      </c>
      <c r="AP142" s="54" t="s">
        <v>170</v>
      </c>
    </row>
    <row r="143" spans="1:42" s="54" customFormat="1" ht="20.100000000000001" customHeight="1" thickBot="1">
      <c r="A143" s="14" t="s">
        <v>130</v>
      </c>
      <c r="B143">
        <v>19</v>
      </c>
      <c r="C143" s="90">
        <f>'BIO DATA'!D138</f>
        <v>11312</v>
      </c>
      <c r="D143" s="90" t="str">
        <f>'BIO DATA'!E138</f>
        <v>0105076162</v>
      </c>
      <c r="E143" s="89" t="str">
        <f>'BIO DATA'!F138</f>
        <v>Fairuz Husni Firmansyah</v>
      </c>
      <c r="F143" s="49" t="str">
        <f>'BIO DATA'!M138</f>
        <v>Laki-laki</v>
      </c>
      <c r="G143" s="8" t="str">
        <f>'BIO DATA'!N138</f>
        <v>Bantul</v>
      </c>
      <c r="H143" s="51">
        <f>'BIO DATA'!P138</f>
        <v>40272</v>
      </c>
      <c r="I143" s="49" t="str">
        <f>'BIO DATA'!S138</f>
        <v>Islam</v>
      </c>
      <c r="J143" s="50">
        <f>'BIO DATA'!J138:J303</f>
        <v>3</v>
      </c>
      <c r="K143" s="50">
        <f>'BIO DATA'!K138:K344</f>
        <v>2</v>
      </c>
      <c r="L143" s="8" t="str">
        <f>'BIO DATA'!T138:T303</f>
        <v>Kauman GM/1 262 RT 50 RW 13 Ngupasan, Gondomanan, Yogyakarta, DI Yogyakarta, 55122</v>
      </c>
      <c r="M143" s="8" t="str">
        <f>'BIO DATA'!V138:V344</f>
        <v>Ngupasan</v>
      </c>
      <c r="N143" s="8" t="str">
        <f>'BIO DATA'!W138:W344</f>
        <v>Gondomanan</v>
      </c>
      <c r="O143" s="8" t="str">
        <f>'BIO DATA'!X138:X344</f>
        <v>Kota Yogyakarta</v>
      </c>
      <c r="P143" s="8" t="str">
        <f>'BIO DATA'!Y138:Y344</f>
        <v>DI Yogyakarta</v>
      </c>
      <c r="Q143" s="8" t="str">
        <f>'BIO DATA'!Z138:Z344</f>
        <v>MTs. Mu'allimin Muh. Yogyakarta</v>
      </c>
      <c r="R143" s="8" t="str">
        <f>'BIO DATA'!AA138:AA344</f>
        <v>Kampung islam, Jl. Kauman, Ngupasan, Kec. Gondomanan, Kota Yogyakarta, Daerah Istimewa Yogyakarta 55122</v>
      </c>
      <c r="S143" s="8">
        <f>'BIO DATA'!AB138:AB344</f>
        <v>0</v>
      </c>
      <c r="T143" s="8" t="str">
        <f>'BIO DATA'!AC138:AC344</f>
        <v>Sobirin</v>
      </c>
      <c r="U143" s="8" t="str">
        <f>'BIO DATA'!AD138</f>
        <v>Islam</v>
      </c>
      <c r="V143" s="8" t="str">
        <f>'BIO DATA'!AL138:AL344</f>
        <v>S1</v>
      </c>
      <c r="W143" s="8" t="str">
        <f>'BIO DATA'!AM138:AM344</f>
        <v>Ibu Rumah Tangga</v>
      </c>
      <c r="X143" s="8" t="str">
        <f>'BIO DATA'!AG138:AG344</f>
        <v>&gt; Rp 2.500.000,00</v>
      </c>
      <c r="Y143" s="69" t="s">
        <v>217</v>
      </c>
      <c r="Z143" s="8">
        <f>'BIO DATA'!AI138:AI344</f>
        <v>0</v>
      </c>
      <c r="AA143" s="8" t="str">
        <f>'BIO DATA'!AJ138:AJ344</f>
        <v>Emila Inayati</v>
      </c>
      <c r="AB143" s="8" t="str">
        <f>'BIO DATA'!AK138</f>
        <v>Islam</v>
      </c>
      <c r="AC143" s="8" t="str">
        <f>'BIO DATA'!AL138:AL344</f>
        <v>S1</v>
      </c>
      <c r="AD143" s="8" t="str">
        <f>'BIO DATA'!AM138:AM344</f>
        <v>Ibu Rumah Tangga</v>
      </c>
      <c r="AE143" s="8">
        <f>'BIO DATA'!AN138:AN344</f>
        <v>0</v>
      </c>
      <c r="AF143" s="52"/>
      <c r="AG143" s="8">
        <f>'BIO DATA'!AP138</f>
        <v>0</v>
      </c>
      <c r="AH143" s="8">
        <f>'BIO DATA'!AZ138</f>
        <v>0</v>
      </c>
      <c r="AI143" s="8" t="str">
        <f>'BIO DATA'!BA138</f>
        <v>Islam</v>
      </c>
      <c r="AJ143" s="8">
        <f>'BIO DATA'!BB138</f>
        <v>0</v>
      </c>
      <c r="AK143" s="8">
        <f>'BIO DATA'!BC138</f>
        <v>0</v>
      </c>
      <c r="AL143" s="8">
        <f>'BIO DATA'!BD138</f>
        <v>0</v>
      </c>
      <c r="AM143" s="8">
        <f>'BIO DATA'!BE138</f>
        <v>0</v>
      </c>
      <c r="AN143" s="8">
        <f>'BIO DATA'!BF138</f>
        <v>0</v>
      </c>
      <c r="AO143" s="8">
        <f>'BIO DATA'!BG138</f>
        <v>0</v>
      </c>
      <c r="AP143" s="54" t="s">
        <v>170</v>
      </c>
    </row>
    <row r="144" spans="1:42" s="54" customFormat="1" ht="20.100000000000001" customHeight="1" thickBot="1">
      <c r="A144" s="14" t="s">
        <v>130</v>
      </c>
      <c r="B144">
        <v>26</v>
      </c>
      <c r="C144" s="90">
        <f>'BIO DATA'!D139</f>
        <v>11340</v>
      </c>
      <c r="D144" s="90" t="str">
        <f>'BIO DATA'!E139</f>
        <v>0104425009</v>
      </c>
      <c r="E144" s="89" t="str">
        <f>'BIO DATA'!F139</f>
        <v>Fawwaz Maulana Divian</v>
      </c>
      <c r="F144" s="49" t="str">
        <f>'BIO DATA'!M139</f>
        <v>Laki-laki</v>
      </c>
      <c r="G144" s="8" t="str">
        <f>'BIO DATA'!N139</f>
        <v>Wonosobo</v>
      </c>
      <c r="H144" s="51">
        <f>'BIO DATA'!P139</f>
        <v>40239</v>
      </c>
      <c r="I144" s="49" t="str">
        <f>'BIO DATA'!S139</f>
        <v>Islam</v>
      </c>
      <c r="J144" s="50">
        <f>'BIO DATA'!J139:J304</f>
        <v>1</v>
      </c>
      <c r="K144" s="50">
        <f>'BIO DATA'!K139:K345</f>
        <v>0</v>
      </c>
      <c r="L144" s="8" t="str">
        <f>'BIO DATA'!T139:T304</f>
        <v>Perum Beringin Lestrasi Jl. Bukit Beringin Asri III No. 388 RT.03 / RW. 07 Kec. Ngaliyan Kota Semarang, Jawa Tengah, 50187</v>
      </c>
      <c r="M144" s="8" t="str">
        <f>'BIO DATA'!V139:V345</f>
        <v>Bukit Beringin Asri</v>
      </c>
      <c r="N144" s="8" t="str">
        <f>'BIO DATA'!W139:W345</f>
        <v>Ngaliyan</v>
      </c>
      <c r="O144" s="8" t="str">
        <f>'BIO DATA'!X139:X345</f>
        <v>Semarang</v>
      </c>
      <c r="P144" s="8" t="str">
        <f>'BIO DATA'!Y139:Y345</f>
        <v>Jawa Tengah</v>
      </c>
      <c r="Q144" s="8" t="str">
        <f>'BIO DATA'!Z139:Z345</f>
        <v>MTs. Mu'allimin Muh. Yogyakarta</v>
      </c>
      <c r="R144" s="8" t="str">
        <f>'BIO DATA'!AA139:AA345</f>
        <v>Jl. Raya Klampisan No.1, Ngaliyan, Kec. Ngaliyan, Kota Semarang, Jawa Tengah 50181</v>
      </c>
      <c r="S144" s="8">
        <f>'BIO DATA'!AB139:AB345</f>
        <v>0</v>
      </c>
      <c r="T144" s="8" t="str">
        <f>'BIO DATA'!AC139:AC345</f>
        <v>Bimin</v>
      </c>
      <c r="U144" s="8" t="str">
        <f>'BIO DATA'!AD139</f>
        <v>Islam</v>
      </c>
      <c r="V144" s="8" t="str">
        <f>'BIO DATA'!AL139:AL345</f>
        <v>S1</v>
      </c>
      <c r="W144" s="8" t="str">
        <f>'BIO DATA'!AM139:AM345</f>
        <v>PNS</v>
      </c>
      <c r="X144" s="8" t="str">
        <f>'BIO DATA'!AG139:AG345</f>
        <v>&gt; Rp 2.500.000,00</v>
      </c>
      <c r="Y144" s="69" t="s">
        <v>217</v>
      </c>
      <c r="Z144" s="8">
        <f>'BIO DATA'!AI139:AI345</f>
        <v>0</v>
      </c>
      <c r="AA144" s="8" t="str">
        <f>'BIO DATA'!AJ139:AJ345</f>
        <v>Ike Dwi Hastuti</v>
      </c>
      <c r="AB144" s="8" t="str">
        <f>'BIO DATA'!AK139</f>
        <v>Islam</v>
      </c>
      <c r="AC144" s="8" t="str">
        <f>'BIO DATA'!AL139:AL345</f>
        <v>S1</v>
      </c>
      <c r="AD144" s="8" t="str">
        <f>'BIO DATA'!AM139:AM345</f>
        <v>PNS</v>
      </c>
      <c r="AE144" s="8">
        <f>'BIO DATA'!AN139:AN345</f>
        <v>0</v>
      </c>
      <c r="AF144" s="52"/>
      <c r="AG144" s="8">
        <f>'BIO DATA'!AP139</f>
        <v>0</v>
      </c>
      <c r="AH144" s="8">
        <f>'BIO DATA'!AZ139</f>
        <v>0</v>
      </c>
      <c r="AI144" s="8" t="str">
        <f>'BIO DATA'!BA139</f>
        <v>Islam</v>
      </c>
      <c r="AJ144" s="8">
        <f>'BIO DATA'!BB139</f>
        <v>0</v>
      </c>
      <c r="AK144" s="8">
        <f>'BIO DATA'!BC139</f>
        <v>0</v>
      </c>
      <c r="AL144" s="8">
        <f>'BIO DATA'!BD139</f>
        <v>0</v>
      </c>
      <c r="AM144" s="8">
        <f>'BIO DATA'!BE139</f>
        <v>0</v>
      </c>
      <c r="AN144" s="8">
        <f>'BIO DATA'!BF139</f>
        <v>0</v>
      </c>
      <c r="AO144" s="8">
        <f>'BIO DATA'!BG139</f>
        <v>0</v>
      </c>
      <c r="AP144" s="54" t="s">
        <v>170</v>
      </c>
    </row>
    <row r="145" spans="1:42" s="54" customFormat="1" ht="20.100000000000001" customHeight="1" thickBot="1">
      <c r="A145" s="14" t="s">
        <v>130</v>
      </c>
      <c r="B145">
        <v>65</v>
      </c>
      <c r="C145" s="90">
        <f>'BIO DATA'!D140</f>
        <v>11334</v>
      </c>
      <c r="D145" s="90" t="str">
        <f>'BIO DATA'!E140</f>
        <v>0092638882</v>
      </c>
      <c r="E145" s="89" t="str">
        <f>'BIO DATA'!F140</f>
        <v>Genta Hasyarafi</v>
      </c>
      <c r="F145" s="49" t="str">
        <f>'BIO DATA'!M140</f>
        <v>Laki-laki</v>
      </c>
      <c r="G145" s="8" t="str">
        <f>'BIO DATA'!N140</f>
        <v>Magelang</v>
      </c>
      <c r="H145" s="51">
        <f>'BIO DATA'!P140</f>
        <v>40018</v>
      </c>
      <c r="I145" s="49" t="str">
        <f>'BIO DATA'!S140</f>
        <v>Islam</v>
      </c>
      <c r="J145" s="50">
        <f>'BIO DATA'!J140:J305</f>
        <v>1</v>
      </c>
      <c r="K145" s="50">
        <f>'BIO DATA'!K140:K346</f>
        <v>1</v>
      </c>
      <c r="L145" s="8" t="str">
        <f>'BIO DATA'!T140:T305</f>
        <v>Gumantar, Tanjung RT/RW 001/003, Juwiring, Klaten, Jawa Tengah, 57472</v>
      </c>
      <c r="M145" s="8" t="str">
        <f>'BIO DATA'!V140:V346</f>
        <v>Tanjung</v>
      </c>
      <c r="N145" s="8" t="str">
        <f>'BIO DATA'!W140:W346</f>
        <v>Juwiring</v>
      </c>
      <c r="O145" s="8" t="str">
        <f>'BIO DATA'!X140:X346</f>
        <v>Klaten</v>
      </c>
      <c r="P145" s="8" t="str">
        <f>'BIO DATA'!Y140:Y346</f>
        <v>Jawa Tengah</v>
      </c>
      <c r="Q145" s="8" t="str">
        <f>'BIO DATA'!Z140:Z346</f>
        <v>MTs. Mu'allimin Muh. Yogyakarta</v>
      </c>
      <c r="R145" s="8" t="str">
        <f>'BIO DATA'!AA140:AA346</f>
        <v>Gumantar, Kwarasan, Kec. Juwiring, Kabupaten Klaten, Jawa Tengah 57472</v>
      </c>
      <c r="S145" s="8">
        <f>'BIO DATA'!AB140:AB346</f>
        <v>0</v>
      </c>
      <c r="T145" s="8" t="str">
        <f>'BIO DATA'!AC140:AC346</f>
        <v>Mukramin Muhidin Zain</v>
      </c>
      <c r="U145" s="8" t="str">
        <f>'BIO DATA'!AD140</f>
        <v>Islam</v>
      </c>
      <c r="V145" s="8" t="str">
        <f>'BIO DATA'!AL140:AL346</f>
        <v>S1</v>
      </c>
      <c r="W145" s="8" t="str">
        <f>'BIO DATA'!AM140:AM346</f>
        <v>Ibu Rumah Tangga</v>
      </c>
      <c r="X145" s="8">
        <f>'BIO DATA'!AG140:AG346</f>
        <v>0</v>
      </c>
      <c r="Y145" s="69" t="s">
        <v>217</v>
      </c>
      <c r="Z145" s="8">
        <f>'BIO DATA'!AI140:AI346</f>
        <v>0</v>
      </c>
      <c r="AA145" s="8" t="str">
        <f>'BIO DATA'!AJ140:AJ346</f>
        <v>Sittatun Hidayati</v>
      </c>
      <c r="AB145" s="8" t="str">
        <f>'BIO DATA'!AK140</f>
        <v>Islam</v>
      </c>
      <c r="AC145" s="8" t="str">
        <f>'BIO DATA'!AL140:AL346</f>
        <v>S1</v>
      </c>
      <c r="AD145" s="8" t="str">
        <f>'BIO DATA'!AM140:AM346</f>
        <v>Ibu Rumah Tangga</v>
      </c>
      <c r="AE145" s="8" t="str">
        <f>'BIO DATA'!AN140:AN346</f>
        <v>&gt; Rp 2.500.000,00</v>
      </c>
      <c r="AF145" s="52"/>
      <c r="AG145" s="8">
        <f>'BIO DATA'!AP140</f>
        <v>0</v>
      </c>
      <c r="AH145" s="8">
        <f>'BIO DATA'!AZ140</f>
        <v>0</v>
      </c>
      <c r="AI145" s="8" t="str">
        <f>'BIO DATA'!BA140</f>
        <v>Islam</v>
      </c>
      <c r="AJ145" s="8">
        <f>'BIO DATA'!BB140</f>
        <v>0</v>
      </c>
      <c r="AK145" s="8">
        <f>'BIO DATA'!BC140</f>
        <v>0</v>
      </c>
      <c r="AL145" s="8">
        <f>'BIO DATA'!BD140</f>
        <v>0</v>
      </c>
      <c r="AM145" s="8">
        <f>'BIO DATA'!BE140</f>
        <v>0</v>
      </c>
      <c r="AN145" s="8">
        <f>'BIO DATA'!BF140</f>
        <v>0</v>
      </c>
      <c r="AO145" s="8">
        <f>'BIO DATA'!BG140</f>
        <v>0</v>
      </c>
      <c r="AP145" s="54" t="s">
        <v>170</v>
      </c>
    </row>
    <row r="146" spans="1:42" s="54" customFormat="1" ht="20.100000000000001" customHeight="1" thickBot="1">
      <c r="A146" s="14" t="s">
        <v>130</v>
      </c>
      <c r="B146">
        <v>66</v>
      </c>
      <c r="C146" s="90">
        <f>'BIO DATA'!D141</f>
        <v>11344</v>
      </c>
      <c r="D146" s="90" t="str">
        <f>'BIO DATA'!E141</f>
        <v>0107097919</v>
      </c>
      <c r="E146" s="89" t="str">
        <f>'BIO DATA'!F141</f>
        <v>Halid Tsaqib Fawwas F.</v>
      </c>
      <c r="F146" s="49" t="str">
        <f>'BIO DATA'!M141</f>
        <v>Laki-laki</v>
      </c>
      <c r="G146" s="8" t="str">
        <f>'BIO DATA'!N141</f>
        <v>Yogyakarta</v>
      </c>
      <c r="H146" s="51">
        <f>'BIO DATA'!P141</f>
        <v>40203</v>
      </c>
      <c r="I146" s="49" t="str">
        <f>'BIO DATA'!S141</f>
        <v>Islam</v>
      </c>
      <c r="J146" s="50">
        <f>'BIO DATA'!J141:J306</f>
        <v>2</v>
      </c>
      <c r="K146" s="50">
        <f>'BIO DATA'!K141:K347</f>
        <v>2</v>
      </c>
      <c r="L146" s="8" t="str">
        <f>'BIO DATA'!T141:T306</f>
        <v>Jl. Kancil Putih 7 blok B1 RT.46 RW.10 Kel. Demang Lebar Daun Kec. Ilir Barat 1kota Palembang, Sumatera Selatan, 30137</v>
      </c>
      <c r="M146" s="8" t="str">
        <f>'BIO DATA'!V141:V347</f>
        <v>Demang Lebar Daun</v>
      </c>
      <c r="N146" s="8" t="str">
        <f>'BIO DATA'!W141:W347</f>
        <v>Ilir Barat</v>
      </c>
      <c r="O146" s="8" t="str">
        <f>'BIO DATA'!X141:X347</f>
        <v>Palembang</v>
      </c>
      <c r="P146" s="8" t="str">
        <f>'BIO DATA'!Y141:Y347</f>
        <v>Sumatera Selatan</v>
      </c>
      <c r="Q146" s="8" t="str">
        <f>'BIO DATA'!Z141:Z347</f>
        <v>MTs. Mu'allimin Muh. Yogyakarta</v>
      </c>
      <c r="R146" s="8" t="str">
        <f>'BIO DATA'!AA141:AA347</f>
        <v>Jl. Raya Bukit Sejahtera, RT.76/RW.022, Bukit Lama, Kec. Ilir Bar. I, Kota Palembang, Sumatera Selatan 30139</v>
      </c>
      <c r="S146" s="8">
        <f>'BIO DATA'!AB141:AB347</f>
        <v>0</v>
      </c>
      <c r="T146" s="8" t="str">
        <f>'BIO DATA'!AC141:AC347</f>
        <v>Mukhrizal</v>
      </c>
      <c r="U146" s="8" t="str">
        <f>'BIO DATA'!AD141</f>
        <v>Islam</v>
      </c>
      <c r="V146" s="8" t="str">
        <f>'BIO DATA'!AL141:AL347</f>
        <v>S1</v>
      </c>
      <c r="W146" s="8" t="str">
        <f>'BIO DATA'!AM141:AM347</f>
        <v>Karyawan Swasta</v>
      </c>
      <c r="X146" s="8" t="str">
        <f>'BIO DATA'!AG141:AG347</f>
        <v>&gt; Rp 2.500.000,00</v>
      </c>
      <c r="Y146" s="69" t="s">
        <v>217</v>
      </c>
      <c r="Z146" s="8">
        <f>'BIO DATA'!AI141:AI347</f>
        <v>0</v>
      </c>
      <c r="AA146" s="8" t="str">
        <f>'BIO DATA'!AJ141:AJ347</f>
        <v>Arsiyanti</v>
      </c>
      <c r="AB146" s="8" t="str">
        <f>'BIO DATA'!AK141</f>
        <v>Islam</v>
      </c>
      <c r="AC146" s="8" t="str">
        <f>'BIO DATA'!AL141:AL347</f>
        <v>S1</v>
      </c>
      <c r="AD146" s="8" t="str">
        <f>'BIO DATA'!AM141:AM347</f>
        <v>Karyawan Swasta</v>
      </c>
      <c r="AE146" s="8">
        <f>'BIO DATA'!AN141:AN347</f>
        <v>0</v>
      </c>
      <c r="AF146" s="52"/>
      <c r="AG146" s="8">
        <f>'BIO DATA'!AP141</f>
        <v>0</v>
      </c>
      <c r="AH146" s="8">
        <f>'BIO DATA'!AZ141</f>
        <v>0</v>
      </c>
      <c r="AI146" s="8" t="str">
        <f>'BIO DATA'!BA141</f>
        <v>Islam</v>
      </c>
      <c r="AJ146" s="8">
        <f>'BIO DATA'!BB141</f>
        <v>0</v>
      </c>
      <c r="AK146" s="8">
        <f>'BIO DATA'!BC141</f>
        <v>0</v>
      </c>
      <c r="AL146" s="8">
        <f>'BIO DATA'!BD141</f>
        <v>0</v>
      </c>
      <c r="AM146" s="8">
        <f>'BIO DATA'!BE141</f>
        <v>0</v>
      </c>
      <c r="AN146" s="8">
        <f>'BIO DATA'!BF141</f>
        <v>0</v>
      </c>
      <c r="AO146" s="8">
        <f>'BIO DATA'!BG141</f>
        <v>0</v>
      </c>
      <c r="AP146" s="54" t="s">
        <v>170</v>
      </c>
    </row>
    <row r="147" spans="1:42" s="54" customFormat="1" ht="20.100000000000001" customHeight="1" thickBot="1">
      <c r="A147" s="14" t="s">
        <v>130</v>
      </c>
      <c r="B147">
        <v>69</v>
      </c>
      <c r="C147" s="90">
        <f>'BIO DATA'!D142</f>
        <v>11358</v>
      </c>
      <c r="D147" s="90" t="str">
        <f>'BIO DATA'!E142</f>
        <v>0094476302</v>
      </c>
      <c r="E147" s="89" t="str">
        <f>'BIO DATA'!F142</f>
        <v>Jesen Mahardika</v>
      </c>
      <c r="F147" s="49" t="str">
        <f>'BIO DATA'!M142</f>
        <v>Laki-laki</v>
      </c>
      <c r="G147" s="8" t="str">
        <f>'BIO DATA'!N142</f>
        <v>Wonosobo</v>
      </c>
      <c r="H147" s="51">
        <f>'BIO DATA'!P142</f>
        <v>40117</v>
      </c>
      <c r="I147" s="49" t="str">
        <f>'BIO DATA'!S142</f>
        <v>Islam</v>
      </c>
      <c r="J147" s="50">
        <f>'BIO DATA'!J142:J307</f>
        <v>1</v>
      </c>
      <c r="K147" s="50">
        <f>'BIO DATA'!K142:K348</f>
        <v>2</v>
      </c>
      <c r="L147" s="8" t="str">
        <f>'BIO DATA'!T142:T307</f>
        <v>Jl. Soekarno hatta No. 16 - Kereng Humbang RT. 16 RW. 00 Kasongan Lama Katingan Hilir Kab. Katingan , Kalimantan Tengah, 74411</v>
      </c>
      <c r="M147" s="8" t="str">
        <f>'BIO DATA'!V142:V348</f>
        <v>Kasongan Lama</v>
      </c>
      <c r="N147" s="8" t="str">
        <f>'BIO DATA'!W142:W348</f>
        <v>Katingan Hilir</v>
      </c>
      <c r="O147" s="8" t="str">
        <f>'BIO DATA'!X142:X348</f>
        <v xml:space="preserve">Kab. Katingan </v>
      </c>
      <c r="P147" s="8" t="str">
        <f>'BIO DATA'!Y142:Y348</f>
        <v>Kalimantan Tengah</v>
      </c>
      <c r="Q147" s="8" t="str">
        <f>'BIO DATA'!Z142:Z348</f>
        <v>MTs. Mu'allimin Muh. Yogyakarta</v>
      </c>
      <c r="R147" s="8" t="str">
        <f>'BIO DATA'!AA142:AA348</f>
        <v>Jl. Jambu, Kereng Humbang, Kasongan Lama, Kec. Katingan Hilir, Kabupaten Katingan, Kalimantan Tengah 74413</v>
      </c>
      <c r="S147" s="8">
        <f>'BIO DATA'!AB142:AB348</f>
        <v>0</v>
      </c>
      <c r="T147" s="8" t="str">
        <f>'BIO DATA'!AC142:AC348</f>
        <v>Rudi, S.Sos.</v>
      </c>
      <c r="U147" s="8" t="str">
        <f>'BIO DATA'!AD142</f>
        <v>Islam</v>
      </c>
      <c r="V147" s="8" t="str">
        <f>'BIO DATA'!AL142:AL348</f>
        <v>S1</v>
      </c>
      <c r="W147" s="8" t="str">
        <f>'BIO DATA'!AM142:AM348</f>
        <v>PNS</v>
      </c>
      <c r="X147" s="8" t="str">
        <f>'BIO DATA'!AG142:AG348</f>
        <v>&gt; Rp 2.500.000,00</v>
      </c>
      <c r="Y147" s="69" t="s">
        <v>217</v>
      </c>
      <c r="Z147" s="8">
        <f>'BIO DATA'!AI142:AI348</f>
        <v>0</v>
      </c>
      <c r="AA147" s="8" t="str">
        <f>'BIO DATA'!AJ142:AJ348</f>
        <v>Nurhidayah</v>
      </c>
      <c r="AB147" s="8" t="str">
        <f>'BIO DATA'!AK142</f>
        <v>Islam</v>
      </c>
      <c r="AC147" s="8" t="str">
        <f>'BIO DATA'!AL142:AL348</f>
        <v>S1</v>
      </c>
      <c r="AD147" s="8" t="str">
        <f>'BIO DATA'!AM142:AM348</f>
        <v>PNS</v>
      </c>
      <c r="AE147" s="8">
        <f>'BIO DATA'!AN142:AN348</f>
        <v>0</v>
      </c>
      <c r="AF147" s="52"/>
      <c r="AG147" s="8">
        <f>'BIO DATA'!AP142</f>
        <v>0</v>
      </c>
      <c r="AH147" s="8">
        <f>'BIO DATA'!AZ142</f>
        <v>0</v>
      </c>
      <c r="AI147" s="8" t="str">
        <f>'BIO DATA'!BA142</f>
        <v>Islam</v>
      </c>
      <c r="AJ147" s="8">
        <f>'BIO DATA'!BB142</f>
        <v>0</v>
      </c>
      <c r="AK147" s="8">
        <f>'BIO DATA'!BC142</f>
        <v>0</v>
      </c>
      <c r="AL147" s="8">
        <f>'BIO DATA'!BD142</f>
        <v>0</v>
      </c>
      <c r="AM147" s="8">
        <f>'BIO DATA'!BE142</f>
        <v>0</v>
      </c>
      <c r="AN147" s="8">
        <f>'BIO DATA'!BF142</f>
        <v>0</v>
      </c>
      <c r="AO147" s="8">
        <f>'BIO DATA'!BG142</f>
        <v>0</v>
      </c>
      <c r="AP147" s="54" t="s">
        <v>170</v>
      </c>
    </row>
    <row r="148" spans="1:42" s="54" customFormat="1" ht="20.100000000000001" customHeight="1" thickBot="1">
      <c r="A148" s="14" t="s">
        <v>130</v>
      </c>
      <c r="B148">
        <v>72</v>
      </c>
      <c r="C148" s="90">
        <f>'BIO DATA'!D143</f>
        <v>11399</v>
      </c>
      <c r="D148" s="90" t="str">
        <f>'BIO DATA'!E143</f>
        <v>0102200519</v>
      </c>
      <c r="E148" s="89" t="str">
        <f>'BIO DATA'!F143</f>
        <v>Muhammad Danish Azriel</v>
      </c>
      <c r="F148" s="49" t="str">
        <f>'BIO DATA'!M143</f>
        <v>Laki-laki</v>
      </c>
      <c r="G148" s="8" t="str">
        <f>'BIO DATA'!N143</f>
        <v>Bantul</v>
      </c>
      <c r="H148" s="51">
        <f>'BIO DATA'!P143</f>
        <v>40344</v>
      </c>
      <c r="I148" s="49" t="str">
        <f>'BIO DATA'!S143</f>
        <v>Islam</v>
      </c>
      <c r="J148" s="50">
        <f>'BIO DATA'!J143:J308</f>
        <v>2</v>
      </c>
      <c r="K148" s="50">
        <f>'BIO DATA'!K143:K349</f>
        <v>1</v>
      </c>
      <c r="L148" s="8" t="str">
        <f>'BIO DATA'!T143:T308</f>
        <v>Jl. Tanjung Pattiro No.48 Sambung Jaya, Mamajang, Sulawesi Selatan 90134</v>
      </c>
      <c r="M148" s="8" t="str">
        <f>'BIO DATA'!V143:V349</f>
        <v>Sambung Jawa</v>
      </c>
      <c r="N148" s="8" t="str">
        <f>'BIO DATA'!W143:W349</f>
        <v>Mamajang</v>
      </c>
      <c r="O148" s="8" t="str">
        <f>'BIO DATA'!X143:X349</f>
        <v>Makassar</v>
      </c>
      <c r="P148" s="8" t="str">
        <f>'BIO DATA'!Y143:Y349</f>
        <v>Sulawesi Selatan</v>
      </c>
      <c r="Q148" s="8" t="str">
        <f>'BIO DATA'!Z143:Z349</f>
        <v>MTs. Mu'allimin Muh. Yogyakarta</v>
      </c>
      <c r="R148" s="8" t="str">
        <f>'BIO DATA'!AA143:AA349</f>
        <v>Balang Baru, Kec. Tamalate, Kota Makassar, Sulawesi Selatan 90224</v>
      </c>
      <c r="S148" s="8">
        <f>'BIO DATA'!AB143:AB349</f>
        <v>0</v>
      </c>
      <c r="T148" s="8" t="str">
        <f>'BIO DATA'!AC143:AC349</f>
        <v>Ahmad Fauzi</v>
      </c>
      <c r="U148" s="8" t="str">
        <f>'BIO DATA'!AD143</f>
        <v>Islam</v>
      </c>
      <c r="V148" s="8" t="str">
        <f>'BIO DATA'!AL143:AL349</f>
        <v>S1</v>
      </c>
      <c r="W148" s="8" t="str">
        <f>'BIO DATA'!AM143:AM349</f>
        <v>Wiraswasta</v>
      </c>
      <c r="X148" s="8" t="str">
        <f>'BIO DATA'!AG143:AG349</f>
        <v>&gt; Rp 2.500.000,00</v>
      </c>
      <c r="Y148" s="69" t="s">
        <v>217</v>
      </c>
      <c r="Z148" s="8">
        <f>'BIO DATA'!AI143:AI349</f>
        <v>0</v>
      </c>
      <c r="AA148" s="8" t="str">
        <f>'BIO DATA'!AJ143:AJ349</f>
        <v>Ummul Khair</v>
      </c>
      <c r="AB148" s="8" t="str">
        <f>'BIO DATA'!AK143</f>
        <v>Islam</v>
      </c>
      <c r="AC148" s="8" t="str">
        <f>'BIO DATA'!AL143:AL349</f>
        <v>S1</v>
      </c>
      <c r="AD148" s="8" t="str">
        <f>'BIO DATA'!AM143:AM349</f>
        <v>Wiraswasta</v>
      </c>
      <c r="AE148" s="8">
        <f>'BIO DATA'!AN143:AN349</f>
        <v>0</v>
      </c>
      <c r="AF148" s="52"/>
      <c r="AG148" s="8">
        <f>'BIO DATA'!AP143</f>
        <v>0</v>
      </c>
      <c r="AH148" s="8">
        <f>'BIO DATA'!AZ143</f>
        <v>0</v>
      </c>
      <c r="AI148" s="8" t="str">
        <f>'BIO DATA'!BA143</f>
        <v>Islam</v>
      </c>
      <c r="AJ148" s="8">
        <f>'BIO DATA'!BB143</f>
        <v>0</v>
      </c>
      <c r="AK148" s="8">
        <f>'BIO DATA'!BC143</f>
        <v>0</v>
      </c>
      <c r="AL148" s="8">
        <f>'BIO DATA'!BD143</f>
        <v>0</v>
      </c>
      <c r="AM148" s="8">
        <f>'BIO DATA'!BE143</f>
        <v>0</v>
      </c>
      <c r="AN148" s="8">
        <f>'BIO DATA'!BF143</f>
        <v>0</v>
      </c>
      <c r="AO148" s="8">
        <f>'BIO DATA'!BG143</f>
        <v>0</v>
      </c>
      <c r="AP148" s="54" t="s">
        <v>170</v>
      </c>
    </row>
    <row r="149" spans="1:42" s="54" customFormat="1" ht="20.100000000000001" customHeight="1" thickBot="1">
      <c r="A149" s="14" t="s">
        <v>130</v>
      </c>
      <c r="B149">
        <v>73</v>
      </c>
      <c r="C149" s="90">
        <f>'BIO DATA'!D144</f>
        <v>11432</v>
      </c>
      <c r="D149" s="90" t="str">
        <f>'BIO DATA'!E144</f>
        <v>3103094493</v>
      </c>
      <c r="E149" s="89" t="str">
        <f>'BIO DATA'!F144</f>
        <v>Muhammad Luthfi Hakim</v>
      </c>
      <c r="F149" s="49" t="str">
        <f>'BIO DATA'!M144</f>
        <v>Laki-laki</v>
      </c>
      <c r="G149" s="8" t="str">
        <f>'BIO DATA'!N144</f>
        <v>Semarang</v>
      </c>
      <c r="H149" s="51">
        <f>'BIO DATA'!P144</f>
        <v>40279</v>
      </c>
      <c r="I149" s="49" t="str">
        <f>'BIO DATA'!S144</f>
        <v>Islam</v>
      </c>
      <c r="J149" s="50">
        <f>'BIO DATA'!J144:J309</f>
        <v>1</v>
      </c>
      <c r="K149" s="50">
        <f>'BIO DATA'!K144:K350</f>
        <v>0</v>
      </c>
      <c r="L149" s="8" t="str">
        <f>'BIO DATA'!T144:T309</f>
        <v>Diren Pedukuhan III Pandowan Galur Kulonprogo, DI Yogyakarta</v>
      </c>
      <c r="M149" s="8" t="str">
        <f>'BIO DATA'!V144:V350</f>
        <v>Pandowan</v>
      </c>
      <c r="N149" s="8" t="str">
        <f>'BIO DATA'!W144:W350</f>
        <v>Galur</v>
      </c>
      <c r="O149" s="8" t="str">
        <f>'BIO DATA'!X144:X350</f>
        <v>Kulon Progo</v>
      </c>
      <c r="P149" s="8" t="str">
        <f>'BIO DATA'!Y144:Y350</f>
        <v>DI Yogyakarta</v>
      </c>
      <c r="Q149" s="8" t="str">
        <f>'BIO DATA'!Z144:Z350</f>
        <v>MTs. Mu'allimin Muh. Yogyakarta</v>
      </c>
      <c r="R149" s="8" t="str">
        <f>'BIO DATA'!AA144:AA350</f>
        <v>Jeronan, X, Bulak Lor Pandowan, Brosot, Kec. Galur, Kabupaten Kulon Progo, Daerah Istimewa Yogyakarta 55661</v>
      </c>
      <c r="S149" s="8">
        <f>'BIO DATA'!AB144:AB350</f>
        <v>0</v>
      </c>
      <c r="T149" s="8" t="str">
        <f>'BIO DATA'!AC144:AC350</f>
        <v>Darmawan Widiantaka</v>
      </c>
      <c r="U149" s="8" t="str">
        <f>'BIO DATA'!AD144</f>
        <v>Islam</v>
      </c>
      <c r="V149" s="8" t="str">
        <f>'BIO DATA'!AL144:AL350</f>
        <v>S1</v>
      </c>
      <c r="W149" s="8" t="str">
        <f>'BIO DATA'!AM144:AM350</f>
        <v>PNS</v>
      </c>
      <c r="X149" s="8" t="str">
        <f>'BIO DATA'!AG144:AG350</f>
        <v>Antara Rp 1.500.000,00 s.d. Rp 2.000,000,00</v>
      </c>
      <c r="Y149" s="69" t="s">
        <v>217</v>
      </c>
      <c r="Z149" s="8">
        <f>'BIO DATA'!AI144:AI350</f>
        <v>0</v>
      </c>
      <c r="AA149" s="8" t="str">
        <f>'BIO DATA'!AJ144:AJ350</f>
        <v>Nur Baniyati Khomsah</v>
      </c>
      <c r="AB149" s="8" t="str">
        <f>'BIO DATA'!AK144</f>
        <v>Islam</v>
      </c>
      <c r="AC149" s="8" t="str">
        <f>'BIO DATA'!AL144:AL350</f>
        <v>S1</v>
      </c>
      <c r="AD149" s="8" t="str">
        <f>'BIO DATA'!AM144:AM350</f>
        <v>PNS</v>
      </c>
      <c r="AE149" s="8">
        <f>'BIO DATA'!AN144:AN350</f>
        <v>0</v>
      </c>
      <c r="AF149" s="52"/>
      <c r="AG149" s="8">
        <f>'BIO DATA'!AP144</f>
        <v>0</v>
      </c>
      <c r="AH149" s="8">
        <f>'BIO DATA'!AZ144</f>
        <v>0</v>
      </c>
      <c r="AI149" s="8" t="str">
        <f>'BIO DATA'!BA144</f>
        <v>Islam</v>
      </c>
      <c r="AJ149" s="8">
        <f>'BIO DATA'!BB144</f>
        <v>0</v>
      </c>
      <c r="AK149" s="8">
        <f>'BIO DATA'!BC144</f>
        <v>0</v>
      </c>
      <c r="AL149" s="8">
        <f>'BIO DATA'!BD144</f>
        <v>0</v>
      </c>
      <c r="AM149" s="8">
        <f>'BIO DATA'!BE144</f>
        <v>0</v>
      </c>
      <c r="AN149" s="8">
        <f>'BIO DATA'!BF144</f>
        <v>0</v>
      </c>
      <c r="AO149" s="8">
        <f>'BIO DATA'!BG144</f>
        <v>0</v>
      </c>
      <c r="AP149" s="54" t="s">
        <v>170</v>
      </c>
    </row>
    <row r="150" spans="1:42" s="54" customFormat="1" ht="20.100000000000001" customHeight="1" thickBot="1">
      <c r="A150" s="14" t="s">
        <v>130</v>
      </c>
      <c r="B150">
        <v>10</v>
      </c>
      <c r="C150" s="90">
        <f>'BIO DATA'!D145</f>
        <v>11434</v>
      </c>
      <c r="D150" s="90" t="str">
        <f>'BIO DATA'!E145</f>
        <v>3106391810</v>
      </c>
      <c r="E150" s="89" t="str">
        <f>'BIO DATA'!F145</f>
        <v>Muhammad Malik Annafi</v>
      </c>
      <c r="F150" s="49" t="str">
        <f>'BIO DATA'!M145</f>
        <v>Laki-laki</v>
      </c>
      <c r="G150" s="8" t="str">
        <f>'BIO DATA'!N145</f>
        <v>Klaten</v>
      </c>
      <c r="H150" s="51">
        <f>'BIO DATA'!P145</f>
        <v>40381</v>
      </c>
      <c r="I150" s="49" t="str">
        <f>'BIO DATA'!S145</f>
        <v>Islam</v>
      </c>
      <c r="J150" s="50">
        <f>'BIO DATA'!J145:J310</f>
        <v>1</v>
      </c>
      <c r="K150" s="50">
        <f>'BIO DATA'!K145:K351</f>
        <v>2</v>
      </c>
      <c r="L150" s="8" t="str">
        <f>'BIO DATA'!T145:T310</f>
        <v>Dotakan RT.06 / RW.03 Kel. Candiroto Kec. Candiroto Kab. Temanggung, Jawa Tengah, 56257</v>
      </c>
      <c r="M150" s="8" t="str">
        <f>'BIO DATA'!V145:V351</f>
        <v>Candiroto</v>
      </c>
      <c r="N150" s="8" t="str">
        <f>'BIO DATA'!W145:W351</f>
        <v>Candiroto</v>
      </c>
      <c r="O150" s="8" t="str">
        <f>'BIO DATA'!X145:X351</f>
        <v>Temanggung</v>
      </c>
      <c r="P150" s="8" t="str">
        <f>'BIO DATA'!Y145:Y351</f>
        <v>Jawa Tengah</v>
      </c>
      <c r="Q150" s="8" t="str">
        <f>'BIO DATA'!Z145:Z351</f>
        <v>MTs. Mu'allimin Muh. Yogyakarta</v>
      </c>
      <c r="R150" s="8" t="str">
        <f>'BIO DATA'!AA145:AA351</f>
        <v>Jl. Raya Kedu - Parakan KM 2, Kalisat, Sawah, Gandurejo, Kec. Bulu, Kabupaten Temanggung, Jawa Tengah 56253</v>
      </c>
      <c r="S150" s="8">
        <f>'BIO DATA'!AB145:AB351</f>
        <v>0</v>
      </c>
      <c r="T150" s="8" t="str">
        <f>'BIO DATA'!AC145:AC351</f>
        <v>Sigit Purwanto</v>
      </c>
      <c r="U150" s="8" t="str">
        <f>'BIO DATA'!AD145</f>
        <v>Islam</v>
      </c>
      <c r="V150" s="8" t="str">
        <f>'BIO DATA'!AL145:AL351</f>
        <v>S1</v>
      </c>
      <c r="W150" s="8" t="str">
        <f>'BIO DATA'!AM145:AM351</f>
        <v>Karyawan Swasta</v>
      </c>
      <c r="X150" s="8" t="str">
        <f>'BIO DATA'!AG145:AG351</f>
        <v>&gt; Rp 2.500.000,00</v>
      </c>
      <c r="Y150" s="69" t="s">
        <v>217</v>
      </c>
      <c r="Z150" s="8">
        <f>'BIO DATA'!AI145:AI351</f>
        <v>0</v>
      </c>
      <c r="AA150" s="8" t="str">
        <f>'BIO DATA'!AJ145:AJ351</f>
        <v>Alfianti Cahyaningrum</v>
      </c>
      <c r="AB150" s="8" t="str">
        <f>'BIO DATA'!AK145</f>
        <v>Islam</v>
      </c>
      <c r="AC150" s="8" t="str">
        <f>'BIO DATA'!AL145:AL351</f>
        <v>S1</v>
      </c>
      <c r="AD150" s="8" t="str">
        <f>'BIO DATA'!AM145:AM351</f>
        <v>Karyawan Swasta</v>
      </c>
      <c r="AE150" s="8">
        <f>'BIO DATA'!AN145:AN351</f>
        <v>0</v>
      </c>
      <c r="AF150" s="52"/>
      <c r="AG150" s="8">
        <f>'BIO DATA'!AP145</f>
        <v>0</v>
      </c>
      <c r="AH150" s="8">
        <f>'BIO DATA'!AZ145</f>
        <v>0</v>
      </c>
      <c r="AI150" s="8" t="str">
        <f>'BIO DATA'!BA145</f>
        <v>Islam</v>
      </c>
      <c r="AJ150" s="8">
        <f>'BIO DATA'!BB145</f>
        <v>0</v>
      </c>
      <c r="AK150" s="8">
        <f>'BIO DATA'!BC145</f>
        <v>0</v>
      </c>
      <c r="AL150" s="8">
        <f>'BIO DATA'!BD145</f>
        <v>0</v>
      </c>
      <c r="AM150" s="8">
        <f>'BIO DATA'!BE145</f>
        <v>0</v>
      </c>
      <c r="AN150" s="8">
        <f>'BIO DATA'!BF145</f>
        <v>0</v>
      </c>
      <c r="AO150" s="8">
        <f>'BIO DATA'!BG145</f>
        <v>0</v>
      </c>
      <c r="AP150" s="54" t="s">
        <v>198</v>
      </c>
    </row>
    <row r="151" spans="1:42" s="54" customFormat="1" ht="20.100000000000001" customHeight="1" thickBot="1">
      <c r="A151" s="14" t="s">
        <v>130</v>
      </c>
      <c r="B151">
        <v>13</v>
      </c>
      <c r="C151" s="90">
        <f>'BIO DATA'!D146</f>
        <v>11452</v>
      </c>
      <c r="D151" s="90" t="str">
        <f>'BIO DATA'!E146</f>
        <v>0096346077</v>
      </c>
      <c r="E151" s="89" t="str">
        <f>'BIO DATA'!F146</f>
        <v>Muhammad Ryanza Ramadhan</v>
      </c>
      <c r="F151" s="49" t="str">
        <f>'BIO DATA'!M146</f>
        <v>Laki-laki</v>
      </c>
      <c r="G151" s="8" t="str">
        <f>'BIO DATA'!N146</f>
        <v>Palembang</v>
      </c>
      <c r="H151" s="51">
        <f>'BIO DATA'!P146</f>
        <v>40070</v>
      </c>
      <c r="I151" s="49" t="str">
        <f>'BIO DATA'!S146</f>
        <v>Islam</v>
      </c>
      <c r="J151" s="50">
        <f>'BIO DATA'!J146:J311</f>
        <v>2</v>
      </c>
      <c r="K151" s="50">
        <f>'BIO DATA'!K146:K352</f>
        <v>2</v>
      </c>
      <c r="L151" s="8" t="str">
        <f>'BIO DATA'!T146:T311</f>
        <v>Jln Raya Condet, Gg Remaja 1 No 22 RT 03 RW. 03 Kel. Gedong Kec. Pasar Rebo, Jakarta Timur DKI Jakarta, DKI Jakarta, 13760</v>
      </c>
      <c r="M151" s="8" t="str">
        <f>'BIO DATA'!V146:V352</f>
        <v>Gedong</v>
      </c>
      <c r="N151" s="8" t="str">
        <f>'BIO DATA'!W146:W352</f>
        <v>Pasar Rebo</v>
      </c>
      <c r="O151" s="8" t="str">
        <f>'BIO DATA'!X146:X352</f>
        <v>Jakarta Timur</v>
      </c>
      <c r="P151" s="8" t="str">
        <f>'BIO DATA'!Y146:Y352</f>
        <v>DKI Jakarta</v>
      </c>
      <c r="Q151" s="8" t="str">
        <f>'BIO DATA'!Z146:Z352</f>
        <v>MTs. Mu'allimin Muh. Yogyakarta</v>
      </c>
      <c r="R151" s="8" t="str">
        <f>'BIO DATA'!AA146:AA352</f>
        <v>Jl. Rantai Mas K No.52, RT.4/RW.5, Kp. Tengah, Kec. Kramat jati, Kota Jakarta Timur, Daerah Khusus Ibukota Jakarta 13540</v>
      </c>
      <c r="S151" s="8">
        <f>'BIO DATA'!AB146:AB352</f>
        <v>0</v>
      </c>
      <c r="T151" s="8" t="str">
        <f>'BIO DATA'!AC146:AC352</f>
        <v>Agus Riyanto</v>
      </c>
      <c r="U151" s="8" t="str">
        <f>'BIO DATA'!AD146</f>
        <v>Islam</v>
      </c>
      <c r="V151" s="8" t="str">
        <f>'BIO DATA'!AL146:AL352</f>
        <v>S1</v>
      </c>
      <c r="W151" s="8" t="str">
        <f>'BIO DATA'!AM146:AM352</f>
        <v>Karyawan Swasta</v>
      </c>
      <c r="X151" s="8" t="str">
        <f>'BIO DATA'!AG146:AG352</f>
        <v>&gt; Rp 2.500.000,00</v>
      </c>
      <c r="Y151" s="69" t="s">
        <v>217</v>
      </c>
      <c r="Z151" s="8">
        <f>'BIO DATA'!AI146:AI352</f>
        <v>0</v>
      </c>
      <c r="AA151" s="8" t="str">
        <f>'BIO DATA'!AJ146:AJ352</f>
        <v>Tri Lastini Widiastuti</v>
      </c>
      <c r="AB151" s="8" t="str">
        <f>'BIO DATA'!AK146</f>
        <v>Islam</v>
      </c>
      <c r="AC151" s="8" t="str">
        <f>'BIO DATA'!AL146:AL352</f>
        <v>S1</v>
      </c>
      <c r="AD151" s="8" t="str">
        <f>'BIO DATA'!AM146:AM352</f>
        <v>Karyawan Swasta</v>
      </c>
      <c r="AE151" s="8">
        <f>'BIO DATA'!AN146:AN352</f>
        <v>0</v>
      </c>
      <c r="AF151" s="52"/>
      <c r="AG151" s="8">
        <f>'BIO DATA'!AP146</f>
        <v>0</v>
      </c>
      <c r="AH151" s="8">
        <f>'BIO DATA'!AZ146</f>
        <v>0</v>
      </c>
      <c r="AI151" s="8" t="str">
        <f>'BIO DATA'!BA146</f>
        <v>Islam</v>
      </c>
      <c r="AJ151" s="8">
        <f>'BIO DATA'!BB146</f>
        <v>0</v>
      </c>
      <c r="AK151" s="8">
        <f>'BIO DATA'!BC146</f>
        <v>0</v>
      </c>
      <c r="AL151" s="8">
        <f>'BIO DATA'!BD146</f>
        <v>0</v>
      </c>
      <c r="AM151" s="8">
        <f>'BIO DATA'!BE146</f>
        <v>0</v>
      </c>
      <c r="AN151" s="8">
        <f>'BIO DATA'!BF146</f>
        <v>0</v>
      </c>
      <c r="AO151" s="8">
        <f>'BIO DATA'!BG146</f>
        <v>0</v>
      </c>
      <c r="AP151" s="54" t="s">
        <v>198</v>
      </c>
    </row>
    <row r="152" spans="1:42" s="54" customFormat="1" ht="20.100000000000001" customHeight="1" thickBot="1">
      <c r="A152" s="14" t="s">
        <v>130</v>
      </c>
      <c r="B152">
        <v>35</v>
      </c>
      <c r="C152" s="90">
        <f>'BIO DATA'!D147</f>
        <v>11469</v>
      </c>
      <c r="D152" s="90" t="str">
        <f>'BIO DATA'!E147</f>
        <v>0102472576</v>
      </c>
      <c r="E152" s="89" t="str">
        <f>'BIO DATA'!F147</f>
        <v>Navid Adya Al-farisy</v>
      </c>
      <c r="F152" s="49" t="str">
        <f>'BIO DATA'!M147</f>
        <v>Laki-laki</v>
      </c>
      <c r="G152" s="8" t="str">
        <f>'BIO DATA'!N147</f>
        <v>Kasongan</v>
      </c>
      <c r="H152" s="51">
        <f>'BIO DATA'!P147</f>
        <v>40220</v>
      </c>
      <c r="I152" s="49" t="str">
        <f>'BIO DATA'!S147</f>
        <v>Islam</v>
      </c>
      <c r="J152" s="50">
        <f>'BIO DATA'!J147:J312</f>
        <v>2</v>
      </c>
      <c r="K152" s="50">
        <f>'BIO DATA'!K147:K353</f>
        <v>1</v>
      </c>
      <c r="L152" s="8" t="str">
        <f>'BIO DATA'!T147:T312</f>
        <v>Dsn. Bodeh RT 07/ RW 26 Ambarketawang, Gamping, Sleman, Yogyakarta 55294</v>
      </c>
      <c r="M152" s="8" t="str">
        <f>'BIO DATA'!V147:V353</f>
        <v>Ambarketawang</v>
      </c>
      <c r="N152" s="8" t="str">
        <f>'BIO DATA'!W147:W353</f>
        <v>Gamping</v>
      </c>
      <c r="O152" s="8" t="str">
        <f>'BIO DATA'!X147:X353</f>
        <v>Sleman</v>
      </c>
      <c r="P152" s="8" t="str">
        <f>'BIO DATA'!Y147:Y353</f>
        <v>DI Yogyakarta</v>
      </c>
      <c r="Q152" s="8" t="str">
        <f>'BIO DATA'!Z147:Z353</f>
        <v>MTs. Mu'allimin Muh. Yogyakarta</v>
      </c>
      <c r="R152" s="8" t="str">
        <f>'BIO DATA'!AA147:AA353</f>
        <v>Jl. Brawijaya Jl. Gatak, Gatak, Tamantirto, Kec. Kasihan, Kabupaten Bantul, Daerah Istimewa Yogyakarta 55183</v>
      </c>
      <c r="S152" s="8">
        <f>'BIO DATA'!AB147:AB353</f>
        <v>0</v>
      </c>
      <c r="T152" s="8" t="str">
        <f>'BIO DATA'!AC147:AC353</f>
        <v>Dr. Syakir Jamaluddin, M.A</v>
      </c>
      <c r="U152" s="8" t="str">
        <f>'BIO DATA'!AD147</f>
        <v>Islam</v>
      </c>
      <c r="V152" s="8" t="str">
        <f>'BIO DATA'!AL147:AL353</f>
        <v>S1</v>
      </c>
      <c r="W152" s="8" t="str">
        <f>'BIO DATA'!AM147:AM353</f>
        <v>Wiraswasta</v>
      </c>
      <c r="X152" s="8" t="str">
        <f>'BIO DATA'!AG147:AG353</f>
        <v>&gt; Rp 2.500.000,00</v>
      </c>
      <c r="Y152" s="69" t="s">
        <v>217</v>
      </c>
      <c r="Z152" s="8">
        <f>'BIO DATA'!AI147:AI353</f>
        <v>0</v>
      </c>
      <c r="AA152" s="8" t="str">
        <f>'BIO DATA'!AJ147:AJ353</f>
        <v>Aminah Setyaningsih</v>
      </c>
      <c r="AB152" s="8" t="str">
        <f>'BIO DATA'!AK147</f>
        <v>Islam</v>
      </c>
      <c r="AC152" s="8" t="str">
        <f>'BIO DATA'!AL147:AL353</f>
        <v>S1</v>
      </c>
      <c r="AD152" s="8" t="str">
        <f>'BIO DATA'!AM147:AM353</f>
        <v>Wiraswasta</v>
      </c>
      <c r="AE152" s="8">
        <f>'BIO DATA'!AN147:AN353</f>
        <v>0</v>
      </c>
      <c r="AF152" s="52"/>
      <c r="AG152" s="8">
        <f>'BIO DATA'!AP147</f>
        <v>0</v>
      </c>
      <c r="AH152" s="8">
        <f>'BIO DATA'!AZ147</f>
        <v>0</v>
      </c>
      <c r="AI152" s="8" t="str">
        <f>'BIO DATA'!BA147</f>
        <v>Islam</v>
      </c>
      <c r="AJ152" s="8">
        <f>'BIO DATA'!BB147</f>
        <v>0</v>
      </c>
      <c r="AK152" s="8">
        <f>'BIO DATA'!BC147</f>
        <v>0</v>
      </c>
      <c r="AL152" s="8">
        <f>'BIO DATA'!BD147</f>
        <v>0</v>
      </c>
      <c r="AM152" s="8">
        <f>'BIO DATA'!BE147</f>
        <v>0</v>
      </c>
      <c r="AN152" s="8">
        <f>'BIO DATA'!BF147</f>
        <v>0</v>
      </c>
      <c r="AO152" s="8">
        <f>'BIO DATA'!BG147</f>
        <v>0</v>
      </c>
      <c r="AP152" s="54" t="s">
        <v>198</v>
      </c>
    </row>
    <row r="153" spans="1:42" s="54" customFormat="1" ht="20.100000000000001" customHeight="1" thickBot="1">
      <c r="A153" s="18" t="s">
        <v>127</v>
      </c>
      <c r="B153">
        <v>50</v>
      </c>
      <c r="C153" s="90">
        <f>'BIO DATA'!D148</f>
        <v>11223</v>
      </c>
      <c r="D153" s="90" t="str">
        <f>'BIO DATA'!E148</f>
        <v>101588342</v>
      </c>
      <c r="E153" s="89" t="str">
        <f>'BIO DATA'!F148</f>
        <v>Ahmad Hanafi Fauzi</v>
      </c>
      <c r="F153" s="49" t="str">
        <f>'BIO DATA'!M148</f>
        <v>Laki-laki</v>
      </c>
      <c r="G153" s="8" t="str">
        <f>'BIO DATA'!N148</f>
        <v>Makassar</v>
      </c>
      <c r="H153" s="51">
        <f>'BIO DATA'!P148</f>
        <v>40267</v>
      </c>
      <c r="I153" s="49" t="str">
        <f>'BIO DATA'!S148</f>
        <v>Islam</v>
      </c>
      <c r="J153" s="50">
        <f>'BIO DATA'!J148:J313</f>
        <v>1</v>
      </c>
      <c r="K153" s="50">
        <f>'BIO DATA'!K148:K354</f>
        <v>2</v>
      </c>
      <c r="L153" s="8" t="str">
        <f>'BIO DATA'!T148:T313</f>
        <v xml:space="preserve">Jl. Kebon Asri No. 7 Kebon Batur Mranggen Demak Jawa Tengah 59567 </v>
      </c>
      <c r="M153" s="8" t="str">
        <f>'BIO DATA'!V148:V354</f>
        <v>Kebon Batur</v>
      </c>
      <c r="N153" s="8" t="str">
        <f>'BIO DATA'!W148:W354</f>
        <v>Mranggen</v>
      </c>
      <c r="O153" s="8" t="str">
        <f>'BIO DATA'!X148:X354</f>
        <v>Demak</v>
      </c>
      <c r="P153" s="8" t="str">
        <f>'BIO DATA'!Y148:Y354</f>
        <v>Jawa Tengah</v>
      </c>
      <c r="Q153" s="8" t="str">
        <f>'BIO DATA'!Z148:Z354</f>
        <v>MTs. Mu'allimin Muh. Yogyakarta</v>
      </c>
      <c r="R153" s="8" t="str">
        <f>'BIO DATA'!AA148:AA354</f>
        <v>l. Pucang Jajar Timur Raya No.5, Pucanggading, Batursari, Kec. Mranggen, Kabupaten Demak, Jawa Tengah 59567</v>
      </c>
      <c r="S153" s="8">
        <f>'BIO DATA'!AB148:AB354</f>
        <v>0</v>
      </c>
      <c r="T153" s="8" t="str">
        <f>'BIO DATA'!AC148:AC354</f>
        <v>Bakhtiar Rivai</v>
      </c>
      <c r="U153" s="8" t="str">
        <f>'BIO DATA'!AD148</f>
        <v>Islam</v>
      </c>
      <c r="V153" s="8" t="str">
        <f>'BIO DATA'!AL148:AL354</f>
        <v>Diploma</v>
      </c>
      <c r="W153" s="8" t="str">
        <f>'BIO DATA'!AM148:AM354</f>
        <v>Ibu Rumah Tangga</v>
      </c>
      <c r="X153" s="8">
        <f>'BIO DATA'!AG148:AG354</f>
        <v>0</v>
      </c>
      <c r="Y153" s="69" t="s">
        <v>217</v>
      </c>
      <c r="Z153" s="8">
        <f>'BIO DATA'!AI148:AI354</f>
        <v>0</v>
      </c>
      <c r="AA153" s="8" t="str">
        <f>'BIO DATA'!AJ148:AJ354</f>
        <v>Neni Dewi Anggraeni</v>
      </c>
      <c r="AB153" s="8" t="str">
        <f>'BIO DATA'!AK148</f>
        <v>Islam</v>
      </c>
      <c r="AC153" s="8" t="str">
        <f>'BIO DATA'!AL148:AL354</f>
        <v>Diploma</v>
      </c>
      <c r="AD153" s="8" t="str">
        <f>'BIO DATA'!AM148:AM354</f>
        <v>Ibu Rumah Tangga</v>
      </c>
      <c r="AE153" s="8" t="str">
        <f>'BIO DATA'!AN148:AN354</f>
        <v>&gt; Rp 2.500.000,00</v>
      </c>
      <c r="AF153" s="52"/>
      <c r="AG153" s="8">
        <f>'BIO DATA'!AP148</f>
        <v>0</v>
      </c>
      <c r="AH153" s="8">
        <f>'BIO DATA'!AZ148</f>
        <v>0</v>
      </c>
      <c r="AI153" s="8" t="str">
        <f>'BIO DATA'!BA148</f>
        <v>Islam</v>
      </c>
      <c r="AJ153" s="8">
        <f>'BIO DATA'!BB148</f>
        <v>0</v>
      </c>
      <c r="AK153" s="8">
        <f>'BIO DATA'!BC148</f>
        <v>0</v>
      </c>
      <c r="AL153" s="8">
        <f>'BIO DATA'!BD148</f>
        <v>0</v>
      </c>
      <c r="AM153" s="8">
        <f>'BIO DATA'!BE148</f>
        <v>0</v>
      </c>
      <c r="AN153" s="8">
        <f>'BIO DATA'!BF148</f>
        <v>0</v>
      </c>
      <c r="AO153" s="8">
        <f>'BIO DATA'!BG148</f>
        <v>0</v>
      </c>
      <c r="AP153" s="54" t="s">
        <v>198</v>
      </c>
    </row>
    <row r="154" spans="1:42" s="54" customFormat="1" ht="20.100000000000001" customHeight="1" thickBot="1">
      <c r="A154" s="18" t="s">
        <v>127</v>
      </c>
      <c r="B154">
        <v>74</v>
      </c>
      <c r="C154" s="90">
        <f>'BIO DATA'!D149</f>
        <v>11224</v>
      </c>
      <c r="D154" s="90" t="str">
        <f>'BIO DATA'!E149</f>
        <v>0091591570</v>
      </c>
      <c r="E154" s="89" t="str">
        <f>'BIO DATA'!F149</f>
        <v>Ahmad Hanif Chadziq Mirdaz</v>
      </c>
      <c r="F154" s="49" t="str">
        <f>'BIO DATA'!M149</f>
        <v>Laki-laki</v>
      </c>
      <c r="G154" s="8" t="str">
        <f>'BIO DATA'!N149</f>
        <v>Yogyakarta</v>
      </c>
      <c r="H154" s="51">
        <f>'BIO DATA'!P149</f>
        <v>39920</v>
      </c>
      <c r="I154" s="49" t="str">
        <f>'BIO DATA'!S149</f>
        <v>Islam</v>
      </c>
      <c r="J154" s="50">
        <f>'BIO DATA'!J149:J314</f>
        <v>2</v>
      </c>
      <c r="K154" s="50">
        <f>'BIO DATA'!K149:K355</f>
        <v>3</v>
      </c>
      <c r="L154" s="8" t="str">
        <f>'BIO DATA'!T149:T314</f>
        <v>Cluster MPR A5NO. 56 RT 01 RW 01, Kel. Cipondoh, Kec. Cipondoh, Kota Tangerang, Banten, 15148</v>
      </c>
      <c r="M154" s="8" t="str">
        <f>'BIO DATA'!V149:V355</f>
        <v>Cipondoh</v>
      </c>
      <c r="N154" s="8" t="str">
        <f>'BIO DATA'!W149:W355</f>
        <v>Cipondoh</v>
      </c>
      <c r="O154" s="8" t="str">
        <f>'BIO DATA'!X149:X355</f>
        <v>Kota Tangerang,</v>
      </c>
      <c r="P154" s="8" t="str">
        <f>'BIO DATA'!Y149:Y355</f>
        <v>Banten</v>
      </c>
      <c r="Q154" s="8" t="str">
        <f>'BIO DATA'!Z149:Z355</f>
        <v>MTs. Mu'allimin Muh. Yogyakarta</v>
      </c>
      <c r="R154" s="8" t="str">
        <f>'BIO DATA'!AA149:AA355</f>
        <v>Jl. Maulana Hasanudin, RT.003/RW.007, Poris Jaya, Kec. Batuceper, Kota Tangerang, Banten 15122</v>
      </c>
      <c r="S154" s="8">
        <f>'BIO DATA'!AB149:AB355</f>
        <v>0</v>
      </c>
      <c r="T154" s="8" t="str">
        <f>'BIO DATA'!AC149:AC355</f>
        <v>Zaitul Ikhlas</v>
      </c>
      <c r="U154" s="8" t="str">
        <f>'BIO DATA'!AD149</f>
        <v>Islam</v>
      </c>
      <c r="V154" s="8" t="str">
        <f>'BIO DATA'!AL149:AL355</f>
        <v>S1</v>
      </c>
      <c r="W154" s="8" t="str">
        <f>'BIO DATA'!AM149:AM355</f>
        <v>PNS</v>
      </c>
      <c r="X154" s="8" t="str">
        <f>'BIO DATA'!AG149:AG355</f>
        <v>&gt; Rp 2.500.000,00</v>
      </c>
      <c r="Y154" s="69" t="s">
        <v>217</v>
      </c>
      <c r="Z154" s="8">
        <f>'BIO DATA'!AI149:AI355</f>
        <v>0</v>
      </c>
      <c r="AA154" s="8" t="str">
        <f>'BIO DATA'!AJ149:AJ355</f>
        <v>Retno Harjanti</v>
      </c>
      <c r="AB154" s="8" t="str">
        <f>'BIO DATA'!AK149</f>
        <v>Islam</v>
      </c>
      <c r="AC154" s="8" t="str">
        <f>'BIO DATA'!AL149:AL355</f>
        <v>S1</v>
      </c>
      <c r="AD154" s="8" t="str">
        <f>'BIO DATA'!AM149:AM355</f>
        <v>PNS</v>
      </c>
      <c r="AE154" s="8">
        <f>'BIO DATA'!AN149:AN355</f>
        <v>0</v>
      </c>
      <c r="AF154" s="52"/>
      <c r="AG154" s="8">
        <f>'BIO DATA'!AP149</f>
        <v>0</v>
      </c>
      <c r="AH154" s="8">
        <f>'BIO DATA'!AZ149</f>
        <v>0</v>
      </c>
      <c r="AI154" s="8" t="str">
        <f>'BIO DATA'!BA149</f>
        <v>Islam</v>
      </c>
      <c r="AJ154" s="8">
        <f>'BIO DATA'!BB149</f>
        <v>0</v>
      </c>
      <c r="AK154" s="8">
        <f>'BIO DATA'!BC149</f>
        <v>0</v>
      </c>
      <c r="AL154" s="8">
        <f>'BIO DATA'!BD149</f>
        <v>0</v>
      </c>
      <c r="AM154" s="8">
        <f>'BIO DATA'!BE149</f>
        <v>0</v>
      </c>
      <c r="AN154" s="8">
        <f>'BIO DATA'!BF149</f>
        <v>0</v>
      </c>
      <c r="AO154" s="8">
        <f>'BIO DATA'!BG149</f>
        <v>0</v>
      </c>
      <c r="AP154" s="54" t="s">
        <v>198</v>
      </c>
    </row>
    <row r="155" spans="1:42" s="54" customFormat="1" ht="20.100000000000001" customHeight="1" thickBot="1">
      <c r="A155" s="18" t="s">
        <v>127</v>
      </c>
      <c r="B155">
        <v>83</v>
      </c>
      <c r="C155" s="90">
        <f>'BIO DATA'!D150</f>
        <v>11290</v>
      </c>
      <c r="D155" s="90" t="str">
        <f>'BIO DATA'!E150</f>
        <v>0103059205</v>
      </c>
      <c r="E155" s="89" t="str">
        <f>'BIO DATA'!F150</f>
        <v>Darrel Fabiano</v>
      </c>
      <c r="F155" s="49" t="str">
        <f>'BIO DATA'!M150</f>
        <v>Laki-laki</v>
      </c>
      <c r="G155" s="8" t="str">
        <f>'BIO DATA'!N150</f>
        <v>Temanggung</v>
      </c>
      <c r="H155" s="51">
        <f>'BIO DATA'!P150</f>
        <v>40356</v>
      </c>
      <c r="I155" s="49" t="str">
        <f>'BIO DATA'!S150</f>
        <v>Islam</v>
      </c>
      <c r="J155" s="50">
        <f>'BIO DATA'!J150:J315</f>
        <v>3</v>
      </c>
      <c r="K155" s="50">
        <f>'BIO DATA'!K150:K356</f>
        <v>4</v>
      </c>
      <c r="L155" s="8" t="str">
        <f>'BIO DATA'!T150:T315</f>
        <v>Godegan Baru no 321, RT 10, Tamantirto Kasihan Bantul Yogyakarta 55183</v>
      </c>
      <c r="M155" s="8">
        <f>'BIO DATA'!V150:V356</f>
        <v>0</v>
      </c>
      <c r="N155" s="8" t="str">
        <f>'BIO DATA'!W150:W356</f>
        <v>Kasihan</v>
      </c>
      <c r="O155" s="8" t="str">
        <f>'BIO DATA'!X150:X356</f>
        <v>Bantul</v>
      </c>
      <c r="P155" s="8" t="str">
        <f>'BIO DATA'!Y150:Y356</f>
        <v>DI Yogyakarta</v>
      </c>
      <c r="Q155" s="8" t="str">
        <f>'BIO DATA'!Z150:Z356</f>
        <v>MTs. Mu'allimin Muh. Yogyakarta</v>
      </c>
      <c r="R155" s="8" t="str">
        <f>'BIO DATA'!AA150:AA356</f>
        <v>Gamping Kidul RT. 03 / RW/ 17, Ambarketawang, Gamping Kidul, Ambarketawang, Kec. Gamping, Kabupaten Sleman, Daerah Istimewa Yogyakarta 55294</v>
      </c>
      <c r="S155" s="8">
        <f>'BIO DATA'!AB150:AB356</f>
        <v>0</v>
      </c>
      <c r="T155" s="8" t="str">
        <f>'BIO DATA'!AC150:AC356</f>
        <v>Heri Siswanto</v>
      </c>
      <c r="U155" s="8" t="str">
        <f>'BIO DATA'!AD150</f>
        <v>Islam</v>
      </c>
      <c r="V155" s="8" t="str">
        <f>'BIO DATA'!AL150:AL356</f>
        <v>S1</v>
      </c>
      <c r="W155" s="8" t="str">
        <f>'BIO DATA'!AM150:AM356</f>
        <v>PNS</v>
      </c>
      <c r="X155" s="8" t="str">
        <f>'BIO DATA'!AG150:AG356</f>
        <v>&gt; Rp 2.500.000,00</v>
      </c>
      <c r="Y155" s="69" t="s">
        <v>217</v>
      </c>
      <c r="Z155" s="8">
        <f>'BIO DATA'!AI150:AI356</f>
        <v>0</v>
      </c>
      <c r="AA155" s="8" t="str">
        <f>'BIO DATA'!AJ150:AJ356</f>
        <v>Fitri Yuliatun</v>
      </c>
      <c r="AB155" s="8" t="str">
        <f>'BIO DATA'!AK150</f>
        <v>Islam</v>
      </c>
      <c r="AC155" s="8" t="str">
        <f>'BIO DATA'!AL150:AL356</f>
        <v>S1</v>
      </c>
      <c r="AD155" s="8" t="str">
        <f>'BIO DATA'!AM150:AM356</f>
        <v>PNS</v>
      </c>
      <c r="AE155" s="8">
        <f>'BIO DATA'!AN150:AN356</f>
        <v>0</v>
      </c>
      <c r="AF155" s="52"/>
      <c r="AG155" s="8">
        <f>'BIO DATA'!AP150</f>
        <v>0</v>
      </c>
      <c r="AH155" s="8">
        <f>'BIO DATA'!AZ150</f>
        <v>0</v>
      </c>
      <c r="AI155" s="8" t="str">
        <f>'BIO DATA'!BA150</f>
        <v>Islam</v>
      </c>
      <c r="AJ155" s="8">
        <f>'BIO DATA'!BB150</f>
        <v>0</v>
      </c>
      <c r="AK155" s="8">
        <f>'BIO DATA'!BC150</f>
        <v>0</v>
      </c>
      <c r="AL155" s="8">
        <f>'BIO DATA'!BD150</f>
        <v>0</v>
      </c>
      <c r="AM155" s="8">
        <f>'BIO DATA'!BE150</f>
        <v>0</v>
      </c>
      <c r="AN155" s="8">
        <f>'BIO DATA'!BF150</f>
        <v>0</v>
      </c>
      <c r="AO155" s="8">
        <f>'BIO DATA'!BG150</f>
        <v>0</v>
      </c>
      <c r="AP155" s="54" t="s">
        <v>198</v>
      </c>
    </row>
    <row r="156" spans="1:42" s="54" customFormat="1" ht="20.100000000000001" customHeight="1" thickBot="1">
      <c r="A156" s="18" t="s">
        <v>127</v>
      </c>
      <c r="B156">
        <v>91</v>
      </c>
      <c r="C156" s="90">
        <f>'BIO DATA'!D151</f>
        <v>11298</v>
      </c>
      <c r="D156" s="90" t="str">
        <f>'BIO DATA'!E151</f>
        <v>0109765478</v>
      </c>
      <c r="E156" s="89" t="str">
        <f>'BIO DATA'!F151</f>
        <v>Dzaki Nazakha Ali Syakib</v>
      </c>
      <c r="F156" s="49" t="str">
        <f>'BIO DATA'!M151</f>
        <v>Laki-laki</v>
      </c>
      <c r="G156" s="8" t="str">
        <f>'BIO DATA'!N151</f>
        <v>Jakarta</v>
      </c>
      <c r="H156" s="51">
        <f>'BIO DATA'!P151</f>
        <v>40307</v>
      </c>
      <c r="I156" s="49" t="str">
        <f>'BIO DATA'!S151</f>
        <v>Islam</v>
      </c>
      <c r="J156" s="50">
        <f>'BIO DATA'!J151:J316</f>
        <v>1</v>
      </c>
      <c r="K156" s="50">
        <f>'BIO DATA'!K151:K357</f>
        <v>1</v>
      </c>
      <c r="L156" s="8" t="str">
        <f>'BIO DATA'!T151:T316</f>
        <v>N0.49, RT.03, Wonokromo II, Wonokromo, Pleret, Bantul, DI Yogyakarta, 55791</v>
      </c>
      <c r="M156" s="8" t="str">
        <f>'BIO DATA'!V151:V357</f>
        <v>Wonokromo</v>
      </c>
      <c r="N156" s="8" t="str">
        <f>'BIO DATA'!W151:W357</f>
        <v>Pleret</v>
      </c>
      <c r="O156" s="8" t="str">
        <f>'BIO DATA'!X151:X357</f>
        <v>Bantul</v>
      </c>
      <c r="P156" s="8" t="str">
        <f>'BIO DATA'!Y151:Y357</f>
        <v>DI Yogyakarta</v>
      </c>
      <c r="Q156" s="8" t="str">
        <f>'BIO DATA'!Z151:Z357</f>
        <v>MTs. Mu'allimin Muh. Yogyakarta</v>
      </c>
      <c r="R156" s="8" t="str">
        <f>'BIO DATA'!AA151:AA357</f>
        <v>Jl. Mayor Dasuki Gg. Klasi Daim No. 84 Jatibarang Jatibarang Kab. Indramayu</v>
      </c>
      <c r="S156" s="8">
        <f>'BIO DATA'!AB151:AB357</f>
        <v>0</v>
      </c>
      <c r="T156" s="8" t="str">
        <f>'BIO DATA'!AC151:AC357</f>
        <v>Fahmi Hidayat</v>
      </c>
      <c r="U156" s="8" t="str">
        <f>'BIO DATA'!AD151</f>
        <v>Islam</v>
      </c>
      <c r="V156" s="8" t="str">
        <f>'BIO DATA'!AL151:AL357</f>
        <v>S1</v>
      </c>
      <c r="W156" s="8" t="str">
        <f>'BIO DATA'!AM151:AM357</f>
        <v>Wartawati</v>
      </c>
      <c r="X156" s="8" t="str">
        <f>'BIO DATA'!AG151:AG357</f>
        <v>&gt; Rp 2.500.000,00</v>
      </c>
      <c r="Y156" s="69" t="s">
        <v>217</v>
      </c>
      <c r="Z156" s="8">
        <f>'BIO DATA'!AI151:AI357</f>
        <v>0</v>
      </c>
      <c r="AA156" s="8" t="str">
        <f>'BIO DATA'!AJ151:AJ357</f>
        <v>Kesi Hermawati</v>
      </c>
      <c r="AB156" s="8" t="str">
        <f>'BIO DATA'!AK151</f>
        <v>Islam</v>
      </c>
      <c r="AC156" s="8" t="str">
        <f>'BIO DATA'!AL151:AL357</f>
        <v>S1</v>
      </c>
      <c r="AD156" s="8" t="str">
        <f>'BIO DATA'!AM151:AM357</f>
        <v>Wartawati</v>
      </c>
      <c r="AE156" s="8">
        <f>'BIO DATA'!AN151:AN357</f>
        <v>0</v>
      </c>
      <c r="AF156" s="52"/>
      <c r="AG156" s="8">
        <f>'BIO DATA'!AP151</f>
        <v>0</v>
      </c>
      <c r="AH156" s="8">
        <f>'BIO DATA'!AZ151</f>
        <v>0</v>
      </c>
      <c r="AI156" s="8" t="str">
        <f>'BIO DATA'!BA151</f>
        <v>Islam</v>
      </c>
      <c r="AJ156" s="8">
        <f>'BIO DATA'!BB151</f>
        <v>0</v>
      </c>
      <c r="AK156" s="8">
        <f>'BIO DATA'!BC151</f>
        <v>0</v>
      </c>
      <c r="AL156" s="8">
        <f>'BIO DATA'!BD151</f>
        <v>0</v>
      </c>
      <c r="AM156" s="8">
        <f>'BIO DATA'!BE151</f>
        <v>0</v>
      </c>
      <c r="AN156" s="8">
        <f>'BIO DATA'!BF151</f>
        <v>0</v>
      </c>
      <c r="AO156" s="8">
        <f>'BIO DATA'!BG151</f>
        <v>0</v>
      </c>
      <c r="AP156" s="54" t="s">
        <v>198</v>
      </c>
    </row>
    <row r="157" spans="1:42" s="54" customFormat="1" ht="20.100000000000001" customHeight="1" thickBot="1">
      <c r="A157" s="18" t="s">
        <v>127</v>
      </c>
      <c r="B157">
        <v>92</v>
      </c>
      <c r="C157" s="90">
        <f>'BIO DATA'!D152</f>
        <v>11306</v>
      </c>
      <c r="D157" s="90" t="str">
        <f>'BIO DATA'!E152</f>
        <v>0106334457</v>
      </c>
      <c r="E157" s="89" t="str">
        <f>'BIO DATA'!F152</f>
        <v>Fadhil Ahmad Syakir</v>
      </c>
      <c r="F157" s="49" t="str">
        <f>'BIO DATA'!M152</f>
        <v>Laki-laki</v>
      </c>
      <c r="G157" s="8" t="str">
        <f>'BIO DATA'!N152</f>
        <v>Yogyakarta</v>
      </c>
      <c r="H157" s="51">
        <f>'BIO DATA'!P152</f>
        <v>40488</v>
      </c>
      <c r="I157" s="49" t="str">
        <f>'BIO DATA'!S152</f>
        <v>Islam</v>
      </c>
      <c r="J157" s="50">
        <f>'BIO DATA'!J152:J317</f>
        <v>4</v>
      </c>
      <c r="K157" s="50">
        <f>'BIO DATA'!K152:K358</f>
        <v>4</v>
      </c>
      <c r="L157" s="8" t="str">
        <f>'BIO DATA'!T152:T317</f>
        <v>Lingkungan Pelita, RT013, RW005, Kel. Jatiwangi, Kec. Asakota, Kab. Kota Bima, Prov. Nusa Tenggara Barat(NTB) 84151</v>
      </c>
      <c r="M157" s="8" t="str">
        <f>'BIO DATA'!V152:V358</f>
        <v>Jatiwangi</v>
      </c>
      <c r="N157" s="8" t="str">
        <f>'BIO DATA'!W152:W358</f>
        <v>Asakota</v>
      </c>
      <c r="O157" s="8" t="str">
        <f>'BIO DATA'!X152:X358</f>
        <v>Kota Bima</v>
      </c>
      <c r="P157" s="8" t="str">
        <f>'BIO DATA'!Y152:Y358</f>
        <v>Nusa Tenggara Barat (NTB)</v>
      </c>
      <c r="Q157" s="8" t="str">
        <f>'BIO DATA'!Z152:Z358</f>
        <v>MTs. Mu'allimin Muh. Yogyakarta</v>
      </c>
      <c r="R157" s="8" t="str">
        <f>'BIO DATA'!AA152:AA358</f>
        <v>Melayu, Kec. Asakota, Kabupaten Bima, Nusa Tenggara Bar. 84118</v>
      </c>
      <c r="S157" s="8">
        <f>'BIO DATA'!AB152:AB358</f>
        <v>0</v>
      </c>
      <c r="T157" s="8" t="str">
        <f>'BIO DATA'!AC152:AC358</f>
        <v>Suharman</v>
      </c>
      <c r="U157" s="8" t="str">
        <f>'BIO DATA'!AD152</f>
        <v>Islam</v>
      </c>
      <c r="V157" s="8" t="str">
        <f>'BIO DATA'!AL152:AL358</f>
        <v>SMA</v>
      </c>
      <c r="W157" s="8" t="str">
        <f>'BIO DATA'!AM152:AM358</f>
        <v>Ibu Rumah Tangga</v>
      </c>
      <c r="X157" s="8" t="str">
        <f>'BIO DATA'!AG152:AG358</f>
        <v>Antara Rp 1.500.000,00 s.d. Rp 2.000,000,00</v>
      </c>
      <c r="Y157" s="69" t="s">
        <v>217</v>
      </c>
      <c r="Z157" s="8">
        <f>'BIO DATA'!AI152:AI358</f>
        <v>0</v>
      </c>
      <c r="AA157" s="8" t="str">
        <f>'BIO DATA'!AJ152:AJ358</f>
        <v>Wahyuningsih</v>
      </c>
      <c r="AB157" s="8" t="str">
        <f>'BIO DATA'!AK152</f>
        <v>Islam</v>
      </c>
      <c r="AC157" s="8" t="str">
        <f>'BIO DATA'!AL152:AL358</f>
        <v>SMA</v>
      </c>
      <c r="AD157" s="8" t="str">
        <f>'BIO DATA'!AM152:AM358</f>
        <v>Ibu Rumah Tangga</v>
      </c>
      <c r="AE157" s="8">
        <f>'BIO DATA'!AN152:AN358</f>
        <v>0</v>
      </c>
      <c r="AF157" s="52"/>
      <c r="AG157" s="8">
        <f>'BIO DATA'!AP152</f>
        <v>0</v>
      </c>
      <c r="AH157" s="8">
        <f>'BIO DATA'!AZ152</f>
        <v>0</v>
      </c>
      <c r="AI157" s="8" t="str">
        <f>'BIO DATA'!BA152</f>
        <v>Islam</v>
      </c>
      <c r="AJ157" s="8">
        <f>'BIO DATA'!BB152</f>
        <v>0</v>
      </c>
      <c r="AK157" s="8">
        <f>'BIO DATA'!BC152</f>
        <v>0</v>
      </c>
      <c r="AL157" s="8">
        <f>'BIO DATA'!BD152</f>
        <v>0</v>
      </c>
      <c r="AM157" s="8">
        <f>'BIO DATA'!BE152</f>
        <v>0</v>
      </c>
      <c r="AN157" s="8">
        <f>'BIO DATA'!BF152</f>
        <v>0</v>
      </c>
      <c r="AO157" s="8">
        <f>'BIO DATA'!BG152</f>
        <v>0</v>
      </c>
      <c r="AP157" s="54" t="s">
        <v>198</v>
      </c>
    </row>
    <row r="158" spans="1:42" s="54" customFormat="1" ht="20.100000000000001" customHeight="1" thickBot="1">
      <c r="A158" s="18" t="s">
        <v>127</v>
      </c>
      <c r="B158">
        <v>106</v>
      </c>
      <c r="C158" s="90">
        <f>'BIO DATA'!D153</f>
        <v>11308</v>
      </c>
      <c r="D158" s="90" t="str">
        <f>'BIO DATA'!E153</f>
        <v>0095898315</v>
      </c>
      <c r="E158" s="89" t="str">
        <f>'BIO DATA'!F153</f>
        <v>Fadhlan Habibie</v>
      </c>
      <c r="F158" s="49" t="str">
        <f>'BIO DATA'!M153</f>
        <v>Laki-laki</v>
      </c>
      <c r="G158" s="8" t="str">
        <f>'BIO DATA'!N153</f>
        <v>Semarang</v>
      </c>
      <c r="H158" s="51">
        <f>'BIO DATA'!P153</f>
        <v>39853</v>
      </c>
      <c r="I158" s="49" t="str">
        <f>'BIO DATA'!S153</f>
        <v>Islam</v>
      </c>
      <c r="J158" s="50">
        <f>'BIO DATA'!J153:J318</f>
        <v>3</v>
      </c>
      <c r="K158" s="50">
        <f>'BIO DATA'!K153:K359</f>
        <v>2</v>
      </c>
      <c r="L158" s="8" t="str">
        <f>'BIO DATA'!T153:T318</f>
        <v>JL. Dr. Sutomo Kedonsari RT 02/RW 11 Penyangkringan Weleri Kendal Jawa Tengah 51355</v>
      </c>
      <c r="M158" s="8" t="str">
        <f>'BIO DATA'!V153:V359</f>
        <v>Penyangkringan</v>
      </c>
      <c r="N158" s="8" t="str">
        <f>'BIO DATA'!W153:W359</f>
        <v>Weleri</v>
      </c>
      <c r="O158" s="8" t="str">
        <f>'BIO DATA'!X153:X359</f>
        <v>Kendal</v>
      </c>
      <c r="P158" s="8" t="str">
        <f>'BIO DATA'!Y153:Y359</f>
        <v>Jawa Tengah</v>
      </c>
      <c r="Q158" s="8" t="str">
        <f>'BIO DATA'!Z153:Z359</f>
        <v>MTs. Mu'allimin Muh. Yogyakarta</v>
      </c>
      <c r="R158" s="8" t="str">
        <f>'BIO DATA'!AA153:AA359</f>
        <v>Jl. Dokter Sutomo RT 02/RW 11 Kedonsari, Penyangkringan, Weleri, Kendal, Jawa Tengah</v>
      </c>
      <c r="S158" s="8">
        <f>'BIO DATA'!AB153:AB359</f>
        <v>0</v>
      </c>
      <c r="T158" s="8" t="str">
        <f>'BIO DATA'!AC153:AC359</f>
        <v>Agi Lesmono</v>
      </c>
      <c r="U158" s="8" t="str">
        <f>'BIO DATA'!AD153</f>
        <v>Islam</v>
      </c>
      <c r="V158" s="8" t="str">
        <f>'BIO DATA'!AL153:AL359</f>
        <v>SMA</v>
      </c>
      <c r="W158" s="8" t="str">
        <f>'BIO DATA'!AM153:AM359</f>
        <v>Ibu Rumah Tangga</v>
      </c>
      <c r="X158" s="8" t="str">
        <f>'BIO DATA'!AG153:AG359</f>
        <v>&gt; Rp 2.500.000,00</v>
      </c>
      <c r="Y158" s="69" t="s">
        <v>217</v>
      </c>
      <c r="Z158" s="8">
        <f>'BIO DATA'!AI153:AI359</f>
        <v>0</v>
      </c>
      <c r="AA158" s="8" t="str">
        <f>'BIO DATA'!AJ153:AJ359</f>
        <v>Sulasih</v>
      </c>
      <c r="AB158" s="8" t="str">
        <f>'BIO DATA'!AK153</f>
        <v>Islam</v>
      </c>
      <c r="AC158" s="8" t="str">
        <f>'BIO DATA'!AL153:AL359</f>
        <v>SMA</v>
      </c>
      <c r="AD158" s="8" t="str">
        <f>'BIO DATA'!AM153:AM359</f>
        <v>Ibu Rumah Tangga</v>
      </c>
      <c r="AE158" s="8">
        <f>'BIO DATA'!AN153:AN359</f>
        <v>0</v>
      </c>
      <c r="AF158" s="52"/>
      <c r="AG158" s="8">
        <f>'BIO DATA'!AP153</f>
        <v>0</v>
      </c>
      <c r="AH158" s="8">
        <f>'BIO DATA'!AZ153</f>
        <v>0</v>
      </c>
      <c r="AI158" s="8" t="str">
        <f>'BIO DATA'!BA153</f>
        <v>Islam</v>
      </c>
      <c r="AJ158" s="8">
        <f>'BIO DATA'!BB153</f>
        <v>0</v>
      </c>
      <c r="AK158" s="8">
        <f>'BIO DATA'!BC153</f>
        <v>0</v>
      </c>
      <c r="AL158" s="8">
        <f>'BIO DATA'!BD153</f>
        <v>0</v>
      </c>
      <c r="AM158" s="8">
        <f>'BIO DATA'!BE153</f>
        <v>0</v>
      </c>
      <c r="AN158" s="8">
        <f>'BIO DATA'!BF153</f>
        <v>0</v>
      </c>
      <c r="AO158" s="8">
        <f>'BIO DATA'!BG153</f>
        <v>0</v>
      </c>
      <c r="AP158" s="54" t="s">
        <v>198</v>
      </c>
    </row>
    <row r="159" spans="1:42" s="54" customFormat="1" ht="20.100000000000001" customHeight="1" thickBot="1">
      <c r="A159" s="18" t="s">
        <v>127</v>
      </c>
      <c r="B159">
        <v>117</v>
      </c>
      <c r="C159" s="90">
        <f>'BIO DATA'!D154</f>
        <v>11315</v>
      </c>
      <c r="D159" s="90" t="str">
        <f>'BIO DATA'!E154</f>
        <v>0094477374</v>
      </c>
      <c r="E159" s="89" t="str">
        <f>'BIO DATA'!F154</f>
        <v>Faiz Bazli Fitra Ikhlas</v>
      </c>
      <c r="F159" s="49" t="str">
        <f>'BIO DATA'!M154</f>
        <v>Laki-laki</v>
      </c>
      <c r="G159" s="8" t="str">
        <f>'BIO DATA'!N154</f>
        <v>Tangerang</v>
      </c>
      <c r="H159" s="51">
        <f>'BIO DATA'!P154</f>
        <v>40445</v>
      </c>
      <c r="I159" s="49" t="str">
        <f>'BIO DATA'!S154</f>
        <v>Islam</v>
      </c>
      <c r="J159" s="50">
        <f>'BIO DATA'!J154:J319</f>
        <v>1</v>
      </c>
      <c r="K159" s="50">
        <f>'BIO DATA'!K154:K360</f>
        <v>1</v>
      </c>
      <c r="L159" s="8" t="str">
        <f>'BIO DATA'!T154:T319</f>
        <v>Karangploso RT 01, Sitimulyo, Piyungan, Bantul, Yogyakarta, DI Yogyakarta 55792</v>
      </c>
      <c r="M159" s="8" t="str">
        <f>'BIO DATA'!V154:V360</f>
        <v>Sitimulyo</v>
      </c>
      <c r="N159" s="8" t="str">
        <f>'BIO DATA'!W154:W360</f>
        <v>Piyungan</v>
      </c>
      <c r="O159" s="8" t="str">
        <f>'BIO DATA'!X154:X360</f>
        <v>Bantul</v>
      </c>
      <c r="P159" s="8" t="str">
        <f>'BIO DATA'!Y154:Y360</f>
        <v>DI Yogyakarta</v>
      </c>
      <c r="Q159" s="8" t="str">
        <f>'BIO DATA'!Z154:Z360</f>
        <v>MTs. Mu'allimin Muh. Yogyakarta</v>
      </c>
      <c r="R159" s="8" t="str">
        <f>'BIO DATA'!AA154:AA360</f>
        <v>Cepit, Bokoharjo, Kec. Prambanan, Kabupaten Sleman, Daerah Istimewa Yogyakarta 55572</v>
      </c>
      <c r="S159" s="8">
        <f>'BIO DATA'!AB154:AB360</f>
        <v>0</v>
      </c>
      <c r="T159" s="8" t="str">
        <f>'BIO DATA'!AC154:AC360</f>
        <v>Zabidi, S.Pd.</v>
      </c>
      <c r="U159" s="8" t="str">
        <f>'BIO DATA'!AD154</f>
        <v>Islam</v>
      </c>
      <c r="V159" s="8" t="str">
        <f>'BIO DATA'!AL154:AL360</f>
        <v>Diploma</v>
      </c>
      <c r="W159" s="8" t="str">
        <f>'BIO DATA'!AM154:AM360</f>
        <v>PNS</v>
      </c>
      <c r="X159" s="8" t="str">
        <f>'BIO DATA'!AG154:AG360</f>
        <v>&gt; Rp 2.500.000,00</v>
      </c>
      <c r="Y159" s="69" t="s">
        <v>217</v>
      </c>
      <c r="Z159" s="8">
        <f>'BIO DATA'!AI154:AI360</f>
        <v>0</v>
      </c>
      <c r="AA159" s="8" t="str">
        <f>'BIO DATA'!AJ154:AJ360</f>
        <v>Denok Warisah</v>
      </c>
      <c r="AB159" s="8" t="str">
        <f>'BIO DATA'!AK154</f>
        <v>Islam</v>
      </c>
      <c r="AC159" s="8" t="str">
        <f>'BIO DATA'!AL154:AL360</f>
        <v>Diploma</v>
      </c>
      <c r="AD159" s="8" t="str">
        <f>'BIO DATA'!AM154:AM360</f>
        <v>PNS</v>
      </c>
      <c r="AE159" s="8">
        <f>'BIO DATA'!AN154:AN360</f>
        <v>0</v>
      </c>
      <c r="AF159" s="52"/>
      <c r="AG159" s="8">
        <f>'BIO DATA'!AP154</f>
        <v>0</v>
      </c>
      <c r="AH159" s="8">
        <f>'BIO DATA'!AZ154</f>
        <v>0</v>
      </c>
      <c r="AI159" s="8" t="str">
        <f>'BIO DATA'!BA154</f>
        <v>Islam</v>
      </c>
      <c r="AJ159" s="8">
        <f>'BIO DATA'!BB154</f>
        <v>0</v>
      </c>
      <c r="AK159" s="8">
        <f>'BIO DATA'!BC154</f>
        <v>0</v>
      </c>
      <c r="AL159" s="8">
        <f>'BIO DATA'!BD154</f>
        <v>0</v>
      </c>
      <c r="AM159" s="8">
        <f>'BIO DATA'!BE154</f>
        <v>0</v>
      </c>
      <c r="AN159" s="8">
        <f>'BIO DATA'!BF154</f>
        <v>0</v>
      </c>
      <c r="AO159" s="8">
        <f>'BIO DATA'!BG154</f>
        <v>0</v>
      </c>
      <c r="AP159" s="54" t="s">
        <v>198</v>
      </c>
    </row>
    <row r="160" spans="1:42" s="54" customFormat="1" ht="20.100000000000001" customHeight="1" thickBot="1">
      <c r="A160" s="18" t="s">
        <v>127</v>
      </c>
      <c r="B160">
        <v>136</v>
      </c>
      <c r="C160" s="90">
        <f>'BIO DATA'!D155</f>
        <v>11351</v>
      </c>
      <c r="D160" s="90" t="str">
        <f>'BIO DATA'!E155</f>
        <v>0099067829</v>
      </c>
      <c r="E160" s="89" t="str">
        <f>'BIO DATA'!F155</f>
        <v>Hadyan Muhammad Ihsan</v>
      </c>
      <c r="F160" s="49" t="str">
        <f>'BIO DATA'!M155</f>
        <v>Laki-laki</v>
      </c>
      <c r="G160" s="8" t="str">
        <f>'BIO DATA'!N155</f>
        <v>Yogyakarta</v>
      </c>
      <c r="H160" s="51">
        <f>'BIO DATA'!P155</f>
        <v>40090</v>
      </c>
      <c r="I160" s="49" t="str">
        <f>'BIO DATA'!S155</f>
        <v>Islam</v>
      </c>
      <c r="J160" s="50">
        <f>'BIO DATA'!J155:J320</f>
        <v>2</v>
      </c>
      <c r="K160" s="50">
        <f>'BIO DATA'!K155:K361</f>
        <v>3</v>
      </c>
      <c r="L160" s="8" t="str">
        <f>'BIO DATA'!T155:T320</f>
        <v>Ratamba RT 01/02, Ratamba, Pejawaran, Banjarnegara, Jawa Tengah, 53454</v>
      </c>
      <c r="M160" s="8" t="str">
        <f>'BIO DATA'!V155:V361</f>
        <v>Ratamba</v>
      </c>
      <c r="N160" s="8" t="str">
        <f>'BIO DATA'!W155:W361</f>
        <v>Pejawaran</v>
      </c>
      <c r="O160" s="8" t="str">
        <f>'BIO DATA'!X155:X361</f>
        <v>Banjarnegara</v>
      </c>
      <c r="P160" s="8" t="str">
        <f>'BIO DATA'!Y155:Y361</f>
        <v>Jawa Tengah</v>
      </c>
      <c r="Q160" s="8" t="str">
        <f>'BIO DATA'!Z155:Z361</f>
        <v>MTs. Mu'allimin Muh. Yogyakarta</v>
      </c>
      <c r="R160" s="8" t="str">
        <f>'BIO DATA'!AA155:AA361</f>
        <v>Dusun 1 Ratamba, Ratamba, Kec. Pejawaran, Kab. Banjarnegara, Jawa Tengah 53454</v>
      </c>
      <c r="S160" s="8">
        <f>'BIO DATA'!AB155:AB361</f>
        <v>0</v>
      </c>
      <c r="T160" s="8" t="str">
        <f>'BIO DATA'!AC155:AC361</f>
        <v>Imam Suwandhono</v>
      </c>
      <c r="U160" s="8" t="str">
        <f>'BIO DATA'!AD155</f>
        <v>Islam</v>
      </c>
      <c r="V160" s="8" t="str">
        <f>'BIO DATA'!AL155:AL361</f>
        <v>Diploma</v>
      </c>
      <c r="W160" s="8" t="str">
        <f>'BIO DATA'!AM155:AM361</f>
        <v>Perangkat Desa</v>
      </c>
      <c r="X160" s="8" t="str">
        <f>'BIO DATA'!AG155:AG361</f>
        <v>&gt; Rp 2.500.000,00</v>
      </c>
      <c r="Y160" s="69" t="s">
        <v>217</v>
      </c>
      <c r="Z160" s="8">
        <f>'BIO DATA'!AI155:AI361</f>
        <v>0</v>
      </c>
      <c r="AA160" s="8" t="str">
        <f>'BIO DATA'!AJ155:AJ361</f>
        <v>Lusi Yusnita Rofiqoh</v>
      </c>
      <c r="AB160" s="8" t="str">
        <f>'BIO DATA'!AK155</f>
        <v>Islam</v>
      </c>
      <c r="AC160" s="8" t="str">
        <f>'BIO DATA'!AL155:AL361</f>
        <v>Diploma</v>
      </c>
      <c r="AD160" s="8" t="str">
        <f>'BIO DATA'!AM155:AM361</f>
        <v>Perangkat Desa</v>
      </c>
      <c r="AE160" s="8">
        <f>'BIO DATA'!AN155:AN361</f>
        <v>0</v>
      </c>
      <c r="AF160" s="52"/>
      <c r="AG160" s="8">
        <f>'BIO DATA'!AP155</f>
        <v>0</v>
      </c>
      <c r="AH160" s="8">
        <f>'BIO DATA'!AZ155</f>
        <v>0</v>
      </c>
      <c r="AI160" s="8" t="str">
        <f>'BIO DATA'!BA155</f>
        <v>Islam</v>
      </c>
      <c r="AJ160" s="8">
        <f>'BIO DATA'!BB155</f>
        <v>0</v>
      </c>
      <c r="AK160" s="8">
        <f>'BIO DATA'!BC155</f>
        <v>0</v>
      </c>
      <c r="AL160" s="8">
        <f>'BIO DATA'!BD155</f>
        <v>0</v>
      </c>
      <c r="AM160" s="8">
        <f>'BIO DATA'!BE155</f>
        <v>0</v>
      </c>
      <c r="AN160" s="8">
        <f>'BIO DATA'!BF155</f>
        <v>0</v>
      </c>
      <c r="AO160" s="8">
        <f>'BIO DATA'!BG155</f>
        <v>0</v>
      </c>
      <c r="AP160" s="54" t="s">
        <v>198</v>
      </c>
    </row>
    <row r="161" spans="1:42" s="54" customFormat="1" ht="20.100000000000001" customHeight="1" thickBot="1">
      <c r="A161" s="18" t="s">
        <v>127</v>
      </c>
      <c r="B161">
        <v>148</v>
      </c>
      <c r="C161" s="90">
        <f>'BIO DATA'!D156</f>
        <v>11364</v>
      </c>
      <c r="D161" s="90" t="str">
        <f>'BIO DATA'!E156</f>
        <v>0095906454</v>
      </c>
      <c r="E161" s="89" t="str">
        <f>'BIO DATA'!F156</f>
        <v>Lintang Anugro Hidayat</v>
      </c>
      <c r="F161" s="49" t="str">
        <f>'BIO DATA'!M156</f>
        <v>Laki-laki</v>
      </c>
      <c r="G161" s="8" t="str">
        <f>'BIO DATA'!N156</f>
        <v>Surabaya</v>
      </c>
      <c r="H161" s="51">
        <f>'BIO DATA'!P156</f>
        <v>39942</v>
      </c>
      <c r="I161" s="49" t="str">
        <f>'BIO DATA'!S156</f>
        <v>Islam</v>
      </c>
      <c r="J161" s="50">
        <f>'BIO DATA'!J156:J321</f>
        <v>1</v>
      </c>
      <c r="K161" s="50">
        <f>'BIO DATA'!K156:K362</f>
        <v>0</v>
      </c>
      <c r="L161" s="8" t="str">
        <f>'BIO DATA'!T156:T321</f>
        <v>Purwoasri RT 40A/16, Kroyo, Karangmalang, Sragen Jawa Tengah 57211</v>
      </c>
      <c r="M161" s="8" t="str">
        <f>'BIO DATA'!V156:V362</f>
        <v>Kroyo</v>
      </c>
      <c r="N161" s="8" t="str">
        <f>'BIO DATA'!W156:W362</f>
        <v>Karangmalang</v>
      </c>
      <c r="O161" s="8" t="str">
        <f>'BIO DATA'!X156:X362</f>
        <v>Sragen</v>
      </c>
      <c r="P161" s="8" t="str">
        <f>'BIO DATA'!Y156:Y362</f>
        <v>Jawa Tengah</v>
      </c>
      <c r="Q161" s="8" t="str">
        <f>'BIO DATA'!Z156:Z362</f>
        <v>MTs. Mu'allimin Muh. Yogyakarta</v>
      </c>
      <c r="R161" s="8" t="str">
        <f>'BIO DATA'!AA156:AA362</f>
        <v>Jl. Batanghari, Sumengko, Sragen Tengah, Kec. Sragen, Kabupaten Sragen, Jawa Tengah 57211</v>
      </c>
      <c r="S161" s="8">
        <f>'BIO DATA'!AB156:AB362</f>
        <v>0</v>
      </c>
      <c r="T161" s="8" t="str">
        <f>'BIO DATA'!AC156:AC362</f>
        <v>Sumadi</v>
      </c>
      <c r="U161" s="8" t="str">
        <f>'BIO DATA'!AD156</f>
        <v>Islam</v>
      </c>
      <c r="V161" s="8" t="str">
        <f>'BIO DATA'!AL156:AL362</f>
        <v>SMA</v>
      </c>
      <c r="W161" s="8" t="str">
        <f>'BIO DATA'!AM156:AM362</f>
        <v>Swasta</v>
      </c>
      <c r="X161" s="8" t="str">
        <f>'BIO DATA'!AG156:AG362</f>
        <v>&gt; Rp 2.500.000,00</v>
      </c>
      <c r="Y161" s="69" t="s">
        <v>217</v>
      </c>
      <c r="Z161" s="8">
        <f>'BIO DATA'!AI156:AI362</f>
        <v>0</v>
      </c>
      <c r="AA161" s="8" t="str">
        <f>'BIO DATA'!AJ156:AJ362</f>
        <v>Hasri Rohmani</v>
      </c>
      <c r="AB161" s="8" t="str">
        <f>'BIO DATA'!AK156</f>
        <v>Islam</v>
      </c>
      <c r="AC161" s="8" t="str">
        <f>'BIO DATA'!AL156:AL362</f>
        <v>SMA</v>
      </c>
      <c r="AD161" s="8" t="str">
        <f>'BIO DATA'!AM156:AM362</f>
        <v>Swasta</v>
      </c>
      <c r="AE161" s="8">
        <f>'BIO DATA'!AN156:AN362</f>
        <v>0</v>
      </c>
      <c r="AF161" s="52"/>
      <c r="AG161" s="8">
        <f>'BIO DATA'!AP156</f>
        <v>0</v>
      </c>
      <c r="AH161" s="8">
        <f>'BIO DATA'!AZ156</f>
        <v>0</v>
      </c>
      <c r="AI161" s="8" t="str">
        <f>'BIO DATA'!BA156</f>
        <v>Islam</v>
      </c>
      <c r="AJ161" s="8">
        <f>'BIO DATA'!BB156</f>
        <v>0</v>
      </c>
      <c r="AK161" s="8">
        <f>'BIO DATA'!BC156</f>
        <v>0</v>
      </c>
      <c r="AL161" s="8">
        <f>'BIO DATA'!BD156</f>
        <v>0</v>
      </c>
      <c r="AM161" s="8">
        <f>'BIO DATA'!BE156</f>
        <v>0</v>
      </c>
      <c r="AN161" s="8">
        <f>'BIO DATA'!BF156</f>
        <v>0</v>
      </c>
      <c r="AO161" s="8">
        <f>'BIO DATA'!BG156</f>
        <v>0</v>
      </c>
      <c r="AP161" s="54" t="s">
        <v>198</v>
      </c>
    </row>
    <row r="162" spans="1:42" s="54" customFormat="1" ht="20.100000000000001" customHeight="1" thickBot="1">
      <c r="A162" s="18" t="s">
        <v>127</v>
      </c>
      <c r="B162">
        <v>161</v>
      </c>
      <c r="C162" s="90">
        <f>'BIO DATA'!D157</f>
        <v>11384</v>
      </c>
      <c r="D162" s="90" t="str">
        <f>'BIO DATA'!E157</f>
        <v>3098104039</v>
      </c>
      <c r="E162" s="89" t="str">
        <f>'BIO DATA'!F157</f>
        <v>Muhammad Al Fatih</v>
      </c>
      <c r="F162" s="49" t="str">
        <f>'BIO DATA'!M157</f>
        <v>Laki-laki</v>
      </c>
      <c r="G162" s="8" t="str">
        <f>'BIO DATA'!N157</f>
        <v>Kota Bima</v>
      </c>
      <c r="H162" s="51">
        <f>'BIO DATA'!P157</f>
        <v>39941</v>
      </c>
      <c r="I162" s="49" t="str">
        <f>'BIO DATA'!S157</f>
        <v>Islam</v>
      </c>
      <c r="J162" s="50">
        <f>'BIO DATA'!J157:J322</f>
        <v>2</v>
      </c>
      <c r="K162" s="50">
        <f>'BIO DATA'!K157:K363</f>
        <v>3</v>
      </c>
      <c r="L162" s="8" t="str">
        <f>'BIO DATA'!T157:T322</f>
        <v>Royal Mansion Banguntapan Blok J No. 1 Jl. Raya Pleret Km. 2.2 Kel. Jambidan Kec. Banguntapan Kab. Bantul, DI Yogyakarta, 55195</v>
      </c>
      <c r="M162" s="8" t="str">
        <f>'BIO DATA'!V157:V363</f>
        <v>Jambidan</v>
      </c>
      <c r="N162" s="8" t="str">
        <f>'BIO DATA'!W157:W363</f>
        <v>Banguntapan</v>
      </c>
      <c r="O162" s="8" t="str">
        <f>'BIO DATA'!X157:X363</f>
        <v>Bantul</v>
      </c>
      <c r="P162" s="8" t="str">
        <f>'BIO DATA'!Y157:Y363</f>
        <v>DI Yogyakarta</v>
      </c>
      <c r="Q162" s="8" t="str">
        <f>'BIO DATA'!Z157:Z363</f>
        <v>MTs. Mu'allimin Muh. Yogyakarta</v>
      </c>
      <c r="R162" s="8" t="str">
        <f>'BIO DATA'!AA157:AA363</f>
        <v>Jalan Kranon Nitikan No.UH 6, RT.45/RW.11, Sorosutan, Kec. Umbulharjo, Kota Yogyakarta, Daerah Istimewa Yogyakarta 55162</v>
      </c>
      <c r="S162" s="8">
        <f>'BIO DATA'!AB157:AB363</f>
        <v>0</v>
      </c>
      <c r="T162" s="8" t="str">
        <f>'BIO DATA'!AC157:AC363</f>
        <v>Mario Parakas, SH, MH</v>
      </c>
      <c r="U162" s="8" t="str">
        <f>'BIO DATA'!AD157</f>
        <v>Islam</v>
      </c>
      <c r="V162" s="8" t="str">
        <f>'BIO DATA'!AL157:AL363</f>
        <v>S2</v>
      </c>
      <c r="W162" s="8" t="str">
        <f>'BIO DATA'!AM157:AM363</f>
        <v>PNS</v>
      </c>
      <c r="X162" s="8" t="str">
        <f>'BIO DATA'!AG157:AG363</f>
        <v>&gt; Rp 2.500.000,00</v>
      </c>
      <c r="Y162" s="69" t="s">
        <v>217</v>
      </c>
      <c r="Z162" s="8">
        <f>'BIO DATA'!AI157:AI363</f>
        <v>0</v>
      </c>
      <c r="AA162" s="8" t="str">
        <f>'BIO DATA'!AJ157:AJ363</f>
        <v>Anita Marthasari</v>
      </c>
      <c r="AB162" s="8" t="str">
        <f>'BIO DATA'!AK157</f>
        <v>Islam</v>
      </c>
      <c r="AC162" s="8" t="str">
        <f>'BIO DATA'!AL157:AL363</f>
        <v>S2</v>
      </c>
      <c r="AD162" s="8" t="str">
        <f>'BIO DATA'!AM157:AM363</f>
        <v>PNS</v>
      </c>
      <c r="AE162" s="8">
        <f>'BIO DATA'!AN157:AN363</f>
        <v>0</v>
      </c>
      <c r="AF162" s="52"/>
      <c r="AG162" s="8">
        <f>'BIO DATA'!AP157</f>
        <v>0</v>
      </c>
      <c r="AH162" s="8">
        <f>'BIO DATA'!AZ157</f>
        <v>0</v>
      </c>
      <c r="AI162" s="8" t="str">
        <f>'BIO DATA'!BA157</f>
        <v>Islam</v>
      </c>
      <c r="AJ162" s="8">
        <f>'BIO DATA'!BB157</f>
        <v>0</v>
      </c>
      <c r="AK162" s="8">
        <f>'BIO DATA'!BC157</f>
        <v>0</v>
      </c>
      <c r="AL162" s="8">
        <f>'BIO DATA'!BD157</f>
        <v>0</v>
      </c>
      <c r="AM162" s="8">
        <f>'BIO DATA'!BE157</f>
        <v>0</v>
      </c>
      <c r="AN162" s="8">
        <f>'BIO DATA'!BF157</f>
        <v>0</v>
      </c>
      <c r="AO162" s="8">
        <f>'BIO DATA'!BG157</f>
        <v>0</v>
      </c>
      <c r="AP162" s="54" t="s">
        <v>198</v>
      </c>
    </row>
    <row r="163" spans="1:42" s="54" customFormat="1" ht="20.100000000000001" customHeight="1" thickBot="1">
      <c r="A163" s="18" t="s">
        <v>127</v>
      </c>
      <c r="B163">
        <v>162</v>
      </c>
      <c r="C163" s="90">
        <f>'BIO DATA'!D158</f>
        <v>11431</v>
      </c>
      <c r="D163" s="90" t="str">
        <f>'BIO DATA'!E158</f>
        <v>0098845120</v>
      </c>
      <c r="E163" s="89" t="str">
        <f>'BIO DATA'!F158</f>
        <v>Muhammad Dafa Al Fatih</v>
      </c>
      <c r="F163" s="49" t="str">
        <f>'BIO DATA'!M158</f>
        <v>Laki-laki</v>
      </c>
      <c r="G163" s="8" t="str">
        <f>'BIO DATA'!N158</f>
        <v>Kendal</v>
      </c>
      <c r="H163" s="51">
        <f>'BIO DATA'!P158</f>
        <v>40139</v>
      </c>
      <c r="I163" s="49" t="str">
        <f>'BIO DATA'!S158</f>
        <v>Islam</v>
      </c>
      <c r="J163" s="50">
        <f>'BIO DATA'!J158:J323</f>
        <v>1</v>
      </c>
      <c r="K163" s="50">
        <f>'BIO DATA'!K158:K364</f>
        <v>1</v>
      </c>
      <c r="L163" s="8" t="str">
        <f>'BIO DATA'!T158:T323</f>
        <v>Jl. KH. Saman Hudi No.45.Rt.06/ RW.06 Kelurahan Pasirkratonkramat Kec. Pekalongan Barat Kota Pekalongan Jawa Tengah 51118</v>
      </c>
      <c r="M163" s="8" t="str">
        <f>'BIO DATA'!V158:V364</f>
        <v>Pasirkratonkramat</v>
      </c>
      <c r="N163" s="8" t="str">
        <f>'BIO DATA'!W158:W364</f>
        <v>Pekalongan</v>
      </c>
      <c r="O163" s="8" t="str">
        <f>'BIO DATA'!X158:X364</f>
        <v>Kota Pekalongan</v>
      </c>
      <c r="P163" s="8" t="str">
        <f>'BIO DATA'!Y158:Y364</f>
        <v>Jawa Tengah</v>
      </c>
      <c r="Q163" s="8" t="str">
        <f>'BIO DATA'!Z158:Z364</f>
        <v>MTs. Mu'allimin Muh. Yogyakarta</v>
      </c>
      <c r="R163" s="8" t="str">
        <f>'BIO DATA'!AA158:AA364</f>
        <v>Jl. Kurinci No.2, Bendan, Kec. Pekalongan Bar., Kota Pekalongan, Jawa Tengah 51119</v>
      </c>
      <c r="S163" s="8">
        <f>'BIO DATA'!AB158:AB364</f>
        <v>0</v>
      </c>
      <c r="T163" s="8" t="str">
        <f>'BIO DATA'!AC158:AC364</f>
        <v>Sudi Raharjo</v>
      </c>
      <c r="U163" s="8" t="str">
        <f>'BIO DATA'!AD158</f>
        <v>Islam</v>
      </c>
      <c r="V163" s="8" t="str">
        <f>'BIO DATA'!AL158:AL364</f>
        <v>S1</v>
      </c>
      <c r="W163" s="8" t="str">
        <f>'BIO DATA'!AM158:AM364</f>
        <v>PNS</v>
      </c>
      <c r="X163" s="8" t="str">
        <f>'BIO DATA'!AG158:AG364</f>
        <v>&gt; Rp 2.500.000,00</v>
      </c>
      <c r="Y163" s="69" t="s">
        <v>217</v>
      </c>
      <c r="Z163" s="8">
        <f>'BIO DATA'!AI158:AI364</f>
        <v>0</v>
      </c>
      <c r="AA163" s="8" t="str">
        <f>'BIO DATA'!AJ158:AJ364</f>
        <v>Ida Nafiaty</v>
      </c>
      <c r="AB163" s="8" t="str">
        <f>'BIO DATA'!AK158</f>
        <v>Islam</v>
      </c>
      <c r="AC163" s="8" t="str">
        <f>'BIO DATA'!AL158:AL364</f>
        <v>S1</v>
      </c>
      <c r="AD163" s="8" t="str">
        <f>'BIO DATA'!AM158:AM364</f>
        <v>PNS</v>
      </c>
      <c r="AE163" s="8">
        <f>'BIO DATA'!AN158:AN364</f>
        <v>0</v>
      </c>
      <c r="AF163" s="52"/>
      <c r="AG163" s="8">
        <f>'BIO DATA'!AP158</f>
        <v>0</v>
      </c>
      <c r="AH163" s="8" t="str">
        <f>'BIO DATA'!AZ158</f>
        <v>Agi Lesmono</v>
      </c>
      <c r="AI163" s="8" t="str">
        <f>'BIO DATA'!BA158</f>
        <v>Islam</v>
      </c>
      <c r="AJ163" s="8" t="str">
        <f>'BIO DATA'!BB158</f>
        <v>SMP</v>
      </c>
      <c r="AK163" s="8" t="str">
        <f>'BIO DATA'!BC158</f>
        <v>Wiraswasta</v>
      </c>
      <c r="AL163" s="8" t="str">
        <f>'BIO DATA'!BD158</f>
        <v>Jl. Dokter Sutomo RT 02/RW 11 Kedonsari, Penyangkringan, Weleri, Kendal, Jawa Tengah</v>
      </c>
      <c r="AM163" s="8">
        <f>'BIO DATA'!BE158</f>
        <v>0</v>
      </c>
      <c r="AN163" s="8">
        <f>'BIO DATA'!BF158</f>
        <v>0</v>
      </c>
      <c r="AO163" s="8">
        <f>'BIO DATA'!BG158</f>
        <v>0</v>
      </c>
      <c r="AP163" s="54" t="s">
        <v>198</v>
      </c>
    </row>
    <row r="164" spans="1:42" s="54" customFormat="1" ht="20.100000000000001" customHeight="1" thickBot="1">
      <c r="A164" s="18" t="s">
        <v>127</v>
      </c>
      <c r="B164">
        <v>166</v>
      </c>
      <c r="C164" s="90">
        <f>'BIO DATA'!D159</f>
        <v>11402</v>
      </c>
      <c r="D164" s="90" t="str">
        <f>'BIO DATA'!E159</f>
        <v>0098594265</v>
      </c>
      <c r="E164" s="89" t="str">
        <f>'BIO DATA'!F159</f>
        <v>Muhammad Dzaki</v>
      </c>
      <c r="F164" s="49" t="str">
        <f>'BIO DATA'!M159</f>
        <v>Laki-laki</v>
      </c>
      <c r="G164" s="8" t="str">
        <f>'BIO DATA'!N159</f>
        <v>Bantul</v>
      </c>
      <c r="H164" s="51">
        <f>'BIO DATA'!P159</f>
        <v>39916</v>
      </c>
      <c r="I164" s="49" t="str">
        <f>'BIO DATA'!S159</f>
        <v>Islam</v>
      </c>
      <c r="J164" s="50">
        <f>'BIO DATA'!J159:J324</f>
        <v>1</v>
      </c>
      <c r="K164" s="50">
        <f>'BIO DATA'!K159:K365</f>
        <v>1</v>
      </c>
      <c r="L164" s="8" t="str">
        <f>'BIO DATA'!T159:T324</f>
        <v>Jl. Veteran Komplek Gardu Mekar Indah No 76 RT 15 Kel. Sei Lulut Kec. Banjarmasin Timur , Kalimantan Selatan, 70238</v>
      </c>
      <c r="M164" s="8" t="str">
        <f>'BIO DATA'!V159:V365</f>
        <v>Sei Lulut</v>
      </c>
      <c r="N164" s="8" t="str">
        <f>'BIO DATA'!W159:W365</f>
        <v>Banjarmasin Timur</v>
      </c>
      <c r="O164" s="8" t="str">
        <f>'BIO DATA'!X159:X365</f>
        <v>Banjarmasin</v>
      </c>
      <c r="P164" s="8" t="str">
        <f>'BIO DATA'!Y159:Y365</f>
        <v>Kalimantan Selatan</v>
      </c>
      <c r="Q164" s="8" t="str">
        <f>'BIO DATA'!Z159:Z365</f>
        <v>MTs. Mu'allimin Muh. Yogyakarta</v>
      </c>
      <c r="R164" s="8" t="str">
        <f>'BIO DATA'!AA159:AA365</f>
        <v>Jl. A. Yani No.1, Kuripan, Kec. Banjarmasin Tim., Kota Banjarmasin, Kalimantan Selatan 70236</v>
      </c>
      <c r="S164" s="8">
        <f>'BIO DATA'!AB159:AB365</f>
        <v>0</v>
      </c>
      <c r="T164" s="8" t="str">
        <f>'BIO DATA'!AC159:AC365</f>
        <v>Khairuzzaini</v>
      </c>
      <c r="U164" s="8" t="str">
        <f>'BIO DATA'!AD159</f>
        <v>Islam</v>
      </c>
      <c r="V164" s="8" t="str">
        <f>'BIO DATA'!AL159:AL365</f>
        <v>S1</v>
      </c>
      <c r="W164" s="8" t="str">
        <f>'BIO DATA'!AM159:AM365</f>
        <v>Dosen</v>
      </c>
      <c r="X164" s="8" t="str">
        <f>'BIO DATA'!AG159:AG365</f>
        <v>&gt; Rp 2.500.000,00</v>
      </c>
      <c r="Y164" s="69" t="s">
        <v>217</v>
      </c>
      <c r="Z164" s="8">
        <f>'BIO DATA'!AI159:AI365</f>
        <v>0</v>
      </c>
      <c r="AA164" s="8" t="str">
        <f>'BIO DATA'!AJ159:AJ365</f>
        <v>Bening Prawita Sari</v>
      </c>
      <c r="AB164" s="8" t="str">
        <f>'BIO DATA'!AK159</f>
        <v>Islam</v>
      </c>
      <c r="AC164" s="8" t="str">
        <f>'BIO DATA'!AL159:AL365</f>
        <v>S1</v>
      </c>
      <c r="AD164" s="8" t="str">
        <f>'BIO DATA'!AM159:AM365</f>
        <v>Dosen</v>
      </c>
      <c r="AE164" s="8">
        <f>'BIO DATA'!AN159:AN365</f>
        <v>0</v>
      </c>
      <c r="AF164" s="52"/>
      <c r="AG164" s="8">
        <f>'BIO DATA'!AP159</f>
        <v>0</v>
      </c>
      <c r="AH164" s="8">
        <f>'BIO DATA'!AZ159</f>
        <v>0</v>
      </c>
      <c r="AI164" s="8" t="str">
        <f>'BIO DATA'!BA159</f>
        <v>Islam</v>
      </c>
      <c r="AJ164" s="8">
        <f>'BIO DATA'!BB159</f>
        <v>0</v>
      </c>
      <c r="AK164" s="8">
        <f>'BIO DATA'!BC159</f>
        <v>0</v>
      </c>
      <c r="AL164" s="8">
        <f>'BIO DATA'!BD159</f>
        <v>0</v>
      </c>
      <c r="AM164" s="8">
        <f>'BIO DATA'!BE159</f>
        <v>0</v>
      </c>
      <c r="AN164" s="8">
        <f>'BIO DATA'!BF159</f>
        <v>0</v>
      </c>
      <c r="AO164" s="8">
        <f>'BIO DATA'!BG159</f>
        <v>0</v>
      </c>
      <c r="AP164" s="54" t="s">
        <v>198</v>
      </c>
    </row>
    <row r="165" spans="1:42" s="54" customFormat="1" ht="20.100000000000001" customHeight="1" thickBot="1">
      <c r="A165" s="18" t="s">
        <v>127</v>
      </c>
      <c r="B165">
        <v>173</v>
      </c>
      <c r="C165" s="90">
        <f>'BIO DATA'!D160</f>
        <v>11413</v>
      </c>
      <c r="D165" s="90" t="str">
        <f>'BIO DATA'!E160</f>
        <v>0096636114</v>
      </c>
      <c r="E165" s="89" t="str">
        <f>'BIO DATA'!F160</f>
        <v>Muhammad Farel Zafran Adelio</v>
      </c>
      <c r="F165" s="49" t="str">
        <f>'BIO DATA'!M160</f>
        <v>Laki-laki</v>
      </c>
      <c r="G165" s="8" t="str">
        <f>'BIO DATA'!N160</f>
        <v>Banjarnegara</v>
      </c>
      <c r="H165" s="51">
        <f>'BIO DATA'!P160</f>
        <v>40144</v>
      </c>
      <c r="I165" s="49" t="str">
        <f>'BIO DATA'!S160</f>
        <v>Islam</v>
      </c>
      <c r="J165" s="50">
        <f>'BIO DATA'!J160:J325</f>
        <v>2</v>
      </c>
      <c r="K165" s="50">
        <f>'BIO DATA'!K160:K366</f>
        <v>2</v>
      </c>
      <c r="L165" s="8" t="str">
        <f>'BIO DATA'!T160:T325</f>
        <v>Jl Agus Salim 62 Yogyakarta, DI Yogyakarta, 55262</v>
      </c>
      <c r="M165" s="8" t="str">
        <f>'BIO DATA'!V160:V366</f>
        <v>Notoprajan</v>
      </c>
      <c r="N165" s="8" t="str">
        <f>'BIO DATA'!W160:W366</f>
        <v>Ngampilan</v>
      </c>
      <c r="O165" s="8" t="str">
        <f>'BIO DATA'!X160:X366</f>
        <v>Yogyakarta</v>
      </c>
      <c r="P165" s="8" t="str">
        <f>'BIO DATA'!Y160:Y366</f>
        <v>DI Yogyakarta</v>
      </c>
      <c r="Q165" s="8" t="str">
        <f>'BIO DATA'!Z160:Z366</f>
        <v>MTs. Mu'allimin Muh. Yogyakarta</v>
      </c>
      <c r="R165" s="8" t="str">
        <f>'BIO DATA'!AA160:AA366</f>
        <v>Jl. H. Agus Salim No.66, Notoprajan, Ngampilan, Kota Yogyakarta, Daerah Istimewa Yogyakarta 55262</v>
      </c>
      <c r="S165" s="8">
        <f>'BIO DATA'!AB160:AB366</f>
        <v>0</v>
      </c>
      <c r="T165" s="8" t="str">
        <f>'BIO DATA'!AC160:AC366</f>
        <v>Muhammad Khusni</v>
      </c>
      <c r="U165" s="8" t="str">
        <f>'BIO DATA'!AD160</f>
        <v>Islam</v>
      </c>
      <c r="V165" s="8" t="str">
        <f>'BIO DATA'!AL160:AL366</f>
        <v>S1</v>
      </c>
      <c r="W165" s="8" t="str">
        <f>'BIO DATA'!AM160:AM366</f>
        <v>Guru</v>
      </c>
      <c r="X165" s="8" t="str">
        <f>'BIO DATA'!AG160:AG366</f>
        <v>&gt; Rp 2.500.000,00</v>
      </c>
      <c r="Y165" s="69" t="s">
        <v>217</v>
      </c>
      <c r="Z165" s="8">
        <f>'BIO DATA'!AI160:AI366</f>
        <v>0</v>
      </c>
      <c r="AA165" s="8" t="str">
        <f>'BIO DATA'!AJ160:AJ366</f>
        <v>Harjanti Dian Nurani</v>
      </c>
      <c r="AB165" s="8" t="str">
        <f>'BIO DATA'!AK160</f>
        <v>Islam</v>
      </c>
      <c r="AC165" s="8" t="str">
        <f>'BIO DATA'!AL160:AL366</f>
        <v>S1</v>
      </c>
      <c r="AD165" s="8" t="str">
        <f>'BIO DATA'!AM160:AM366</f>
        <v>Guru</v>
      </c>
      <c r="AE165" s="8">
        <f>'BIO DATA'!AN160:AN366</f>
        <v>0</v>
      </c>
      <c r="AF165" s="52"/>
      <c r="AG165" s="8">
        <f>'BIO DATA'!AP160</f>
        <v>0</v>
      </c>
      <c r="AH165" s="8">
        <f>'BIO DATA'!AZ160</f>
        <v>0</v>
      </c>
      <c r="AI165" s="8" t="str">
        <f>'BIO DATA'!BA160</f>
        <v>Islam</v>
      </c>
      <c r="AJ165" s="8">
        <f>'BIO DATA'!BB160</f>
        <v>0</v>
      </c>
      <c r="AK165" s="8">
        <f>'BIO DATA'!BC160</f>
        <v>0</v>
      </c>
      <c r="AL165" s="8">
        <f>'BIO DATA'!BD160</f>
        <v>0</v>
      </c>
      <c r="AM165" s="8">
        <f>'BIO DATA'!BE160</f>
        <v>0</v>
      </c>
      <c r="AN165" s="8">
        <f>'BIO DATA'!BF160</f>
        <v>0</v>
      </c>
      <c r="AO165" s="8">
        <f>'BIO DATA'!BG160</f>
        <v>0</v>
      </c>
      <c r="AP165" s="54" t="s">
        <v>198</v>
      </c>
    </row>
    <row r="166" spans="1:42" s="54" customFormat="1" ht="20.100000000000001" customHeight="1" thickBot="1">
      <c r="A166" s="18" t="s">
        <v>127</v>
      </c>
      <c r="B166">
        <v>174</v>
      </c>
      <c r="C166" s="90">
        <f>'BIO DATA'!D161</f>
        <v>11417</v>
      </c>
      <c r="D166" s="90" t="str">
        <f>'BIO DATA'!E161</f>
        <v>0094187060</v>
      </c>
      <c r="E166" s="89" t="str">
        <f>'BIO DATA'!F161</f>
        <v>Muhammad Fawwaz Arsyad</v>
      </c>
      <c r="F166" s="49" t="str">
        <f>'BIO DATA'!M161</f>
        <v>Laki-laki</v>
      </c>
      <c r="G166" s="8" t="str">
        <f>'BIO DATA'!N161</f>
        <v>Sragen</v>
      </c>
      <c r="H166" s="51">
        <f>'BIO DATA'!P161</f>
        <v>40270</v>
      </c>
      <c r="I166" s="49" t="str">
        <f>'BIO DATA'!S161</f>
        <v>Islam</v>
      </c>
      <c r="J166" s="50">
        <f>'BIO DATA'!J161:J326</f>
        <v>1</v>
      </c>
      <c r="K166" s="50">
        <f>'BIO DATA'!K161:K367</f>
        <v>3</v>
      </c>
      <c r="L166" s="8" t="str">
        <f>'BIO DATA'!T161:T326</f>
        <v>Klidon RT 06 RW 35 Sukoharjo Ngaglik, Sleman, DI Yogyakarta, 55581</v>
      </c>
      <c r="M166" s="8" t="str">
        <f>'BIO DATA'!V161:V367</f>
        <v>Sukoharjo</v>
      </c>
      <c r="N166" s="8" t="str">
        <f>'BIO DATA'!W161:W367</f>
        <v>Ngaglik</v>
      </c>
      <c r="O166" s="8" t="str">
        <f>'BIO DATA'!X161:X367</f>
        <v>Sleman</v>
      </c>
      <c r="P166" s="8" t="str">
        <f>'BIO DATA'!Y161:Y367</f>
        <v>Sleman, DI Yogyakarta</v>
      </c>
      <c r="Q166" s="8" t="str">
        <f>'BIO DATA'!Z161:Z367</f>
        <v>MTs. Mu'allimin Muh. Yogyakarta</v>
      </c>
      <c r="R166" s="8" t="str">
        <f>'BIO DATA'!AA161:AA367</f>
        <v>Jl. Pakel Baru Sorosutan No.40, Sorosutan, Kec. Umbulharjo, Kota Yogyakarta, Daerah Istimewa Yogyakarta 55162</v>
      </c>
      <c r="S166" s="8">
        <f>'BIO DATA'!AB161:AB367</f>
        <v>0</v>
      </c>
      <c r="T166" s="8" t="str">
        <f>'BIO DATA'!AC161:AC367</f>
        <v>Fajar Yuda Swastana</v>
      </c>
      <c r="U166" s="8" t="str">
        <f>'BIO DATA'!AD161</f>
        <v>Islam</v>
      </c>
      <c r="V166" s="8" t="str">
        <f>'BIO DATA'!AL161:AL367</f>
        <v>S2</v>
      </c>
      <c r="W166" s="8" t="str">
        <f>'BIO DATA'!AM161:AM367</f>
        <v>Dosen</v>
      </c>
      <c r="X166" s="8" t="str">
        <f>'BIO DATA'!AG161:AG367</f>
        <v>&gt; Rp 2.500.000,00</v>
      </c>
      <c r="Y166" s="69" t="s">
        <v>217</v>
      </c>
      <c r="Z166" s="8">
        <f>'BIO DATA'!AI161:AI367</f>
        <v>0</v>
      </c>
      <c r="AA166" s="8" t="str">
        <f>'BIO DATA'!AJ161:AJ367</f>
        <v>Arfiani Nur Khusna</v>
      </c>
      <c r="AB166" s="8" t="str">
        <f>'BIO DATA'!AK161</f>
        <v>Islam</v>
      </c>
      <c r="AC166" s="8" t="str">
        <f>'BIO DATA'!AL161:AL367</f>
        <v>S2</v>
      </c>
      <c r="AD166" s="8" t="str">
        <f>'BIO DATA'!AM161:AM367</f>
        <v>Dosen</v>
      </c>
      <c r="AE166" s="8">
        <f>'BIO DATA'!AN161:AN367</f>
        <v>0</v>
      </c>
      <c r="AF166" s="52"/>
      <c r="AG166" s="8">
        <f>'BIO DATA'!AP161</f>
        <v>0</v>
      </c>
      <c r="AH166" s="8">
        <f>'BIO DATA'!AZ161</f>
        <v>0</v>
      </c>
      <c r="AI166" s="8" t="str">
        <f>'BIO DATA'!BA161</f>
        <v>Islam</v>
      </c>
      <c r="AJ166" s="8">
        <f>'BIO DATA'!BB161</f>
        <v>0</v>
      </c>
      <c r="AK166" s="8">
        <f>'BIO DATA'!BC161</f>
        <v>0</v>
      </c>
      <c r="AL166" s="8">
        <f>'BIO DATA'!BD161</f>
        <v>0</v>
      </c>
      <c r="AM166" s="8">
        <f>'BIO DATA'!BE161</f>
        <v>0</v>
      </c>
      <c r="AN166" s="8">
        <f>'BIO DATA'!BF161</f>
        <v>0</v>
      </c>
      <c r="AO166" s="8">
        <f>'BIO DATA'!BG161</f>
        <v>0</v>
      </c>
      <c r="AP166" s="54" t="s">
        <v>198</v>
      </c>
    </row>
    <row r="167" spans="1:42" s="54" customFormat="1" ht="20.100000000000001" customHeight="1" thickBot="1">
      <c r="A167" s="18" t="s">
        <v>127</v>
      </c>
      <c r="B167">
        <v>203</v>
      </c>
      <c r="C167" s="90">
        <f>'BIO DATA'!D162</f>
        <v>11420</v>
      </c>
      <c r="D167" s="90" t="str">
        <f>'BIO DATA'!E162</f>
        <v>0102027098</v>
      </c>
      <c r="E167" s="89" t="str">
        <f>'BIO DATA'!F162</f>
        <v>Muhammad Fikri Parakas</v>
      </c>
      <c r="F167" s="49" t="str">
        <f>'BIO DATA'!M162</f>
        <v>Laki-laki</v>
      </c>
      <c r="G167" s="8" t="str">
        <f>'BIO DATA'!N162</f>
        <v>Arga Makmur</v>
      </c>
      <c r="H167" s="51">
        <f>'BIO DATA'!P162</f>
        <v>40226</v>
      </c>
      <c r="I167" s="49" t="str">
        <f>'BIO DATA'!S162</f>
        <v>Islam</v>
      </c>
      <c r="J167" s="50">
        <f>'BIO DATA'!J162:J327</f>
        <v>0</v>
      </c>
      <c r="K167" s="50">
        <f>'BIO DATA'!K162:K368</f>
        <v>0</v>
      </c>
      <c r="L167" s="8" t="str">
        <f>'BIO DATA'!T162:T327</f>
        <v>Dsn Plumpung RT 02 RW 01 Ds Simo Kec. Slahung Kab. Ponorogo Jawa Timur 63463</v>
      </c>
      <c r="M167" s="8" t="str">
        <f>'BIO DATA'!V162:V368</f>
        <v>Simo</v>
      </c>
      <c r="N167" s="8" t="str">
        <f>'BIO DATA'!W162:W368</f>
        <v>Slahung</v>
      </c>
      <c r="O167" s="8" t="str">
        <f>'BIO DATA'!X162:X368</f>
        <v>Ponorogo</v>
      </c>
      <c r="P167" s="8" t="str">
        <f>'BIO DATA'!Y162:Y368</f>
        <v>Jawa Timur</v>
      </c>
      <c r="Q167" s="8" t="str">
        <f>'BIO DATA'!Z162:Z368</f>
        <v>MTs. Mu'allimin Muh. Yogyakarta</v>
      </c>
      <c r="R167" s="8" t="str">
        <f>'BIO DATA'!AA162:AA368</f>
        <v>Jl. Batoro Katong No.6, Sultanagung, Nologaten, Kec. Ponorogo, Kabupaten Ponorogo, Jawa Timur 63411</v>
      </c>
      <c r="S167" s="8">
        <f>'BIO DATA'!AB162:AB368</f>
        <v>0</v>
      </c>
      <c r="T167" s="8" t="str">
        <f>'BIO DATA'!AC162:AC368</f>
        <v>Arif Budianto</v>
      </c>
      <c r="U167" s="8" t="str">
        <f>'BIO DATA'!AD162</f>
        <v>Islam</v>
      </c>
      <c r="V167" s="8">
        <f>'BIO DATA'!AL162:AL368</f>
        <v>0</v>
      </c>
      <c r="W167" s="8">
        <f>'BIO DATA'!AM162:AM368</f>
        <v>0</v>
      </c>
      <c r="X167" s="8" t="str">
        <f>'BIO DATA'!AG162:AG368</f>
        <v>&gt; Rp 2.500.000,00</v>
      </c>
      <c r="Y167" s="69" t="s">
        <v>217</v>
      </c>
      <c r="Z167" s="8">
        <f>'BIO DATA'!AI162:AI368</f>
        <v>0</v>
      </c>
      <c r="AA167" s="8" t="str">
        <f>'BIO DATA'!AJ162:AJ368</f>
        <v>Alun Prasasti</v>
      </c>
      <c r="AB167" s="8" t="str">
        <f>'BIO DATA'!AK162</f>
        <v>Islam</v>
      </c>
      <c r="AC167" s="8">
        <f>'BIO DATA'!AL162:AL368</f>
        <v>0</v>
      </c>
      <c r="AD167" s="8">
        <f>'BIO DATA'!AM162:AM368</f>
        <v>0</v>
      </c>
      <c r="AE167" s="8">
        <f>'BIO DATA'!AN162:AN368</f>
        <v>0</v>
      </c>
      <c r="AF167" s="52"/>
      <c r="AG167" s="8">
        <f>'BIO DATA'!AP162</f>
        <v>0</v>
      </c>
      <c r="AH167" s="8">
        <f>'BIO DATA'!AZ162</f>
        <v>0</v>
      </c>
      <c r="AI167" s="8" t="str">
        <f>'BIO DATA'!BA162</f>
        <v>Islam</v>
      </c>
      <c r="AJ167" s="8">
        <f>'BIO DATA'!BB162</f>
        <v>0</v>
      </c>
      <c r="AK167" s="8">
        <f>'BIO DATA'!BC162</f>
        <v>0</v>
      </c>
      <c r="AL167" s="8">
        <f>'BIO DATA'!BD162</f>
        <v>0</v>
      </c>
      <c r="AM167" s="8">
        <f>'BIO DATA'!BE162</f>
        <v>0</v>
      </c>
      <c r="AN167" s="8">
        <f>'BIO DATA'!BF162</f>
        <v>0</v>
      </c>
      <c r="AO167" s="8">
        <f>'BIO DATA'!BG162</f>
        <v>0</v>
      </c>
      <c r="AP167" s="54" t="s">
        <v>198</v>
      </c>
    </row>
    <row r="168" spans="1:42" s="54" customFormat="1" ht="20.100000000000001" customHeight="1" thickBot="1">
      <c r="A168" s="18" t="s">
        <v>127</v>
      </c>
      <c r="B168">
        <v>215</v>
      </c>
      <c r="C168" s="90">
        <f>'BIO DATA'!D163</f>
        <v>11457</v>
      </c>
      <c r="D168" s="90" t="str">
        <f>'BIO DATA'!E163</f>
        <v>0096145231</v>
      </c>
      <c r="E168" s="89" t="str">
        <f>'BIO DATA'!F163</f>
        <v>Mukhammad Roid Rafif Dzakwan</v>
      </c>
      <c r="F168" s="49" t="str">
        <f>'BIO DATA'!M163</f>
        <v>Laki-laki</v>
      </c>
      <c r="G168" s="8" t="str">
        <f>'BIO DATA'!N163</f>
        <v>Pemalang</v>
      </c>
      <c r="H168" s="51">
        <f>'BIO DATA'!P163</f>
        <v>40297</v>
      </c>
      <c r="I168" s="49" t="str">
        <f>'BIO DATA'!S163</f>
        <v>Islam</v>
      </c>
      <c r="J168" s="50">
        <f>'BIO DATA'!J163:J328</f>
        <v>1</v>
      </c>
      <c r="K168" s="50">
        <f>'BIO DATA'!K163:K369</f>
        <v>1</v>
      </c>
      <c r="L168" s="8" t="str">
        <f>'BIO DATA'!T163:T328</f>
        <v>Dukuh Cokrah, RT. 002 / RW. 001 No. 100, Desa Kulu, Kec. Karanganyar, Kab. Pekalongan, Jawa Tengah. 99910</v>
      </c>
      <c r="M168" s="8" t="str">
        <f>'BIO DATA'!V163:V369</f>
        <v>Kulu</v>
      </c>
      <c r="N168" s="8" t="str">
        <f>'BIO DATA'!W163:W369</f>
        <v>Karanganyar</v>
      </c>
      <c r="O168" s="8" t="str">
        <f>'BIO DATA'!X163:X369</f>
        <v>Pekalongan</v>
      </c>
      <c r="P168" s="8" t="str">
        <f>'BIO DATA'!Y163:Y369</f>
        <v>Jawa Tengah</v>
      </c>
      <c r="Q168" s="8" t="str">
        <f>'BIO DATA'!Z163:Z369</f>
        <v>MTs. Mu'allimin Muh. Yogyakarta</v>
      </c>
      <c r="R168" s="8" t="str">
        <f>'BIO DATA'!AA163:AA369</f>
        <v>Jl. Daha, RT.02/RW.III, Tanjunganom, Tj. Kulon, Kec. Kajen, Kabupaten Pekalongan, Jawa Tengah 51161</v>
      </c>
      <c r="S168" s="8">
        <f>'BIO DATA'!AB163:AB369</f>
        <v>0</v>
      </c>
      <c r="T168" s="8" t="str">
        <f>'BIO DATA'!AC163:AC369</f>
        <v>Yan Ari Widodo</v>
      </c>
      <c r="U168" s="8" t="str">
        <f>'BIO DATA'!AD163</f>
        <v>Islam</v>
      </c>
      <c r="V168" s="8" t="str">
        <f>'BIO DATA'!AL163:AL369</f>
        <v>S1</v>
      </c>
      <c r="W168" s="8" t="str">
        <f>'BIO DATA'!AM163:AM369</f>
        <v>Ibu Rumah Tangga</v>
      </c>
      <c r="X168" s="8" t="str">
        <f>'BIO DATA'!AG163:AG369</f>
        <v>&gt; Rp 2.500.000,00</v>
      </c>
      <c r="Y168" s="69" t="s">
        <v>217</v>
      </c>
      <c r="Z168" s="8">
        <f>'BIO DATA'!AI163:AI369</f>
        <v>0</v>
      </c>
      <c r="AA168" s="8" t="str">
        <f>'BIO DATA'!AJ163:AJ369</f>
        <v>Pipit Candra Sari</v>
      </c>
      <c r="AB168" s="8" t="str">
        <f>'BIO DATA'!AK163</f>
        <v>Islam</v>
      </c>
      <c r="AC168" s="8" t="str">
        <f>'BIO DATA'!AL163:AL369</f>
        <v>S1</v>
      </c>
      <c r="AD168" s="8" t="str">
        <f>'BIO DATA'!AM163:AM369</f>
        <v>Ibu Rumah Tangga</v>
      </c>
      <c r="AE168" s="8">
        <f>'BIO DATA'!AN163:AN369</f>
        <v>0</v>
      </c>
      <c r="AF168" s="52"/>
      <c r="AG168" s="8">
        <f>'BIO DATA'!AP163</f>
        <v>0</v>
      </c>
      <c r="AH168" s="8">
        <f>'BIO DATA'!AZ163</f>
        <v>0</v>
      </c>
      <c r="AI168" s="8" t="str">
        <f>'BIO DATA'!BA163</f>
        <v>Islam</v>
      </c>
      <c r="AJ168" s="8">
        <f>'BIO DATA'!BB163</f>
        <v>0</v>
      </c>
      <c r="AK168" s="8">
        <f>'BIO DATA'!BC163</f>
        <v>0</v>
      </c>
      <c r="AL168" s="8">
        <f>'BIO DATA'!BD163</f>
        <v>0</v>
      </c>
      <c r="AM168" s="8">
        <f>'BIO DATA'!BE163</f>
        <v>0</v>
      </c>
      <c r="AN168" s="8">
        <f>'BIO DATA'!BF163</f>
        <v>0</v>
      </c>
      <c r="AO168" s="8">
        <f>'BIO DATA'!BG163</f>
        <v>0</v>
      </c>
      <c r="AP168" s="54" t="s">
        <v>198</v>
      </c>
    </row>
    <row r="169" spans="1:42" s="54" customFormat="1" ht="20.100000000000001" customHeight="1" thickBot="1">
      <c r="A169" s="18" t="s">
        <v>127</v>
      </c>
      <c r="B169">
        <v>217</v>
      </c>
      <c r="C169" s="90">
        <f>'BIO DATA'!D164</f>
        <v>11461</v>
      </c>
      <c r="D169" s="90" t="str">
        <f>'BIO DATA'!E164</f>
        <v>0106581806</v>
      </c>
      <c r="E169" s="89" t="str">
        <f>'BIO DATA'!F164</f>
        <v>Najib Zaini</v>
      </c>
      <c r="F169" s="49" t="str">
        <f>'BIO DATA'!M164</f>
        <v>Laki-laki</v>
      </c>
      <c r="G169" s="8" t="str">
        <f>'BIO DATA'!N164</f>
        <v>Banjarmasin</v>
      </c>
      <c r="H169" s="51">
        <f>'BIO DATA'!P164</f>
        <v>40285</v>
      </c>
      <c r="I169" s="49" t="str">
        <f>'BIO DATA'!S164</f>
        <v>Islam</v>
      </c>
      <c r="J169" s="50">
        <f>'BIO DATA'!J164:J329</f>
        <v>3</v>
      </c>
      <c r="K169" s="50">
        <f>'BIO DATA'!K164:K370</f>
        <v>4</v>
      </c>
      <c r="L169" s="8" t="str">
        <f>'BIO DATA'!T164:T329</f>
        <v>Jl. Usman Janatin 11 009/003 Medaeng Waru Sidoarjo Jawa Timur 51256</v>
      </c>
      <c r="M169" s="8" t="str">
        <f>'BIO DATA'!V164:V370</f>
        <v>Medaeng</v>
      </c>
      <c r="N169" s="8" t="str">
        <f>'BIO DATA'!W164:W370</f>
        <v>Waru</v>
      </c>
      <c r="O169" s="8" t="str">
        <f>'BIO DATA'!X164:X370</f>
        <v>Sidoarjo</v>
      </c>
      <c r="P169" s="8" t="str">
        <f>'BIO DATA'!Y164:Y370</f>
        <v>Jawa Timur</v>
      </c>
      <c r="Q169" s="8" t="str">
        <f>'BIO DATA'!Z164:Z370</f>
        <v>MTs. Mu'allimin Muh. Yogyakarta</v>
      </c>
      <c r="R169" s="8" t="str">
        <f>'BIO DATA'!AA164:AA370</f>
        <v>Jln. Rosalia, Bulak, Nglaban, Kec. Loceret, Kabupaten Nganjuk, Jawa Timur 64471</v>
      </c>
      <c r="S169" s="8">
        <f>'BIO DATA'!AB164:AB370</f>
        <v>0</v>
      </c>
      <c r="T169" s="8" t="str">
        <f>'BIO DATA'!AC164:AC370</f>
        <v>Abdul Gofur</v>
      </c>
      <c r="U169" s="8" t="str">
        <f>'BIO DATA'!AD164</f>
        <v>Islam</v>
      </c>
      <c r="V169" s="8" t="str">
        <f>'BIO DATA'!AL164:AL370</f>
        <v>Diploma</v>
      </c>
      <c r="W169" s="8" t="str">
        <f>'BIO DATA'!AM164:AM370</f>
        <v>Karyawan Swasta</v>
      </c>
      <c r="X169" s="8" t="str">
        <f>'BIO DATA'!AG164:AG370</f>
        <v>Antara Rp 1.500.000,00 s.d. Rp 2.000,000,00</v>
      </c>
      <c r="Y169" s="69" t="s">
        <v>217</v>
      </c>
      <c r="Z169" s="8">
        <f>'BIO DATA'!AI164:AI370</f>
        <v>0</v>
      </c>
      <c r="AA169" s="8" t="str">
        <f>'BIO DATA'!AJ164:AJ370</f>
        <v>Halida Octavian Sukur Ananda</v>
      </c>
      <c r="AB169" s="8" t="str">
        <f>'BIO DATA'!AK164</f>
        <v>Islam</v>
      </c>
      <c r="AC169" s="8" t="str">
        <f>'BIO DATA'!AL164:AL370</f>
        <v>Diploma</v>
      </c>
      <c r="AD169" s="8" t="str">
        <f>'BIO DATA'!AM164:AM370</f>
        <v>Karyawan Swasta</v>
      </c>
      <c r="AE169" s="8">
        <f>'BIO DATA'!AN164:AN370</f>
        <v>0</v>
      </c>
      <c r="AF169" s="52"/>
      <c r="AG169" s="8">
        <f>'BIO DATA'!AP164</f>
        <v>0</v>
      </c>
      <c r="AH169" s="8">
        <f>'BIO DATA'!AZ164</f>
        <v>0</v>
      </c>
      <c r="AI169" s="8" t="str">
        <f>'BIO DATA'!BA164</f>
        <v>Islam</v>
      </c>
      <c r="AJ169" s="8">
        <f>'BIO DATA'!BB164</f>
        <v>0</v>
      </c>
      <c r="AK169" s="8">
        <f>'BIO DATA'!BC164</f>
        <v>0</v>
      </c>
      <c r="AL169" s="8">
        <f>'BIO DATA'!BD164</f>
        <v>0</v>
      </c>
      <c r="AM169" s="8">
        <f>'BIO DATA'!BE164</f>
        <v>0</v>
      </c>
      <c r="AN169" s="8">
        <f>'BIO DATA'!BF164</f>
        <v>0</v>
      </c>
      <c r="AO169" s="8">
        <f>'BIO DATA'!BG164</f>
        <v>0</v>
      </c>
      <c r="AP169" s="54" t="s">
        <v>198</v>
      </c>
    </row>
    <row r="170" spans="1:42" s="54" customFormat="1" ht="20.100000000000001" customHeight="1" thickBot="1">
      <c r="A170" s="18" t="s">
        <v>127</v>
      </c>
      <c r="B170">
        <v>234</v>
      </c>
      <c r="C170" s="90">
        <f>'BIO DATA'!D165</f>
        <v>11462</v>
      </c>
      <c r="D170" s="90" t="str">
        <f>'BIO DATA'!E165</f>
        <v>0109233875</v>
      </c>
      <c r="E170" s="89" t="str">
        <f>'BIO DATA'!F165</f>
        <v>Najwan Abdurrahman</v>
      </c>
      <c r="F170" s="49" t="str">
        <f>'BIO DATA'!M165</f>
        <v>Laki-laki</v>
      </c>
      <c r="G170" s="8" t="str">
        <f>'BIO DATA'!N165</f>
        <v>Yogyakarta</v>
      </c>
      <c r="H170" s="51">
        <f>'BIO DATA'!P165</f>
        <v>40221</v>
      </c>
      <c r="I170" s="49" t="str">
        <f>'BIO DATA'!S165</f>
        <v>Islam</v>
      </c>
      <c r="J170" s="50">
        <f>'BIO DATA'!J165:J330</f>
        <v>2</v>
      </c>
      <c r="K170" s="50">
        <f>'BIO DATA'!K165:K371</f>
        <v>2</v>
      </c>
      <c r="L170" s="8" t="str">
        <f>'BIO DATA'!T165:T330</f>
        <v>Jl Irigasi No 36 RT 04 RW 02 Dkh Penjor Ds Karangayu Kec Cepiring Kab Kendal Prov. Jawa Tengah, 51352</v>
      </c>
      <c r="M170" s="8" t="str">
        <f>'BIO DATA'!V165:V371</f>
        <v>Karangayu</v>
      </c>
      <c r="N170" s="8" t="str">
        <f>'BIO DATA'!W165:W371</f>
        <v>Cepiring</v>
      </c>
      <c r="O170" s="8" t="str">
        <f>'BIO DATA'!X165:X371</f>
        <v>Kendal</v>
      </c>
      <c r="P170" s="8" t="str">
        <f>'BIO DATA'!Y165:Y371</f>
        <v>Jawa Tengah</v>
      </c>
      <c r="Q170" s="8" t="str">
        <f>'BIO DATA'!Z165:Z371</f>
        <v>MTs. Mu'allimin Muh. Yogyakarta</v>
      </c>
      <c r="R170" s="8" t="str">
        <f>'BIO DATA'!AA165:AA371</f>
        <v>Jl. Kendal Asri Raya, Mannggisan, Langenharjo, Kec. Kendal, Kabupaten Kendal, Jawa Tengah 51314</v>
      </c>
      <c r="S170" s="8">
        <f>'BIO DATA'!AB165:AB371</f>
        <v>0</v>
      </c>
      <c r="T170" s="8" t="str">
        <f>'BIO DATA'!AC165:AC371</f>
        <v>Shoim Kurniawan</v>
      </c>
      <c r="U170" s="8" t="str">
        <f>'BIO DATA'!AD165</f>
        <v>Islam</v>
      </c>
      <c r="V170" s="8" t="str">
        <f>'BIO DATA'!AL165:AL371</f>
        <v>S1</v>
      </c>
      <c r="W170" s="8" t="str">
        <f>'BIO DATA'!AM165:AM371</f>
        <v>Karyawan BUMN</v>
      </c>
      <c r="X170" s="8" t="str">
        <f>'BIO DATA'!AG165:AG371</f>
        <v>&gt; Rp 2.500.000,00</v>
      </c>
      <c r="Y170" s="69" t="s">
        <v>217</v>
      </c>
      <c r="Z170" s="8">
        <f>'BIO DATA'!AI165:AI371</f>
        <v>0</v>
      </c>
      <c r="AA170" s="8" t="str">
        <f>'BIO DATA'!AJ165:AJ371</f>
        <v>Ardhah Romdhonah Nur</v>
      </c>
      <c r="AB170" s="8" t="str">
        <f>'BIO DATA'!AK165</f>
        <v>Islam</v>
      </c>
      <c r="AC170" s="8" t="str">
        <f>'BIO DATA'!AL165:AL371</f>
        <v>S1</v>
      </c>
      <c r="AD170" s="8" t="str">
        <f>'BIO DATA'!AM165:AM371</f>
        <v>Karyawan BUMN</v>
      </c>
      <c r="AE170" s="8">
        <f>'BIO DATA'!AN165:AN371</f>
        <v>0</v>
      </c>
      <c r="AF170" s="52"/>
      <c r="AG170" s="8">
        <f>'BIO DATA'!AP165</f>
        <v>0</v>
      </c>
      <c r="AH170" s="8">
        <f>'BIO DATA'!AZ165</f>
        <v>0</v>
      </c>
      <c r="AI170" s="8" t="str">
        <f>'BIO DATA'!BA165</f>
        <v>Islam</v>
      </c>
      <c r="AJ170" s="8">
        <f>'BIO DATA'!BB165</f>
        <v>0</v>
      </c>
      <c r="AK170" s="8">
        <f>'BIO DATA'!BC165</f>
        <v>0</v>
      </c>
      <c r="AL170" s="8">
        <f>'BIO DATA'!BD165</f>
        <v>0</v>
      </c>
      <c r="AM170" s="8">
        <f>'BIO DATA'!BE165</f>
        <v>0</v>
      </c>
      <c r="AN170" s="8">
        <f>'BIO DATA'!BF165</f>
        <v>0</v>
      </c>
      <c r="AO170" s="8">
        <f>'BIO DATA'!BG165</f>
        <v>0</v>
      </c>
      <c r="AP170" s="54" t="s">
        <v>198</v>
      </c>
    </row>
    <row r="171" spans="1:42" s="54" customFormat="1" ht="20.100000000000001" customHeight="1" thickBot="1">
      <c r="A171" s="18" t="s">
        <v>127</v>
      </c>
      <c r="B171">
        <v>238</v>
      </c>
      <c r="C171" s="90">
        <f>'BIO DATA'!D166</f>
        <v>11473</v>
      </c>
      <c r="D171" s="90" t="str">
        <f>'BIO DATA'!E166</f>
        <v>0099002052</v>
      </c>
      <c r="E171" s="89" t="str">
        <f>'BIO DATA'!F166</f>
        <v>Nur Muhammad Alfaridi</v>
      </c>
      <c r="F171" s="49" t="str">
        <f>'BIO DATA'!M166</f>
        <v>Laki-laki</v>
      </c>
      <c r="G171" s="8" t="str">
        <f>'BIO DATA'!N166</f>
        <v>Yogyakarta</v>
      </c>
      <c r="H171" s="51">
        <f>'BIO DATA'!P166</f>
        <v>40086</v>
      </c>
      <c r="I171" s="49" t="str">
        <f>'BIO DATA'!S166</f>
        <v>Islam</v>
      </c>
      <c r="J171" s="50">
        <f>'BIO DATA'!J166:J331</f>
        <v>1</v>
      </c>
      <c r="K171" s="50">
        <f>'BIO DATA'!K166:K372</f>
        <v>2</v>
      </c>
      <c r="L171" s="8" t="str">
        <f>'BIO DATA'!T166:T331</f>
        <v>Kedon Bedog No. 49 RT 01 RW 24  Trihanggo Gamping Sleman Yogyakarta 55291</v>
      </c>
      <c r="M171" s="8" t="str">
        <f>'BIO DATA'!V166:V372</f>
        <v>Trihanggo</v>
      </c>
      <c r="N171" s="8" t="str">
        <f>'BIO DATA'!W166:W372</f>
        <v>Gamping</v>
      </c>
      <c r="O171" s="8" t="str">
        <f>'BIO DATA'!X166:X372</f>
        <v>Sleman</v>
      </c>
      <c r="P171" s="8" t="str">
        <f>'BIO DATA'!Y166:Y372</f>
        <v>DI Yogyakarta</v>
      </c>
      <c r="Q171" s="8" t="str">
        <f>'BIO DATA'!Z166:Z372</f>
        <v>MTs. Mu'allimin Muh. Yogyakarta</v>
      </c>
      <c r="R171" s="8" t="str">
        <f>'BIO DATA'!AA166:AA372</f>
        <v>Jl. Suronatan, Notoprajan, Ngampilan, Kota Yogyakarta, Daerah Istimewa Yogyakarta 55262</v>
      </c>
      <c r="S171" s="8">
        <f>'BIO DATA'!AB166:AB372</f>
        <v>0</v>
      </c>
      <c r="T171" s="8" t="str">
        <f>'BIO DATA'!AC166:AC372</f>
        <v>Tirto Edi Laksono</v>
      </c>
      <c r="U171" s="8" t="str">
        <f>'BIO DATA'!AD166</f>
        <v>Islam</v>
      </c>
      <c r="V171" s="8" t="str">
        <f>'BIO DATA'!AL166:AL372</f>
        <v>Diploma</v>
      </c>
      <c r="W171" s="8" t="str">
        <f>'BIO DATA'!AM166:AM372</f>
        <v>TNI/Polri</v>
      </c>
      <c r="X171" s="8" t="str">
        <f>'BIO DATA'!AG166:AG372</f>
        <v>&gt; Rp 2.500.000,00</v>
      </c>
      <c r="Y171" s="69" t="s">
        <v>217</v>
      </c>
      <c r="Z171" s="8">
        <f>'BIO DATA'!AI166:AI372</f>
        <v>0</v>
      </c>
      <c r="AA171" s="8" t="str">
        <f>'BIO DATA'!AJ166:AJ372</f>
        <v>Rina Ikawati Oktaviana</v>
      </c>
      <c r="AB171" s="8" t="str">
        <f>'BIO DATA'!AK166</f>
        <v>Islam</v>
      </c>
      <c r="AC171" s="8" t="str">
        <f>'BIO DATA'!AL166:AL372</f>
        <v>Diploma</v>
      </c>
      <c r="AD171" s="8" t="str">
        <f>'BIO DATA'!AM166:AM372</f>
        <v>TNI/Polri</v>
      </c>
      <c r="AE171" s="8">
        <f>'BIO DATA'!AN166:AN372</f>
        <v>0</v>
      </c>
      <c r="AF171" s="52"/>
      <c r="AG171" s="8">
        <f>'BIO DATA'!AP166</f>
        <v>0</v>
      </c>
      <c r="AH171" s="8">
        <f>'BIO DATA'!AZ166</f>
        <v>0</v>
      </c>
      <c r="AI171" s="8" t="str">
        <f>'BIO DATA'!BA166</f>
        <v>Islam</v>
      </c>
      <c r="AJ171" s="8">
        <f>'BIO DATA'!BB166</f>
        <v>0</v>
      </c>
      <c r="AK171" s="8">
        <f>'BIO DATA'!BC166</f>
        <v>0</v>
      </c>
      <c r="AL171" s="8">
        <f>'BIO DATA'!BD166</f>
        <v>0</v>
      </c>
      <c r="AM171" s="8">
        <f>'BIO DATA'!BE166</f>
        <v>0</v>
      </c>
      <c r="AN171" s="8">
        <f>'BIO DATA'!BF166</f>
        <v>0</v>
      </c>
      <c r="AO171" s="8">
        <f>'BIO DATA'!BG166</f>
        <v>0</v>
      </c>
      <c r="AP171" s="54" t="s">
        <v>198</v>
      </c>
    </row>
    <row r="172" spans="1:42" s="54" customFormat="1" ht="20.100000000000001" customHeight="1" thickBot="1">
      <c r="A172" s="18" t="s">
        <v>127</v>
      </c>
      <c r="B172">
        <v>246</v>
      </c>
      <c r="C172" s="90">
        <f>'BIO DATA'!D167</f>
        <v>11477</v>
      </c>
      <c r="D172" s="90" t="str">
        <f>'BIO DATA'!E167</f>
        <v>0094169306</v>
      </c>
      <c r="E172" s="89" t="str">
        <f>'BIO DATA'!F167</f>
        <v>Pilar Arloen Wijoyo</v>
      </c>
      <c r="F172" s="49" t="str">
        <f>'BIO DATA'!M167</f>
        <v>Laki-laki</v>
      </c>
      <c r="G172" s="8" t="str">
        <f>'BIO DATA'!N167</f>
        <v>Ponorogo</v>
      </c>
      <c r="H172" s="51">
        <f>'BIO DATA'!P167</f>
        <v>39986</v>
      </c>
      <c r="I172" s="49" t="str">
        <f>'BIO DATA'!S167</f>
        <v>Islam</v>
      </c>
      <c r="J172" s="50">
        <f>'BIO DATA'!J167:J332</f>
        <v>1</v>
      </c>
      <c r="K172" s="50">
        <f>'BIO DATA'!K167:K373</f>
        <v>1</v>
      </c>
      <c r="L172" s="8" t="str">
        <f>'BIO DATA'!T167:T332</f>
        <v>Jl. Arjuna 38, RT. 01, Dusun Sareyan, Desa Wonokromo, Kec. Pleret, Bantul, DI Yogyakarta. 55791</v>
      </c>
      <c r="M172" s="8" t="str">
        <f>'BIO DATA'!V167:V373</f>
        <v>Wonokromo</v>
      </c>
      <c r="N172" s="8" t="str">
        <f>'BIO DATA'!W167:W373</f>
        <v>Pleret</v>
      </c>
      <c r="O172" s="8" t="str">
        <f>'BIO DATA'!X167:X373</f>
        <v>Bantul</v>
      </c>
      <c r="P172" s="8" t="str">
        <f>'BIO DATA'!Y167:Y373</f>
        <v>DI Yogyakarta</v>
      </c>
      <c r="Q172" s="8" t="str">
        <f>'BIO DATA'!Z167:Z373</f>
        <v>MTs. Mu'allimin Muh. Yogyakarta</v>
      </c>
      <c r="R172" s="8" t="str">
        <f>'BIO DATA'!AA167:AA373</f>
        <v>Jl. Mondorakan, Bodon, Jagalan, Kec. Banguntapan, Kabupaten Bantul, Daerah Istimewa Yogyakarta 55192</v>
      </c>
      <c r="S172" s="8">
        <f>'BIO DATA'!AB167:AB373</f>
        <v>0</v>
      </c>
      <c r="T172" s="8" t="str">
        <f>'BIO DATA'!AC167:AC373</f>
        <v>Budi Ashari</v>
      </c>
      <c r="U172" s="8" t="str">
        <f>'BIO DATA'!AD167</f>
        <v>Islam</v>
      </c>
      <c r="V172" s="8" t="str">
        <f>'BIO DATA'!AL167:AL373</f>
        <v>S1</v>
      </c>
      <c r="W172" s="8" t="str">
        <f>'BIO DATA'!AM167:AM373</f>
        <v>Ibu Rumah Tangga</v>
      </c>
      <c r="X172" s="8" t="str">
        <f>'BIO DATA'!AG167:AG373</f>
        <v>&gt; Rp 2.500.000,00</v>
      </c>
      <c r="Y172" s="69" t="s">
        <v>217</v>
      </c>
      <c r="Z172" s="8">
        <f>'BIO DATA'!AI167:AI373</f>
        <v>0</v>
      </c>
      <c r="AA172" s="8" t="str">
        <f>'BIO DATA'!AJ167:AJ373</f>
        <v>Yenti Afifah</v>
      </c>
      <c r="AB172" s="8" t="str">
        <f>'BIO DATA'!AK167</f>
        <v>Islam</v>
      </c>
      <c r="AC172" s="8" t="str">
        <f>'BIO DATA'!AL167:AL373</f>
        <v>S1</v>
      </c>
      <c r="AD172" s="8" t="str">
        <f>'BIO DATA'!AM167:AM373</f>
        <v>Ibu Rumah Tangga</v>
      </c>
      <c r="AE172" s="8">
        <f>'BIO DATA'!AN167:AN373</f>
        <v>0</v>
      </c>
      <c r="AF172" s="52"/>
      <c r="AG172" s="8">
        <f>'BIO DATA'!AP167</f>
        <v>0</v>
      </c>
      <c r="AH172" s="8">
        <f>'BIO DATA'!AZ167</f>
        <v>0</v>
      </c>
      <c r="AI172" s="8" t="str">
        <f>'BIO DATA'!BA167</f>
        <v>Islam</v>
      </c>
      <c r="AJ172" s="8">
        <f>'BIO DATA'!BB167</f>
        <v>0</v>
      </c>
      <c r="AK172" s="8">
        <f>'BIO DATA'!BC167</f>
        <v>0</v>
      </c>
      <c r="AL172" s="8">
        <f>'BIO DATA'!BD167</f>
        <v>0</v>
      </c>
      <c r="AM172" s="8">
        <f>'BIO DATA'!BE167</f>
        <v>0</v>
      </c>
      <c r="AN172" s="8">
        <f>'BIO DATA'!BF167</f>
        <v>0</v>
      </c>
      <c r="AO172" s="8">
        <f>'BIO DATA'!BG167</f>
        <v>0</v>
      </c>
      <c r="AP172" s="54" t="s">
        <v>198</v>
      </c>
    </row>
    <row r="173" spans="1:42" s="54" customFormat="1" ht="20.100000000000001" customHeight="1" thickBot="1">
      <c r="A173" s="18" t="s">
        <v>127</v>
      </c>
      <c r="B173">
        <v>251</v>
      </c>
      <c r="C173" s="90">
        <f>'BIO DATA'!D168</f>
        <v>11484</v>
      </c>
      <c r="D173" s="90" t="str">
        <f>'BIO DATA'!E168</f>
        <v>0093831544</v>
      </c>
      <c r="E173" s="89" t="str">
        <f>'BIO DATA'!F168</f>
        <v>Qaizer Haildhi Alyandra</v>
      </c>
      <c r="F173" s="49" t="str">
        <f>'BIO DATA'!M168</f>
        <v>Laki-laki</v>
      </c>
      <c r="G173" s="8" t="str">
        <f>'BIO DATA'!N168</f>
        <v>Pekalongan</v>
      </c>
      <c r="H173" s="51">
        <f>'BIO DATA'!P168</f>
        <v>39986</v>
      </c>
      <c r="I173" s="49" t="str">
        <f>'BIO DATA'!S168</f>
        <v>Islam</v>
      </c>
      <c r="J173" s="50">
        <f>'BIO DATA'!J168:J333</f>
        <v>1</v>
      </c>
      <c r="K173" s="50">
        <f>'BIO DATA'!K168:K374</f>
        <v>2</v>
      </c>
      <c r="L173" s="8" t="str">
        <f>'BIO DATA'!T168:T333</f>
        <v>Jl. Cempedak II RT/RW 008/003 Kel. Keramat Kec. Rangkui Kota Pangkalpinang Kep. Bangka Belitung 33134</v>
      </c>
      <c r="M173" s="8" t="str">
        <f>'BIO DATA'!V168:V374</f>
        <v>Keramat</v>
      </c>
      <c r="N173" s="8" t="str">
        <f>'BIO DATA'!W168:W374</f>
        <v>Rangkui</v>
      </c>
      <c r="O173" s="8" t="str">
        <f>'BIO DATA'!X168:X374</f>
        <v>Kota Pangkalpinang</v>
      </c>
      <c r="P173" s="8" t="str">
        <f>'BIO DATA'!Y168:Y374</f>
        <v>Kep. Bangka Belitung</v>
      </c>
      <c r="Q173" s="8" t="str">
        <f>'BIO DATA'!Z168:Z374</f>
        <v>MTs. Mu'allimin Muh. Yogyakarta</v>
      </c>
      <c r="R173" s="8" t="str">
        <f>'BIO DATA'!AA168:AA374</f>
        <v>JL. K.H Ahmad Dahlan, Mangkol, Kec. Pangkalan Baru, Kab. Bangka Tengah, Kepulauan Bangka Belitung 33684</v>
      </c>
      <c r="S173" s="8">
        <f>'BIO DATA'!AB168:AB374</f>
        <v>0</v>
      </c>
      <c r="T173" s="8" t="str">
        <f>'BIO DATA'!AC168:AC374</f>
        <v>Akhmad Sumartono</v>
      </c>
      <c r="U173" s="8" t="str">
        <f>'BIO DATA'!AD168</f>
        <v>Islam</v>
      </c>
      <c r="V173" s="8" t="str">
        <f>'BIO DATA'!AL168:AL374</f>
        <v>S1</v>
      </c>
      <c r="W173" s="8" t="str">
        <f>'BIO DATA'!AM168:AM374</f>
        <v>PNS</v>
      </c>
      <c r="X173" s="8" t="str">
        <f>'BIO DATA'!AG168:AG374</f>
        <v>&gt; Rp 2.500.000,00</v>
      </c>
      <c r="Y173" s="69" t="s">
        <v>217</v>
      </c>
      <c r="Z173" s="8">
        <f>'BIO DATA'!AI168:AI374</f>
        <v>0</v>
      </c>
      <c r="AA173" s="8" t="str">
        <f>'BIO DATA'!AJ168:AJ374</f>
        <v>Eni Nur Isnaini</v>
      </c>
      <c r="AB173" s="8" t="str">
        <f>'BIO DATA'!AK168</f>
        <v>Islam</v>
      </c>
      <c r="AC173" s="8" t="str">
        <f>'BIO DATA'!AL168:AL374</f>
        <v>S1</v>
      </c>
      <c r="AD173" s="8" t="str">
        <f>'BIO DATA'!AM168:AM374</f>
        <v>PNS</v>
      </c>
      <c r="AE173" s="8">
        <f>'BIO DATA'!AN168:AN374</f>
        <v>0</v>
      </c>
      <c r="AF173" s="52"/>
      <c r="AG173" s="8">
        <f>'BIO DATA'!AP168</f>
        <v>0</v>
      </c>
      <c r="AH173" s="8">
        <f>'BIO DATA'!AZ168</f>
        <v>0</v>
      </c>
      <c r="AI173" s="8" t="str">
        <f>'BIO DATA'!BA168</f>
        <v>Islam</v>
      </c>
      <c r="AJ173" s="8">
        <f>'BIO DATA'!BB168</f>
        <v>0</v>
      </c>
      <c r="AK173" s="8">
        <f>'BIO DATA'!BC168</f>
        <v>0</v>
      </c>
      <c r="AL173" s="8">
        <f>'BIO DATA'!BD168</f>
        <v>0</v>
      </c>
      <c r="AM173" s="8">
        <f>'BIO DATA'!BE168</f>
        <v>0</v>
      </c>
      <c r="AN173" s="8">
        <f>'BIO DATA'!BF168</f>
        <v>0</v>
      </c>
      <c r="AO173" s="8">
        <f>'BIO DATA'!BG168</f>
        <v>0</v>
      </c>
      <c r="AP173" s="54" t="s">
        <v>198</v>
      </c>
    </row>
    <row r="174" spans="1:42" s="54" customFormat="1" ht="20.100000000000001" customHeight="1" thickBot="1">
      <c r="A174" s="18" t="s">
        <v>127</v>
      </c>
      <c r="B174">
        <v>254</v>
      </c>
      <c r="C174" s="90">
        <f>'BIO DATA'!D169</f>
        <v>11481</v>
      </c>
      <c r="D174" s="90" t="str">
        <f>'BIO DATA'!E169</f>
        <v>0092044705</v>
      </c>
      <c r="E174" s="89" t="str">
        <f>'BIO DATA'!F169</f>
        <v>Ra-atsar Wiyaris Qulub</v>
      </c>
      <c r="F174" s="49" t="str">
        <f>'BIO DATA'!M169</f>
        <v>Laki-laki</v>
      </c>
      <c r="G174" s="8" t="str">
        <f>'BIO DATA'!N169</f>
        <v>Sidoarjo</v>
      </c>
      <c r="H174" s="51">
        <f>'BIO DATA'!P169</f>
        <v>39889</v>
      </c>
      <c r="I174" s="49" t="str">
        <f>'BIO DATA'!S169</f>
        <v>Islam</v>
      </c>
      <c r="J174" s="50">
        <f>'BIO DATA'!J169:J334</f>
        <v>1</v>
      </c>
      <c r="K174" s="50">
        <f>'BIO DATA'!K169:K375</f>
        <v>2</v>
      </c>
      <c r="L174" s="8" t="str">
        <f>'BIO DATA'!T169:T334</f>
        <v>Jl. Batas Desa Mekar Sari Bengkulu 39124</v>
      </c>
      <c r="M174" s="8" t="str">
        <f>'BIO DATA'!V169:V375</f>
        <v>Mekar Sari</v>
      </c>
      <c r="N174" s="8" t="str">
        <f>'BIO DATA'!W169:W375</f>
        <v>Ilir Talo</v>
      </c>
      <c r="O174" s="8" t="str">
        <f>'BIO DATA'!X169:X375</f>
        <v>Seluma</v>
      </c>
      <c r="P174" s="8" t="str">
        <f>'BIO DATA'!Y169:Y375</f>
        <v>Bengkulu</v>
      </c>
      <c r="Q174" s="8" t="str">
        <f>'BIO DATA'!Z169:Z375</f>
        <v>MTs. Mu'allimin Muh. Yogyakarta</v>
      </c>
      <c r="R174" s="8" t="str">
        <f>'BIO DATA'!AA169:AA375</f>
        <v>Sidorejo, Kec. Curup Tengah, Kabupaten Rejang Lebong, Bengkulu</v>
      </c>
      <c r="S174" s="8">
        <f>'BIO DATA'!AB169:AB375</f>
        <v>0</v>
      </c>
      <c r="T174" s="8" t="str">
        <f>'BIO DATA'!AC169:AC375</f>
        <v>Rahi Safitri Mahoya</v>
      </c>
      <c r="U174" s="8" t="str">
        <f>'BIO DATA'!AD169</f>
        <v>Islam</v>
      </c>
      <c r="V174" s="8" t="str">
        <f>'BIO DATA'!AL169:AL375</f>
        <v>S1</v>
      </c>
      <c r="W174" s="8" t="str">
        <f>'BIO DATA'!AM169:AM375</f>
        <v>PNS</v>
      </c>
      <c r="X174" s="8" t="str">
        <f>'BIO DATA'!AG169:AG375</f>
        <v>&gt; Rp 2.500.000,00</v>
      </c>
      <c r="Y174" s="69" t="s">
        <v>217</v>
      </c>
      <c r="Z174" s="8">
        <f>'BIO DATA'!AI169:AI375</f>
        <v>0</v>
      </c>
      <c r="AA174" s="8" t="str">
        <f>'BIO DATA'!AJ169:AJ375</f>
        <v>Habibah</v>
      </c>
      <c r="AB174" s="8" t="str">
        <f>'BIO DATA'!AK169</f>
        <v>Islam</v>
      </c>
      <c r="AC174" s="8" t="str">
        <f>'BIO DATA'!AL169:AL375</f>
        <v>S1</v>
      </c>
      <c r="AD174" s="8" t="str">
        <f>'BIO DATA'!AM169:AM375</f>
        <v>PNS</v>
      </c>
      <c r="AE174" s="8">
        <f>'BIO DATA'!AN169:AN375</f>
        <v>0</v>
      </c>
      <c r="AF174" s="52"/>
      <c r="AG174" s="8">
        <f>'BIO DATA'!AP169</f>
        <v>0</v>
      </c>
      <c r="AH174" s="8">
        <f>'BIO DATA'!AZ169</f>
        <v>0</v>
      </c>
      <c r="AI174" s="8" t="str">
        <f>'BIO DATA'!BA169</f>
        <v>Islam</v>
      </c>
      <c r="AJ174" s="8">
        <f>'BIO DATA'!BB169</f>
        <v>0</v>
      </c>
      <c r="AK174" s="8">
        <f>'BIO DATA'!BC169</f>
        <v>0</v>
      </c>
      <c r="AL174" s="8">
        <f>'BIO DATA'!BD169</f>
        <v>0</v>
      </c>
      <c r="AM174" s="8">
        <f>'BIO DATA'!BE169</f>
        <v>0</v>
      </c>
      <c r="AN174" s="8">
        <f>'BIO DATA'!BF169</f>
        <v>0</v>
      </c>
      <c r="AO174" s="8">
        <f>'BIO DATA'!BG169</f>
        <v>0</v>
      </c>
      <c r="AP174" s="54" t="s">
        <v>198</v>
      </c>
    </row>
    <row r="175" spans="1:42" s="54" customFormat="1" ht="20.100000000000001" customHeight="1" thickBot="1">
      <c r="A175" s="18" t="s">
        <v>127</v>
      </c>
      <c r="B175">
        <v>261</v>
      </c>
      <c r="C175" s="90">
        <f>'BIO DATA'!D170</f>
        <v>11482</v>
      </c>
      <c r="D175" s="90" t="str">
        <f>'BIO DATA'!E170</f>
        <v>0102051276</v>
      </c>
      <c r="E175" s="89" t="str">
        <f>'BIO DATA'!F170</f>
        <v>Radhia Muhammad Izzulhaq</v>
      </c>
      <c r="F175" s="49" t="str">
        <f>'BIO DATA'!M170</f>
        <v>Laki-laki</v>
      </c>
      <c r="G175" s="8" t="str">
        <f>'BIO DATA'!N170</f>
        <v>Kendal</v>
      </c>
      <c r="H175" s="51">
        <f>'BIO DATA'!P170</f>
        <v>40357</v>
      </c>
      <c r="I175" s="49" t="str">
        <f>'BIO DATA'!S170</f>
        <v>Islam</v>
      </c>
      <c r="J175" s="50">
        <f>'BIO DATA'!J170:J335</f>
        <v>1</v>
      </c>
      <c r="K175" s="50">
        <f>'BIO DATA'!K170:K376</f>
        <v>1</v>
      </c>
      <c r="L175" s="8" t="str">
        <f>'BIO DATA'!T170:T335</f>
        <v>Jl. Dharma Praja III No 444 RT 17/002 Kel. Pemurus Luar Banjarmasin Timur Banjarmasin, Kalimantan Selatan, 70249</v>
      </c>
      <c r="M175" s="8" t="str">
        <f>'BIO DATA'!V170:V376</f>
        <v>Pemurus Luar</v>
      </c>
      <c r="N175" s="8" t="str">
        <f>'BIO DATA'!W170:W376</f>
        <v>Banjarmasin Timur</v>
      </c>
      <c r="O175" s="8" t="str">
        <f>'BIO DATA'!X170:X376</f>
        <v>Banjarmasin</v>
      </c>
      <c r="P175" s="8" t="str">
        <f>'BIO DATA'!Y170:Y376</f>
        <v>Kalimantan Selatan</v>
      </c>
      <c r="Q175" s="8" t="str">
        <f>'BIO DATA'!Z170:Z376</f>
        <v>MTs. Mu'allimin Muh. Yogyakarta</v>
      </c>
      <c r="R175" s="8" t="str">
        <f>'BIO DATA'!AA170:AA376</f>
        <v>Jl. Bumi Mas Raya No.12A, Pemurus Baru, Kec. Banjarmasin Sel., Kota Banjarmasin, Kalimantan Selatan 70249</v>
      </c>
      <c r="S175" s="8">
        <f>'BIO DATA'!AB170:AB376</f>
        <v>0</v>
      </c>
      <c r="T175" s="8" t="str">
        <f>'BIO DATA'!AC170:AC376</f>
        <v>Ahmad Mardian Umar</v>
      </c>
      <c r="U175" s="8" t="str">
        <f>'BIO DATA'!AD170</f>
        <v>Islam</v>
      </c>
      <c r="V175" s="8" t="str">
        <f>'BIO DATA'!AL170:AL376</f>
        <v>S1</v>
      </c>
      <c r="W175" s="8" t="str">
        <f>'BIO DATA'!AM170:AM376</f>
        <v>Karyawan Swasta</v>
      </c>
      <c r="X175" s="8" t="str">
        <f>'BIO DATA'!AG170:AG376</f>
        <v>&gt; Rp 2.500.000,00</v>
      </c>
      <c r="Y175" s="69" t="s">
        <v>217</v>
      </c>
      <c r="Z175" s="8">
        <f>'BIO DATA'!AI170:AI376</f>
        <v>0</v>
      </c>
      <c r="AA175" s="8" t="str">
        <f>'BIO DATA'!AJ170:AJ376</f>
        <v>Emma Ramayanti, SE</v>
      </c>
      <c r="AB175" s="8" t="str">
        <f>'BIO DATA'!AK170</f>
        <v>Islam</v>
      </c>
      <c r="AC175" s="8" t="str">
        <f>'BIO DATA'!AL170:AL376</f>
        <v>S1</v>
      </c>
      <c r="AD175" s="8" t="str">
        <f>'BIO DATA'!AM170:AM376</f>
        <v>Karyawan Swasta</v>
      </c>
      <c r="AE175" s="8">
        <f>'BIO DATA'!AN170:AN376</f>
        <v>0</v>
      </c>
      <c r="AF175" s="52"/>
      <c r="AG175" s="8">
        <f>'BIO DATA'!AP170</f>
        <v>0</v>
      </c>
      <c r="AH175" s="8">
        <f>'BIO DATA'!AZ170</f>
        <v>0</v>
      </c>
      <c r="AI175" s="8" t="str">
        <f>'BIO DATA'!BA170</f>
        <v>Islam</v>
      </c>
      <c r="AJ175" s="8">
        <f>'BIO DATA'!BB170</f>
        <v>0</v>
      </c>
      <c r="AK175" s="8">
        <f>'BIO DATA'!BC170</f>
        <v>0</v>
      </c>
      <c r="AL175" s="8">
        <f>'BIO DATA'!BD170</f>
        <v>0</v>
      </c>
      <c r="AM175" s="8">
        <f>'BIO DATA'!BE170</f>
        <v>0</v>
      </c>
      <c r="AN175" s="8">
        <f>'BIO DATA'!BF170</f>
        <v>0</v>
      </c>
      <c r="AO175" s="8">
        <f>'BIO DATA'!BG170</f>
        <v>0</v>
      </c>
      <c r="AP175" s="54" t="s">
        <v>198</v>
      </c>
    </row>
    <row r="176" spans="1:42" s="54" customFormat="1" ht="20.100000000000001" customHeight="1" thickBot="1">
      <c r="A176" s="18" t="s">
        <v>127</v>
      </c>
      <c r="B176">
        <v>281</v>
      </c>
      <c r="C176" s="90">
        <f>'BIO DATA'!D171</f>
        <v>11487</v>
      </c>
      <c r="D176" s="90" t="str">
        <f>'BIO DATA'!E171</f>
        <v>0102436463</v>
      </c>
      <c r="E176" s="89" t="str">
        <f>'BIO DATA'!F171</f>
        <v>Rakha Hanif Arkana Laksono</v>
      </c>
      <c r="F176" s="49" t="str">
        <f>'BIO DATA'!M171</f>
        <v>Laki-laki</v>
      </c>
      <c r="G176" s="8" t="str">
        <f>'BIO DATA'!N171</f>
        <v>Sleman</v>
      </c>
      <c r="H176" s="51">
        <f>'BIO DATA'!P171</f>
        <v>40199</v>
      </c>
      <c r="I176" s="49" t="str">
        <f>'BIO DATA'!S171</f>
        <v>Islam</v>
      </c>
      <c r="J176" s="50">
        <f>'BIO DATA'!J171:J336</f>
        <v>0</v>
      </c>
      <c r="K176" s="50">
        <f>'BIO DATA'!K171:K377</f>
        <v>0</v>
      </c>
      <c r="L176" s="8" t="str">
        <f>'BIO DATA'!T171:T336</f>
        <v>LOT 928M Kampung SG Kayuara Bandar Utama Damansara 47400 Pataling Jaya Selangor, Malaysia</v>
      </c>
      <c r="M176" s="8" t="str">
        <f>'BIO DATA'!V171:V377</f>
        <v>Kampung Sungai Kayu Ara</v>
      </c>
      <c r="N176" s="8" t="str">
        <f>'BIO DATA'!W171:W377</f>
        <v>Bandar Utama Damansara</v>
      </c>
      <c r="O176" s="8" t="str">
        <f>'BIO DATA'!X171:X377</f>
        <v>Pataling Jaya</v>
      </c>
      <c r="P176" s="8" t="str">
        <f>'BIO DATA'!Y171:Y377</f>
        <v>Selangor, Malaysia</v>
      </c>
      <c r="Q176" s="8" t="str">
        <f>'BIO DATA'!Z171:Z377</f>
        <v>MTs. Mu'allimin Muh. Yogyakarta</v>
      </c>
      <c r="R176" s="8" t="str">
        <f>'BIO DATA'!AA171:AA377</f>
        <v>2nd Floor No-15A-3 Jalan PJU 6A/3, Jalan PJU 6a/3a, Kampung Sungai Kayu Ara, 46100 Petaling Jaya, Selangor, Malaysia</v>
      </c>
      <c r="S176" s="8">
        <f>'BIO DATA'!AB171:AB377</f>
        <v>0</v>
      </c>
      <c r="T176" s="8" t="str">
        <f>'BIO DATA'!AC171:AC377</f>
        <v>Zumransyah</v>
      </c>
      <c r="U176" s="8" t="str">
        <f>'BIO DATA'!AD171</f>
        <v>Islam</v>
      </c>
      <c r="V176" s="8" t="str">
        <f>'BIO DATA'!AL171:AL377</f>
        <v>SD</v>
      </c>
      <c r="W176" s="8" t="str">
        <f>'BIO DATA'!AM171:AM377</f>
        <v>Wiraswasta</v>
      </c>
      <c r="X176" s="8" t="str">
        <f>'BIO DATA'!AG171:AG377</f>
        <v>&gt; Rp 2.500.000,00</v>
      </c>
      <c r="Y176" s="69" t="s">
        <v>217</v>
      </c>
      <c r="Z176" s="8">
        <f>'BIO DATA'!AI171:AI377</f>
        <v>0</v>
      </c>
      <c r="AA176" s="8" t="str">
        <f>'BIO DATA'!AJ171:AJ377</f>
        <v>Agustina</v>
      </c>
      <c r="AB176" s="8" t="str">
        <f>'BIO DATA'!AK171</f>
        <v>Islam</v>
      </c>
      <c r="AC176" s="8" t="str">
        <f>'BIO DATA'!AL171:AL377</f>
        <v>SD</v>
      </c>
      <c r="AD176" s="8" t="str">
        <f>'BIO DATA'!AM171:AM377</f>
        <v>Wiraswasta</v>
      </c>
      <c r="AE176" s="8">
        <f>'BIO DATA'!AN171:AN377</f>
        <v>0</v>
      </c>
      <c r="AF176" s="52"/>
      <c r="AG176" s="8">
        <f>'BIO DATA'!AP171</f>
        <v>0</v>
      </c>
      <c r="AH176" s="8">
        <f>'BIO DATA'!AZ171</f>
        <v>0</v>
      </c>
      <c r="AI176" s="8" t="str">
        <f>'BIO DATA'!BA171</f>
        <v>Islam</v>
      </c>
      <c r="AJ176" s="8">
        <f>'BIO DATA'!BB171</f>
        <v>0</v>
      </c>
      <c r="AK176" s="8">
        <f>'BIO DATA'!BC171</f>
        <v>0</v>
      </c>
      <c r="AL176" s="8">
        <f>'BIO DATA'!BD171</f>
        <v>0</v>
      </c>
      <c r="AM176" s="8">
        <f>'BIO DATA'!BE171</f>
        <v>0</v>
      </c>
      <c r="AN176" s="8">
        <f>'BIO DATA'!BF171</f>
        <v>0</v>
      </c>
      <c r="AO176" s="8">
        <f>'BIO DATA'!BG171</f>
        <v>0</v>
      </c>
      <c r="AP176" s="54" t="s">
        <v>198</v>
      </c>
    </row>
    <row r="177" spans="1:42" s="54" customFormat="1" ht="20.100000000000001" customHeight="1" thickBot="1">
      <c r="A177" s="18" t="s">
        <v>127</v>
      </c>
      <c r="B177">
        <v>43</v>
      </c>
      <c r="C177" s="90">
        <f>'BIO DATA'!D172</f>
        <v>11488</v>
      </c>
      <c r="D177" s="90" t="str">
        <f>'BIO DATA'!E172</f>
        <v>0107237213</v>
      </c>
      <c r="E177" s="89" t="str">
        <f>'BIO DATA'!F172</f>
        <v>Rasheed Ragheb Farzany</v>
      </c>
      <c r="F177" s="49" t="str">
        <f>'BIO DATA'!M172</f>
        <v>Laki-laki</v>
      </c>
      <c r="G177" s="8" t="str">
        <f>'BIO DATA'!N172</f>
        <v>Tuban</v>
      </c>
      <c r="H177" s="51">
        <f>'BIO DATA'!P172</f>
        <v>40228</v>
      </c>
      <c r="I177" s="49" t="str">
        <f>'BIO DATA'!S172</f>
        <v>Islam</v>
      </c>
      <c r="J177" s="50">
        <f>'BIO DATA'!J172:J337</f>
        <v>3</v>
      </c>
      <c r="K177" s="50">
        <f>'BIO DATA'!K172:K378</f>
        <v>2</v>
      </c>
      <c r="L177" s="8" t="str">
        <f>'BIO DATA'!T172:T337</f>
        <v>Jalan Mushola No. 494 RT 002 RW 010 Tanah Baru, Beji, Depok Jawa Barat 16426</v>
      </c>
      <c r="M177" s="8" t="str">
        <f>'BIO DATA'!V172:V378</f>
        <v>Tanah Baru</v>
      </c>
      <c r="N177" s="8" t="str">
        <f>'BIO DATA'!W172:W378</f>
        <v>Beji</v>
      </c>
      <c r="O177" s="8" t="str">
        <f>'BIO DATA'!X172:X378</f>
        <v>Depok</v>
      </c>
      <c r="P177" s="8" t="str">
        <f>'BIO DATA'!Y172:Y378</f>
        <v>Jawa Barat</v>
      </c>
      <c r="Q177" s="8" t="str">
        <f>'BIO DATA'!Z172:Z378</f>
        <v>MTs. Mu'allimin Muh. Yogyakarta</v>
      </c>
      <c r="R177" s="8" t="str">
        <f>'BIO DATA'!AA172:AA378</f>
        <v>Jl. Timbul No.60, RT.2/RW.3, Cipedak, Kec. Jagakarsa, Kota Jakarta Selatan, Daerah Khusus Ibukota Jakarta 12630</v>
      </c>
      <c r="S177" s="8">
        <f>'BIO DATA'!AB172:AB378</f>
        <v>0</v>
      </c>
      <c r="T177" s="8" t="str">
        <f>'BIO DATA'!AC172:AC378</f>
        <v>Andi</v>
      </c>
      <c r="U177" s="8" t="str">
        <f>'BIO DATA'!AD172</f>
        <v>Islam</v>
      </c>
      <c r="V177" s="8" t="str">
        <f>'BIO DATA'!AL172:AL378</f>
        <v>S1</v>
      </c>
      <c r="W177" s="8" t="str">
        <f>'BIO DATA'!AM172:AM378</f>
        <v>Ibu Rumah Tangga</v>
      </c>
      <c r="X177" s="8" t="str">
        <f>'BIO DATA'!AG172:AG378</f>
        <v>&gt; Rp 2.500.000,00</v>
      </c>
      <c r="Y177" s="69" t="s">
        <v>217</v>
      </c>
      <c r="Z177" s="8">
        <f>'BIO DATA'!AI172:AI378</f>
        <v>0</v>
      </c>
      <c r="AA177" s="8" t="str">
        <f>'BIO DATA'!AJ172:AJ378</f>
        <v>Saraswati</v>
      </c>
      <c r="AB177" s="8" t="str">
        <f>'BIO DATA'!AK172</f>
        <v>Islam</v>
      </c>
      <c r="AC177" s="8" t="str">
        <f>'BIO DATA'!AL172:AL378</f>
        <v>S1</v>
      </c>
      <c r="AD177" s="8" t="str">
        <f>'BIO DATA'!AM172:AM378</f>
        <v>Ibu Rumah Tangga</v>
      </c>
      <c r="AE177" s="8">
        <f>'BIO DATA'!AN172:AN378</f>
        <v>0</v>
      </c>
      <c r="AF177" s="52"/>
      <c r="AG177" s="8">
        <f>'BIO DATA'!AP172</f>
        <v>0</v>
      </c>
      <c r="AH177" s="8">
        <f>'BIO DATA'!AZ172</f>
        <v>0</v>
      </c>
      <c r="AI177" s="8" t="str">
        <f>'BIO DATA'!BA172</f>
        <v>Islam</v>
      </c>
      <c r="AJ177" s="8">
        <f>'BIO DATA'!BB172</f>
        <v>0</v>
      </c>
      <c r="AK177" s="8">
        <f>'BIO DATA'!BC172</f>
        <v>0</v>
      </c>
      <c r="AL177" s="8">
        <f>'BIO DATA'!BD172</f>
        <v>0</v>
      </c>
      <c r="AM177" s="8">
        <f>'BIO DATA'!BE172</f>
        <v>0</v>
      </c>
      <c r="AN177" s="8">
        <f>'BIO DATA'!BF172</f>
        <v>0</v>
      </c>
      <c r="AO177" s="8">
        <f>'BIO DATA'!BG172</f>
        <v>0</v>
      </c>
      <c r="AP177" s="54" t="s">
        <v>199</v>
      </c>
    </row>
    <row r="178" spans="1:42" s="54" customFormat="1" ht="20.100000000000001" customHeight="1" thickBot="1">
      <c r="A178" s="18" t="s">
        <v>127</v>
      </c>
      <c r="B178">
        <v>49</v>
      </c>
      <c r="C178" s="90">
        <f>'BIO DATA'!D173</f>
        <v>11509</v>
      </c>
      <c r="D178" s="90" t="str">
        <f>'BIO DATA'!E173</f>
        <v>0106993081</v>
      </c>
      <c r="E178" s="89" t="str">
        <f>'BIO DATA'!F173</f>
        <v>Zahid Jirga Karzani</v>
      </c>
      <c r="F178" s="49" t="str">
        <f>'BIO DATA'!M173</f>
        <v>Laki-laki</v>
      </c>
      <c r="G178" s="8" t="str">
        <f>'BIO DATA'!N173</f>
        <v>Pangkalpinang</v>
      </c>
      <c r="H178" s="51">
        <f>'BIO DATA'!P173</f>
        <v>40186</v>
      </c>
      <c r="I178" s="49" t="str">
        <f>'BIO DATA'!S173</f>
        <v>Islam</v>
      </c>
      <c r="J178" s="50">
        <f>'BIO DATA'!J173:J338</f>
        <v>1</v>
      </c>
      <c r="K178" s="50">
        <f>'BIO DATA'!K173:K379</f>
        <v>3</v>
      </c>
      <c r="L178" s="8" t="str">
        <f>'BIO DATA'!T173:T338</f>
        <v>Dk. Gendogosari RT 002/005, Ds. Krengseng, Kec. Gringsing, Kab. Batang Jawa Tengah 51281</v>
      </c>
      <c r="M178" s="8" t="str">
        <f>'BIO DATA'!V173:V379</f>
        <v>Krengseng</v>
      </c>
      <c r="N178" s="8" t="str">
        <f>'BIO DATA'!W173:W379</f>
        <v>Gringsing</v>
      </c>
      <c r="O178" s="8" t="str">
        <f>'BIO DATA'!X173:X379</f>
        <v>Batang</v>
      </c>
      <c r="P178" s="8" t="str">
        <f>'BIO DATA'!Y173:Y379</f>
        <v>Jawa Tengah</v>
      </c>
      <c r="Q178" s="8" t="str">
        <f>'BIO DATA'!Z173:Z379</f>
        <v>MTs. Mu'allimin Muh. Yogyakarta</v>
      </c>
      <c r="R178" s="8" t="str">
        <f>'BIO DATA'!AA173:AA379</f>
        <v>Jl. Bahari, Desa Karanganom, Weleri, Peniten, Karanganom, Kendal, Kabupaten Kendal, Jawa Tengah 51355</v>
      </c>
      <c r="S178" s="8">
        <f>'BIO DATA'!AB173:AB379</f>
        <v>0</v>
      </c>
      <c r="T178" s="8" t="str">
        <f>'BIO DATA'!AC173:AC379</f>
        <v>Rizal Afiv Haqiqie</v>
      </c>
      <c r="U178" s="8" t="str">
        <f>'BIO DATA'!AD173</f>
        <v>Islam</v>
      </c>
      <c r="V178" s="8" t="str">
        <f>'BIO DATA'!AL173:AL379</f>
        <v>S1</v>
      </c>
      <c r="W178" s="8" t="str">
        <f>'BIO DATA'!AM173:AM379</f>
        <v>Wiraswasta</v>
      </c>
      <c r="X178" s="8" t="str">
        <f>'BIO DATA'!AG173:AG379</f>
        <v>&gt; Rp 2.500.000,00</v>
      </c>
      <c r="Y178" s="69" t="s">
        <v>217</v>
      </c>
      <c r="Z178" s="8">
        <f>'BIO DATA'!AI173:AI379</f>
        <v>0</v>
      </c>
      <c r="AA178" s="8" t="str">
        <f>'BIO DATA'!AJ173:AJ379</f>
        <v>Anis Kurniati</v>
      </c>
      <c r="AB178" s="8" t="str">
        <f>'BIO DATA'!AK173</f>
        <v>Islam</v>
      </c>
      <c r="AC178" s="8" t="str">
        <f>'BIO DATA'!AL173:AL379</f>
        <v>S1</v>
      </c>
      <c r="AD178" s="8" t="str">
        <f>'BIO DATA'!AM173:AM379</f>
        <v>Wiraswasta</v>
      </c>
      <c r="AE178" s="8">
        <f>'BIO DATA'!AN173:AN379</f>
        <v>0</v>
      </c>
      <c r="AF178" s="52"/>
      <c r="AG178" s="8">
        <f>'BIO DATA'!AP173</f>
        <v>0</v>
      </c>
      <c r="AH178" s="8">
        <f>'BIO DATA'!AZ173</f>
        <v>0</v>
      </c>
      <c r="AI178" s="8" t="str">
        <f>'BIO DATA'!BA173</f>
        <v>Islam</v>
      </c>
      <c r="AJ178" s="8">
        <f>'BIO DATA'!BB173</f>
        <v>0</v>
      </c>
      <c r="AK178" s="8">
        <f>'BIO DATA'!BC173</f>
        <v>0</v>
      </c>
      <c r="AL178" s="8">
        <f>'BIO DATA'!BD173</f>
        <v>0</v>
      </c>
      <c r="AM178" s="8">
        <f>'BIO DATA'!BE173</f>
        <v>0</v>
      </c>
      <c r="AN178" s="8">
        <f>'BIO DATA'!BF173</f>
        <v>0</v>
      </c>
      <c r="AO178" s="8">
        <f>'BIO DATA'!BG173</f>
        <v>0</v>
      </c>
      <c r="AP178" s="54" t="s">
        <v>199</v>
      </c>
    </row>
    <row r="179" spans="1:42" s="54" customFormat="1" ht="20.100000000000001" customHeight="1" thickBot="1">
      <c r="A179" s="11" t="s">
        <v>594</v>
      </c>
      <c r="B179">
        <v>75</v>
      </c>
      <c r="C179" s="90">
        <f>'BIO DATA'!D174</f>
        <v>11206</v>
      </c>
      <c r="D179" s="90" t="str">
        <f>'BIO DATA'!E174</f>
        <v>0096642761</v>
      </c>
      <c r="E179" s="89" t="str">
        <f>'BIO DATA'!F174</f>
        <v>Ade Almukhsin Mahoya</v>
      </c>
      <c r="F179" s="49" t="str">
        <f>'BIO DATA'!M174</f>
        <v>Laki-laki</v>
      </c>
      <c r="G179" s="8" t="str">
        <f>'BIO DATA'!N174</f>
        <v>Curup</v>
      </c>
      <c r="H179" s="51">
        <f>'BIO DATA'!P174</f>
        <v>40157</v>
      </c>
      <c r="I179" s="49" t="str">
        <f>'BIO DATA'!S174</f>
        <v>Islam</v>
      </c>
      <c r="J179" s="50">
        <f>'BIO DATA'!J174:J339</f>
        <v>2</v>
      </c>
      <c r="K179" s="50">
        <f>'BIO DATA'!K174:K380</f>
        <v>2</v>
      </c>
      <c r="L179" s="8" t="str">
        <f>'BIO DATA'!T174:T339</f>
        <v>Perum Griya Sasmita B2 No.6, Serua, Bojongsari, Kota Depok , Jawa Barat, 16517</v>
      </c>
      <c r="M179" s="8" t="str">
        <f>'BIO DATA'!V174:V380</f>
        <v>Bojongsari</v>
      </c>
      <c r="N179" s="8" t="str">
        <f>'BIO DATA'!W174:W380</f>
        <v>Kota</v>
      </c>
      <c r="O179" s="8" t="str">
        <f>'BIO DATA'!X174:X380</f>
        <v xml:space="preserve">Depok </v>
      </c>
      <c r="P179" s="8" t="str">
        <f>'BIO DATA'!Y174:Y380</f>
        <v>Serua, Bojongsari, Kota Depok , Jawa Barat</v>
      </c>
      <c r="Q179" s="8" t="str">
        <f>'BIO DATA'!Z174:Z380</f>
        <v>MTs. Mu'allimin Muh. Yogyakarta</v>
      </c>
      <c r="R179" s="8" t="str">
        <f>'BIO DATA'!AA174:AA380</f>
        <v>Komplek UIN Syarif Hidayatullah Jakarta, Jl. Ibnu Taimia IV, Pisangan, Kec. Ciputat Tim., Kota Tangerang Selatan, Banten 15419</v>
      </c>
      <c r="S179" s="8">
        <f>'BIO DATA'!AB174:AB380</f>
        <v>0</v>
      </c>
      <c r="T179" s="8" t="str">
        <f>'BIO DATA'!AC174:AC380</f>
        <v>Ervan Nurtawab</v>
      </c>
      <c r="U179" s="8" t="str">
        <f>'BIO DATA'!AD174</f>
        <v>Islam</v>
      </c>
      <c r="V179" s="8" t="str">
        <f>'BIO DATA'!AL174:AL380</f>
        <v>S1</v>
      </c>
      <c r="W179" s="8" t="str">
        <f>'BIO DATA'!AM174:AM380</f>
        <v>Karyawan Swasta</v>
      </c>
      <c r="X179" s="8" t="str">
        <f>'BIO DATA'!AG174:AG380</f>
        <v>&gt; Rp 2.500.000,00</v>
      </c>
      <c r="Y179" s="69" t="s">
        <v>217</v>
      </c>
      <c r="Z179" s="8">
        <f>'BIO DATA'!AI174:AI380</f>
        <v>0</v>
      </c>
      <c r="AA179" s="8" t="str">
        <f>'BIO DATA'!AJ174:AJ380</f>
        <v>Wilda Rahmah Dia</v>
      </c>
      <c r="AB179" s="8" t="str">
        <f>'BIO DATA'!AK174</f>
        <v>Islam</v>
      </c>
      <c r="AC179" s="8" t="str">
        <f>'BIO DATA'!AL174:AL380</f>
        <v>S1</v>
      </c>
      <c r="AD179" s="8" t="str">
        <f>'BIO DATA'!AM174:AM380</f>
        <v>Karyawan Swasta</v>
      </c>
      <c r="AE179" s="8">
        <f>'BIO DATA'!AN174:AN380</f>
        <v>0</v>
      </c>
      <c r="AF179" s="52"/>
      <c r="AG179" s="8">
        <f>'BIO DATA'!AP174</f>
        <v>0</v>
      </c>
      <c r="AH179" s="8">
        <f>'BIO DATA'!AZ174</f>
        <v>0</v>
      </c>
      <c r="AI179" s="8" t="str">
        <f>'BIO DATA'!BA174</f>
        <v>Islam</v>
      </c>
      <c r="AJ179" s="8">
        <f>'BIO DATA'!BB174</f>
        <v>0</v>
      </c>
      <c r="AK179" s="8">
        <f>'BIO DATA'!BC174</f>
        <v>0</v>
      </c>
      <c r="AL179" s="8">
        <f>'BIO DATA'!BD174</f>
        <v>0</v>
      </c>
      <c r="AM179" s="8">
        <f>'BIO DATA'!BE174</f>
        <v>0</v>
      </c>
      <c r="AN179" s="8">
        <f>'BIO DATA'!BF174</f>
        <v>0</v>
      </c>
      <c r="AO179" s="8">
        <f>'BIO DATA'!BG174</f>
        <v>0</v>
      </c>
      <c r="AP179" s="54" t="s">
        <v>199</v>
      </c>
    </row>
    <row r="180" spans="1:42" s="54" customFormat="1" ht="20.100000000000001" customHeight="1" thickBot="1">
      <c r="A180" s="11" t="s">
        <v>594</v>
      </c>
      <c r="B180">
        <v>122</v>
      </c>
      <c r="C180" s="90" t="e">
        <f>'BIO DATA'!#REF!</f>
        <v>#REF!</v>
      </c>
      <c r="D180" s="90" t="e">
        <f>'BIO DATA'!#REF!</f>
        <v>#REF!</v>
      </c>
      <c r="E180" s="89" t="e">
        <f>'BIO DATA'!#REF!</f>
        <v>#REF!</v>
      </c>
      <c r="F180" s="49" t="e">
        <f>'BIO DATA'!#REF!</f>
        <v>#REF!</v>
      </c>
      <c r="G180" s="8" t="e">
        <f>'BIO DATA'!#REF!</f>
        <v>#REF!</v>
      </c>
      <c r="H180" s="51" t="e">
        <f>'BIO DATA'!#REF!</f>
        <v>#REF!</v>
      </c>
      <c r="I180" s="49" t="e">
        <f>'BIO DATA'!#REF!</f>
        <v>#REF!</v>
      </c>
      <c r="J180" s="50">
        <f>'BIO DATA'!J178:J340</f>
        <v>1</v>
      </c>
      <c r="K180" s="50">
        <f>'BIO DATA'!K178:K381</f>
        <v>1</v>
      </c>
      <c r="L180" s="8" t="str">
        <f>'BIO DATA'!T178:T340</f>
        <v>Salakan, Gambasan RT 1 RW 1 Selopampang , Jawa Tengah, 56100</v>
      </c>
      <c r="M180" s="8" t="str">
        <f>'BIO DATA'!V178:V381</f>
        <v>Gambasan</v>
      </c>
      <c r="N180" s="8" t="str">
        <f>'BIO DATA'!W178:W381</f>
        <v>Selopampang</v>
      </c>
      <c r="O180" s="8" t="str">
        <f>'BIO DATA'!X178:X381</f>
        <v>Temanggung</v>
      </c>
      <c r="P180" s="8" t="str">
        <f>'BIO DATA'!Y178:Y381</f>
        <v>Jawa Tengah</v>
      </c>
      <c r="Q180" s="8" t="str">
        <f>'BIO DATA'!Z178:Z381</f>
        <v>MTs. Mu'allimin Muh. Yogyakarta</v>
      </c>
      <c r="R180" s="8" t="str">
        <f>'BIO DATA'!AA178:AA381</f>
        <v>Jl. Perintis Kemerdekaan No.41, Jurang 1, Jurang, Kec. Temanggung, Kabupaten Temanggung, Jawa Tengah 56222</v>
      </c>
      <c r="S180" s="8">
        <f>'BIO DATA'!AB178:AB381</f>
        <v>0</v>
      </c>
      <c r="T180" s="8" t="str">
        <f>'BIO DATA'!AC178:AC381</f>
        <v>Erawan Ari Wiranto</v>
      </c>
      <c r="U180" s="8" t="e">
        <f>'BIO DATA'!#REF!</f>
        <v>#REF!</v>
      </c>
      <c r="V180" s="8" t="str">
        <f>'BIO DATA'!AL178:AL381</f>
        <v>S1</v>
      </c>
      <c r="W180" s="8" t="str">
        <f>'BIO DATA'!AM178:AM381</f>
        <v>Ibu Rumah Tangga</v>
      </c>
      <c r="X180" s="8" t="str">
        <f>'BIO DATA'!AG178:AG381</f>
        <v>&gt; Rp 2.500.000,00</v>
      </c>
      <c r="Y180" s="69" t="s">
        <v>217</v>
      </c>
      <c r="Z180" s="8">
        <f>'BIO DATA'!AI178:AI381</f>
        <v>0</v>
      </c>
      <c r="AA180" s="8" t="str">
        <f>'BIO DATA'!AJ178:AJ381</f>
        <v>Willia Mina Ainun</v>
      </c>
      <c r="AB180" s="8" t="e">
        <f>'BIO DATA'!#REF!</f>
        <v>#REF!</v>
      </c>
      <c r="AC180" s="8" t="str">
        <f>'BIO DATA'!AL178:AL381</f>
        <v>S1</v>
      </c>
      <c r="AD180" s="8" t="str">
        <f>'BIO DATA'!AM178:AM381</f>
        <v>Ibu Rumah Tangga</v>
      </c>
      <c r="AE180" s="8">
        <f>'BIO DATA'!AN178:AN381</f>
        <v>0</v>
      </c>
      <c r="AF180" s="52"/>
      <c r="AG180" s="8" t="e">
        <f>'BIO DATA'!#REF!</f>
        <v>#REF!</v>
      </c>
      <c r="AH180" s="8" t="e">
        <f>'BIO DATA'!#REF!</f>
        <v>#REF!</v>
      </c>
      <c r="AI180" s="8" t="e">
        <f>'BIO DATA'!#REF!</f>
        <v>#REF!</v>
      </c>
      <c r="AJ180" s="8" t="e">
        <f>'BIO DATA'!#REF!</f>
        <v>#REF!</v>
      </c>
      <c r="AK180" s="8" t="e">
        <f>'BIO DATA'!#REF!</f>
        <v>#REF!</v>
      </c>
      <c r="AL180" s="8" t="e">
        <f>'BIO DATA'!#REF!</f>
        <v>#REF!</v>
      </c>
      <c r="AM180" s="8" t="e">
        <f>'BIO DATA'!#REF!</f>
        <v>#REF!</v>
      </c>
      <c r="AN180" s="8" t="e">
        <f>'BIO DATA'!#REF!</f>
        <v>#REF!</v>
      </c>
      <c r="AO180" s="8" t="e">
        <f>'BIO DATA'!#REF!</f>
        <v>#REF!</v>
      </c>
      <c r="AP180" s="54" t="s">
        <v>199</v>
      </c>
    </row>
    <row r="181" spans="1:42" s="54" customFormat="1" ht="20.100000000000001" customHeight="1" thickBot="1">
      <c r="A181" s="11" t="s">
        <v>594</v>
      </c>
      <c r="B181">
        <v>129</v>
      </c>
      <c r="C181" s="90">
        <f>'BIO DATA'!D178</f>
        <v>11299</v>
      </c>
      <c r="D181" s="90" t="str">
        <f>'BIO DATA'!E178</f>
        <v>0093845336</v>
      </c>
      <c r="E181" s="89" t="str">
        <f>'BIO DATA'!F178</f>
        <v>Dzaky Akhdan Rafif Ath-thoriq</v>
      </c>
      <c r="F181" s="49" t="str">
        <f>'BIO DATA'!M178</f>
        <v>Laki-laki</v>
      </c>
      <c r="G181" s="8" t="str">
        <f>'BIO DATA'!N178</f>
        <v>Batang</v>
      </c>
      <c r="H181" s="51">
        <f>'BIO DATA'!P178</f>
        <v>40489</v>
      </c>
      <c r="I181" s="49" t="str">
        <f>'BIO DATA'!S178</f>
        <v>Islam</v>
      </c>
      <c r="J181" s="50">
        <f>'BIO DATA'!J178:J341</f>
        <v>1</v>
      </c>
      <c r="K181" s="50">
        <f>'BIO DATA'!K178:K382</f>
        <v>1</v>
      </c>
      <c r="L181" s="8" t="str">
        <f>'BIO DATA'!T178:T341</f>
        <v>Jl Pangeran Wirosobo Gang Wirokaryo RT 55 RW 14 Wirosaban Kel. Sorosutan Kec. Umbulharjo Yogyakarta, DI Yogyakarta, 55162</v>
      </c>
      <c r="M181" s="8" t="str">
        <f>'BIO DATA'!V178:V382</f>
        <v>Sorosutan</v>
      </c>
      <c r="N181" s="8" t="str">
        <f>'BIO DATA'!W178:W382</f>
        <v>Umbulharjo</v>
      </c>
      <c r="O181" s="8" t="str">
        <f>'BIO DATA'!X178:X382</f>
        <v>Yogyakarta</v>
      </c>
      <c r="P181" s="8" t="str">
        <f>'BIO DATA'!Y178:Y382</f>
        <v>DI Yogyakarta</v>
      </c>
      <c r="Q181" s="8" t="str">
        <f>'BIO DATA'!Z178:Z382</f>
        <v>MTs. Mu'allimin Muh. Yogyakarta</v>
      </c>
      <c r="R181" s="8" t="str">
        <f>'BIO DATA'!AA178:AA382</f>
        <v>Ruko Gorongan, Jl. Perumnas Gorongan No.1, Ngropoh, Condongcatur, Kec. Depok, Kabupaten Sleman, Daerah Istimewa Yogyakarta 55283</v>
      </c>
      <c r="S181" s="8">
        <f>'BIO DATA'!AB178:AB382</f>
        <v>0</v>
      </c>
      <c r="T181" s="8" t="str">
        <f>'BIO DATA'!AC178:AC382</f>
        <v>Mujiyarto</v>
      </c>
      <c r="U181" s="8" t="str">
        <f>'BIO DATA'!AD178</f>
        <v>Islam</v>
      </c>
      <c r="V181" s="8" t="str">
        <f>'BIO DATA'!AL178:AL382</f>
        <v>S1</v>
      </c>
      <c r="W181" s="8" t="str">
        <f>'BIO DATA'!AM178:AM382</f>
        <v>Guru</v>
      </c>
      <c r="X181" s="8" t="str">
        <f>'BIO DATA'!AG178:AG382</f>
        <v>Antara Rp 1.500.000,00 s.d. Rp 2.000,000,00</v>
      </c>
      <c r="Y181" s="69" t="s">
        <v>217</v>
      </c>
      <c r="Z181" s="8">
        <f>'BIO DATA'!AI178:AI382</f>
        <v>0</v>
      </c>
      <c r="AA181" s="8" t="str">
        <f>'BIO DATA'!AJ178:AJ382</f>
        <v>Romlah Suprihatin</v>
      </c>
      <c r="AB181" s="8" t="str">
        <f>'BIO DATA'!AK178</f>
        <v>Islam</v>
      </c>
      <c r="AC181" s="8" t="str">
        <f>'BIO DATA'!AL178:AL382</f>
        <v>S1</v>
      </c>
      <c r="AD181" s="8" t="str">
        <f>'BIO DATA'!AM178:AM382</f>
        <v>Guru</v>
      </c>
      <c r="AE181" s="8">
        <f>'BIO DATA'!AN178:AN382</f>
        <v>0</v>
      </c>
      <c r="AF181" s="52"/>
      <c r="AG181" s="8">
        <f>'BIO DATA'!AP178</f>
        <v>0</v>
      </c>
      <c r="AH181" s="8">
        <f>'BIO DATA'!AZ178</f>
        <v>0</v>
      </c>
      <c r="AI181" s="8" t="str">
        <f>'BIO DATA'!BA178</f>
        <v>Islam</v>
      </c>
      <c r="AJ181" s="8">
        <f>'BIO DATA'!BB178</f>
        <v>0</v>
      </c>
      <c r="AK181" s="8">
        <f>'BIO DATA'!BC178</f>
        <v>0</v>
      </c>
      <c r="AL181" s="8">
        <f>'BIO DATA'!BD178</f>
        <v>0</v>
      </c>
      <c r="AM181" s="8">
        <f>'BIO DATA'!BE178</f>
        <v>0</v>
      </c>
      <c r="AN181" s="8">
        <f>'BIO DATA'!BF178</f>
        <v>0</v>
      </c>
      <c r="AO181" s="8">
        <f>'BIO DATA'!BG178</f>
        <v>0</v>
      </c>
      <c r="AP181" s="54" t="s">
        <v>199</v>
      </c>
    </row>
    <row r="182" spans="1:42" s="54" customFormat="1" ht="20.100000000000001" customHeight="1" thickBot="1">
      <c r="A182" s="11" t="s">
        <v>594</v>
      </c>
      <c r="B182">
        <v>145</v>
      </c>
      <c r="C182" s="90">
        <f>'BIO DATA'!D179</f>
        <v>11322</v>
      </c>
      <c r="D182" s="90" t="str">
        <f>'BIO DATA'!E179</f>
        <v>3091647442</v>
      </c>
      <c r="E182" s="89" t="str">
        <f>'BIO DATA'!F179</f>
        <v>Faris Ahmad Nurtawab</v>
      </c>
      <c r="F182" s="49" t="str">
        <f>'BIO DATA'!M179</f>
        <v>Laki-laki</v>
      </c>
      <c r="G182" s="8" t="str">
        <f>'BIO DATA'!N179</f>
        <v>Tangerang</v>
      </c>
      <c r="H182" s="51">
        <f>'BIO DATA'!P179</f>
        <v>40025</v>
      </c>
      <c r="I182" s="49" t="str">
        <f>'BIO DATA'!S179</f>
        <v>Islam</v>
      </c>
      <c r="J182" s="50">
        <f>'BIO DATA'!J179:J342</f>
        <v>2</v>
      </c>
      <c r="K182" s="50">
        <f>'BIO DATA'!K179:K383</f>
        <v>1</v>
      </c>
      <c r="L182" s="8" t="str">
        <f>'BIO DATA'!T179:T342</f>
        <v>Jl Ksatrian K 39 Jatingaleh RT 01 RW 07 Kec. Candi Sari Semarang, Jawa Tengah, 50254</v>
      </c>
      <c r="M182" s="8" t="str">
        <f>'BIO DATA'!V179:V383</f>
        <v>Jatingaleh</v>
      </c>
      <c r="N182" s="8" t="str">
        <f>'BIO DATA'!W179:W383</f>
        <v>Candi Sari</v>
      </c>
      <c r="O182" s="8" t="str">
        <f>'BIO DATA'!X179:X383</f>
        <v>Semarang</v>
      </c>
      <c r="P182" s="8" t="str">
        <f>'BIO DATA'!Y179:Y383</f>
        <v>Jawa Tengah</v>
      </c>
      <c r="Q182" s="8" t="str">
        <f>'BIO DATA'!Z179:Z383</f>
        <v>MTs. Mu'allimin Muh. Yogyakarta</v>
      </c>
      <c r="R182" s="8" t="str">
        <f>'BIO DATA'!AA179:AA383</f>
        <v>Jl. Durian Selatan I No.6, Srondol Wetan, Kec. Banyumanik, Kota Semarang, Jawa Tengah 50249</v>
      </c>
      <c r="S182" s="8">
        <f>'BIO DATA'!AB179:AB383</f>
        <v>0</v>
      </c>
      <c r="T182" s="8" t="str">
        <f>'BIO DATA'!AC179:AC383</f>
        <v>Mochammad Madkhan</v>
      </c>
      <c r="U182" s="8" t="str">
        <f>'BIO DATA'!AD179</f>
        <v>Islam</v>
      </c>
      <c r="V182" s="8" t="str">
        <f>'BIO DATA'!AL179:AL383</f>
        <v>S1</v>
      </c>
      <c r="W182" s="8" t="str">
        <f>'BIO DATA'!AM179:AM383</f>
        <v>Karyawan BUMN</v>
      </c>
      <c r="X182" s="8" t="str">
        <f>'BIO DATA'!AG179:AG383</f>
        <v>&gt; Rp 2.500.000,00</v>
      </c>
      <c r="Y182" s="69" t="s">
        <v>217</v>
      </c>
      <c r="Z182" s="8">
        <f>'BIO DATA'!AI179:AI383</f>
        <v>0</v>
      </c>
      <c r="AA182" s="8" t="str">
        <f>'BIO DATA'!AJ179:AJ383</f>
        <v>Sugestie Rijani Adie Soetomo</v>
      </c>
      <c r="AB182" s="8" t="str">
        <f>'BIO DATA'!AK179</f>
        <v>Islam</v>
      </c>
      <c r="AC182" s="8" t="str">
        <f>'BIO DATA'!AL179:AL383</f>
        <v>S1</v>
      </c>
      <c r="AD182" s="8" t="str">
        <f>'BIO DATA'!AM179:AM383</f>
        <v>Karyawan BUMN</v>
      </c>
      <c r="AE182" s="8">
        <f>'BIO DATA'!AN179:AN383</f>
        <v>0</v>
      </c>
      <c r="AF182" s="52"/>
      <c r="AG182" s="8">
        <f>'BIO DATA'!AP179</f>
        <v>0</v>
      </c>
      <c r="AH182" s="8">
        <f>'BIO DATA'!AZ179</f>
        <v>0</v>
      </c>
      <c r="AI182" s="8" t="str">
        <f>'BIO DATA'!BA179</f>
        <v>Islam</v>
      </c>
      <c r="AJ182" s="8">
        <f>'BIO DATA'!BB179</f>
        <v>0</v>
      </c>
      <c r="AK182" s="8">
        <f>'BIO DATA'!BC179</f>
        <v>0</v>
      </c>
      <c r="AL182" s="8">
        <f>'BIO DATA'!BD179</f>
        <v>0</v>
      </c>
      <c r="AM182" s="8">
        <f>'BIO DATA'!BE179</f>
        <v>0</v>
      </c>
      <c r="AN182" s="8">
        <f>'BIO DATA'!BF179</f>
        <v>0</v>
      </c>
      <c r="AO182" s="8">
        <f>'BIO DATA'!BG179</f>
        <v>0</v>
      </c>
      <c r="AP182" s="54" t="s">
        <v>199</v>
      </c>
    </row>
    <row r="183" spans="1:42" s="54" customFormat="1" ht="20.100000000000001" customHeight="1" thickBot="1">
      <c r="A183" s="11" t="s">
        <v>594</v>
      </c>
      <c r="B183">
        <v>146</v>
      </c>
      <c r="C183" s="90" t="e">
        <f>'BIO DATA'!#REF!</f>
        <v>#REF!</v>
      </c>
      <c r="D183" s="90" t="e">
        <f>'BIO DATA'!#REF!</f>
        <v>#REF!</v>
      </c>
      <c r="E183" s="89" t="e">
        <f>'BIO DATA'!#REF!</f>
        <v>#REF!</v>
      </c>
      <c r="F183" s="49" t="e">
        <f>'BIO DATA'!#REF!</f>
        <v>#REF!</v>
      </c>
      <c r="G183" s="8" t="e">
        <f>'BIO DATA'!#REF!</f>
        <v>#REF!</v>
      </c>
      <c r="H183" s="51" t="e">
        <f>'BIO DATA'!#REF!</f>
        <v>#REF!</v>
      </c>
      <c r="I183" s="49" t="e">
        <f>'BIO DATA'!#REF!</f>
        <v>#REF!</v>
      </c>
      <c r="J183" s="50">
        <f>'BIO DATA'!J180:J343</f>
        <v>1</v>
      </c>
      <c r="K183" s="50">
        <f>'BIO DATA'!K180:K384</f>
        <v>1</v>
      </c>
      <c r="L183" s="8" t="str">
        <f>'BIO DATA'!T180:T343</f>
        <v>Jalan Ngestitama Gang Perkutut. Brajan RT 03 Kel. Tamantirto, Kec. Kasihan, Kab. Bantul. , DI Yogyakarta, 55183</v>
      </c>
      <c r="M183" s="8" t="str">
        <f>'BIO DATA'!V180:V384</f>
        <v>Tamantirto</v>
      </c>
      <c r="N183" s="8" t="str">
        <f>'BIO DATA'!W180:W384</f>
        <v>Kasihan</v>
      </c>
      <c r="O183" s="8" t="str">
        <f>'BIO DATA'!X180:X384</f>
        <v>Bantul</v>
      </c>
      <c r="P183" s="8" t="str">
        <f>'BIO DATA'!Y180:Y384</f>
        <v>DI Yogyakarta</v>
      </c>
      <c r="Q183" s="8" t="str">
        <f>'BIO DATA'!Z180:Z384</f>
        <v>MTs. Mu'allimin Muh. Yogyakarta</v>
      </c>
      <c r="R183" s="8" t="str">
        <f>'BIO DATA'!AA180:AA384</f>
        <v>Jl. Mujahidin No. 26, Giyanti, Kauman, Giyanti, Kec. Temanggung, Kabupaten Temanggung, Jawa Tengah 56225</v>
      </c>
      <c r="S183" s="8">
        <f>'BIO DATA'!AB180:AB384</f>
        <v>0</v>
      </c>
      <c r="T183" s="8" t="str">
        <f>'BIO DATA'!AC180:AC384</f>
        <v>Harun Efendi</v>
      </c>
      <c r="U183" s="8" t="e">
        <f>'BIO DATA'!#REF!</f>
        <v>#REF!</v>
      </c>
      <c r="V183" s="8" t="str">
        <f>'BIO DATA'!AL180:AL384</f>
        <v>Diploma</v>
      </c>
      <c r="W183" s="8" t="str">
        <f>'BIO DATA'!AM180:AM384</f>
        <v>Wiraswasta</v>
      </c>
      <c r="X183" s="8" t="str">
        <f>'BIO DATA'!AG180:AG384</f>
        <v>&gt; Rp 2.500.000,00</v>
      </c>
      <c r="Y183" s="69" t="s">
        <v>217</v>
      </c>
      <c r="Z183" s="8">
        <f>'BIO DATA'!AI180:AI384</f>
        <v>0</v>
      </c>
      <c r="AA183" s="8" t="str">
        <f>'BIO DATA'!AJ180:AJ384</f>
        <v>Venita Mei Rosyanti</v>
      </c>
      <c r="AB183" s="8" t="e">
        <f>'BIO DATA'!#REF!</f>
        <v>#REF!</v>
      </c>
      <c r="AC183" s="8" t="str">
        <f>'BIO DATA'!AL180:AL384</f>
        <v>Diploma</v>
      </c>
      <c r="AD183" s="8" t="str">
        <f>'BIO DATA'!AM180:AM384</f>
        <v>Wiraswasta</v>
      </c>
      <c r="AE183" s="8">
        <f>'BIO DATA'!AN180:AN384</f>
        <v>0</v>
      </c>
      <c r="AF183" s="52"/>
      <c r="AG183" s="8" t="e">
        <f>'BIO DATA'!#REF!</f>
        <v>#REF!</v>
      </c>
      <c r="AH183" s="8" t="e">
        <f>'BIO DATA'!#REF!</f>
        <v>#REF!</v>
      </c>
      <c r="AI183" s="8" t="e">
        <f>'BIO DATA'!#REF!</f>
        <v>#REF!</v>
      </c>
      <c r="AJ183" s="8" t="e">
        <f>'BIO DATA'!#REF!</f>
        <v>#REF!</v>
      </c>
      <c r="AK183" s="8" t="e">
        <f>'BIO DATA'!#REF!</f>
        <v>#REF!</v>
      </c>
      <c r="AL183" s="8" t="e">
        <f>'BIO DATA'!#REF!</f>
        <v>#REF!</v>
      </c>
      <c r="AM183" s="8" t="e">
        <f>'BIO DATA'!#REF!</f>
        <v>#REF!</v>
      </c>
      <c r="AN183" s="8" t="e">
        <f>'BIO DATA'!#REF!</f>
        <v>#REF!</v>
      </c>
      <c r="AO183" s="8" t="e">
        <f>'BIO DATA'!#REF!</f>
        <v>#REF!</v>
      </c>
      <c r="AP183" s="54" t="s">
        <v>199</v>
      </c>
    </row>
    <row r="184" spans="1:42" s="54" customFormat="1" ht="20.100000000000001" customHeight="1" thickBot="1">
      <c r="A184" s="11" t="s">
        <v>594</v>
      </c>
      <c r="B184">
        <v>150</v>
      </c>
      <c r="C184" s="90">
        <f>'BIO DATA'!D180</f>
        <v>11332</v>
      </c>
      <c r="D184" s="90" t="str">
        <f>'BIO DATA'!E180</f>
        <v>3095096075</v>
      </c>
      <c r="E184" s="89" t="str">
        <f>'BIO DATA'!F180</f>
        <v>Faza Rama Narendra</v>
      </c>
      <c r="F184" s="49" t="str">
        <f>'BIO DATA'!M180</f>
        <v>Laki-laki</v>
      </c>
      <c r="G184" s="8" t="str">
        <f>'BIO DATA'!N180</f>
        <v>Temanggung</v>
      </c>
      <c r="H184" s="51">
        <f>'BIO DATA'!P180</f>
        <v>40056</v>
      </c>
      <c r="I184" s="49" t="str">
        <f>'BIO DATA'!S180</f>
        <v>Islam</v>
      </c>
      <c r="J184" s="50">
        <f>'BIO DATA'!J180:J344</f>
        <v>1</v>
      </c>
      <c r="K184" s="50">
        <f>'BIO DATA'!K180:K385</f>
        <v>2</v>
      </c>
      <c r="L184" s="8" t="str">
        <f>'BIO DATA'!T180:T344</f>
        <v>Dusun Sandon RT 03 RW 07 Desa Madyocondro Kec. Secang Kab. Magelang Prop. Jawa Tengah 56195</v>
      </c>
      <c r="M184" s="8" t="str">
        <f>'BIO DATA'!V180:V385</f>
        <v>Madyocondro</v>
      </c>
      <c r="N184" s="8" t="str">
        <f>'BIO DATA'!W180:W385</f>
        <v>Secang</v>
      </c>
      <c r="O184" s="8" t="str">
        <f>'BIO DATA'!X180:X385</f>
        <v>Magelang</v>
      </c>
      <c r="P184" s="8" t="str">
        <f>'BIO DATA'!Y180:Y385</f>
        <v>Jawa Tengah</v>
      </c>
      <c r="Q184" s="8" t="str">
        <f>'BIO DATA'!Z180:Z385</f>
        <v>MTs. Mu'allimin Muh. Yogyakarta</v>
      </c>
      <c r="R184" s="8" t="str">
        <f>'BIO DATA'!AA180:AA385</f>
        <v>Jl. Raya Magelang-Semarang No.56, Tegowanon, Payaman, Kec. Secang, Kabupaten Magelang, Jawa Tengah 56195</v>
      </c>
      <c r="S184" s="8">
        <f>'BIO DATA'!AB180:AB385</f>
        <v>0</v>
      </c>
      <c r="T184" s="8" t="str">
        <f>'BIO DATA'!AC180:AC385</f>
        <v>Yudha Hardiyanto</v>
      </c>
      <c r="U184" s="8" t="str">
        <f>'BIO DATA'!AD180</f>
        <v>Islam</v>
      </c>
      <c r="V184" s="8" t="str">
        <f>'BIO DATA'!AL180:AL385</f>
        <v>S2</v>
      </c>
      <c r="W184" s="8" t="str">
        <f>'BIO DATA'!AM180:AM385</f>
        <v>Ibu Rumah Tangga</v>
      </c>
      <c r="X184" s="8" t="str">
        <f>'BIO DATA'!AG180:AG385</f>
        <v>&gt; Rp 2.500.000,00</v>
      </c>
      <c r="Y184" s="69" t="s">
        <v>217</v>
      </c>
      <c r="Z184" s="8">
        <f>'BIO DATA'!AI180:AI385</f>
        <v>0</v>
      </c>
      <c r="AA184" s="8" t="str">
        <f>'BIO DATA'!AJ180:AJ385</f>
        <v>Anifah Nurshofyani</v>
      </c>
      <c r="AB184" s="8" t="str">
        <f>'BIO DATA'!AK180</f>
        <v>Islam</v>
      </c>
      <c r="AC184" s="8" t="str">
        <f>'BIO DATA'!AL180:AL385</f>
        <v>S2</v>
      </c>
      <c r="AD184" s="8" t="str">
        <f>'BIO DATA'!AM180:AM385</f>
        <v>Ibu Rumah Tangga</v>
      </c>
      <c r="AE184" s="8">
        <f>'BIO DATA'!AN180:AN385</f>
        <v>0</v>
      </c>
      <c r="AF184" s="52"/>
      <c r="AG184" s="8">
        <f>'BIO DATA'!AP180</f>
        <v>0</v>
      </c>
      <c r="AH184" s="8">
        <f>'BIO DATA'!AZ180</f>
        <v>0</v>
      </c>
      <c r="AI184" s="8" t="str">
        <f>'BIO DATA'!BA180</f>
        <v>Islam</v>
      </c>
      <c r="AJ184" s="8">
        <f>'BIO DATA'!BB180</f>
        <v>0</v>
      </c>
      <c r="AK184" s="8">
        <f>'BIO DATA'!BC180</f>
        <v>0</v>
      </c>
      <c r="AL184" s="8">
        <f>'BIO DATA'!BD180</f>
        <v>0</v>
      </c>
      <c r="AM184" s="8">
        <f>'BIO DATA'!BE180</f>
        <v>0</v>
      </c>
      <c r="AN184" s="8">
        <f>'BIO DATA'!BF180</f>
        <v>0</v>
      </c>
      <c r="AO184" s="8">
        <f>'BIO DATA'!BG180</f>
        <v>0</v>
      </c>
      <c r="AP184" s="54" t="s">
        <v>199</v>
      </c>
    </row>
    <row r="185" spans="1:42" s="54" customFormat="1" ht="20.100000000000001" customHeight="1" thickBot="1">
      <c r="A185" s="11" t="s">
        <v>594</v>
      </c>
      <c r="B185">
        <v>167</v>
      </c>
      <c r="C185" s="90" t="e">
        <f>'BIO DATA'!#REF!</f>
        <v>#REF!</v>
      </c>
      <c r="D185" s="90" t="e">
        <f>'BIO DATA'!#REF!</f>
        <v>#REF!</v>
      </c>
      <c r="E185" s="89" t="e">
        <f>'BIO DATA'!#REF!</f>
        <v>#REF!</v>
      </c>
      <c r="F185" s="49" t="e">
        <f>'BIO DATA'!#REF!</f>
        <v>#REF!</v>
      </c>
      <c r="G185" s="8" t="e">
        <f>'BIO DATA'!#REF!</f>
        <v>#REF!</v>
      </c>
      <c r="H185" s="51" t="e">
        <f>'BIO DATA'!#REF!</f>
        <v>#REF!</v>
      </c>
      <c r="I185" s="49" t="e">
        <f>'BIO DATA'!#REF!</f>
        <v>#REF!</v>
      </c>
      <c r="J185" s="50">
        <f>'BIO DATA'!J181:J345</f>
        <v>1</v>
      </c>
      <c r="K185" s="50">
        <f>'BIO DATA'!K181:K386</f>
        <v>0</v>
      </c>
      <c r="L185" s="8" t="str">
        <f>'BIO DATA'!T181:T345</f>
        <v>Gang Merpati 1 No 4 Karangpilang, Kota Surabaya, Jawa Timur, 60221</v>
      </c>
      <c r="M185" s="8" t="str">
        <f>'BIO DATA'!V181:V386</f>
        <v>Karangpilang</v>
      </c>
      <c r="N185" s="8" t="str">
        <f>'BIO DATA'!W181:W386</f>
        <v>Karangpilang</v>
      </c>
      <c r="O185" s="8" t="str">
        <f>'BIO DATA'!X181:X386</f>
        <v>Kota Surabaya</v>
      </c>
      <c r="P185" s="8" t="str">
        <f>'BIO DATA'!Y181:Y386</f>
        <v>Jawa Timur</v>
      </c>
      <c r="Q185" s="8" t="str">
        <f>'BIO DATA'!Z181:Z386</f>
        <v>MTs. Mu'allimin Muh. Yogyakarta</v>
      </c>
      <c r="R185" s="8" t="str">
        <f>'BIO DATA'!AA181:AA386</f>
        <v>Jl. Kemlaten Baru Utara No.43, Kebraon, Kec. Karangpilang, Kota SBY, Jawa Timur 60222</v>
      </c>
      <c r="S185" s="8">
        <f>'BIO DATA'!AB181:AB386</f>
        <v>0</v>
      </c>
      <c r="T185" s="8" t="str">
        <f>'BIO DATA'!AC181:AC386</f>
        <v>Muhammad Afifuddin Zulfitri</v>
      </c>
      <c r="U185" s="8" t="e">
        <f>'BIO DATA'!#REF!</f>
        <v>#REF!</v>
      </c>
      <c r="V185" s="8" t="str">
        <f>'BIO DATA'!AL181:AL386</f>
        <v>S2</v>
      </c>
      <c r="W185" s="8" t="str">
        <f>'BIO DATA'!AM181:AM386</f>
        <v>Dosen</v>
      </c>
      <c r="X185" s="8" t="str">
        <f>'BIO DATA'!AG181:AG386</f>
        <v>&gt; Rp 2.500.000,00</v>
      </c>
      <c r="Y185" s="69" t="s">
        <v>217</v>
      </c>
      <c r="Z185" s="8">
        <f>'BIO DATA'!AI181:AI386</f>
        <v>0</v>
      </c>
      <c r="AA185" s="8" t="str">
        <f>'BIO DATA'!AJ181:AJ386</f>
        <v>Asyidatur Rosmaniar</v>
      </c>
      <c r="AB185" s="8" t="e">
        <f>'BIO DATA'!#REF!</f>
        <v>#REF!</v>
      </c>
      <c r="AC185" s="8" t="str">
        <f>'BIO DATA'!AL181:AL386</f>
        <v>S2</v>
      </c>
      <c r="AD185" s="8" t="str">
        <f>'BIO DATA'!AM181:AM386</f>
        <v>Dosen</v>
      </c>
      <c r="AE185" s="8">
        <f>'BIO DATA'!AN181:AN386</f>
        <v>0</v>
      </c>
      <c r="AF185" s="52"/>
      <c r="AG185" s="8" t="e">
        <f>'BIO DATA'!#REF!</f>
        <v>#REF!</v>
      </c>
      <c r="AH185" s="8" t="e">
        <f>'BIO DATA'!#REF!</f>
        <v>#REF!</v>
      </c>
      <c r="AI185" s="8" t="e">
        <f>'BIO DATA'!#REF!</f>
        <v>#REF!</v>
      </c>
      <c r="AJ185" s="8" t="e">
        <f>'BIO DATA'!#REF!</f>
        <v>#REF!</v>
      </c>
      <c r="AK185" s="8" t="e">
        <f>'BIO DATA'!#REF!</f>
        <v>#REF!</v>
      </c>
      <c r="AL185" s="8" t="e">
        <f>'BIO DATA'!#REF!</f>
        <v>#REF!</v>
      </c>
      <c r="AM185" s="8" t="e">
        <f>'BIO DATA'!#REF!</f>
        <v>#REF!</v>
      </c>
      <c r="AN185" s="8" t="e">
        <f>'BIO DATA'!#REF!</f>
        <v>#REF!</v>
      </c>
      <c r="AO185" s="8" t="e">
        <f>'BIO DATA'!#REF!</f>
        <v>#REF!</v>
      </c>
      <c r="AP185" s="54" t="s">
        <v>199</v>
      </c>
    </row>
    <row r="186" spans="1:42" s="54" customFormat="1" ht="20.100000000000001" customHeight="1" thickBot="1">
      <c r="A186" s="11" t="s">
        <v>594</v>
      </c>
      <c r="B186">
        <v>170</v>
      </c>
      <c r="C186" s="90" t="e">
        <f>'BIO DATA'!#REF!</f>
        <v>#REF!</v>
      </c>
      <c r="D186" s="90" t="e">
        <f>'BIO DATA'!#REF!</f>
        <v>#REF!</v>
      </c>
      <c r="E186" s="89" t="e">
        <f>'BIO DATA'!#REF!</f>
        <v>#REF!</v>
      </c>
      <c r="F186" s="49" t="e">
        <f>'BIO DATA'!#REF!</f>
        <v>#REF!</v>
      </c>
      <c r="G186" s="8" t="e">
        <f>'BIO DATA'!#REF!</f>
        <v>#REF!</v>
      </c>
      <c r="H186" s="51" t="e">
        <f>'BIO DATA'!#REF!</f>
        <v>#REF!</v>
      </c>
      <c r="I186" s="49" t="e">
        <f>'BIO DATA'!#REF!</f>
        <v>#REF!</v>
      </c>
      <c r="J186" s="50">
        <f>'BIO DATA'!J182:J346</f>
        <v>3</v>
      </c>
      <c r="K186" s="50">
        <f>'BIO DATA'!K182:K387</f>
        <v>2</v>
      </c>
      <c r="L186" s="8" t="str">
        <f>'BIO DATA'!T182:T346</f>
        <v>Jln Pisang No 647 RT 07/RW 03 Tambakreja Cilacap Selatan, Cilacap Jawa Tengah 53213, Jawa Tengah, 53213</v>
      </c>
      <c r="M186" s="8" t="str">
        <f>'BIO DATA'!V182:V387</f>
        <v>Tambakreja</v>
      </c>
      <c r="N186" s="8" t="str">
        <f>'BIO DATA'!W182:W387</f>
        <v xml:space="preserve">Cilacap Selatan </v>
      </c>
      <c r="O186" s="8" t="str">
        <f>'BIO DATA'!X182:X387</f>
        <v>Cilacap</v>
      </c>
      <c r="P186" s="8" t="str">
        <f>'BIO DATA'!Y182:Y387</f>
        <v>Jawa Tengah</v>
      </c>
      <c r="Q186" s="8" t="str">
        <f>'BIO DATA'!Z182:Z387</f>
        <v>MTs. Mu'allimin Muh. Yogyakarta</v>
      </c>
      <c r="R186" s="8" t="str">
        <f>'BIO DATA'!AA182:AA387</f>
        <v>Jl. Masjid No.4, Cilacap, Sidanegara, Kec. Cilacap Tengah, Kabupaten Cilacap, Jawa Tengah 53212</v>
      </c>
      <c r="S186" s="8">
        <f>'BIO DATA'!AB182:AB387</f>
        <v>0</v>
      </c>
      <c r="T186" s="8" t="str">
        <f>'BIO DATA'!AC182:AC387</f>
        <v>H. Deny Setiawan Wayoi , S.E., M.Pd.</v>
      </c>
      <c r="U186" s="8" t="e">
        <f>'BIO DATA'!#REF!</f>
        <v>#REF!</v>
      </c>
      <c r="V186" s="8" t="str">
        <f>'BIO DATA'!AL182:AL387</f>
        <v>Diploma</v>
      </c>
      <c r="W186" s="8" t="str">
        <f>'BIO DATA'!AM182:AM387</f>
        <v>Ibu Rumah Tangga</v>
      </c>
      <c r="X186" s="8" t="str">
        <f>'BIO DATA'!AG182:AG387</f>
        <v>&gt; Rp 2.500.000,00</v>
      </c>
      <c r="Y186" s="69" t="s">
        <v>217</v>
      </c>
      <c r="Z186" s="8">
        <f>'BIO DATA'!AI182:AI387</f>
        <v>0</v>
      </c>
      <c r="AA186" s="8" t="str">
        <f>'BIO DATA'!AJ182:AJ387</f>
        <v>Fanti Rosalina</v>
      </c>
      <c r="AB186" s="8" t="e">
        <f>'BIO DATA'!#REF!</f>
        <v>#REF!</v>
      </c>
      <c r="AC186" s="8" t="str">
        <f>'BIO DATA'!AL182:AL387</f>
        <v>Diploma</v>
      </c>
      <c r="AD186" s="8" t="str">
        <f>'BIO DATA'!AM182:AM387</f>
        <v>Ibu Rumah Tangga</v>
      </c>
      <c r="AE186" s="8">
        <f>'BIO DATA'!AN182:AN387</f>
        <v>0</v>
      </c>
      <c r="AF186" s="52"/>
      <c r="AG186" s="8" t="e">
        <f>'BIO DATA'!#REF!</f>
        <v>#REF!</v>
      </c>
      <c r="AH186" s="8" t="e">
        <f>'BIO DATA'!#REF!</f>
        <v>#REF!</v>
      </c>
      <c r="AI186" s="8" t="e">
        <f>'BIO DATA'!#REF!</f>
        <v>#REF!</v>
      </c>
      <c r="AJ186" s="8" t="e">
        <f>'BIO DATA'!#REF!</f>
        <v>#REF!</v>
      </c>
      <c r="AK186" s="8" t="e">
        <f>'BIO DATA'!#REF!</f>
        <v>#REF!</v>
      </c>
      <c r="AL186" s="8" t="e">
        <f>'BIO DATA'!#REF!</f>
        <v>#REF!</v>
      </c>
      <c r="AM186" s="8" t="e">
        <f>'BIO DATA'!#REF!</f>
        <v>#REF!</v>
      </c>
      <c r="AN186" s="8" t="e">
        <f>'BIO DATA'!#REF!</f>
        <v>#REF!</v>
      </c>
      <c r="AO186" s="8" t="e">
        <f>'BIO DATA'!#REF!</f>
        <v>#REF!</v>
      </c>
      <c r="AP186" s="54" t="s">
        <v>199</v>
      </c>
    </row>
    <row r="187" spans="1:42" s="54" customFormat="1" ht="20.100000000000001" customHeight="1" thickBot="1">
      <c r="A187" s="11" t="s">
        <v>594</v>
      </c>
      <c r="B187">
        <v>181</v>
      </c>
      <c r="C187" s="90" t="e">
        <f>'BIO DATA'!#REF!</f>
        <v>#REF!</v>
      </c>
      <c r="D187" s="90" t="e">
        <f>'BIO DATA'!#REF!</f>
        <v>#REF!</v>
      </c>
      <c r="E187" s="89" t="e">
        <f>'BIO DATA'!#REF!</f>
        <v>#REF!</v>
      </c>
      <c r="F187" s="49" t="e">
        <f>'BIO DATA'!#REF!</f>
        <v>#REF!</v>
      </c>
      <c r="G187" s="8" t="e">
        <f>'BIO DATA'!#REF!</f>
        <v>#REF!</v>
      </c>
      <c r="H187" s="51" t="e">
        <f>'BIO DATA'!#REF!</f>
        <v>#REF!</v>
      </c>
      <c r="I187" s="49" t="e">
        <f>'BIO DATA'!#REF!</f>
        <v>#REF!</v>
      </c>
      <c r="J187" s="50">
        <f>'BIO DATA'!J183:J347</f>
        <v>3</v>
      </c>
      <c r="K187" s="50">
        <f>'BIO DATA'!K183:K388</f>
        <v>2</v>
      </c>
      <c r="L187" s="8" t="str">
        <f>'BIO DATA'!T183:T347</f>
        <v>Kelurahan Karangtengah RT 02 RW 1 Kecamatan Banjarnegara Kabupaten Banjarnegara , Jawa Tengah, 53416</v>
      </c>
      <c r="M187" s="8" t="str">
        <f>'BIO DATA'!V183:V388</f>
        <v>Karangtengah</v>
      </c>
      <c r="N187" s="8" t="str">
        <f>'BIO DATA'!W183:W388</f>
        <v>Banjarnegara</v>
      </c>
      <c r="O187" s="8" t="str">
        <f>'BIO DATA'!X183:X388</f>
        <v xml:space="preserve">Banjarnegara </v>
      </c>
      <c r="P187" s="8" t="str">
        <f>'BIO DATA'!Y183:Y388</f>
        <v>Jawa Tengah</v>
      </c>
      <c r="Q187" s="8" t="str">
        <f>'BIO DATA'!Z183:Z388</f>
        <v>MTs. Mu'allimin Muh. Yogyakarta</v>
      </c>
      <c r="R187" s="8" t="str">
        <f>'BIO DATA'!AA183:AA388</f>
        <v>Jl. Pemuda No.61A, Semarang, Kec. Banjarnegara, Kab. Banjarnegara, Jawa Tengah 53411</v>
      </c>
      <c r="S187" s="8">
        <f>'BIO DATA'!AB183:AB388</f>
        <v>0</v>
      </c>
      <c r="T187" s="8" t="str">
        <f>'BIO DATA'!AC183:AC388</f>
        <v>Syarief Ali</v>
      </c>
      <c r="U187" s="8" t="e">
        <f>'BIO DATA'!#REF!</f>
        <v>#REF!</v>
      </c>
      <c r="V187" s="8" t="str">
        <f>'BIO DATA'!AL183:AL388</f>
        <v>S1</v>
      </c>
      <c r="W187" s="8" t="str">
        <f>'BIO DATA'!AM183:AM388</f>
        <v>PNS</v>
      </c>
      <c r="X187" s="8" t="str">
        <f>'BIO DATA'!AG183:AG388</f>
        <v>&gt; Rp 2.500.000,00</v>
      </c>
      <c r="Y187" s="69" t="s">
        <v>217</v>
      </c>
      <c r="Z187" s="8">
        <f>'BIO DATA'!AI183:AI388</f>
        <v>0</v>
      </c>
      <c r="AA187" s="8" t="str">
        <f>'BIO DATA'!AJ183:AJ388</f>
        <v>Ida Haerani Rakhmawati</v>
      </c>
      <c r="AB187" s="8" t="e">
        <f>'BIO DATA'!#REF!</f>
        <v>#REF!</v>
      </c>
      <c r="AC187" s="8" t="str">
        <f>'BIO DATA'!AL183:AL388</f>
        <v>S1</v>
      </c>
      <c r="AD187" s="8" t="str">
        <f>'BIO DATA'!AM183:AM388</f>
        <v>PNS</v>
      </c>
      <c r="AE187" s="8">
        <f>'BIO DATA'!AN183:AN388</f>
        <v>0</v>
      </c>
      <c r="AF187" s="52"/>
      <c r="AG187" s="8" t="e">
        <f>'BIO DATA'!#REF!</f>
        <v>#REF!</v>
      </c>
      <c r="AH187" s="8" t="e">
        <f>'BIO DATA'!#REF!</f>
        <v>#REF!</v>
      </c>
      <c r="AI187" s="8" t="e">
        <f>'BIO DATA'!#REF!</f>
        <v>#REF!</v>
      </c>
      <c r="AJ187" s="8" t="e">
        <f>'BIO DATA'!#REF!</f>
        <v>#REF!</v>
      </c>
      <c r="AK187" s="8" t="e">
        <f>'BIO DATA'!#REF!</f>
        <v>#REF!</v>
      </c>
      <c r="AL187" s="8" t="e">
        <f>'BIO DATA'!#REF!</f>
        <v>#REF!</v>
      </c>
      <c r="AM187" s="8" t="e">
        <f>'BIO DATA'!#REF!</f>
        <v>#REF!</v>
      </c>
      <c r="AN187" s="8" t="e">
        <f>'BIO DATA'!#REF!</f>
        <v>#REF!</v>
      </c>
      <c r="AO187" s="8" t="e">
        <f>'BIO DATA'!#REF!</f>
        <v>#REF!</v>
      </c>
      <c r="AP187" s="54" t="s">
        <v>199</v>
      </c>
    </row>
    <row r="188" spans="1:42" s="54" customFormat="1" ht="20.100000000000001" customHeight="1" thickBot="1">
      <c r="A188" s="11" t="s">
        <v>594</v>
      </c>
      <c r="B188">
        <v>205</v>
      </c>
      <c r="C188" s="90" t="e">
        <f>'BIO DATA'!#REF!</f>
        <v>#REF!</v>
      </c>
      <c r="D188" s="90" t="e">
        <f>'BIO DATA'!#REF!</f>
        <v>#REF!</v>
      </c>
      <c r="E188" s="89" t="e">
        <f>'BIO DATA'!#REF!</f>
        <v>#REF!</v>
      </c>
      <c r="F188" s="49" t="e">
        <f>'BIO DATA'!#REF!</f>
        <v>#REF!</v>
      </c>
      <c r="G188" s="8" t="e">
        <f>'BIO DATA'!#REF!</f>
        <v>#REF!</v>
      </c>
      <c r="H188" s="51" t="e">
        <f>'BIO DATA'!#REF!</f>
        <v>#REF!</v>
      </c>
      <c r="I188" s="49" t="e">
        <f>'BIO DATA'!#REF!</f>
        <v>#REF!</v>
      </c>
      <c r="J188" s="50">
        <f>'BIO DATA'!J184:J348</f>
        <v>0</v>
      </c>
      <c r="K188" s="50">
        <f>'BIO DATA'!K184:K389</f>
        <v>0</v>
      </c>
      <c r="L188" s="8" t="str">
        <f>'BIO DATA'!T184:T348</f>
        <v>Prancak Dukuh, RT. 003/RW. 000, Panggungharjo, Sewon, Bantul, DI Yogyakarta, 55185</v>
      </c>
      <c r="M188" s="8" t="str">
        <f>'BIO DATA'!V184:V389</f>
        <v>Panggungharjo</v>
      </c>
      <c r="N188" s="8" t="str">
        <f>'BIO DATA'!W184:W389</f>
        <v>Sewon</v>
      </c>
      <c r="O188" s="8" t="str">
        <f>'BIO DATA'!X184:X389</f>
        <v>Bantul</v>
      </c>
      <c r="P188" s="8" t="str">
        <f>'BIO DATA'!Y184:Y389</f>
        <v>DI Yogyakarta</v>
      </c>
      <c r="Q188" s="8" t="str">
        <f>'BIO DATA'!Z184:Z389</f>
        <v>MTs. Mu'allimin Muh. Yogyakarta</v>
      </c>
      <c r="R188" s="8" t="str">
        <f>'BIO DATA'!AA184:AA389</f>
        <v>Gg. Melati II, Krapyak Kulon, Panggungharjo, Kec. Sewon, Kabupaten Bantul, Daerah Istimewa Yogyakarta 55188</v>
      </c>
      <c r="S188" s="8">
        <f>'BIO DATA'!AB184:AB389</f>
        <v>0</v>
      </c>
      <c r="T188" s="8" t="str">
        <f>'BIO DATA'!AC184:AC389</f>
        <v>Asep Maulana Hakim</v>
      </c>
      <c r="U188" s="8" t="e">
        <f>'BIO DATA'!#REF!</f>
        <v>#REF!</v>
      </c>
      <c r="V188" s="8">
        <f>'BIO DATA'!AL184:AL389</f>
        <v>0</v>
      </c>
      <c r="W188" s="8">
        <f>'BIO DATA'!AM184:AM389</f>
        <v>0</v>
      </c>
      <c r="X188" s="8">
        <f>'BIO DATA'!AG184:AG389</f>
        <v>0</v>
      </c>
      <c r="Y188" s="69" t="s">
        <v>217</v>
      </c>
      <c r="Z188" s="8">
        <f>'BIO DATA'!AI184:AI389</f>
        <v>0</v>
      </c>
      <c r="AA188" s="8" t="str">
        <f>'BIO DATA'!AJ184:AJ389</f>
        <v>Weli Damayanti</v>
      </c>
      <c r="AB188" s="8" t="e">
        <f>'BIO DATA'!#REF!</f>
        <v>#REF!</v>
      </c>
      <c r="AC188" s="8">
        <f>'BIO DATA'!AL184:AL389</f>
        <v>0</v>
      </c>
      <c r="AD188" s="8">
        <f>'BIO DATA'!AM184:AM389</f>
        <v>0</v>
      </c>
      <c r="AE188" s="8">
        <f>'BIO DATA'!AN184:AN389</f>
        <v>0</v>
      </c>
      <c r="AF188" s="52"/>
      <c r="AG188" s="8" t="e">
        <f>'BIO DATA'!#REF!</f>
        <v>#REF!</v>
      </c>
      <c r="AH188" s="8" t="e">
        <f>'BIO DATA'!#REF!</f>
        <v>#REF!</v>
      </c>
      <c r="AI188" s="8" t="e">
        <f>'BIO DATA'!#REF!</f>
        <v>#REF!</v>
      </c>
      <c r="AJ188" s="8" t="e">
        <f>'BIO DATA'!#REF!</f>
        <v>#REF!</v>
      </c>
      <c r="AK188" s="8" t="e">
        <f>'BIO DATA'!#REF!</f>
        <v>#REF!</v>
      </c>
      <c r="AL188" s="8" t="e">
        <f>'BIO DATA'!#REF!</f>
        <v>#REF!</v>
      </c>
      <c r="AM188" s="8" t="e">
        <f>'BIO DATA'!#REF!</f>
        <v>#REF!</v>
      </c>
      <c r="AN188" s="8" t="e">
        <f>'BIO DATA'!#REF!</f>
        <v>#REF!</v>
      </c>
      <c r="AO188" s="8" t="e">
        <f>'BIO DATA'!#REF!</f>
        <v>#REF!</v>
      </c>
      <c r="AP188" s="54" t="s">
        <v>199</v>
      </c>
    </row>
    <row r="189" spans="1:42" s="54" customFormat="1" ht="20.100000000000001" customHeight="1" thickBot="1">
      <c r="A189" s="11" t="s">
        <v>594</v>
      </c>
      <c r="B189">
        <v>207</v>
      </c>
      <c r="C189" s="90" t="e">
        <f>'BIO DATA'!#REF!</f>
        <v>#REF!</v>
      </c>
      <c r="D189" s="90" t="e">
        <f>'BIO DATA'!#REF!</f>
        <v>#REF!</v>
      </c>
      <c r="E189" s="89" t="e">
        <f>'BIO DATA'!#REF!</f>
        <v>#REF!</v>
      </c>
      <c r="F189" s="49" t="e">
        <f>'BIO DATA'!#REF!</f>
        <v>#REF!</v>
      </c>
      <c r="G189" s="8" t="e">
        <f>'BIO DATA'!#REF!</f>
        <v>#REF!</v>
      </c>
      <c r="H189" s="51" t="e">
        <f>'BIO DATA'!#REF!</f>
        <v>#REF!</v>
      </c>
      <c r="I189" s="49" t="e">
        <f>'BIO DATA'!#REF!</f>
        <v>#REF!</v>
      </c>
      <c r="J189" s="50">
        <f>'BIO DATA'!J185:J349</f>
        <v>2</v>
      </c>
      <c r="K189" s="50">
        <f>'BIO DATA'!K185:K390</f>
        <v>3</v>
      </c>
      <c r="L189" s="8" t="str">
        <f>'BIO DATA'!T185:T349</f>
        <v>Taman Graha Indah Lestari Blok A-1, Jalan Cinduamato, Kampung Lapai, Nanggalo, Padang, Sumatera Barat, 25142</v>
      </c>
      <c r="M189" s="8" t="str">
        <f>'BIO DATA'!V185:V390</f>
        <v>Kampung Lapai</v>
      </c>
      <c r="N189" s="8" t="str">
        <f>'BIO DATA'!W185:W390</f>
        <v>Nanggalo</v>
      </c>
      <c r="O189" s="8" t="str">
        <f>'BIO DATA'!X185:X390</f>
        <v>Padang</v>
      </c>
      <c r="P189" s="8" t="str">
        <f>'BIO DATA'!Y185:Y390</f>
        <v>Sumatera Barat</v>
      </c>
      <c r="Q189" s="8" t="str">
        <f>'BIO DATA'!Z185:Z390</f>
        <v>MTs. Mu'allimin Muh. Yogyakarta</v>
      </c>
      <c r="R189" s="8">
        <f>'BIO DATA'!AA185:AA390</f>
        <v>0</v>
      </c>
      <c r="S189" s="8">
        <f>'BIO DATA'!AB185:AB390</f>
        <v>0</v>
      </c>
      <c r="T189" s="8" t="str">
        <f>'BIO DATA'!AC185:AC390</f>
        <v>Muhammad Najmi</v>
      </c>
      <c r="U189" s="8" t="e">
        <f>'BIO DATA'!#REF!</f>
        <v>#REF!</v>
      </c>
      <c r="V189" s="8" t="str">
        <f>'BIO DATA'!AL185:AL390</f>
        <v>S1</v>
      </c>
      <c r="W189" s="8" t="str">
        <f>'BIO DATA'!AM185:AM390</f>
        <v>Wiraswasta</v>
      </c>
      <c r="X189" s="8" t="str">
        <f>'BIO DATA'!AG185:AG390</f>
        <v>&gt; Rp 2.500.000,00</v>
      </c>
      <c r="Y189" s="69" t="s">
        <v>217</v>
      </c>
      <c r="Z189" s="8">
        <f>'BIO DATA'!AI185:AI390</f>
        <v>0</v>
      </c>
      <c r="AA189" s="8" t="str">
        <f>'BIO DATA'!AJ185:AJ390</f>
        <v>Nurlaili</v>
      </c>
      <c r="AB189" s="8" t="e">
        <f>'BIO DATA'!#REF!</f>
        <v>#REF!</v>
      </c>
      <c r="AC189" s="8" t="str">
        <f>'BIO DATA'!AL185:AL390</f>
        <v>S1</v>
      </c>
      <c r="AD189" s="8" t="str">
        <f>'BIO DATA'!AM185:AM390</f>
        <v>Wiraswasta</v>
      </c>
      <c r="AE189" s="8">
        <f>'BIO DATA'!AN185:AN390</f>
        <v>0</v>
      </c>
      <c r="AF189" s="52"/>
      <c r="AG189" s="8" t="e">
        <f>'BIO DATA'!#REF!</f>
        <v>#REF!</v>
      </c>
      <c r="AH189" s="8" t="e">
        <f>'BIO DATA'!#REF!</f>
        <v>#REF!</v>
      </c>
      <c r="AI189" s="8" t="e">
        <f>'BIO DATA'!#REF!</f>
        <v>#REF!</v>
      </c>
      <c r="AJ189" s="8" t="e">
        <f>'BIO DATA'!#REF!</f>
        <v>#REF!</v>
      </c>
      <c r="AK189" s="8" t="e">
        <f>'BIO DATA'!#REF!</f>
        <v>#REF!</v>
      </c>
      <c r="AL189" s="8" t="e">
        <f>'BIO DATA'!#REF!</f>
        <v>#REF!</v>
      </c>
      <c r="AM189" s="8" t="e">
        <f>'BIO DATA'!#REF!</f>
        <v>#REF!</v>
      </c>
      <c r="AN189" s="8" t="e">
        <f>'BIO DATA'!#REF!</f>
        <v>#REF!</v>
      </c>
      <c r="AO189" s="8" t="e">
        <f>'BIO DATA'!#REF!</f>
        <v>#REF!</v>
      </c>
      <c r="AP189" s="54" t="s">
        <v>199</v>
      </c>
    </row>
    <row r="190" spans="1:42" s="54" customFormat="1" ht="20.100000000000001" customHeight="1" thickBot="1">
      <c r="A190" s="11" t="s">
        <v>594</v>
      </c>
      <c r="B190">
        <v>218</v>
      </c>
      <c r="C190" s="90" t="e">
        <f>'BIO DATA'!#REF!</f>
        <v>#REF!</v>
      </c>
      <c r="D190" s="90" t="e">
        <f>'BIO DATA'!#REF!</f>
        <v>#REF!</v>
      </c>
      <c r="E190" s="89" t="e">
        <f>'BIO DATA'!#REF!</f>
        <v>#REF!</v>
      </c>
      <c r="F190" s="49" t="e">
        <f>'BIO DATA'!#REF!</f>
        <v>#REF!</v>
      </c>
      <c r="G190" s="8" t="e">
        <f>'BIO DATA'!#REF!</f>
        <v>#REF!</v>
      </c>
      <c r="H190" s="51" t="e">
        <f>'BIO DATA'!#REF!</f>
        <v>#REF!</v>
      </c>
      <c r="I190" s="49" t="e">
        <f>'BIO DATA'!#REF!</f>
        <v>#REF!</v>
      </c>
      <c r="J190" s="50">
        <f>'BIO DATA'!J186:J350</f>
        <v>1</v>
      </c>
      <c r="K190" s="50">
        <f>'BIO DATA'!K186:K391</f>
        <v>2</v>
      </c>
      <c r="L190" s="8" t="str">
        <f>'BIO DATA'!T186:T350</f>
        <v>Jl Kartini No 28 RT 26 Kel. Loa Ipuh Kec. Tenggarong Kab. Kutai Kartanegara Kalimantan Timur 75513</v>
      </c>
      <c r="M190" s="8" t="str">
        <f>'BIO DATA'!V186:V391</f>
        <v>Loa Ipuh</v>
      </c>
      <c r="N190" s="8" t="str">
        <f>'BIO DATA'!W186:W391</f>
        <v>Tenggarong</v>
      </c>
      <c r="O190" s="8" t="str">
        <f>'BIO DATA'!X186:X391</f>
        <v>Kutai Kartanegara</v>
      </c>
      <c r="P190" s="8" t="str">
        <f>'BIO DATA'!Y186:Y391</f>
        <v>Kalimantan Timur</v>
      </c>
      <c r="Q190" s="8" t="str">
        <f>'BIO DATA'!Z186:Z391</f>
        <v>MTs. Mu'allimin Muh. Yogyakarta</v>
      </c>
      <c r="R190" s="8" t="str">
        <f>'BIO DATA'!AA186:AA391</f>
        <v>Jl. KH Ahmad Dahlan, Baru, Kec. Tenggarong, Kabupaten Kutai Kartanegara, Kalimantan Timur 75513</v>
      </c>
      <c r="S190" s="8">
        <f>'BIO DATA'!AB186:AB391</f>
        <v>0</v>
      </c>
      <c r="T190" s="8" t="str">
        <f>'BIO DATA'!AC186:AC391</f>
        <v>Yanika Noor Mulyarandy</v>
      </c>
      <c r="U190" s="8" t="e">
        <f>'BIO DATA'!#REF!</f>
        <v>#REF!</v>
      </c>
      <c r="V190" s="8" t="str">
        <f>'BIO DATA'!AL186:AL391</f>
        <v>S1</v>
      </c>
      <c r="W190" s="8" t="str">
        <f>'BIO DATA'!AM186:AM391</f>
        <v>Wiraswasta</v>
      </c>
      <c r="X190" s="8" t="str">
        <f>'BIO DATA'!AG186:AG391</f>
        <v>&gt; Rp 2.500.000,00</v>
      </c>
      <c r="Y190" s="69" t="s">
        <v>217</v>
      </c>
      <c r="Z190" s="8">
        <f>'BIO DATA'!AI186:AI391</f>
        <v>0</v>
      </c>
      <c r="AA190" s="8" t="str">
        <f>'BIO DATA'!AJ186:AJ391</f>
        <v>Yuliana Agustiana</v>
      </c>
      <c r="AB190" s="8" t="e">
        <f>'BIO DATA'!#REF!</f>
        <v>#REF!</v>
      </c>
      <c r="AC190" s="8" t="str">
        <f>'BIO DATA'!AL186:AL391</f>
        <v>S1</v>
      </c>
      <c r="AD190" s="8" t="str">
        <f>'BIO DATA'!AM186:AM391</f>
        <v>Wiraswasta</v>
      </c>
      <c r="AE190" s="8">
        <f>'BIO DATA'!AN186:AN391</f>
        <v>0</v>
      </c>
      <c r="AF190" s="52"/>
      <c r="AG190" s="8" t="e">
        <f>'BIO DATA'!#REF!</f>
        <v>#REF!</v>
      </c>
      <c r="AH190" s="8" t="e">
        <f>'BIO DATA'!#REF!</f>
        <v>#REF!</v>
      </c>
      <c r="AI190" s="8" t="e">
        <f>'BIO DATA'!#REF!</f>
        <v>#REF!</v>
      </c>
      <c r="AJ190" s="8" t="e">
        <f>'BIO DATA'!#REF!</f>
        <v>#REF!</v>
      </c>
      <c r="AK190" s="8" t="e">
        <f>'BIO DATA'!#REF!</f>
        <v>#REF!</v>
      </c>
      <c r="AL190" s="8" t="e">
        <f>'BIO DATA'!#REF!</f>
        <v>#REF!</v>
      </c>
      <c r="AM190" s="8" t="e">
        <f>'BIO DATA'!#REF!</f>
        <v>#REF!</v>
      </c>
      <c r="AN190" s="8" t="e">
        <f>'BIO DATA'!#REF!</f>
        <v>#REF!</v>
      </c>
      <c r="AO190" s="8" t="e">
        <f>'BIO DATA'!#REF!</f>
        <v>#REF!</v>
      </c>
      <c r="AP190" s="54" t="s">
        <v>199</v>
      </c>
    </row>
    <row r="191" spans="1:42" s="54" customFormat="1" ht="20.100000000000001" customHeight="1" thickBot="1">
      <c r="A191" s="11" t="s">
        <v>594</v>
      </c>
      <c r="B191">
        <v>247</v>
      </c>
      <c r="C191" s="90" t="e">
        <f>'BIO DATA'!#REF!</f>
        <v>#REF!</v>
      </c>
      <c r="D191" s="90" t="e">
        <f>'BIO DATA'!#REF!</f>
        <v>#REF!</v>
      </c>
      <c r="E191" s="89" t="e">
        <f>'BIO DATA'!#REF!</f>
        <v>#REF!</v>
      </c>
      <c r="F191" s="49" t="e">
        <f>'BIO DATA'!#REF!</f>
        <v>#REF!</v>
      </c>
      <c r="G191" s="8" t="e">
        <f>'BIO DATA'!#REF!</f>
        <v>#REF!</v>
      </c>
      <c r="H191" s="51" t="e">
        <f>'BIO DATA'!#REF!</f>
        <v>#REF!</v>
      </c>
      <c r="I191" s="49" t="e">
        <f>'BIO DATA'!#REF!</f>
        <v>#REF!</v>
      </c>
      <c r="J191" s="50">
        <f>'BIO DATA'!J187:J351</f>
        <v>1</v>
      </c>
      <c r="K191" s="50">
        <f>'BIO DATA'!K187:K392</f>
        <v>0</v>
      </c>
      <c r="L191" s="8" t="str">
        <f>'BIO DATA'!T187:T351</f>
        <v>Perumahan Reni Jaya, Jl. Pinus Raya Blok AG. 7, No. 6, RT. 005, RW. 021, Kecamatan Pamulang, Kelurahan Pamulang Barat, Kota Tangerang Selatan Banten 15435</v>
      </c>
      <c r="M191" s="8" t="str">
        <f>'BIO DATA'!V187:V392</f>
        <v>Pamulang Barat</v>
      </c>
      <c r="N191" s="8" t="str">
        <f>'BIO DATA'!W187:W392</f>
        <v>Pamulang</v>
      </c>
      <c r="O191" s="8" t="str">
        <f>'BIO DATA'!X187:X392</f>
        <v>Kota Tangerang Selatan</v>
      </c>
      <c r="P191" s="8" t="str">
        <f>'BIO DATA'!Y187:Y392</f>
        <v>Banten</v>
      </c>
      <c r="Q191" s="8" t="str">
        <f>'BIO DATA'!Z187:Z392</f>
        <v>MTs. Mu'allimin Muh. Yogyakarta</v>
      </c>
      <c r="R191" s="8" t="str">
        <f>'BIO DATA'!AA187:AA392</f>
        <v>Jl. Surya Kencana No.29, RT.5/RW.5, Pamulang Bar., Kec. Pamulang, Kota Tangerang Selatan, Banten 15417</v>
      </c>
      <c r="S191" s="8">
        <f>'BIO DATA'!AB187:AB392</f>
        <v>0</v>
      </c>
      <c r="T191" s="8" t="str">
        <f>'BIO DATA'!AC187:AC392</f>
        <v>Azis Fahri Pasaribu</v>
      </c>
      <c r="U191" s="8" t="e">
        <f>'BIO DATA'!#REF!</f>
        <v>#REF!</v>
      </c>
      <c r="V191" s="8" t="str">
        <f>'BIO DATA'!AL187:AL392</f>
        <v>SMA</v>
      </c>
      <c r="W191" s="8" t="str">
        <f>'BIO DATA'!AM187:AM392</f>
        <v>Ibu Rumah Tangga</v>
      </c>
      <c r="X191" s="8" t="str">
        <f>'BIO DATA'!AG187:AG392</f>
        <v>&gt; Rp 2.500.000,00</v>
      </c>
      <c r="Y191" s="69" t="s">
        <v>217</v>
      </c>
      <c r="Z191" s="8">
        <f>'BIO DATA'!AI187:AI392</f>
        <v>0</v>
      </c>
      <c r="AA191" s="8" t="str">
        <f>'BIO DATA'!AJ187:AJ392</f>
        <v>Inayah</v>
      </c>
      <c r="AB191" s="8" t="e">
        <f>'BIO DATA'!#REF!</f>
        <v>#REF!</v>
      </c>
      <c r="AC191" s="8" t="str">
        <f>'BIO DATA'!AL187:AL392</f>
        <v>SMA</v>
      </c>
      <c r="AD191" s="8" t="str">
        <f>'BIO DATA'!AM187:AM392</f>
        <v>Ibu Rumah Tangga</v>
      </c>
      <c r="AE191" s="8">
        <f>'BIO DATA'!AN187:AN392</f>
        <v>0</v>
      </c>
      <c r="AF191" s="52"/>
      <c r="AG191" s="8" t="e">
        <f>'BIO DATA'!#REF!</f>
        <v>#REF!</v>
      </c>
      <c r="AH191" s="8" t="e">
        <f>'BIO DATA'!#REF!</f>
        <v>#REF!</v>
      </c>
      <c r="AI191" s="8" t="e">
        <f>'BIO DATA'!#REF!</f>
        <v>#REF!</v>
      </c>
      <c r="AJ191" s="8" t="e">
        <f>'BIO DATA'!#REF!</f>
        <v>#REF!</v>
      </c>
      <c r="AK191" s="8" t="e">
        <f>'BIO DATA'!#REF!</f>
        <v>#REF!</v>
      </c>
      <c r="AL191" s="8" t="e">
        <f>'BIO DATA'!#REF!</f>
        <v>#REF!</v>
      </c>
      <c r="AM191" s="8" t="e">
        <f>'BIO DATA'!#REF!</f>
        <v>#REF!</v>
      </c>
      <c r="AN191" s="8" t="e">
        <f>'BIO DATA'!#REF!</f>
        <v>#REF!</v>
      </c>
      <c r="AO191" s="8" t="e">
        <f>'BIO DATA'!#REF!</f>
        <v>#REF!</v>
      </c>
      <c r="AP191" s="54" t="s">
        <v>199</v>
      </c>
    </row>
    <row r="192" spans="1:42" s="54" customFormat="1" ht="20.100000000000001" customHeight="1" thickBot="1">
      <c r="A192" s="11" t="s">
        <v>594</v>
      </c>
      <c r="B192">
        <v>263</v>
      </c>
      <c r="C192" s="90" t="e">
        <f>'BIO DATA'!#REF!</f>
        <v>#REF!</v>
      </c>
      <c r="D192" s="90" t="e">
        <f>'BIO DATA'!#REF!</f>
        <v>#REF!</v>
      </c>
      <c r="E192" s="89" t="e">
        <f>'BIO DATA'!#REF!</f>
        <v>#REF!</v>
      </c>
      <c r="F192" s="49" t="e">
        <f>'BIO DATA'!#REF!</f>
        <v>#REF!</v>
      </c>
      <c r="G192" s="8" t="e">
        <f>'BIO DATA'!#REF!</f>
        <v>#REF!</v>
      </c>
      <c r="H192" s="51" t="e">
        <f>'BIO DATA'!#REF!</f>
        <v>#REF!</v>
      </c>
      <c r="I192" s="49" t="e">
        <f>'BIO DATA'!#REF!</f>
        <v>#REF!</v>
      </c>
      <c r="J192" s="50">
        <f>'BIO DATA'!J188:J352</f>
        <v>2</v>
      </c>
      <c r="K192" s="50">
        <f>'BIO DATA'!K188:K393</f>
        <v>3</v>
      </c>
      <c r="L192" s="8" t="str">
        <f>'BIO DATA'!T188:T352</f>
        <v>Perum Griya kencana Permai Jl. Wates Km11, RT 38, Bandut Lor, Argorejo, Sedayu, Bantul, DI Yogyakarta, 55752</v>
      </c>
      <c r="M192" s="8" t="str">
        <f>'BIO DATA'!V188:V393</f>
        <v>Argorejo</v>
      </c>
      <c r="N192" s="8" t="str">
        <f>'BIO DATA'!W188:W393</f>
        <v>Sedayu</v>
      </c>
      <c r="O192" s="8" t="str">
        <f>'BIO DATA'!X188:X393</f>
        <v>Yogyakarta</v>
      </c>
      <c r="P192" s="8" t="str">
        <f>'BIO DATA'!Y188:Y393</f>
        <v>DI Yogyakarta</v>
      </c>
      <c r="Q192" s="8" t="str">
        <f>'BIO DATA'!Z188:Z393</f>
        <v>MTs. Mu'allimin Muh. Yogyakarta</v>
      </c>
      <c r="R192" s="8" t="str">
        <f>'BIO DATA'!AA188:AA393</f>
        <v>Bandut Lor, Argorejo, Kec. Sedayu, Kabupaten Bantul, DI Yogyakarta 55752</v>
      </c>
      <c r="S192" s="8">
        <f>'BIO DATA'!AB188:AB393</f>
        <v>0</v>
      </c>
      <c r="T192" s="8" t="str">
        <f>'BIO DATA'!AC188:AC393</f>
        <v>Irfan Ari Pamungkas</v>
      </c>
      <c r="U192" s="8" t="e">
        <f>'BIO DATA'!#REF!</f>
        <v>#REF!</v>
      </c>
      <c r="V192" s="8" t="str">
        <f>'BIO DATA'!AL188:AL393</f>
        <v>Diploma</v>
      </c>
      <c r="W192" s="8" t="str">
        <f>'BIO DATA'!AM188:AM393</f>
        <v>Ibu Rumah Tangga</v>
      </c>
      <c r="X192" s="8" t="str">
        <f>'BIO DATA'!AG188:AG393</f>
        <v>&gt; Rp 2.500.000,00</v>
      </c>
      <c r="Y192" s="69" t="s">
        <v>217</v>
      </c>
      <c r="Z192" s="8">
        <f>'BIO DATA'!AI188:AI393</f>
        <v>0</v>
      </c>
      <c r="AA192" s="8" t="str">
        <f>'BIO DATA'!AJ188:AJ393</f>
        <v>Rini Setiabudi Astuti</v>
      </c>
      <c r="AB192" s="8" t="e">
        <f>'BIO DATA'!#REF!</f>
        <v>#REF!</v>
      </c>
      <c r="AC192" s="8" t="str">
        <f>'BIO DATA'!AL188:AL393</f>
        <v>Diploma</v>
      </c>
      <c r="AD192" s="8" t="str">
        <f>'BIO DATA'!AM188:AM393</f>
        <v>Ibu Rumah Tangga</v>
      </c>
      <c r="AE192" s="8">
        <f>'BIO DATA'!AN188:AN393</f>
        <v>0</v>
      </c>
      <c r="AF192" s="52"/>
      <c r="AG192" s="8" t="e">
        <f>'BIO DATA'!#REF!</f>
        <v>#REF!</v>
      </c>
      <c r="AH192" s="8" t="e">
        <f>'BIO DATA'!#REF!</f>
        <v>#REF!</v>
      </c>
      <c r="AI192" s="8" t="e">
        <f>'BIO DATA'!#REF!</f>
        <v>#REF!</v>
      </c>
      <c r="AJ192" s="8" t="e">
        <f>'BIO DATA'!#REF!</f>
        <v>#REF!</v>
      </c>
      <c r="AK192" s="8" t="e">
        <f>'BIO DATA'!#REF!</f>
        <v>#REF!</v>
      </c>
      <c r="AL192" s="8" t="e">
        <f>'BIO DATA'!#REF!</f>
        <v>#REF!</v>
      </c>
      <c r="AM192" s="8" t="e">
        <f>'BIO DATA'!#REF!</f>
        <v>#REF!</v>
      </c>
      <c r="AN192" s="8" t="e">
        <f>'BIO DATA'!#REF!</f>
        <v>#REF!</v>
      </c>
      <c r="AO192" s="8" t="e">
        <f>'BIO DATA'!#REF!</f>
        <v>#REF!</v>
      </c>
      <c r="AP192" s="54" t="s">
        <v>199</v>
      </c>
    </row>
    <row r="193" spans="1:42" s="54" customFormat="1" ht="20.100000000000001" customHeight="1" thickBot="1">
      <c r="A193" s="11" t="s">
        <v>594</v>
      </c>
      <c r="B193">
        <v>264</v>
      </c>
      <c r="C193" s="90" t="e">
        <f>'BIO DATA'!#REF!</f>
        <v>#REF!</v>
      </c>
      <c r="D193" s="90" t="e">
        <f>'BIO DATA'!#REF!</f>
        <v>#REF!</v>
      </c>
      <c r="E193" s="89" t="e">
        <f>'BIO DATA'!#REF!</f>
        <v>#REF!</v>
      </c>
      <c r="F193" s="49" t="e">
        <f>'BIO DATA'!#REF!</f>
        <v>#REF!</v>
      </c>
      <c r="G193" s="8" t="e">
        <f>'BIO DATA'!#REF!</f>
        <v>#REF!</v>
      </c>
      <c r="H193" s="51" t="e">
        <f>'BIO DATA'!#REF!</f>
        <v>#REF!</v>
      </c>
      <c r="I193" s="49" t="e">
        <f>'BIO DATA'!#REF!</f>
        <v>#REF!</v>
      </c>
      <c r="J193" s="50">
        <f>'BIO DATA'!J189:J353</f>
        <v>1</v>
      </c>
      <c r="K193" s="50">
        <f>'BIO DATA'!K189:K394</f>
        <v>2</v>
      </c>
      <c r="L193" s="8" t="str">
        <f>'BIO DATA'!T189:T353</f>
        <v>Jalan Mr Muh Yamin No 122 Depan Kejaksaan Manding Polewali mandar Sulawesi barat 91351</v>
      </c>
      <c r="M193" s="8" t="str">
        <f>'BIO DATA'!V189:V394</f>
        <v>Manding</v>
      </c>
      <c r="N193" s="8" t="str">
        <f>'BIO DATA'!W189:W394</f>
        <v>Polewali</v>
      </c>
      <c r="O193" s="8" t="str">
        <f>'BIO DATA'!X189:X394</f>
        <v>mandar</v>
      </c>
      <c r="P193" s="8" t="str">
        <f>'BIO DATA'!Y189:Y394</f>
        <v>Sulawesi barat</v>
      </c>
      <c r="Q193" s="8" t="str">
        <f>'BIO DATA'!Z189:Z394</f>
        <v>MTs. Mu'allimin Muh. Yogyakarta</v>
      </c>
      <c r="R193" s="8" t="str">
        <f>'BIO DATA'!AA189:AA394</f>
        <v xml:space="preserve"> JL. Prof. Muhamad Yamin, Pekkabata, Kec. Polewali, Kabupaten Polewali Mandar, Sulawesi Barat 91311</v>
      </c>
      <c r="S193" s="8">
        <f>'BIO DATA'!AB189:AB394</f>
        <v>0</v>
      </c>
      <c r="T193" s="8" t="str">
        <f>'BIO DATA'!AC189:AC394</f>
        <v>Andy M. Tahir</v>
      </c>
      <c r="U193" s="8" t="e">
        <f>'BIO DATA'!#REF!</f>
        <v>#REF!</v>
      </c>
      <c r="V193" s="8" t="str">
        <f>'BIO DATA'!AL189:AL394</f>
        <v>S2</v>
      </c>
      <c r="W193" s="8" t="str">
        <f>'BIO DATA'!AM189:AM394</f>
        <v>PNS</v>
      </c>
      <c r="X193" s="8" t="str">
        <f>'BIO DATA'!AG189:AG394</f>
        <v>&gt; Rp 2.500.000,00</v>
      </c>
      <c r="Y193" s="69" t="s">
        <v>217</v>
      </c>
      <c r="Z193" s="8">
        <f>'BIO DATA'!AI189:AI394</f>
        <v>0</v>
      </c>
      <c r="AA193" s="8" t="str">
        <f>'BIO DATA'!AJ189:AJ394</f>
        <v>Andi Enny.SE.M.Adm.Pemb</v>
      </c>
      <c r="AB193" s="8" t="e">
        <f>'BIO DATA'!#REF!</f>
        <v>#REF!</v>
      </c>
      <c r="AC193" s="8" t="str">
        <f>'BIO DATA'!AL189:AL394</f>
        <v>S2</v>
      </c>
      <c r="AD193" s="8" t="str">
        <f>'BIO DATA'!AM189:AM394</f>
        <v>PNS</v>
      </c>
      <c r="AE193" s="8">
        <f>'BIO DATA'!AN189:AN394</f>
        <v>0</v>
      </c>
      <c r="AF193" s="52"/>
      <c r="AG193" s="8" t="e">
        <f>'BIO DATA'!#REF!</f>
        <v>#REF!</v>
      </c>
      <c r="AH193" s="8" t="e">
        <f>'BIO DATA'!#REF!</f>
        <v>#REF!</v>
      </c>
      <c r="AI193" s="8" t="e">
        <f>'BIO DATA'!#REF!</f>
        <v>#REF!</v>
      </c>
      <c r="AJ193" s="8" t="e">
        <f>'BIO DATA'!#REF!</f>
        <v>#REF!</v>
      </c>
      <c r="AK193" s="8" t="e">
        <f>'BIO DATA'!#REF!</f>
        <v>#REF!</v>
      </c>
      <c r="AL193" s="8" t="e">
        <f>'BIO DATA'!#REF!</f>
        <v>#REF!</v>
      </c>
      <c r="AM193" s="8" t="e">
        <f>'BIO DATA'!#REF!</f>
        <v>#REF!</v>
      </c>
      <c r="AN193" s="8" t="e">
        <f>'BIO DATA'!#REF!</f>
        <v>#REF!</v>
      </c>
      <c r="AO193" s="8" t="e">
        <f>'BIO DATA'!#REF!</f>
        <v>#REF!</v>
      </c>
      <c r="AP193" s="54" t="s">
        <v>199</v>
      </c>
    </row>
    <row r="194" spans="1:42" s="54" customFormat="1" ht="20.100000000000001" customHeight="1" thickBot="1">
      <c r="A194" s="66" t="s">
        <v>595</v>
      </c>
      <c r="B194">
        <v>265</v>
      </c>
      <c r="C194" s="90" t="e">
        <f>'BIO DATA'!#REF!</f>
        <v>#REF!</v>
      </c>
      <c r="D194" s="90" t="e">
        <f>'BIO DATA'!#REF!</f>
        <v>#REF!</v>
      </c>
      <c r="E194" s="89" t="e">
        <f>'BIO DATA'!#REF!</f>
        <v>#REF!</v>
      </c>
      <c r="F194" s="49" t="e">
        <f>'BIO DATA'!#REF!</f>
        <v>#REF!</v>
      </c>
      <c r="G194" s="8" t="e">
        <f>'BIO DATA'!#REF!</f>
        <v>#REF!</v>
      </c>
      <c r="H194" s="51" t="e">
        <f>'BIO DATA'!#REF!</f>
        <v>#REF!</v>
      </c>
      <c r="I194" s="49" t="e">
        <f>'BIO DATA'!#REF!</f>
        <v>#REF!</v>
      </c>
      <c r="J194" s="50">
        <f>'BIO DATA'!J190:J354</f>
        <v>1</v>
      </c>
      <c r="K194" s="50">
        <f>'BIO DATA'!K190:K395</f>
        <v>2</v>
      </c>
      <c r="L194" s="8" t="str">
        <f>'BIO DATA'!T190:T354</f>
        <v>Jl. Pateh Kota RT. 12 No. 34 Kel. Mangkurawang Kec. Tenggarong Kab. Kutai Kartanegara, Kalimantan Timur, 75517</v>
      </c>
      <c r="M194" s="8" t="str">
        <f>'BIO DATA'!V190:V395</f>
        <v>Mangkurawang</v>
      </c>
      <c r="N194" s="8" t="str">
        <f>'BIO DATA'!W190:W395</f>
        <v>Tenggarong</v>
      </c>
      <c r="O194" s="8" t="str">
        <f>'BIO DATA'!X190:X395</f>
        <v>Kutai Kartanegara</v>
      </c>
      <c r="P194" s="8" t="str">
        <f>'BIO DATA'!Y190:Y395</f>
        <v>Kalimantan Timur</v>
      </c>
      <c r="Q194" s="8" t="str">
        <f>'BIO DATA'!Z190:Z395</f>
        <v>MTs. Mu'allimin Muh. Yogyakarta</v>
      </c>
      <c r="R194" s="8" t="str">
        <f>'BIO DATA'!AA190:AA395</f>
        <v>Jl. KH Ahmad Dahlan, Baru, Kec. Tenggarong, Kabupaten Kutai Kartanegara, Kalimantan Timur 75513</v>
      </c>
      <c r="S194" s="8">
        <f>'BIO DATA'!AB190:AB395</f>
        <v>0</v>
      </c>
      <c r="T194" s="8" t="str">
        <f>'BIO DATA'!AC190:AC395</f>
        <v>Nurkhalis</v>
      </c>
      <c r="U194" s="8" t="e">
        <f>'BIO DATA'!#REF!</f>
        <v>#REF!</v>
      </c>
      <c r="V194" s="8" t="str">
        <f>'BIO DATA'!AL190:AL395</f>
        <v>S1</v>
      </c>
      <c r="W194" s="8" t="str">
        <f>'BIO DATA'!AM190:AM395</f>
        <v>Ibu Rumah Tangga</v>
      </c>
      <c r="X194" s="8" t="str">
        <f>'BIO DATA'!AG190:AG395</f>
        <v>&gt; Rp 2.500.000,00</v>
      </c>
      <c r="Y194" s="69" t="s">
        <v>217</v>
      </c>
      <c r="Z194" s="8">
        <f>'BIO DATA'!AI190:AI395</f>
        <v>0</v>
      </c>
      <c r="AA194" s="8" t="str">
        <f>'BIO DATA'!AJ190:AJ395</f>
        <v>Meti Aryani Sulistioningrum</v>
      </c>
      <c r="AB194" s="8" t="e">
        <f>'BIO DATA'!#REF!</f>
        <v>#REF!</v>
      </c>
      <c r="AC194" s="8" t="str">
        <f>'BIO DATA'!AL190:AL395</f>
        <v>S1</v>
      </c>
      <c r="AD194" s="8" t="str">
        <f>'BIO DATA'!AM190:AM395</f>
        <v>Ibu Rumah Tangga</v>
      </c>
      <c r="AE194" s="8">
        <f>'BIO DATA'!AN190:AN395</f>
        <v>0</v>
      </c>
      <c r="AF194" s="52"/>
      <c r="AG194" s="8" t="e">
        <f>'BIO DATA'!#REF!</f>
        <v>#REF!</v>
      </c>
      <c r="AH194" s="8" t="e">
        <f>'BIO DATA'!#REF!</f>
        <v>#REF!</v>
      </c>
      <c r="AI194" s="8" t="e">
        <f>'BIO DATA'!#REF!</f>
        <v>#REF!</v>
      </c>
      <c r="AJ194" s="8" t="e">
        <f>'BIO DATA'!#REF!</f>
        <v>#REF!</v>
      </c>
      <c r="AK194" s="8" t="e">
        <f>'BIO DATA'!#REF!</f>
        <v>#REF!</v>
      </c>
      <c r="AL194" s="8" t="e">
        <f>'BIO DATA'!#REF!</f>
        <v>#REF!</v>
      </c>
      <c r="AM194" s="8" t="e">
        <f>'BIO DATA'!#REF!</f>
        <v>#REF!</v>
      </c>
      <c r="AN194" s="8" t="e">
        <f>'BIO DATA'!#REF!</f>
        <v>#REF!</v>
      </c>
      <c r="AO194" s="8" t="e">
        <f>'BIO DATA'!#REF!</f>
        <v>#REF!</v>
      </c>
      <c r="AP194" s="54" t="s">
        <v>199</v>
      </c>
    </row>
    <row r="195" spans="1:42" s="54" customFormat="1" ht="20.100000000000001" customHeight="1" thickBot="1">
      <c r="A195" s="66" t="s">
        <v>595</v>
      </c>
      <c r="B195">
        <v>288</v>
      </c>
      <c r="C195" s="90" t="e">
        <f>'BIO DATA'!#REF!</f>
        <v>#REF!</v>
      </c>
      <c r="D195" s="90" t="e">
        <f>'BIO DATA'!#REF!</f>
        <v>#REF!</v>
      </c>
      <c r="E195" s="89" t="e">
        <f>'BIO DATA'!#REF!</f>
        <v>#REF!</v>
      </c>
      <c r="F195" s="49" t="e">
        <f>'BIO DATA'!#REF!</f>
        <v>#REF!</v>
      </c>
      <c r="G195" s="8" t="e">
        <f>'BIO DATA'!#REF!</f>
        <v>#REF!</v>
      </c>
      <c r="H195" s="51" t="e">
        <f>'BIO DATA'!#REF!</f>
        <v>#REF!</v>
      </c>
      <c r="I195" s="49" t="e">
        <f>'BIO DATA'!#REF!</f>
        <v>#REF!</v>
      </c>
      <c r="J195" s="50">
        <f>'BIO DATA'!J191:J355</f>
        <v>2</v>
      </c>
      <c r="K195" s="50">
        <f>'BIO DATA'!K191:K396</f>
        <v>2</v>
      </c>
      <c r="L195" s="8" t="str">
        <f>'BIO DATA'!T191:T355</f>
        <v>Jl. Pateh Kota RT. 12 No. 34 Kel. Mangkurawang Kec. Tenggarong Kab. Kutai Kartanegara, Kalimantan Timur, 75518</v>
      </c>
      <c r="M195" s="8" t="str">
        <f>'BIO DATA'!V191:V396</f>
        <v>Kab</v>
      </c>
      <c r="N195" s="8" t="str">
        <f>'BIO DATA'!W191:W396</f>
        <v>Kutai</v>
      </c>
      <c r="O195" s="8" t="str">
        <f>'BIO DATA'!X191:X396</f>
        <v>Kartanegara</v>
      </c>
      <c r="P195" s="8" t="str">
        <f>'BIO DATA'!Y191:Y396</f>
        <v>Kalimantan Timur</v>
      </c>
      <c r="Q195" s="8" t="str">
        <f>'BIO DATA'!Z191:Z396</f>
        <v>MTs. Mu'allimin Muh. Yogyakarta</v>
      </c>
      <c r="R195" s="8" t="str">
        <f>'BIO DATA'!AA191:AA396</f>
        <v>Jl. KH Ahmad Dahlan, Baru, Kec. Tenggarong, Kabupaten Kutai Kartanegara, Kalimantan Timur 75513</v>
      </c>
      <c r="S195" s="8">
        <f>'BIO DATA'!AB191:AB396</f>
        <v>0</v>
      </c>
      <c r="T195" s="8" t="str">
        <f>'BIO DATA'!AC191:AC396</f>
        <v>Nurkhalis</v>
      </c>
      <c r="U195" s="8" t="e">
        <f>'BIO DATA'!#REF!</f>
        <v>#REF!</v>
      </c>
      <c r="V195" s="8" t="str">
        <f>'BIO DATA'!AL191:AL396</f>
        <v>S1</v>
      </c>
      <c r="W195" s="8" t="str">
        <f>'BIO DATA'!AM191:AM396</f>
        <v>Ibu Rumah Tangga</v>
      </c>
      <c r="X195" s="8" t="str">
        <f>'BIO DATA'!AG191:AG396</f>
        <v>&gt; Rp 2.500.000,00</v>
      </c>
      <c r="Y195" s="69" t="s">
        <v>217</v>
      </c>
      <c r="Z195" s="8">
        <f>'BIO DATA'!AI191:AI396</f>
        <v>0</v>
      </c>
      <c r="AA195" s="8" t="str">
        <f>'BIO DATA'!AJ191:AJ396</f>
        <v>Meti Aryani Sulistioningrum</v>
      </c>
      <c r="AB195" s="8" t="e">
        <f>'BIO DATA'!#REF!</f>
        <v>#REF!</v>
      </c>
      <c r="AC195" s="8" t="str">
        <f>'BIO DATA'!AL191:AL396</f>
        <v>S1</v>
      </c>
      <c r="AD195" s="8" t="str">
        <f>'BIO DATA'!AM191:AM396</f>
        <v>Ibu Rumah Tangga</v>
      </c>
      <c r="AE195" s="8">
        <f>'BIO DATA'!AN191:AN396</f>
        <v>0</v>
      </c>
      <c r="AF195" s="52"/>
      <c r="AG195" s="8" t="e">
        <f>'BIO DATA'!#REF!</f>
        <v>#REF!</v>
      </c>
      <c r="AH195" s="8" t="e">
        <f>'BIO DATA'!#REF!</f>
        <v>#REF!</v>
      </c>
      <c r="AI195" s="8" t="e">
        <f>'BIO DATA'!#REF!</f>
        <v>#REF!</v>
      </c>
      <c r="AJ195" s="8" t="e">
        <f>'BIO DATA'!#REF!</f>
        <v>#REF!</v>
      </c>
      <c r="AK195" s="8" t="e">
        <f>'BIO DATA'!#REF!</f>
        <v>#REF!</v>
      </c>
      <c r="AL195" s="8" t="e">
        <f>'BIO DATA'!#REF!</f>
        <v>#REF!</v>
      </c>
      <c r="AM195" s="8" t="e">
        <f>'BIO DATA'!#REF!</f>
        <v>#REF!</v>
      </c>
      <c r="AN195" s="8" t="e">
        <f>'BIO DATA'!#REF!</f>
        <v>#REF!</v>
      </c>
      <c r="AO195" s="8" t="e">
        <f>'BIO DATA'!#REF!</f>
        <v>#REF!</v>
      </c>
      <c r="AP195" s="54" t="s">
        <v>199</v>
      </c>
    </row>
    <row r="196" spans="1:42" s="54" customFormat="1" ht="20.100000000000001" customHeight="1" thickBot="1">
      <c r="A196" s="66" t="s">
        <v>595</v>
      </c>
      <c r="B196">
        <v>294</v>
      </c>
      <c r="C196" s="90" t="e">
        <f>'BIO DATA'!#REF!</f>
        <v>#REF!</v>
      </c>
      <c r="D196" s="90" t="e">
        <f>'BIO DATA'!#REF!</f>
        <v>#REF!</v>
      </c>
      <c r="E196" s="89" t="e">
        <f>'BIO DATA'!#REF!</f>
        <v>#REF!</v>
      </c>
      <c r="F196" s="49" t="e">
        <f>'BIO DATA'!#REF!</f>
        <v>#REF!</v>
      </c>
      <c r="G196" s="8" t="e">
        <f>'BIO DATA'!#REF!</f>
        <v>#REF!</v>
      </c>
      <c r="H196" s="51" t="e">
        <f>'BIO DATA'!#REF!</f>
        <v>#REF!</v>
      </c>
      <c r="I196" s="49" t="e">
        <f>'BIO DATA'!#REF!</f>
        <v>#REF!</v>
      </c>
      <c r="J196" s="50">
        <f>'BIO DATA'!J191:J356</f>
        <v>1</v>
      </c>
      <c r="K196" s="50">
        <f>'BIO DATA'!K191:K397</f>
        <v>1</v>
      </c>
      <c r="L196" s="8" t="str">
        <f>'BIO DATA'!T191:T356</f>
        <v>Perum Bukit Cimanggu City B Residence Blok B5 No 8 Bogor Jawa Barat 16166</v>
      </c>
      <c r="M196" s="8" t="str">
        <f>'BIO DATA'!V191:V397</f>
        <v>Cibadak</v>
      </c>
      <c r="N196" s="8" t="str">
        <f>'BIO DATA'!W191:W397</f>
        <v>Tanah Sereal</v>
      </c>
      <c r="O196" s="8" t="str">
        <f>'BIO DATA'!X191:X397</f>
        <v>Bogor</v>
      </c>
      <c r="P196" s="8" t="str">
        <f>'BIO DATA'!Y191:Y397</f>
        <v>Jawa Barat</v>
      </c>
      <c r="Q196" s="8" t="str">
        <f>'BIO DATA'!Z191:Z397</f>
        <v>MTs. Mu'allimin Muh. Yogyakarta</v>
      </c>
      <c r="R196" s="8" t="str">
        <f>'BIO DATA'!AA191:AA397</f>
        <v>Budi Agung, Jl. Perdana No.8, RT.02/RW.05, Sukadamai, Kec. Tanah Sereal, Kota Bogor, Jawa Barat 16165</v>
      </c>
      <c r="S196" s="8">
        <f>'BIO DATA'!AB191:AB397</f>
        <v>0</v>
      </c>
      <c r="T196" s="8" t="str">
        <f>'BIO DATA'!AC191:AC397</f>
        <v>Irfan Wahyu Wijaya</v>
      </c>
      <c r="U196" s="8" t="e">
        <f>'BIO DATA'!#REF!</f>
        <v>#REF!</v>
      </c>
      <c r="V196" s="8" t="str">
        <f>'BIO DATA'!AL191:AL397</f>
        <v>S1</v>
      </c>
      <c r="W196" s="8" t="str">
        <f>'BIO DATA'!AM191:AM397</f>
        <v>Wiraswasta</v>
      </c>
      <c r="X196" s="8" t="str">
        <f>'BIO DATA'!AG191:AG397</f>
        <v>&gt; Rp 2.500.000,00</v>
      </c>
      <c r="Y196" s="69" t="s">
        <v>217</v>
      </c>
      <c r="Z196" s="8">
        <f>'BIO DATA'!AI191:AI397</f>
        <v>0</v>
      </c>
      <c r="AA196" s="8" t="str">
        <f>'BIO DATA'!AJ191:AJ397</f>
        <v>Jhoan Khusuma Dewi</v>
      </c>
      <c r="AB196" s="8" t="e">
        <f>'BIO DATA'!#REF!</f>
        <v>#REF!</v>
      </c>
      <c r="AC196" s="8" t="str">
        <f>'BIO DATA'!AL191:AL397</f>
        <v>S1</v>
      </c>
      <c r="AD196" s="8" t="str">
        <f>'BIO DATA'!AM191:AM397</f>
        <v>Wiraswasta</v>
      </c>
      <c r="AE196" s="8">
        <f>'BIO DATA'!AN191:AN397</f>
        <v>0</v>
      </c>
      <c r="AF196" s="52"/>
      <c r="AG196" s="8" t="e">
        <f>'BIO DATA'!#REF!</f>
        <v>#REF!</v>
      </c>
      <c r="AH196" s="8" t="e">
        <f>'BIO DATA'!#REF!</f>
        <v>#REF!</v>
      </c>
      <c r="AI196" s="8" t="e">
        <f>'BIO DATA'!#REF!</f>
        <v>#REF!</v>
      </c>
      <c r="AJ196" s="8" t="e">
        <f>'BIO DATA'!#REF!</f>
        <v>#REF!</v>
      </c>
      <c r="AK196" s="8" t="e">
        <f>'BIO DATA'!#REF!</f>
        <v>#REF!</v>
      </c>
      <c r="AL196" s="8" t="e">
        <f>'BIO DATA'!#REF!</f>
        <v>#REF!</v>
      </c>
      <c r="AM196" s="8" t="e">
        <f>'BIO DATA'!#REF!</f>
        <v>#REF!</v>
      </c>
      <c r="AN196" s="8" t="e">
        <f>'BIO DATA'!#REF!</f>
        <v>#REF!</v>
      </c>
      <c r="AO196" s="8" t="e">
        <f>'BIO DATA'!#REF!</f>
        <v>#REF!</v>
      </c>
      <c r="AP196" s="54" t="s">
        <v>199</v>
      </c>
    </row>
    <row r="197" spans="1:42" s="54" customFormat="1" ht="20.100000000000001" customHeight="1" thickBot="1">
      <c r="A197" s="66" t="s">
        <v>595</v>
      </c>
      <c r="B197">
        <v>302</v>
      </c>
      <c r="C197" s="90" t="e">
        <f>'BIO DATA'!#REF!</f>
        <v>#REF!</v>
      </c>
      <c r="D197" s="90" t="e">
        <f>'BIO DATA'!#REF!</f>
        <v>#REF!</v>
      </c>
      <c r="E197" s="89" t="e">
        <f>'BIO DATA'!#REF!</f>
        <v>#REF!</v>
      </c>
      <c r="F197" s="49" t="e">
        <f>'BIO DATA'!#REF!</f>
        <v>#REF!</v>
      </c>
      <c r="G197" s="8" t="e">
        <f>'BIO DATA'!#REF!</f>
        <v>#REF!</v>
      </c>
      <c r="H197" s="51" t="e">
        <f>'BIO DATA'!#REF!</f>
        <v>#REF!</v>
      </c>
      <c r="I197" s="49" t="e">
        <f>'BIO DATA'!#REF!</f>
        <v>#REF!</v>
      </c>
      <c r="J197" s="50">
        <f>'BIO DATA'!J191:J357</f>
        <v>2</v>
      </c>
      <c r="K197" s="50">
        <f>'BIO DATA'!K191:K398</f>
        <v>2</v>
      </c>
      <c r="L197" s="8" t="str">
        <f>'BIO DATA'!T191:T357</f>
        <v>Jl. Sumbodro No. 10 RT.06 RW.04 Slerok, Kec Tegal Timur, Kota Tegal, Jawa Tengah, 52125</v>
      </c>
      <c r="M197" s="8" t="str">
        <f>'BIO DATA'!V191:V398</f>
        <v>Slerok</v>
      </c>
      <c r="N197" s="8" t="str">
        <f>'BIO DATA'!W191:W398</f>
        <v>Tegal Timur</v>
      </c>
      <c r="O197" s="8" t="str">
        <f>'BIO DATA'!X191:X398</f>
        <v>Tegal</v>
      </c>
      <c r="P197" s="8" t="str">
        <f>'BIO DATA'!Y191:Y398</f>
        <v xml:space="preserve"> Jawa Tengah</v>
      </c>
      <c r="Q197" s="8" t="str">
        <f>'BIO DATA'!Z191:Z398</f>
        <v>MTs. Mu'allimin Muh. Yogyakarta</v>
      </c>
      <c r="R197" s="8" t="str">
        <f>'BIO DATA'!AA191:AA398</f>
        <v>Jalan Surabayan No. 8, RT. 01 RW. 14, Panggung, Tegal Timur, Panggung, Kec. Tegal Tim., Kota Tegal, Jawa Tengah 52122</v>
      </c>
      <c r="S197" s="8">
        <f>'BIO DATA'!AB191:AB398</f>
        <v>0</v>
      </c>
      <c r="T197" s="8" t="str">
        <f>'BIO DATA'!AC191:AC398</f>
        <v>Heri Puryanto</v>
      </c>
      <c r="U197" s="8" t="e">
        <f>'BIO DATA'!#REF!</f>
        <v>#REF!</v>
      </c>
      <c r="V197" s="8" t="str">
        <f>'BIO DATA'!AL191:AL398</f>
        <v>S1</v>
      </c>
      <c r="W197" s="8" t="str">
        <f>'BIO DATA'!AM191:AM398</f>
        <v>Ibu Rumah Tangga</v>
      </c>
      <c r="X197" s="8" t="str">
        <f>'BIO DATA'!AG191:AG398</f>
        <v>&gt; Rp 2.500.000,00</v>
      </c>
      <c r="Y197" s="69" t="s">
        <v>217</v>
      </c>
      <c r="Z197" s="8">
        <f>'BIO DATA'!AI191:AI398</f>
        <v>0</v>
      </c>
      <c r="AA197" s="8" t="str">
        <f>'BIO DATA'!AJ191:AJ398</f>
        <v>Dian Nur Nailufar</v>
      </c>
      <c r="AB197" s="8" t="e">
        <f>'BIO DATA'!#REF!</f>
        <v>#REF!</v>
      </c>
      <c r="AC197" s="8" t="str">
        <f>'BIO DATA'!AL191:AL398</f>
        <v>S1</v>
      </c>
      <c r="AD197" s="8" t="str">
        <f>'BIO DATA'!AM191:AM398</f>
        <v>Ibu Rumah Tangga</v>
      </c>
      <c r="AE197" s="8">
        <f>'BIO DATA'!AN191:AN398</f>
        <v>0</v>
      </c>
      <c r="AF197" s="52"/>
      <c r="AG197" s="8" t="e">
        <f>'BIO DATA'!#REF!</f>
        <v>#REF!</v>
      </c>
      <c r="AH197" s="8" t="e">
        <f>'BIO DATA'!#REF!</f>
        <v>#REF!</v>
      </c>
      <c r="AI197" s="8" t="e">
        <f>'BIO DATA'!#REF!</f>
        <v>#REF!</v>
      </c>
      <c r="AJ197" s="8" t="e">
        <f>'BIO DATA'!#REF!</f>
        <v>#REF!</v>
      </c>
      <c r="AK197" s="8" t="e">
        <f>'BIO DATA'!#REF!</f>
        <v>#REF!</v>
      </c>
      <c r="AL197" s="8" t="e">
        <f>'BIO DATA'!#REF!</f>
        <v>#REF!</v>
      </c>
      <c r="AM197" s="8" t="e">
        <f>'BIO DATA'!#REF!</f>
        <v>#REF!</v>
      </c>
      <c r="AN197" s="8" t="e">
        <f>'BIO DATA'!#REF!</f>
        <v>#REF!</v>
      </c>
      <c r="AO197" s="8" t="e">
        <f>'BIO DATA'!#REF!</f>
        <v>#REF!</v>
      </c>
      <c r="AP197" s="54" t="s">
        <v>199</v>
      </c>
    </row>
    <row r="198" spans="1:42" s="54" customFormat="1" ht="20.100000000000001" customHeight="1" thickBot="1">
      <c r="A198" s="66" t="s">
        <v>595</v>
      </c>
      <c r="B198">
        <v>312</v>
      </c>
      <c r="C198" s="90" t="e">
        <f>'BIO DATA'!#REF!</f>
        <v>#REF!</v>
      </c>
      <c r="D198" s="90" t="e">
        <f>'BIO DATA'!#REF!</f>
        <v>#REF!</v>
      </c>
      <c r="E198" s="89" t="e">
        <f>'BIO DATA'!#REF!</f>
        <v>#REF!</v>
      </c>
      <c r="F198" s="49" t="e">
        <f>'BIO DATA'!#REF!</f>
        <v>#REF!</v>
      </c>
      <c r="G198" s="8" t="e">
        <f>'BIO DATA'!#REF!</f>
        <v>#REF!</v>
      </c>
      <c r="H198" s="51" t="e">
        <f>'BIO DATA'!#REF!</f>
        <v>#REF!</v>
      </c>
      <c r="I198" s="49" t="e">
        <f>'BIO DATA'!#REF!</f>
        <v>#REF!</v>
      </c>
      <c r="J198" s="50">
        <f>'BIO DATA'!J191:J358</f>
        <v>1</v>
      </c>
      <c r="K198" s="50">
        <f>'BIO DATA'!K191:K399</f>
        <v>1</v>
      </c>
      <c r="L198" s="8" t="str">
        <f>'BIO DATA'!T191:T358</f>
        <v>Gang Mulia 1 RT 01 RW 13 No. 25 Desa Kertajaya, Jawa Barat, 40553</v>
      </c>
      <c r="M198" s="8" t="str">
        <f>'BIO DATA'!V191:V399</f>
        <v>Kertajaya</v>
      </c>
      <c r="N198" s="8" t="str">
        <f>'BIO DATA'!W191:W399</f>
        <v>Padalarang</v>
      </c>
      <c r="O198" s="8" t="str">
        <f>'BIO DATA'!X191:X399</f>
        <v>Kab. Bandung Barat</v>
      </c>
      <c r="P198" s="8" t="str">
        <f>'BIO DATA'!Y191:Y399</f>
        <v>Jawa Barat</v>
      </c>
      <c r="Q198" s="8" t="str">
        <f>'BIO DATA'!Z191:Z399</f>
        <v>MTs. Mu'allimin Muh. Yogyakarta</v>
      </c>
      <c r="R198" s="8" t="str">
        <f>'BIO DATA'!AA191:AA399</f>
        <v>Jl. Raya Gadobangkong No.167 B, Cimareme, Kec. Ngamprah, Kabupaten Bandung Barat, Jawa Barat 40524</v>
      </c>
      <c r="S198" s="8">
        <f>'BIO DATA'!AB191:AB399</f>
        <v>0</v>
      </c>
      <c r="T198" s="8" t="str">
        <f>'BIO DATA'!AC191:AC399</f>
        <v>Ridwan Hakim</v>
      </c>
      <c r="U198" s="8" t="e">
        <f>'BIO DATA'!#REF!</f>
        <v>#REF!</v>
      </c>
      <c r="V198" s="8" t="str">
        <f>'BIO DATA'!AL191:AL399</f>
        <v>S1</v>
      </c>
      <c r="W198" s="8" t="str">
        <f>'BIO DATA'!AM191:AM399</f>
        <v>Guru</v>
      </c>
      <c r="X198" s="8" t="str">
        <f>'BIO DATA'!AG191:AG399</f>
        <v>&gt; Rp 2.500.000,00</v>
      </c>
      <c r="Y198" s="69" t="s">
        <v>217</v>
      </c>
      <c r="Z198" s="8">
        <f>'BIO DATA'!AI191:AI399</f>
        <v>0</v>
      </c>
      <c r="AA198" s="8" t="str">
        <f>'BIO DATA'!AJ191:AJ399</f>
        <v>Meta Indah Agnestia</v>
      </c>
      <c r="AB198" s="8" t="e">
        <f>'BIO DATA'!#REF!</f>
        <v>#REF!</v>
      </c>
      <c r="AC198" s="8" t="str">
        <f>'BIO DATA'!AL191:AL399</f>
        <v>S1</v>
      </c>
      <c r="AD198" s="8" t="str">
        <f>'BIO DATA'!AM191:AM399</f>
        <v>Guru</v>
      </c>
      <c r="AE198" s="8">
        <f>'BIO DATA'!AN191:AN399</f>
        <v>0</v>
      </c>
      <c r="AF198" s="52"/>
      <c r="AG198" s="8" t="e">
        <f>'BIO DATA'!#REF!</f>
        <v>#REF!</v>
      </c>
      <c r="AH198" s="8" t="e">
        <f>'BIO DATA'!#REF!</f>
        <v>#REF!</v>
      </c>
      <c r="AI198" s="8" t="e">
        <f>'BIO DATA'!#REF!</f>
        <v>#REF!</v>
      </c>
      <c r="AJ198" s="8" t="e">
        <f>'BIO DATA'!#REF!</f>
        <v>#REF!</v>
      </c>
      <c r="AK198" s="8" t="e">
        <f>'BIO DATA'!#REF!</f>
        <v>#REF!</v>
      </c>
      <c r="AL198" s="8" t="e">
        <f>'BIO DATA'!#REF!</f>
        <v>#REF!</v>
      </c>
      <c r="AM198" s="8" t="e">
        <f>'BIO DATA'!#REF!</f>
        <v>#REF!</v>
      </c>
      <c r="AN198" s="8" t="e">
        <f>'BIO DATA'!#REF!</f>
        <v>#REF!</v>
      </c>
      <c r="AO198" s="8" t="e">
        <f>'BIO DATA'!#REF!</f>
        <v>#REF!</v>
      </c>
      <c r="AP198" s="54" t="s">
        <v>199</v>
      </c>
    </row>
    <row r="199" spans="1:42" s="54" customFormat="1" ht="20.100000000000001" customHeight="1" thickBot="1">
      <c r="A199" s="66" t="s">
        <v>595</v>
      </c>
      <c r="B199">
        <v>30</v>
      </c>
      <c r="C199" s="90" t="e">
        <f>'BIO DATA'!#REF!</f>
        <v>#REF!</v>
      </c>
      <c r="D199" s="90" t="e">
        <f>'BIO DATA'!#REF!</f>
        <v>#REF!</v>
      </c>
      <c r="E199" s="89" t="e">
        <f>'BIO DATA'!#REF!</f>
        <v>#REF!</v>
      </c>
      <c r="F199" s="49" t="e">
        <f>'BIO DATA'!#REF!</f>
        <v>#REF!</v>
      </c>
      <c r="G199" s="8" t="e">
        <f>'BIO DATA'!#REF!</f>
        <v>#REF!</v>
      </c>
      <c r="H199" s="51" t="e">
        <f>'BIO DATA'!#REF!</f>
        <v>#REF!</v>
      </c>
      <c r="I199" s="49" t="e">
        <f>'BIO DATA'!#REF!</f>
        <v>#REF!</v>
      </c>
      <c r="J199" s="50">
        <f>'BIO DATA'!J191:J359</f>
        <v>1</v>
      </c>
      <c r="K199" s="50">
        <f>'BIO DATA'!K191:K400</f>
        <v>2</v>
      </c>
      <c r="L199" s="8" t="str">
        <f>'BIO DATA'!T191:T359</f>
        <v>Dsn. Pojok RT. 01 RW. 02 Desa Pojok Kec. Garu Kab. Blitar, Jawa Timur, 66182</v>
      </c>
      <c r="M199" s="8" t="str">
        <f>'BIO DATA'!V191:V400</f>
        <v>Pojok</v>
      </c>
      <c r="N199" s="8" t="str">
        <f>'BIO DATA'!W191:W400</f>
        <v>Garum</v>
      </c>
      <c r="O199" s="8" t="str">
        <f>'BIO DATA'!X191:X400</f>
        <v>Blitar</v>
      </c>
      <c r="P199" s="8" t="str">
        <f>'BIO DATA'!Y191:Y400</f>
        <v>Jawa Timur</v>
      </c>
      <c r="Q199" s="8" t="str">
        <f>'BIO DATA'!Z191:Z400</f>
        <v>MTs. Mu'allimin Muh. Yogyakarta</v>
      </c>
      <c r="R199" s="8" t="str">
        <f>'BIO DATA'!AA191:AA400</f>
        <v>Jl. Maluku, Jatinom, Kuningan, Kec. Kanigoro, Kabupaten Blitar, Jawa Timur 66171</v>
      </c>
      <c r="S199" s="8">
        <f>'BIO DATA'!AB191:AB400</f>
        <v>0</v>
      </c>
      <c r="T199" s="8" t="str">
        <f>'BIO DATA'!AC191:AC400</f>
        <v>Moh. Ariefi Effendi</v>
      </c>
      <c r="U199" s="8" t="e">
        <f>'BIO DATA'!#REF!</f>
        <v>#REF!</v>
      </c>
      <c r="V199" s="8" t="str">
        <f>'BIO DATA'!AL191:AL400</f>
        <v>Diploma</v>
      </c>
      <c r="W199" s="8" t="str">
        <f>'BIO DATA'!AM191:AM400</f>
        <v>Guru</v>
      </c>
      <c r="X199" s="8" t="str">
        <f>'BIO DATA'!AG191:AG400</f>
        <v>Antara Rp 1.000.000,00 s.d. Rp 1.500,000,00</v>
      </c>
      <c r="Y199" s="69" t="s">
        <v>217</v>
      </c>
      <c r="Z199" s="8">
        <f>'BIO DATA'!AI191:AI400</f>
        <v>0</v>
      </c>
      <c r="AA199" s="8" t="str">
        <f>'BIO DATA'!AJ191:AJ400</f>
        <v>Diana Susanti</v>
      </c>
      <c r="AB199" s="8" t="e">
        <f>'BIO DATA'!#REF!</f>
        <v>#REF!</v>
      </c>
      <c r="AC199" s="8" t="str">
        <f>'BIO DATA'!AL191:AL400</f>
        <v>Diploma</v>
      </c>
      <c r="AD199" s="8" t="str">
        <f>'BIO DATA'!AM191:AM400</f>
        <v>Guru</v>
      </c>
      <c r="AE199" s="8">
        <f>'BIO DATA'!AN191:AN400</f>
        <v>0</v>
      </c>
      <c r="AF199" s="52"/>
      <c r="AG199" s="8" t="e">
        <f>'BIO DATA'!#REF!</f>
        <v>#REF!</v>
      </c>
      <c r="AH199" s="8" t="e">
        <f>'BIO DATA'!#REF!</f>
        <v>#REF!</v>
      </c>
      <c r="AI199" s="8" t="e">
        <f>'BIO DATA'!#REF!</f>
        <v>#REF!</v>
      </c>
      <c r="AJ199" s="8" t="e">
        <f>'BIO DATA'!#REF!</f>
        <v>#REF!</v>
      </c>
      <c r="AK199" s="8" t="e">
        <f>'BIO DATA'!#REF!</f>
        <v>#REF!</v>
      </c>
      <c r="AL199" s="8" t="e">
        <f>'BIO DATA'!#REF!</f>
        <v>#REF!</v>
      </c>
      <c r="AM199" s="8" t="e">
        <f>'BIO DATA'!#REF!</f>
        <v>#REF!</v>
      </c>
      <c r="AN199" s="8" t="e">
        <f>'BIO DATA'!#REF!</f>
        <v>#REF!</v>
      </c>
      <c r="AO199" s="8" t="e">
        <f>'BIO DATA'!#REF!</f>
        <v>#REF!</v>
      </c>
      <c r="AP199" s="54" t="s">
        <v>196</v>
      </c>
    </row>
    <row r="200" spans="1:42" s="54" customFormat="1" ht="20.100000000000001" customHeight="1" thickBot="1">
      <c r="A200" s="66" t="s">
        <v>595</v>
      </c>
      <c r="B200">
        <v>52</v>
      </c>
      <c r="C200" s="90" t="e">
        <f>'BIO DATA'!#REF!</f>
        <v>#REF!</v>
      </c>
      <c r="D200" s="90" t="e">
        <f>'BIO DATA'!#REF!</f>
        <v>#REF!</v>
      </c>
      <c r="E200" s="89" t="e">
        <f>'BIO DATA'!#REF!</f>
        <v>#REF!</v>
      </c>
      <c r="F200" s="49" t="e">
        <f>'BIO DATA'!#REF!</f>
        <v>#REF!</v>
      </c>
      <c r="G200" s="8" t="e">
        <f>'BIO DATA'!#REF!</f>
        <v>#REF!</v>
      </c>
      <c r="H200" s="51" t="e">
        <f>'BIO DATA'!#REF!</f>
        <v>#REF!</v>
      </c>
      <c r="I200" s="49" t="e">
        <f>'BIO DATA'!#REF!</f>
        <v>#REF!</v>
      </c>
      <c r="J200" s="50">
        <f>'BIO DATA'!J191:J360</f>
        <v>1</v>
      </c>
      <c r="K200" s="50">
        <f>'BIO DATA'!K191:K401</f>
        <v>0</v>
      </c>
      <c r="L200" s="8" t="str">
        <f>'BIO DATA'!T191:T360</f>
        <v>Jl. Dr. Sutomo RT. 6 No. 26, Kel. Karang Balik, Kec. Tarakan Barat, Kota Tarakan Kalimantan Utara 77119</v>
      </c>
      <c r="M200" s="8" t="str">
        <f>'BIO DATA'!V191:V401</f>
        <v>Karang Balik</v>
      </c>
      <c r="N200" s="8" t="str">
        <f>'BIO DATA'!W191:W401</f>
        <v>Tarakan Barat</v>
      </c>
      <c r="O200" s="8" t="str">
        <f>'BIO DATA'!X191:X401</f>
        <v>Tarakan</v>
      </c>
      <c r="P200" s="8" t="str">
        <f>'BIO DATA'!Y191:Y401</f>
        <v>Kalimantan Utara</v>
      </c>
      <c r="Q200" s="8" t="str">
        <f>'BIO DATA'!Z191:Z401</f>
        <v>MTs. Mu'allimin Muh. Yogyakarta</v>
      </c>
      <c r="R200" s="8" t="str">
        <f>'BIO DATA'!AA191:AA401</f>
        <v>Lingkas Ujung, Kec. Tarakan Tim., Kota Tarakan, Kalimantan Utara</v>
      </c>
      <c r="S200" s="8">
        <f>'BIO DATA'!AB191:AB401</f>
        <v>0</v>
      </c>
      <c r="T200" s="8" t="str">
        <f>'BIO DATA'!AC191:AC401</f>
        <v>Muhammad</v>
      </c>
      <c r="U200" s="8" t="e">
        <f>'BIO DATA'!#REF!</f>
        <v>#REF!</v>
      </c>
      <c r="V200" s="8" t="str">
        <f>'BIO DATA'!AL191:AL401</f>
        <v>S1</v>
      </c>
      <c r="W200" s="8" t="str">
        <f>'BIO DATA'!AM191:AM401</f>
        <v>Dosen</v>
      </c>
      <c r="X200" s="8" t="str">
        <f>'BIO DATA'!AG191:AG401</f>
        <v>&gt; Rp 2.500.000,00</v>
      </c>
      <c r="Y200" s="69" t="s">
        <v>217</v>
      </c>
      <c r="Z200" s="8">
        <f>'BIO DATA'!AI191:AI401</f>
        <v>0</v>
      </c>
      <c r="AA200" s="8" t="str">
        <f>'BIO DATA'!AJ191:AJ401</f>
        <v>Dwi Mariza Nastiti</v>
      </c>
      <c r="AB200" s="8" t="e">
        <f>'BIO DATA'!#REF!</f>
        <v>#REF!</v>
      </c>
      <c r="AC200" s="8" t="str">
        <f>'BIO DATA'!AL191:AL401</f>
        <v>S1</v>
      </c>
      <c r="AD200" s="8" t="str">
        <f>'BIO DATA'!AM191:AM401</f>
        <v>Dosen</v>
      </c>
      <c r="AE200" s="8">
        <f>'BIO DATA'!AN191:AN401</f>
        <v>0</v>
      </c>
      <c r="AF200" s="52"/>
      <c r="AG200" s="8" t="e">
        <f>'BIO DATA'!#REF!</f>
        <v>#REF!</v>
      </c>
      <c r="AH200" s="8" t="e">
        <f>'BIO DATA'!#REF!</f>
        <v>#REF!</v>
      </c>
      <c r="AI200" s="8" t="e">
        <f>'BIO DATA'!#REF!</f>
        <v>#REF!</v>
      </c>
      <c r="AJ200" s="8" t="e">
        <f>'BIO DATA'!#REF!</f>
        <v>#REF!</v>
      </c>
      <c r="AK200" s="8" t="e">
        <f>'BIO DATA'!#REF!</f>
        <v>#REF!</v>
      </c>
      <c r="AL200" s="8" t="e">
        <f>'BIO DATA'!#REF!</f>
        <v>#REF!</v>
      </c>
      <c r="AM200" s="8" t="e">
        <f>'BIO DATA'!#REF!</f>
        <v>#REF!</v>
      </c>
      <c r="AN200" s="8" t="e">
        <f>'BIO DATA'!#REF!</f>
        <v>#REF!</v>
      </c>
      <c r="AO200" s="8" t="e">
        <f>'BIO DATA'!#REF!</f>
        <v>#REF!</v>
      </c>
      <c r="AP200" s="54" t="s">
        <v>196</v>
      </c>
    </row>
    <row r="201" spans="1:42" s="54" customFormat="1" ht="20.100000000000001" customHeight="1" thickBot="1">
      <c r="A201" s="66" t="s">
        <v>595</v>
      </c>
      <c r="B201">
        <v>59</v>
      </c>
      <c r="C201" s="90" t="e">
        <f>'BIO DATA'!#REF!</f>
        <v>#REF!</v>
      </c>
      <c r="D201" s="90" t="e">
        <f>'BIO DATA'!#REF!</f>
        <v>#REF!</v>
      </c>
      <c r="E201" s="89" t="e">
        <f>'BIO DATA'!#REF!</f>
        <v>#REF!</v>
      </c>
      <c r="F201" s="49" t="e">
        <f>'BIO DATA'!#REF!</f>
        <v>#REF!</v>
      </c>
      <c r="G201" s="8" t="e">
        <f>'BIO DATA'!#REF!</f>
        <v>#REF!</v>
      </c>
      <c r="H201" s="51" t="e">
        <f>'BIO DATA'!#REF!</f>
        <v>#REF!</v>
      </c>
      <c r="I201" s="49" t="e">
        <f>'BIO DATA'!#REF!</f>
        <v>#REF!</v>
      </c>
      <c r="J201" s="50">
        <f>'BIO DATA'!J191:J361</f>
        <v>1</v>
      </c>
      <c r="K201" s="50">
        <f>'BIO DATA'!K191:K402</f>
        <v>2</v>
      </c>
      <c r="L201" s="8" t="str">
        <f>'BIO DATA'!T191:T361</f>
        <v>Watugilang A RT25 RW05 Desa Watugilang A Kel. Mulusan Kec. Paliyan Kab. Gunungkidul, DI Yogyakarta, 55871</v>
      </c>
      <c r="M201" s="8" t="str">
        <f>'BIO DATA'!V191:V402</f>
        <v>Mulusan</v>
      </c>
      <c r="N201" s="8" t="str">
        <f>'BIO DATA'!W191:W402</f>
        <v>Paliyan</v>
      </c>
      <c r="O201" s="8" t="str">
        <f>'BIO DATA'!X191:X402</f>
        <v>Gunungkidul</v>
      </c>
      <c r="P201" s="8" t="str">
        <f>'BIO DATA'!Y191:Y402</f>
        <v>DI Yogyakarta</v>
      </c>
      <c r="Q201" s="8" t="str">
        <f>'BIO DATA'!Z191:Z402</f>
        <v>MTs. Mu'allimin Muh. Yogyakarta</v>
      </c>
      <c r="R201" s="8" t="str">
        <f>'BIO DATA'!AA191:AA402</f>
        <v>Simpang Belutu, Kec. Kandis, Kabupaten Siak, Riau 28686</v>
      </c>
      <c r="S201" s="8">
        <f>'BIO DATA'!AB191:AB402</f>
        <v>0</v>
      </c>
      <c r="T201" s="8" t="str">
        <f>'BIO DATA'!AC191:AC402</f>
        <v>Cahyono Agustri Pambudi</v>
      </c>
      <c r="U201" s="8" t="e">
        <f>'BIO DATA'!#REF!</f>
        <v>#REF!</v>
      </c>
      <c r="V201" s="8" t="str">
        <f>'BIO DATA'!AL191:AL402</f>
        <v>S1</v>
      </c>
      <c r="W201" s="8" t="str">
        <f>'BIO DATA'!AM191:AM402</f>
        <v>Karyawan Swasta</v>
      </c>
      <c r="X201" s="8" t="str">
        <f>'BIO DATA'!AG191:AG402</f>
        <v>&gt; Rp 2.500.000,00</v>
      </c>
      <c r="Y201" s="69" t="s">
        <v>217</v>
      </c>
      <c r="Z201" s="8">
        <f>'BIO DATA'!AI191:AI402</f>
        <v>0</v>
      </c>
      <c r="AA201" s="8" t="str">
        <f>'BIO DATA'!AJ191:AJ402</f>
        <v>Rina Sumartin</v>
      </c>
      <c r="AB201" s="8" t="e">
        <f>'BIO DATA'!#REF!</f>
        <v>#REF!</v>
      </c>
      <c r="AC201" s="8" t="str">
        <f>'BIO DATA'!AL191:AL402</f>
        <v>S1</v>
      </c>
      <c r="AD201" s="8" t="str">
        <f>'BIO DATA'!AM191:AM402</f>
        <v>Karyawan Swasta</v>
      </c>
      <c r="AE201" s="8">
        <f>'BIO DATA'!AN191:AN402</f>
        <v>0</v>
      </c>
      <c r="AF201" s="52"/>
      <c r="AG201" s="8" t="e">
        <f>'BIO DATA'!#REF!</f>
        <v>#REF!</v>
      </c>
      <c r="AH201" s="8" t="e">
        <f>'BIO DATA'!#REF!</f>
        <v>#REF!</v>
      </c>
      <c r="AI201" s="8" t="e">
        <f>'BIO DATA'!#REF!</f>
        <v>#REF!</v>
      </c>
      <c r="AJ201" s="8" t="e">
        <f>'BIO DATA'!#REF!</f>
        <v>#REF!</v>
      </c>
      <c r="AK201" s="8" t="e">
        <f>'BIO DATA'!#REF!</f>
        <v>#REF!</v>
      </c>
      <c r="AL201" s="8" t="e">
        <f>'BIO DATA'!#REF!</f>
        <v>#REF!</v>
      </c>
      <c r="AM201" s="8" t="e">
        <f>'BIO DATA'!#REF!</f>
        <v>#REF!</v>
      </c>
      <c r="AN201" s="8" t="e">
        <f>'BIO DATA'!#REF!</f>
        <v>#REF!</v>
      </c>
      <c r="AO201" s="8" t="e">
        <f>'BIO DATA'!#REF!</f>
        <v>#REF!</v>
      </c>
      <c r="AP201" s="54" t="s">
        <v>196</v>
      </c>
    </row>
    <row r="202" spans="1:42" s="54" customFormat="1" ht="20.100000000000001" customHeight="1" thickBot="1">
      <c r="A202" s="66" t="s">
        <v>595</v>
      </c>
      <c r="B202">
        <v>67</v>
      </c>
      <c r="C202" s="90" t="e">
        <f>'BIO DATA'!#REF!</f>
        <v>#REF!</v>
      </c>
      <c r="D202" s="90" t="e">
        <f>'BIO DATA'!#REF!</f>
        <v>#REF!</v>
      </c>
      <c r="E202" s="89" t="e">
        <f>'BIO DATA'!#REF!</f>
        <v>#REF!</v>
      </c>
      <c r="F202" s="49" t="e">
        <f>'BIO DATA'!#REF!</f>
        <v>#REF!</v>
      </c>
      <c r="G202" s="8" t="e">
        <f>'BIO DATA'!#REF!</f>
        <v>#REF!</v>
      </c>
      <c r="H202" s="51" t="e">
        <f>'BIO DATA'!#REF!</f>
        <v>#REF!</v>
      </c>
      <c r="I202" s="49" t="e">
        <f>'BIO DATA'!#REF!</f>
        <v>#REF!</v>
      </c>
      <c r="J202" s="50">
        <f>'BIO DATA'!J191:J362</f>
        <v>1</v>
      </c>
      <c r="K202" s="50">
        <f>'BIO DATA'!K191:K403</f>
        <v>1</v>
      </c>
      <c r="L202" s="8" t="str">
        <f>'BIO DATA'!T191:T362</f>
        <v>Jl. Kawi-Kawi Bawah A-36, Johar Baru, Jakarta Pusat, DKI Jakarta, 10560</v>
      </c>
      <c r="M202" s="8" t="str">
        <f>'BIO DATA'!V191:V403</f>
        <v>Johar Baru</v>
      </c>
      <c r="N202" s="8" t="str">
        <f>'BIO DATA'!W191:W403</f>
        <v>Johar Baru</v>
      </c>
      <c r="O202" s="8" t="str">
        <f>'BIO DATA'!X191:X403</f>
        <v>Jakarta Pusat</v>
      </c>
      <c r="P202" s="8" t="str">
        <f>'BIO DATA'!Y191:Y403</f>
        <v xml:space="preserve"> DKI Jakarta</v>
      </c>
      <c r="Q202" s="8" t="str">
        <f>'BIO DATA'!Z191:Z403</f>
        <v>MTs. Mu'allimin Muh. Yogyakarta</v>
      </c>
      <c r="R202" s="8" t="str">
        <f>'BIO DATA'!AA191:AA403</f>
        <v>Jl. Utan Kayu Raya No.20, RT.9/RW.2, Utan Kayu Utara, Kec. Matraman, Kota Jakarta Timur, Daerah Khusus Ibukota Jakarta 13120</v>
      </c>
      <c r="S202" s="8">
        <f>'BIO DATA'!AB191:AB403</f>
        <v>0</v>
      </c>
      <c r="T202" s="8" t="str">
        <f>'BIO DATA'!AC191:AC403</f>
        <v>Wildan Sangka</v>
      </c>
      <c r="U202" s="8" t="e">
        <f>'BIO DATA'!#REF!</f>
        <v>#REF!</v>
      </c>
      <c r="V202" s="8" t="str">
        <f>'BIO DATA'!AL191:AL403</f>
        <v>S2</v>
      </c>
      <c r="W202" s="8" t="str">
        <f>'BIO DATA'!AM191:AM403</f>
        <v>PNS</v>
      </c>
      <c r="X202" s="8" t="str">
        <f>'BIO DATA'!AG191:AG403</f>
        <v>&gt; Rp 2.500.000,00</v>
      </c>
      <c r="Y202" s="69" t="s">
        <v>217</v>
      </c>
      <c r="Z202" s="8">
        <f>'BIO DATA'!AI191:AI403</f>
        <v>0</v>
      </c>
      <c r="AA202" s="8" t="str">
        <f>'BIO DATA'!AJ191:AJ403</f>
        <v>Cita Tri Aryuni</v>
      </c>
      <c r="AB202" s="8" t="e">
        <f>'BIO DATA'!#REF!</f>
        <v>#REF!</v>
      </c>
      <c r="AC202" s="8" t="str">
        <f>'BIO DATA'!AL191:AL403</f>
        <v>S2</v>
      </c>
      <c r="AD202" s="8" t="str">
        <f>'BIO DATA'!AM191:AM403</f>
        <v>PNS</v>
      </c>
      <c r="AE202" s="8">
        <f>'BIO DATA'!AN191:AN403</f>
        <v>0</v>
      </c>
      <c r="AF202" s="52"/>
      <c r="AG202" s="8" t="e">
        <f>'BIO DATA'!#REF!</f>
        <v>#REF!</v>
      </c>
      <c r="AH202" s="8" t="e">
        <f>'BIO DATA'!#REF!</f>
        <v>#REF!</v>
      </c>
      <c r="AI202" s="8" t="e">
        <f>'BIO DATA'!#REF!</f>
        <v>#REF!</v>
      </c>
      <c r="AJ202" s="8" t="e">
        <f>'BIO DATA'!#REF!</f>
        <v>#REF!</v>
      </c>
      <c r="AK202" s="8" t="e">
        <f>'BIO DATA'!#REF!</f>
        <v>#REF!</v>
      </c>
      <c r="AL202" s="8" t="e">
        <f>'BIO DATA'!#REF!</f>
        <v>#REF!</v>
      </c>
      <c r="AM202" s="8" t="e">
        <f>'BIO DATA'!#REF!</f>
        <v>#REF!</v>
      </c>
      <c r="AN202" s="8" t="e">
        <f>'BIO DATA'!#REF!</f>
        <v>#REF!</v>
      </c>
      <c r="AO202" s="8" t="e">
        <f>'BIO DATA'!#REF!</f>
        <v>#REF!</v>
      </c>
      <c r="AP202" s="54" t="s">
        <v>196</v>
      </c>
    </row>
    <row r="203" spans="1:42" s="54" customFormat="1" ht="20.100000000000001" customHeight="1" thickBot="1">
      <c r="A203" s="66" t="s">
        <v>595</v>
      </c>
      <c r="B203">
        <v>68</v>
      </c>
      <c r="C203" s="90" t="e">
        <f>'BIO DATA'!#REF!</f>
        <v>#REF!</v>
      </c>
      <c r="D203" s="90" t="e">
        <f>'BIO DATA'!#REF!</f>
        <v>#REF!</v>
      </c>
      <c r="E203" s="89" t="e">
        <f>'BIO DATA'!#REF!</f>
        <v>#REF!</v>
      </c>
      <c r="F203" s="49" t="e">
        <f>'BIO DATA'!#REF!</f>
        <v>#REF!</v>
      </c>
      <c r="G203" s="8" t="e">
        <f>'BIO DATA'!#REF!</f>
        <v>#REF!</v>
      </c>
      <c r="H203" s="51" t="e">
        <f>'BIO DATA'!#REF!</f>
        <v>#REF!</v>
      </c>
      <c r="I203" s="49" t="e">
        <f>'BIO DATA'!#REF!</f>
        <v>#REF!</v>
      </c>
      <c r="J203" s="50">
        <f>'BIO DATA'!J191:J363</f>
        <v>1</v>
      </c>
      <c r="K203" s="50">
        <f>'BIO DATA'!K191:K404</f>
        <v>0</v>
      </c>
      <c r="L203" s="8" t="str">
        <f>'BIO DATA'!T191:T363</f>
        <v>Jl. Opal 3 No 33 Permata Opal PPS Gresik, Jawa Timur, 61151</v>
      </c>
      <c r="M203" s="8" t="str">
        <f>'BIO DATA'!V191:V404</f>
        <v>Suci</v>
      </c>
      <c r="N203" s="8" t="str">
        <f>'BIO DATA'!W191:W404</f>
        <v>Manyar</v>
      </c>
      <c r="O203" s="8" t="str">
        <f>'BIO DATA'!X191:X404</f>
        <v>Gresik</v>
      </c>
      <c r="P203" s="8" t="str">
        <f>'BIO DATA'!Y191:Y404</f>
        <v>Jawa Timur</v>
      </c>
      <c r="Q203" s="8" t="str">
        <f>'BIO DATA'!Z191:Z404</f>
        <v>MTs. Mu'allimin Muh. Yogyakarta</v>
      </c>
      <c r="R203" s="8" t="str">
        <f>'BIO DATA'!AA191:AA404</f>
        <v>Jl. Amuntai No.1, Ponganganrejo, Yosowilangun, Kec. Manyar, Kabupaten Gresik, Jawa Timur 61151</v>
      </c>
      <c r="S203" s="8">
        <f>'BIO DATA'!AB191:AB404</f>
        <v>0</v>
      </c>
      <c r="T203" s="8" t="str">
        <f>'BIO DATA'!AC191:AC404</f>
        <v>Rachmat Lydiawanto</v>
      </c>
      <c r="U203" s="8" t="e">
        <f>'BIO DATA'!#REF!</f>
        <v>#REF!</v>
      </c>
      <c r="V203" s="8" t="str">
        <f>'BIO DATA'!AL191:AL404</f>
        <v>S1</v>
      </c>
      <c r="W203" s="8" t="str">
        <f>'BIO DATA'!AM191:AM404</f>
        <v>Karyawan Swasta</v>
      </c>
      <c r="X203" s="8" t="str">
        <f>'BIO DATA'!AG191:AG404</f>
        <v>&gt; Rp 2.500.000,00</v>
      </c>
      <c r="Y203" s="69" t="s">
        <v>217</v>
      </c>
      <c r="Z203" s="8">
        <f>'BIO DATA'!AI191:AI404</f>
        <v>0</v>
      </c>
      <c r="AA203" s="8" t="str">
        <f>'BIO DATA'!AJ191:AJ404</f>
        <v>Nurul Masitha</v>
      </c>
      <c r="AB203" s="8" t="e">
        <f>'BIO DATA'!#REF!</f>
        <v>#REF!</v>
      </c>
      <c r="AC203" s="8" t="str">
        <f>'BIO DATA'!AL191:AL404</f>
        <v>S1</v>
      </c>
      <c r="AD203" s="8" t="str">
        <f>'BIO DATA'!AM191:AM404</f>
        <v>Karyawan Swasta</v>
      </c>
      <c r="AE203" s="8">
        <f>'BIO DATA'!AN191:AN404</f>
        <v>0</v>
      </c>
      <c r="AF203" s="52"/>
      <c r="AG203" s="8" t="e">
        <f>'BIO DATA'!#REF!</f>
        <v>#REF!</v>
      </c>
      <c r="AH203" s="8" t="e">
        <f>'BIO DATA'!#REF!</f>
        <v>#REF!</v>
      </c>
      <c r="AI203" s="8" t="e">
        <f>'BIO DATA'!#REF!</f>
        <v>#REF!</v>
      </c>
      <c r="AJ203" s="8" t="e">
        <f>'BIO DATA'!#REF!</f>
        <v>#REF!</v>
      </c>
      <c r="AK203" s="8" t="e">
        <f>'BIO DATA'!#REF!</f>
        <v>#REF!</v>
      </c>
      <c r="AL203" s="8" t="e">
        <f>'BIO DATA'!#REF!</f>
        <v>#REF!</v>
      </c>
      <c r="AM203" s="8" t="e">
        <f>'BIO DATA'!#REF!</f>
        <v>#REF!</v>
      </c>
      <c r="AN203" s="8" t="e">
        <f>'BIO DATA'!#REF!</f>
        <v>#REF!</v>
      </c>
      <c r="AO203" s="8" t="e">
        <f>'BIO DATA'!#REF!</f>
        <v>#REF!</v>
      </c>
      <c r="AP203" s="54" t="s">
        <v>196</v>
      </c>
    </row>
    <row r="204" spans="1:42" s="54" customFormat="1" ht="20.100000000000001" customHeight="1" thickBot="1">
      <c r="A204" s="66" t="s">
        <v>595</v>
      </c>
      <c r="B204">
        <v>123</v>
      </c>
      <c r="C204" s="90" t="e">
        <f>'BIO DATA'!#REF!</f>
        <v>#REF!</v>
      </c>
      <c r="D204" s="90" t="e">
        <f>'BIO DATA'!#REF!</f>
        <v>#REF!</v>
      </c>
      <c r="E204" s="89" t="e">
        <f>'BIO DATA'!#REF!</f>
        <v>#REF!</v>
      </c>
      <c r="F204" s="49" t="e">
        <f>'BIO DATA'!#REF!</f>
        <v>#REF!</v>
      </c>
      <c r="G204" s="8" t="e">
        <f>'BIO DATA'!#REF!</f>
        <v>#REF!</v>
      </c>
      <c r="H204" s="51" t="e">
        <f>'BIO DATA'!#REF!</f>
        <v>#REF!</v>
      </c>
      <c r="I204" s="49" t="e">
        <f>'BIO DATA'!#REF!</f>
        <v>#REF!</v>
      </c>
      <c r="J204" s="50">
        <f>'BIO DATA'!J191:J364</f>
        <v>1</v>
      </c>
      <c r="K204" s="50">
        <f>'BIO DATA'!K191:K405</f>
        <v>0</v>
      </c>
      <c r="L204" s="8" t="str">
        <f>'BIO DATA'!T191:T364</f>
        <v>Jl. Naskah 2 no 284 Km 7 Rt 46 Rw 13 Kel. Sukarami Kec. Sukarami Kota Palembang Sumatera Selatan 30152</v>
      </c>
      <c r="M204" s="8" t="str">
        <f>'BIO DATA'!V191:V405</f>
        <v>Sukarami</v>
      </c>
      <c r="N204" s="8" t="str">
        <f>'BIO DATA'!W191:W405</f>
        <v>Sukarami</v>
      </c>
      <c r="O204" s="8" t="str">
        <f>'BIO DATA'!X191:X405</f>
        <v>Palembang</v>
      </c>
      <c r="P204" s="8" t="str">
        <f>'BIO DATA'!Y191:Y405</f>
        <v>Sumatera Selatan</v>
      </c>
      <c r="Q204" s="8" t="str">
        <f>'BIO DATA'!Z191:Z405</f>
        <v>MTs. Mu'allimin Muh. Yogyakarta</v>
      </c>
      <c r="R204" s="8" t="str">
        <f>'BIO DATA'!AA191:AA405</f>
        <v>Jl. Ogan Jaya, Kebun Bunga, Kec. Sukarami, Kota Palembang, Sumatera Selatan 30961</v>
      </c>
      <c r="S204" s="8">
        <f>'BIO DATA'!AB191:AB405</f>
        <v>0</v>
      </c>
      <c r="T204" s="8" t="str">
        <f>'BIO DATA'!AC191:AC405</f>
        <v>M. Tursandi</v>
      </c>
      <c r="U204" s="8" t="e">
        <f>'BIO DATA'!#REF!</f>
        <v>#REF!</v>
      </c>
      <c r="V204" s="8" t="str">
        <f>'BIO DATA'!AL191:AL405</f>
        <v>Diploma</v>
      </c>
      <c r="W204" s="8" t="str">
        <f>'BIO DATA'!AM191:AM405</f>
        <v>Ibu Rumah Tangga</v>
      </c>
      <c r="X204" s="8">
        <f>'BIO DATA'!AG191:AG405</f>
        <v>0</v>
      </c>
      <c r="Y204" s="69" t="s">
        <v>217</v>
      </c>
      <c r="Z204" s="8">
        <f>'BIO DATA'!AI191:AI405</f>
        <v>0</v>
      </c>
      <c r="AA204" s="8" t="str">
        <f>'BIO DATA'!AJ191:AJ405</f>
        <v>Nurfadilah</v>
      </c>
      <c r="AB204" s="8" t="e">
        <f>'BIO DATA'!#REF!</f>
        <v>#REF!</v>
      </c>
      <c r="AC204" s="8" t="str">
        <f>'BIO DATA'!AL191:AL405</f>
        <v>Diploma</v>
      </c>
      <c r="AD204" s="8" t="str">
        <f>'BIO DATA'!AM191:AM405</f>
        <v>Ibu Rumah Tangga</v>
      </c>
      <c r="AE204" s="8" t="str">
        <f>'BIO DATA'!AN191:AN405</f>
        <v>&gt; Rp 2.500.000,00</v>
      </c>
      <c r="AF204" s="52"/>
      <c r="AG204" s="8" t="e">
        <f>'BIO DATA'!#REF!</f>
        <v>#REF!</v>
      </c>
      <c r="AH204" s="8" t="e">
        <f>'BIO DATA'!#REF!</f>
        <v>#REF!</v>
      </c>
      <c r="AI204" s="8" t="e">
        <f>'BIO DATA'!#REF!</f>
        <v>#REF!</v>
      </c>
      <c r="AJ204" s="8" t="e">
        <f>'BIO DATA'!#REF!</f>
        <v>#REF!</v>
      </c>
      <c r="AK204" s="8" t="e">
        <f>'BIO DATA'!#REF!</f>
        <v>#REF!</v>
      </c>
      <c r="AL204" s="8" t="e">
        <f>'BIO DATA'!#REF!</f>
        <v>#REF!</v>
      </c>
      <c r="AM204" s="8" t="e">
        <f>'BIO DATA'!#REF!</f>
        <v>#REF!</v>
      </c>
      <c r="AN204" s="8" t="e">
        <f>'BIO DATA'!#REF!</f>
        <v>#REF!</v>
      </c>
      <c r="AO204" s="8" t="e">
        <f>'BIO DATA'!#REF!</f>
        <v>#REF!</v>
      </c>
      <c r="AP204" s="54" t="s">
        <v>196</v>
      </c>
    </row>
    <row r="205" spans="1:42" s="54" customFormat="1" ht="20.100000000000001" customHeight="1" thickBot="1">
      <c r="A205" s="66" t="s">
        <v>595</v>
      </c>
      <c r="B205">
        <v>124</v>
      </c>
      <c r="C205" s="90" t="e">
        <f>'BIO DATA'!#REF!</f>
        <v>#REF!</v>
      </c>
      <c r="D205" s="90" t="e">
        <f>'BIO DATA'!#REF!</f>
        <v>#REF!</v>
      </c>
      <c r="E205" s="89" t="e">
        <f>'BIO DATA'!#REF!</f>
        <v>#REF!</v>
      </c>
      <c r="F205" s="49" t="e">
        <f>'BIO DATA'!#REF!</f>
        <v>#REF!</v>
      </c>
      <c r="G205" s="8" t="e">
        <f>'BIO DATA'!#REF!</f>
        <v>#REF!</v>
      </c>
      <c r="H205" s="51" t="e">
        <f>'BIO DATA'!#REF!</f>
        <v>#REF!</v>
      </c>
      <c r="I205" s="49" t="e">
        <f>'BIO DATA'!#REF!</f>
        <v>#REF!</v>
      </c>
      <c r="J205" s="50">
        <f>'BIO DATA'!J191:J365</f>
        <v>1</v>
      </c>
      <c r="K205" s="50">
        <f>'BIO DATA'!K191:K406</f>
        <v>0</v>
      </c>
      <c r="L205" s="8" t="str">
        <f>'BIO DATA'!T191:T365</f>
        <v>Jl Sulawesi No 33A Kergon Pekalongan Barat Pekalongan Jawa Tengah 51113</v>
      </c>
      <c r="M205" s="8" t="str">
        <f>'BIO DATA'!V191:V406</f>
        <v>Kergon</v>
      </c>
      <c r="N205" s="8" t="str">
        <f>'BIO DATA'!W191:W406</f>
        <v>Pekalongan Barat</v>
      </c>
      <c r="O205" s="8" t="str">
        <f>'BIO DATA'!X191:X406</f>
        <v>Pekalongan</v>
      </c>
      <c r="P205" s="8" t="str">
        <f>'BIO DATA'!Y191:Y406</f>
        <v>jawa tengah</v>
      </c>
      <c r="Q205" s="8" t="str">
        <f>'BIO DATA'!Z191:Z406</f>
        <v>MTs. Mu'allimin Muh. Yogyakarta</v>
      </c>
      <c r="R205" s="8" t="str">
        <f>'BIO DATA'!AA191:AA406</f>
        <v>Jl. Manunggal Gg. 2, Kraton Lor, Kec. Pekalongan Utara, Kota Pekalongan, Jawa Tengah 51145</v>
      </c>
      <c r="S205" s="8">
        <f>'BIO DATA'!AB191:AB406</f>
        <v>0</v>
      </c>
      <c r="T205" s="8" t="str">
        <f>'BIO DATA'!AC191:AC406</f>
        <v>Zainal mutaqin</v>
      </c>
      <c r="U205" s="8" t="e">
        <f>'BIO DATA'!#REF!</f>
        <v>#REF!</v>
      </c>
      <c r="V205" s="8" t="str">
        <f>'BIO DATA'!AL191:AL406</f>
        <v>SMP</v>
      </c>
      <c r="W205" s="8" t="str">
        <f>'BIO DATA'!AM191:AM406</f>
        <v>Ibu Rumah Tangga</v>
      </c>
      <c r="X205" s="8" t="str">
        <f>'BIO DATA'!AG191:AG406</f>
        <v>Antara Rp 2.000.000,00 s.d. Rp 2.500,000,00</v>
      </c>
      <c r="Y205" s="69" t="s">
        <v>217</v>
      </c>
      <c r="Z205" s="8">
        <f>'BIO DATA'!AI191:AI406</f>
        <v>0</v>
      </c>
      <c r="AA205" s="8" t="str">
        <f>'BIO DATA'!AJ191:AJ406</f>
        <v>Chotidjah</v>
      </c>
      <c r="AB205" s="8" t="e">
        <f>'BIO DATA'!#REF!</f>
        <v>#REF!</v>
      </c>
      <c r="AC205" s="8" t="str">
        <f>'BIO DATA'!AL191:AL406</f>
        <v>SMP</v>
      </c>
      <c r="AD205" s="8" t="str">
        <f>'BIO DATA'!AM191:AM406</f>
        <v>Ibu Rumah Tangga</v>
      </c>
      <c r="AE205" s="8">
        <f>'BIO DATA'!AN191:AN406</f>
        <v>0</v>
      </c>
      <c r="AF205" s="52"/>
      <c r="AG205" s="8" t="e">
        <f>'BIO DATA'!#REF!</f>
        <v>#REF!</v>
      </c>
      <c r="AH205" s="8" t="e">
        <f>'BIO DATA'!#REF!</f>
        <v>#REF!</v>
      </c>
      <c r="AI205" s="8" t="e">
        <f>'BIO DATA'!#REF!</f>
        <v>#REF!</v>
      </c>
      <c r="AJ205" s="8" t="e">
        <f>'BIO DATA'!#REF!</f>
        <v>#REF!</v>
      </c>
      <c r="AK205" s="8" t="e">
        <f>'BIO DATA'!#REF!</f>
        <v>#REF!</v>
      </c>
      <c r="AL205" s="8" t="e">
        <f>'BIO DATA'!#REF!</f>
        <v>#REF!</v>
      </c>
      <c r="AM205" s="8" t="e">
        <f>'BIO DATA'!#REF!</f>
        <v>#REF!</v>
      </c>
      <c r="AN205" s="8" t="e">
        <f>'BIO DATA'!#REF!</f>
        <v>#REF!</v>
      </c>
      <c r="AO205" s="8" t="e">
        <f>'BIO DATA'!#REF!</f>
        <v>#REF!</v>
      </c>
      <c r="AP205" s="54" t="s">
        <v>196</v>
      </c>
    </row>
    <row r="206" spans="1:42" s="54" customFormat="1" ht="20.100000000000001" customHeight="1" thickBot="1">
      <c r="A206" s="66" t="s">
        <v>595</v>
      </c>
      <c r="B206">
        <v>195</v>
      </c>
      <c r="C206" s="90" t="e">
        <f>'BIO DATA'!#REF!</f>
        <v>#REF!</v>
      </c>
      <c r="D206" s="90" t="e">
        <f>'BIO DATA'!#REF!</f>
        <v>#REF!</v>
      </c>
      <c r="E206" s="89" t="e">
        <f>'BIO DATA'!#REF!</f>
        <v>#REF!</v>
      </c>
      <c r="F206" s="49" t="e">
        <f>'BIO DATA'!#REF!</f>
        <v>#REF!</v>
      </c>
      <c r="G206" s="8" t="e">
        <f>'BIO DATA'!#REF!</f>
        <v>#REF!</v>
      </c>
      <c r="H206" s="51" t="e">
        <f>'BIO DATA'!#REF!</f>
        <v>#REF!</v>
      </c>
      <c r="I206" s="49" t="e">
        <f>'BIO DATA'!#REF!</f>
        <v>#REF!</v>
      </c>
      <c r="J206" s="50">
        <f>'BIO DATA'!J192:J366</f>
        <v>1</v>
      </c>
      <c r="K206" s="50">
        <f>'BIO DATA'!K192:K407</f>
        <v>2</v>
      </c>
      <c r="L206" s="8" t="str">
        <f>'BIO DATA'!T192:T366</f>
        <v>Perumahan Bumi Permata Hijau Sepunggur Blok D2 No 06 Sepunggur Kec. Kusan Hilir Kab. Tanah Bumbu Prov. Kalsel 72273</v>
      </c>
      <c r="M206" s="8" t="str">
        <f>'BIO DATA'!V192:V407</f>
        <v>Sepunggur</v>
      </c>
      <c r="N206" s="8" t="str">
        <f>'BIO DATA'!W192:W407</f>
        <v>Kusan Hilir</v>
      </c>
      <c r="O206" s="8" t="str">
        <f>'BIO DATA'!X192:X407</f>
        <v>Tanah Bumbu</v>
      </c>
      <c r="P206" s="8" t="str">
        <f>'BIO DATA'!Y192:Y407</f>
        <v>Kalimantan Selatan</v>
      </c>
      <c r="Q206" s="8" t="str">
        <f>'BIO DATA'!Z192:Z407</f>
        <v>MTs. Mu'allimin Muh. Yogyakarta</v>
      </c>
      <c r="R206" s="8" t="str">
        <f>'BIO DATA'!AA192:AA407</f>
        <v>Batuah, Kec. Kusan Hilir, Kabupaten Tanah Bumbu, Kalimantan Selatan 72273</v>
      </c>
      <c r="S206" s="8">
        <f>'BIO DATA'!AB192:AB407</f>
        <v>0</v>
      </c>
      <c r="T206" s="8" t="str">
        <f>'BIO DATA'!AC192:AC407</f>
        <v>Rudy Kurniawan</v>
      </c>
      <c r="U206" s="8" t="e">
        <f>'BIO DATA'!#REF!</f>
        <v>#REF!</v>
      </c>
      <c r="V206" s="8" t="str">
        <f>'BIO DATA'!AL192:AL407</f>
        <v>S2</v>
      </c>
      <c r="W206" s="8" t="str">
        <f>'BIO DATA'!AM192:AM407</f>
        <v>PNS</v>
      </c>
      <c r="X206" s="8" t="str">
        <f>'BIO DATA'!AG192:AG407</f>
        <v>&gt; Rp 2.500.000,00</v>
      </c>
      <c r="Y206" s="69" t="s">
        <v>217</v>
      </c>
      <c r="Z206" s="8">
        <f>'BIO DATA'!AI192:AI407</f>
        <v>0</v>
      </c>
      <c r="AA206" s="8" t="str">
        <f>'BIO DATA'!AJ192:AJ407</f>
        <v>Maimuna Mansyur Kene</v>
      </c>
      <c r="AB206" s="8" t="e">
        <f>'BIO DATA'!#REF!</f>
        <v>#REF!</v>
      </c>
      <c r="AC206" s="8" t="str">
        <f>'BIO DATA'!AL192:AL407</f>
        <v>S2</v>
      </c>
      <c r="AD206" s="8" t="str">
        <f>'BIO DATA'!AM192:AM407</f>
        <v>PNS</v>
      </c>
      <c r="AE206" s="8">
        <f>'BIO DATA'!AN192:AN407</f>
        <v>0</v>
      </c>
      <c r="AF206" s="52"/>
      <c r="AG206" s="8" t="e">
        <f>'BIO DATA'!#REF!</f>
        <v>#REF!</v>
      </c>
      <c r="AH206" s="8" t="e">
        <f>'BIO DATA'!#REF!</f>
        <v>#REF!</v>
      </c>
      <c r="AI206" s="8" t="e">
        <f>'BIO DATA'!#REF!</f>
        <v>#REF!</v>
      </c>
      <c r="AJ206" s="8" t="e">
        <f>'BIO DATA'!#REF!</f>
        <v>#REF!</v>
      </c>
      <c r="AK206" s="8" t="e">
        <f>'BIO DATA'!#REF!</f>
        <v>#REF!</v>
      </c>
      <c r="AL206" s="8" t="e">
        <f>'BIO DATA'!#REF!</f>
        <v>#REF!</v>
      </c>
      <c r="AM206" s="8" t="e">
        <f>'BIO DATA'!#REF!</f>
        <v>#REF!</v>
      </c>
      <c r="AN206" s="8" t="e">
        <f>'BIO DATA'!#REF!</f>
        <v>#REF!</v>
      </c>
      <c r="AO206" s="8" t="e">
        <f>'BIO DATA'!#REF!</f>
        <v>#REF!</v>
      </c>
      <c r="AP206" s="54" t="s">
        <v>196</v>
      </c>
    </row>
    <row r="207" spans="1:42" s="54" customFormat="1" ht="20.100000000000001" customHeight="1" thickBot="1">
      <c r="A207" s="66" t="s">
        <v>595</v>
      </c>
      <c r="B207">
        <v>225</v>
      </c>
      <c r="C207" s="90" t="e">
        <f>'BIO DATA'!#REF!</f>
        <v>#REF!</v>
      </c>
      <c r="D207" s="90" t="e">
        <f>'BIO DATA'!#REF!</f>
        <v>#REF!</v>
      </c>
      <c r="E207" s="89" t="e">
        <f>'BIO DATA'!#REF!</f>
        <v>#REF!</v>
      </c>
      <c r="F207" s="49" t="e">
        <f>'BIO DATA'!#REF!</f>
        <v>#REF!</v>
      </c>
      <c r="G207" s="8" t="e">
        <f>'BIO DATA'!#REF!</f>
        <v>#REF!</v>
      </c>
      <c r="H207" s="51" t="e">
        <f>'BIO DATA'!#REF!</f>
        <v>#REF!</v>
      </c>
      <c r="I207" s="49" t="e">
        <f>'BIO DATA'!#REF!</f>
        <v>#REF!</v>
      </c>
      <c r="J207" s="50">
        <f>'BIO DATA'!J193:J367</f>
        <v>1</v>
      </c>
      <c r="K207" s="50">
        <f>'BIO DATA'!K193:K408</f>
        <v>0</v>
      </c>
      <c r="L207" s="8" t="str">
        <f>'BIO DATA'!T193:T367</f>
        <v>Ganjuran RT 02/ RW 07 Caturharjo Sleman DI Yogyakarta 55515</v>
      </c>
      <c r="M207" s="8" t="str">
        <f>'BIO DATA'!V193:V408</f>
        <v>Ganjuran</v>
      </c>
      <c r="N207" s="8" t="str">
        <f>'BIO DATA'!W193:W408</f>
        <v>Caturharjo</v>
      </c>
      <c r="O207" s="8" t="str">
        <f>'BIO DATA'!X193:X408</f>
        <v>Sleman</v>
      </c>
      <c r="P207" s="8" t="str">
        <f>'BIO DATA'!Y193:Y408</f>
        <v>DI Yogyakarta</v>
      </c>
      <c r="Q207" s="8" t="str">
        <f>'BIO DATA'!Z193:Z408</f>
        <v>MTs. Mu'allimin Muh. Yogyakarta</v>
      </c>
      <c r="R207" s="8" t="str">
        <f>'BIO DATA'!AA193:AA408</f>
        <v>Jl. Tegal sari, Wonokerso, Lumbungrejo, Kec. Tempel, Kabupaten Sleman, Daerah Istimewa Yogyakarta 55552</v>
      </c>
      <c r="S207" s="8">
        <f>'BIO DATA'!AB193:AB408</f>
        <v>0</v>
      </c>
      <c r="T207" s="8" t="str">
        <f>'BIO DATA'!AC193:AC408</f>
        <v>Ariyanto</v>
      </c>
      <c r="U207" s="8" t="e">
        <f>'BIO DATA'!#REF!</f>
        <v>#REF!</v>
      </c>
      <c r="V207" s="8">
        <f>'BIO DATA'!AL193:AL408</f>
        <v>0</v>
      </c>
      <c r="W207" s="8">
        <f>'BIO DATA'!AM193:AM408</f>
        <v>0</v>
      </c>
      <c r="X207" s="8" t="str">
        <f>'BIO DATA'!AG193:AG408</f>
        <v>&gt; Rp 2.500.000,00</v>
      </c>
      <c r="Y207" s="69" t="s">
        <v>217</v>
      </c>
      <c r="Z207" s="8">
        <f>'BIO DATA'!AI193:AI408</f>
        <v>0</v>
      </c>
      <c r="AA207" s="8" t="str">
        <f>'BIO DATA'!AJ193:AJ408</f>
        <v>Seria Yennyta</v>
      </c>
      <c r="AB207" s="8" t="e">
        <f>'BIO DATA'!#REF!</f>
        <v>#REF!</v>
      </c>
      <c r="AC207" s="8">
        <f>'BIO DATA'!AL193:AL408</f>
        <v>0</v>
      </c>
      <c r="AD207" s="8">
        <f>'BIO DATA'!AM193:AM408</f>
        <v>0</v>
      </c>
      <c r="AE207" s="8">
        <f>'BIO DATA'!AN193:AN408</f>
        <v>0</v>
      </c>
      <c r="AF207" s="52"/>
      <c r="AG207" s="8" t="e">
        <f>'BIO DATA'!#REF!</f>
        <v>#REF!</v>
      </c>
      <c r="AH207" s="8" t="e">
        <f>'BIO DATA'!#REF!</f>
        <v>#REF!</v>
      </c>
      <c r="AI207" s="8" t="e">
        <f>'BIO DATA'!#REF!</f>
        <v>#REF!</v>
      </c>
      <c r="AJ207" s="8" t="e">
        <f>'BIO DATA'!#REF!</f>
        <v>#REF!</v>
      </c>
      <c r="AK207" s="8" t="e">
        <f>'BIO DATA'!#REF!</f>
        <v>#REF!</v>
      </c>
      <c r="AL207" s="8" t="e">
        <f>'BIO DATA'!#REF!</f>
        <v>#REF!</v>
      </c>
      <c r="AM207" s="8" t="e">
        <f>'BIO DATA'!#REF!</f>
        <v>#REF!</v>
      </c>
      <c r="AN207" s="8" t="e">
        <f>'BIO DATA'!#REF!</f>
        <v>#REF!</v>
      </c>
      <c r="AO207" s="8" t="e">
        <f>'BIO DATA'!#REF!</f>
        <v>#REF!</v>
      </c>
      <c r="AP207" s="54" t="s">
        <v>196</v>
      </c>
    </row>
    <row r="208" spans="1:42" s="54" customFormat="1" ht="20.100000000000001" customHeight="1" thickBot="1">
      <c r="A208" s="20" t="s">
        <v>596</v>
      </c>
      <c r="B208">
        <v>260</v>
      </c>
      <c r="C208" s="90" t="e">
        <f>'BIO DATA'!#REF!</f>
        <v>#REF!</v>
      </c>
      <c r="D208" s="90" t="e">
        <f>'BIO DATA'!#REF!</f>
        <v>#REF!</v>
      </c>
      <c r="E208" s="89" t="e">
        <f>'BIO DATA'!#REF!</f>
        <v>#REF!</v>
      </c>
      <c r="F208" s="49" t="e">
        <f>'BIO DATA'!#REF!</f>
        <v>#REF!</v>
      </c>
      <c r="G208" s="8" t="e">
        <f>'BIO DATA'!#REF!</f>
        <v>#REF!</v>
      </c>
      <c r="H208" s="51" t="e">
        <f>'BIO DATA'!#REF!</f>
        <v>#REF!</v>
      </c>
      <c r="I208" s="49" t="e">
        <f>'BIO DATA'!#REF!</f>
        <v>#REF!</v>
      </c>
      <c r="J208" s="50">
        <f>'BIO DATA'!J194:J368</f>
        <v>1</v>
      </c>
      <c r="K208" s="50">
        <f>'BIO DATA'!K194:K409</f>
        <v>0</v>
      </c>
      <c r="L208" s="8" t="str">
        <f>'BIO DATA'!T194:T368</f>
        <v>Perum Bumi Indah, Tahap 4, Blok JI No.9, Jl Dahlia VI, RT 06 RW 06, Sukamantri, Pasar Kemis, Tangerang, Banten, 15560</v>
      </c>
      <c r="M208" s="8" t="str">
        <f>'BIO DATA'!V194:V409</f>
        <v>Sukamantri</v>
      </c>
      <c r="N208" s="8" t="str">
        <f>'BIO DATA'!W194:W409</f>
        <v>Pasar Kemis</v>
      </c>
      <c r="O208" s="8" t="str">
        <f>'BIO DATA'!X194:X409</f>
        <v>Tangerang</v>
      </c>
      <c r="P208" s="8" t="str">
        <f>'BIO DATA'!Y194:Y409</f>
        <v>Banten</v>
      </c>
      <c r="Q208" s="8" t="str">
        <f>'BIO DATA'!Z194:Z409</f>
        <v>MTs. Mu'allimin Muh. Yogyakarta</v>
      </c>
      <c r="R208" s="8" t="str">
        <f>'BIO DATA'!AA194:AA409</f>
        <v>Caringin, Kec. Cisoka, Kabupaten Tangerang, Banten 15730</v>
      </c>
      <c r="S208" s="8">
        <f>'BIO DATA'!AB194:AB409</f>
        <v>0</v>
      </c>
      <c r="T208" s="8" t="str">
        <f>'BIO DATA'!AC194:AC409</f>
        <v>Haryanto</v>
      </c>
      <c r="U208" s="8" t="e">
        <f>'BIO DATA'!#REF!</f>
        <v>#REF!</v>
      </c>
      <c r="V208" s="8" t="str">
        <f>'BIO DATA'!AL194:AL409</f>
        <v>SD</v>
      </c>
      <c r="W208" s="8" t="str">
        <f>'BIO DATA'!AM194:AM409</f>
        <v>Ibu Rumah Tangga</v>
      </c>
      <c r="X208" s="8" t="str">
        <f>'BIO DATA'!AG194:AG409</f>
        <v>&gt; Rp 2.500.000,00</v>
      </c>
      <c r="Y208" s="69" t="s">
        <v>217</v>
      </c>
      <c r="Z208" s="8">
        <f>'BIO DATA'!AI194:AI409</f>
        <v>0</v>
      </c>
      <c r="AA208" s="8" t="str">
        <f>'BIO DATA'!AJ194:AJ409</f>
        <v>Juwariah</v>
      </c>
      <c r="AB208" s="8" t="e">
        <f>'BIO DATA'!#REF!</f>
        <v>#REF!</v>
      </c>
      <c r="AC208" s="8" t="str">
        <f>'BIO DATA'!AL194:AL409</f>
        <v>SD</v>
      </c>
      <c r="AD208" s="8" t="str">
        <f>'BIO DATA'!AM194:AM409</f>
        <v>Ibu Rumah Tangga</v>
      </c>
      <c r="AE208" s="8">
        <f>'BIO DATA'!AN194:AN409</f>
        <v>0</v>
      </c>
      <c r="AF208" s="52"/>
      <c r="AG208" s="8" t="e">
        <f>'BIO DATA'!#REF!</f>
        <v>#REF!</v>
      </c>
      <c r="AH208" s="8" t="e">
        <f>'BIO DATA'!#REF!</f>
        <v>#REF!</v>
      </c>
      <c r="AI208" s="8" t="e">
        <f>'BIO DATA'!#REF!</f>
        <v>#REF!</v>
      </c>
      <c r="AJ208" s="8" t="e">
        <f>'BIO DATA'!#REF!</f>
        <v>#REF!</v>
      </c>
      <c r="AK208" s="8" t="e">
        <f>'BIO DATA'!#REF!</f>
        <v>#REF!</v>
      </c>
      <c r="AL208" s="8" t="e">
        <f>'BIO DATA'!#REF!</f>
        <v>#REF!</v>
      </c>
      <c r="AM208" s="8" t="e">
        <f>'BIO DATA'!#REF!</f>
        <v>#REF!</v>
      </c>
      <c r="AN208" s="8" t="e">
        <f>'BIO DATA'!#REF!</f>
        <v>#REF!</v>
      </c>
      <c r="AO208" s="8" t="e">
        <f>'BIO DATA'!#REF!</f>
        <v>#REF!</v>
      </c>
      <c r="AP208" s="54" t="s">
        <v>196</v>
      </c>
    </row>
    <row r="209" spans="1:42" s="54" customFormat="1" ht="20.100000000000001" customHeight="1" thickBot="1">
      <c r="A209" s="20" t="s">
        <v>596</v>
      </c>
      <c r="B209">
        <v>267</v>
      </c>
      <c r="C209" s="90" t="e">
        <f>'BIO DATA'!#REF!</f>
        <v>#REF!</v>
      </c>
      <c r="D209" s="90" t="e">
        <f>'BIO DATA'!#REF!</f>
        <v>#REF!</v>
      </c>
      <c r="E209" s="89" t="e">
        <f>'BIO DATA'!#REF!</f>
        <v>#REF!</v>
      </c>
      <c r="F209" s="49" t="e">
        <f>'BIO DATA'!#REF!</f>
        <v>#REF!</v>
      </c>
      <c r="G209" s="8" t="e">
        <f>'BIO DATA'!#REF!</f>
        <v>#REF!</v>
      </c>
      <c r="H209" s="51" t="e">
        <f>'BIO DATA'!#REF!</f>
        <v>#REF!</v>
      </c>
      <c r="I209" s="49" t="e">
        <f>'BIO DATA'!#REF!</f>
        <v>#REF!</v>
      </c>
      <c r="J209" s="50">
        <f>'BIO DATA'!J196:J369</f>
        <v>3</v>
      </c>
      <c r="K209" s="50">
        <f>'BIO DATA'!K196:K410</f>
        <v>4</v>
      </c>
      <c r="L209" s="8" t="str">
        <f>'BIO DATA'!T196:T369</f>
        <v>Dusun Kacepit RT 5 RW 1 Desa Kacepit Kec. Selompampang Kab. Temanggung, Jawa Tengah, 56262</v>
      </c>
      <c r="M209" s="8" t="str">
        <f>'BIO DATA'!V196:V410</f>
        <v>Kacepit</v>
      </c>
      <c r="N209" s="8" t="str">
        <f>'BIO DATA'!W196:W410</f>
        <v>Selompampang</v>
      </c>
      <c r="O209" s="8" t="str">
        <f>'BIO DATA'!X196:X410</f>
        <v>Temanggung</v>
      </c>
      <c r="P209" s="8" t="str">
        <f>'BIO DATA'!Y196:Y410</f>
        <v>Jawa Tengah</v>
      </c>
      <c r="Q209" s="8" t="str">
        <f>'BIO DATA'!Z196:Z410</f>
        <v>MTs. Mu'allimin Muh. Yogyakarta</v>
      </c>
      <c r="R209" s="8" t="str">
        <f>'BIO DATA'!AA196:AA410</f>
        <v>Jl. Kartini No.36 Cublikan, Kowangan, Kec. Temanggung, Kabupaten Temanggung, Jawa Tengah 56217</v>
      </c>
      <c r="S209" s="8">
        <f>'BIO DATA'!AB196:AB410</f>
        <v>0</v>
      </c>
      <c r="T209" s="8" t="str">
        <f>'BIO DATA'!AC196:AC410</f>
        <v>Qurtubi</v>
      </c>
      <c r="U209" s="8" t="e">
        <f>'BIO DATA'!#REF!</f>
        <v>#REF!</v>
      </c>
      <c r="V209" s="8" t="str">
        <f>'BIO DATA'!AL196:AL410</f>
        <v>SMA</v>
      </c>
      <c r="W209" s="8" t="str">
        <f>'BIO DATA'!AM196:AM410</f>
        <v>Ibu Rumah Tangga</v>
      </c>
      <c r="X209" s="8" t="str">
        <f>'BIO DATA'!AG196:AG410</f>
        <v>&gt; Rp 2.500.000,00</v>
      </c>
      <c r="Y209" s="69" t="s">
        <v>217</v>
      </c>
      <c r="Z209" s="8">
        <f>'BIO DATA'!AI196:AI410</f>
        <v>0</v>
      </c>
      <c r="AA209" s="8" t="str">
        <f>'BIO DATA'!AJ196:AJ410</f>
        <v>Tri Astuti Sulistyowati</v>
      </c>
      <c r="AB209" s="8" t="e">
        <f>'BIO DATA'!#REF!</f>
        <v>#REF!</v>
      </c>
      <c r="AC209" s="8" t="str">
        <f>'BIO DATA'!AL196:AL410</f>
        <v>SMA</v>
      </c>
      <c r="AD209" s="8" t="str">
        <f>'BIO DATA'!AM196:AM410</f>
        <v>Ibu Rumah Tangga</v>
      </c>
      <c r="AE209" s="8">
        <f>'BIO DATA'!AN196:AN410</f>
        <v>0</v>
      </c>
      <c r="AF209" s="52"/>
      <c r="AG209" s="8" t="e">
        <f>'BIO DATA'!#REF!</f>
        <v>#REF!</v>
      </c>
      <c r="AH209" s="8" t="e">
        <f>'BIO DATA'!#REF!</f>
        <v>#REF!</v>
      </c>
      <c r="AI209" s="8" t="e">
        <f>'BIO DATA'!#REF!</f>
        <v>#REF!</v>
      </c>
      <c r="AJ209" s="8" t="e">
        <f>'BIO DATA'!#REF!</f>
        <v>#REF!</v>
      </c>
      <c r="AK209" s="8" t="e">
        <f>'BIO DATA'!#REF!</f>
        <v>#REF!</v>
      </c>
      <c r="AL209" s="8" t="e">
        <f>'BIO DATA'!#REF!</f>
        <v>#REF!</v>
      </c>
      <c r="AM209" s="8" t="e">
        <f>'BIO DATA'!#REF!</f>
        <v>#REF!</v>
      </c>
      <c r="AN209" s="8" t="e">
        <f>'BIO DATA'!#REF!</f>
        <v>#REF!</v>
      </c>
      <c r="AO209" s="8" t="e">
        <f>'BIO DATA'!#REF!</f>
        <v>#REF!</v>
      </c>
      <c r="AP209" s="54" t="s">
        <v>196</v>
      </c>
    </row>
    <row r="210" spans="1:42" s="54" customFormat="1" ht="20.100000000000001" customHeight="1" thickBot="1">
      <c r="A210" s="20" t="s">
        <v>596</v>
      </c>
      <c r="B210">
        <v>286</v>
      </c>
      <c r="C210" s="90" t="e">
        <f>'BIO DATA'!#REF!</f>
        <v>#REF!</v>
      </c>
      <c r="D210" s="90" t="e">
        <f>'BIO DATA'!#REF!</f>
        <v>#REF!</v>
      </c>
      <c r="E210" s="89" t="e">
        <f>'BIO DATA'!#REF!</f>
        <v>#REF!</v>
      </c>
      <c r="F210" s="49" t="e">
        <f>'BIO DATA'!#REF!</f>
        <v>#REF!</v>
      </c>
      <c r="G210" s="8" t="e">
        <f>'BIO DATA'!#REF!</f>
        <v>#REF!</v>
      </c>
      <c r="H210" s="51" t="e">
        <f>'BIO DATA'!#REF!</f>
        <v>#REF!</v>
      </c>
      <c r="I210" s="49" t="e">
        <f>'BIO DATA'!#REF!</f>
        <v>#REF!</v>
      </c>
      <c r="J210" s="50">
        <f>'BIO DATA'!J196:J370</f>
        <v>2</v>
      </c>
      <c r="K210" s="50">
        <f>'BIO DATA'!K196:K411</f>
        <v>2</v>
      </c>
      <c r="L210" s="8" t="str">
        <f>'BIO DATA'!T196:T370</f>
        <v>Perum Taman Kahuripan RT 06 RW 35 Klidon Mantren, Sukoharjo, Ngaglik Sleman DI yogyakarta 55581</v>
      </c>
      <c r="M210" s="8" t="str">
        <f>'BIO DATA'!V196:V411</f>
        <v>Sukoharjo</v>
      </c>
      <c r="N210" s="8" t="str">
        <f>'BIO DATA'!W196:W411</f>
        <v>Ngaglik</v>
      </c>
      <c r="O210" s="8" t="str">
        <f>'BIO DATA'!X196:X411</f>
        <v>Sleman</v>
      </c>
      <c r="P210" s="8" t="str">
        <f>'BIO DATA'!Y196:Y411</f>
        <v>Sukoharjo</v>
      </c>
      <c r="Q210" s="8" t="str">
        <f>'BIO DATA'!Z196:Z411</f>
        <v>MTs. Mu'allimin Muh. Yogyakarta</v>
      </c>
      <c r="R210" s="8" t="str">
        <f>'BIO DATA'!AA196:AA411</f>
        <v>Jl. Kaliurang No.27, Gambiran, Pakembinangun, Kec. Pakem, Kabupaten Sleman, Daerah Istimewa Yogyakarta 55582</v>
      </c>
      <c r="S210" s="8">
        <f>'BIO DATA'!AB196:AB411</f>
        <v>0</v>
      </c>
      <c r="T210" s="8" t="str">
        <f>'BIO DATA'!AC196:AC411</f>
        <v>Hasse Jubba</v>
      </c>
      <c r="U210" s="8" t="e">
        <f>'BIO DATA'!#REF!</f>
        <v>#REF!</v>
      </c>
      <c r="V210" s="8" t="str">
        <f>'BIO DATA'!AL196:AL411</f>
        <v>S1</v>
      </c>
      <c r="W210" s="8" t="str">
        <f>'BIO DATA'!AM196:AM411</f>
        <v>Ibu Rumah Tangga</v>
      </c>
      <c r="X210" s="8" t="str">
        <f>'BIO DATA'!AG196:AG411</f>
        <v>&gt; Rp 2.500.000,00</v>
      </c>
      <c r="Y210" s="69" t="s">
        <v>217</v>
      </c>
      <c r="Z210" s="8">
        <f>'BIO DATA'!AI196:AI411</f>
        <v>0</v>
      </c>
      <c r="AA210" s="8" t="str">
        <f>'BIO DATA'!AJ196:AJ411</f>
        <v>Sri Astuty Wulandari</v>
      </c>
      <c r="AB210" s="8" t="e">
        <f>'BIO DATA'!#REF!</f>
        <v>#REF!</v>
      </c>
      <c r="AC210" s="8" t="str">
        <f>'BIO DATA'!AL196:AL411</f>
        <v>S1</v>
      </c>
      <c r="AD210" s="8" t="str">
        <f>'BIO DATA'!AM196:AM411</f>
        <v>Ibu Rumah Tangga</v>
      </c>
      <c r="AE210" s="8">
        <f>'BIO DATA'!AN196:AN411</f>
        <v>0</v>
      </c>
      <c r="AF210" s="52"/>
      <c r="AG210" s="8" t="e">
        <f>'BIO DATA'!#REF!</f>
        <v>#REF!</v>
      </c>
      <c r="AH210" s="8" t="e">
        <f>'BIO DATA'!#REF!</f>
        <v>#REF!</v>
      </c>
      <c r="AI210" s="8" t="e">
        <f>'BIO DATA'!#REF!</f>
        <v>#REF!</v>
      </c>
      <c r="AJ210" s="8" t="e">
        <f>'BIO DATA'!#REF!</f>
        <v>#REF!</v>
      </c>
      <c r="AK210" s="8" t="e">
        <f>'BIO DATA'!#REF!</f>
        <v>#REF!</v>
      </c>
      <c r="AL210" s="8" t="e">
        <f>'BIO DATA'!#REF!</f>
        <v>#REF!</v>
      </c>
      <c r="AM210" s="8" t="e">
        <f>'BIO DATA'!#REF!</f>
        <v>#REF!</v>
      </c>
      <c r="AN210" s="8" t="e">
        <f>'BIO DATA'!#REF!</f>
        <v>#REF!</v>
      </c>
      <c r="AO210" s="8" t="e">
        <f>'BIO DATA'!#REF!</f>
        <v>#REF!</v>
      </c>
      <c r="AP210" s="54" t="s">
        <v>196</v>
      </c>
    </row>
    <row r="211" spans="1:42" s="54" customFormat="1" ht="20.100000000000001" customHeight="1" thickBot="1">
      <c r="A211" s="20" t="s">
        <v>596</v>
      </c>
      <c r="B211">
        <v>33</v>
      </c>
      <c r="C211" s="90" t="e">
        <f>'BIO DATA'!#REF!</f>
        <v>#REF!</v>
      </c>
      <c r="D211" s="90" t="e">
        <f>'BIO DATA'!#REF!</f>
        <v>#REF!</v>
      </c>
      <c r="E211" s="89" t="e">
        <f>'BIO DATA'!#REF!</f>
        <v>#REF!</v>
      </c>
      <c r="F211" s="49" t="e">
        <f>'BIO DATA'!#REF!</f>
        <v>#REF!</v>
      </c>
      <c r="G211" s="8" t="e">
        <f>'BIO DATA'!#REF!</f>
        <v>#REF!</v>
      </c>
      <c r="H211" s="51" t="e">
        <f>'BIO DATA'!#REF!</f>
        <v>#REF!</v>
      </c>
      <c r="I211" s="49" t="e">
        <f>'BIO DATA'!#REF!</f>
        <v>#REF!</v>
      </c>
      <c r="J211" s="50">
        <f>'BIO DATA'!J197:J371</f>
        <v>3</v>
      </c>
      <c r="K211" s="50">
        <f>'BIO DATA'!K197:K412</f>
        <v>3</v>
      </c>
      <c r="L211" s="8" t="str">
        <f>'BIO DATA'!T197:T371</f>
        <v>Jl RA Kartini Gg Sentosa Khalishah Residence C4 RT/RW 019/007 Sekip Lama Singkawang Tengah Kota Singkawang, Kalimantan Barat, 79113</v>
      </c>
      <c r="M211" s="8" t="str">
        <f>'BIO DATA'!V197:V412</f>
        <v>Sekip Lama</v>
      </c>
      <c r="N211" s="8" t="str">
        <f>'BIO DATA'!W197:W412</f>
        <v>Singkawang</v>
      </c>
      <c r="O211" s="8" t="str">
        <f>'BIO DATA'!X197:X412</f>
        <v>Barat</v>
      </c>
      <c r="P211" s="8" t="str">
        <f>'BIO DATA'!Y197:Y412</f>
        <v>Kalimantan Barat</v>
      </c>
      <c r="Q211" s="8" t="str">
        <f>'BIO DATA'!Z197:Z412</f>
        <v>MTs. Mu'allimin Muh. Yogyakarta</v>
      </c>
      <c r="R211" s="8" t="str">
        <f>'BIO DATA'!AA197:AA412</f>
        <v>Pasiran, Kec. Singkawang Bar., Kota Singkawang, Kalimantan Barat 79123</v>
      </c>
      <c r="S211" s="8">
        <f>'BIO DATA'!AB197:AB412</f>
        <v>0</v>
      </c>
      <c r="T211" s="8" t="str">
        <f>'BIO DATA'!AC197:AC412</f>
        <v>Khusnul Ma'arif</v>
      </c>
      <c r="U211" s="8" t="e">
        <f>'BIO DATA'!#REF!</f>
        <v>#REF!</v>
      </c>
      <c r="V211" s="8" t="str">
        <f>'BIO DATA'!AL197:AL412</f>
        <v>S1</v>
      </c>
      <c r="W211" s="8" t="str">
        <f>'BIO DATA'!AM197:AM412</f>
        <v>Karyawan BUMN</v>
      </c>
      <c r="X211" s="8" t="str">
        <f>'BIO DATA'!AG197:AG412</f>
        <v>&gt; Rp 2.500.000,00</v>
      </c>
      <c r="Y211" s="69" t="s">
        <v>217</v>
      </c>
      <c r="Z211" s="8">
        <f>'BIO DATA'!AI197:AI412</f>
        <v>0</v>
      </c>
      <c r="AA211" s="8" t="str">
        <f>'BIO DATA'!AJ197:AJ412</f>
        <v>Syarifah Mirna Iffianti</v>
      </c>
      <c r="AB211" s="8" t="e">
        <f>'BIO DATA'!#REF!</f>
        <v>#REF!</v>
      </c>
      <c r="AC211" s="8" t="str">
        <f>'BIO DATA'!AL197:AL412</f>
        <v>S1</v>
      </c>
      <c r="AD211" s="8" t="str">
        <f>'BIO DATA'!AM197:AM412</f>
        <v>Karyawan BUMN</v>
      </c>
      <c r="AE211" s="8">
        <f>'BIO DATA'!AN197:AN412</f>
        <v>0</v>
      </c>
      <c r="AF211" s="52"/>
      <c r="AG211" s="8" t="e">
        <f>'BIO DATA'!#REF!</f>
        <v>#REF!</v>
      </c>
      <c r="AH211" s="8" t="e">
        <f>'BIO DATA'!#REF!</f>
        <v>#REF!</v>
      </c>
      <c r="AI211" s="8" t="e">
        <f>'BIO DATA'!#REF!</f>
        <v>#REF!</v>
      </c>
      <c r="AJ211" s="8" t="e">
        <f>'BIO DATA'!#REF!</f>
        <v>#REF!</v>
      </c>
      <c r="AK211" s="8" t="e">
        <f>'BIO DATA'!#REF!</f>
        <v>#REF!</v>
      </c>
      <c r="AL211" s="8" t="e">
        <f>'BIO DATA'!#REF!</f>
        <v>#REF!</v>
      </c>
      <c r="AM211" s="8" t="e">
        <f>'BIO DATA'!#REF!</f>
        <v>#REF!</v>
      </c>
      <c r="AN211" s="8" t="e">
        <f>'BIO DATA'!#REF!</f>
        <v>#REF!</v>
      </c>
      <c r="AO211" s="8" t="e">
        <f>'BIO DATA'!#REF!</f>
        <v>#REF!</v>
      </c>
      <c r="AP211" s="54" t="s">
        <v>196</v>
      </c>
    </row>
    <row r="212" spans="1:42" s="54" customFormat="1" ht="20.100000000000001" customHeight="1" thickBot="1">
      <c r="A212" s="20" t="s">
        <v>596</v>
      </c>
      <c r="B212">
        <v>80</v>
      </c>
      <c r="C212" s="90" t="e">
        <f>'BIO DATA'!#REF!</f>
        <v>#REF!</v>
      </c>
      <c r="D212" s="90" t="e">
        <f>'BIO DATA'!#REF!</f>
        <v>#REF!</v>
      </c>
      <c r="E212" s="89" t="e">
        <f>'BIO DATA'!#REF!</f>
        <v>#REF!</v>
      </c>
      <c r="F212" s="49" t="e">
        <f>'BIO DATA'!#REF!</f>
        <v>#REF!</v>
      </c>
      <c r="G212" s="8" t="e">
        <f>'BIO DATA'!#REF!</f>
        <v>#REF!</v>
      </c>
      <c r="H212" s="51" t="e">
        <f>'BIO DATA'!#REF!</f>
        <v>#REF!</v>
      </c>
      <c r="I212" s="49" t="e">
        <f>'BIO DATA'!#REF!</f>
        <v>#REF!</v>
      </c>
      <c r="J212" s="50">
        <f>'BIO DATA'!J198:J372</f>
        <v>1</v>
      </c>
      <c r="K212" s="50">
        <f>'BIO DATA'!K198:K413</f>
        <v>3</v>
      </c>
      <c r="L212" s="8" t="str">
        <f>'BIO DATA'!T198:T372</f>
        <v>Kp Stangkle RT 3/6 No 24, Kemiri Muka, Beji, Depok, Jawa Barat 16423</v>
      </c>
      <c r="M212" s="8" t="str">
        <f>'BIO DATA'!V198:V413</f>
        <v>Kemiri Muka</v>
      </c>
      <c r="N212" s="8" t="str">
        <f>'BIO DATA'!W198:W413</f>
        <v>Beji</v>
      </c>
      <c r="O212" s="8" t="str">
        <f>'BIO DATA'!X198:X413</f>
        <v>Kota Depok</v>
      </c>
      <c r="P212" s="8" t="str">
        <f>'BIO DATA'!Y198:Y413</f>
        <v>Jawa Barat</v>
      </c>
      <c r="Q212" s="8" t="str">
        <f>'BIO DATA'!Z198:Z413</f>
        <v>MTs. Mu'allimin Muh. Yogyakarta</v>
      </c>
      <c r="R212" s="8" t="str">
        <f>'BIO DATA'!AA198:AA413</f>
        <v>Jl. Kedondong II, Kemiri Muka, Kecamatan Beji, Kota Depok, Jawa Barat 16423</v>
      </c>
      <c r="S212" s="8">
        <f>'BIO DATA'!AB198:AB413</f>
        <v>0</v>
      </c>
      <c r="T212" s="8" t="str">
        <f>'BIO DATA'!AC198:AC413</f>
        <v>Hariyanto</v>
      </c>
      <c r="U212" s="8" t="e">
        <f>'BIO DATA'!#REF!</f>
        <v>#REF!</v>
      </c>
      <c r="V212" s="8" t="str">
        <f>'BIO DATA'!AL198:AL413</f>
        <v>S1</v>
      </c>
      <c r="W212" s="8" t="str">
        <f>'BIO DATA'!AM198:AM413</f>
        <v>Ibu Rumah Tangga</v>
      </c>
      <c r="X212" s="8" t="str">
        <f>'BIO DATA'!AG198:AG413</f>
        <v>&gt; Rp 2.500.000,00</v>
      </c>
      <c r="Y212" s="69" t="s">
        <v>217</v>
      </c>
      <c r="Z212" s="8">
        <f>'BIO DATA'!AI198:AI413</f>
        <v>0</v>
      </c>
      <c r="AA212" s="8" t="str">
        <f>'BIO DATA'!AJ198:AJ413</f>
        <v>Siti Muflikhatul Hidayah</v>
      </c>
      <c r="AB212" s="8" t="e">
        <f>'BIO DATA'!#REF!</f>
        <v>#REF!</v>
      </c>
      <c r="AC212" s="8" t="str">
        <f>'BIO DATA'!AL198:AL413</f>
        <v>S1</v>
      </c>
      <c r="AD212" s="8" t="str">
        <f>'BIO DATA'!AM198:AM413</f>
        <v>Ibu Rumah Tangga</v>
      </c>
      <c r="AE212" s="8">
        <f>'BIO DATA'!AN198:AN413</f>
        <v>0</v>
      </c>
      <c r="AF212" s="52"/>
      <c r="AG212" s="8" t="e">
        <f>'BIO DATA'!#REF!</f>
        <v>#REF!</v>
      </c>
      <c r="AH212" s="8" t="e">
        <f>'BIO DATA'!#REF!</f>
        <v>#REF!</v>
      </c>
      <c r="AI212" s="8" t="e">
        <f>'BIO DATA'!#REF!</f>
        <v>#REF!</v>
      </c>
      <c r="AJ212" s="8" t="e">
        <f>'BIO DATA'!#REF!</f>
        <v>#REF!</v>
      </c>
      <c r="AK212" s="8" t="e">
        <f>'BIO DATA'!#REF!</f>
        <v>#REF!</v>
      </c>
      <c r="AL212" s="8" t="e">
        <f>'BIO DATA'!#REF!</f>
        <v>#REF!</v>
      </c>
      <c r="AM212" s="8" t="e">
        <f>'BIO DATA'!#REF!</f>
        <v>#REF!</v>
      </c>
      <c r="AN212" s="8" t="e">
        <f>'BIO DATA'!#REF!</f>
        <v>#REF!</v>
      </c>
      <c r="AO212" s="8" t="e">
        <f>'BIO DATA'!#REF!</f>
        <v>#REF!</v>
      </c>
      <c r="AP212" s="54" t="s">
        <v>196</v>
      </c>
    </row>
    <row r="213" spans="1:42" s="54" customFormat="1" ht="20.100000000000001" customHeight="1" thickBot="1">
      <c r="A213" s="20" t="s">
        <v>596</v>
      </c>
      <c r="B213">
        <v>94</v>
      </c>
      <c r="C213" s="90" t="e">
        <f>'BIO DATA'!#REF!</f>
        <v>#REF!</v>
      </c>
      <c r="D213" s="90" t="e">
        <f>'BIO DATA'!#REF!</f>
        <v>#REF!</v>
      </c>
      <c r="E213" s="89" t="e">
        <f>'BIO DATA'!#REF!</f>
        <v>#REF!</v>
      </c>
      <c r="F213" s="49" t="e">
        <f>'BIO DATA'!#REF!</f>
        <v>#REF!</v>
      </c>
      <c r="G213" s="8" t="e">
        <f>'BIO DATA'!#REF!</f>
        <v>#REF!</v>
      </c>
      <c r="H213" s="51" t="e">
        <f>'BIO DATA'!#REF!</f>
        <v>#REF!</v>
      </c>
      <c r="I213" s="49" t="e">
        <f>'BIO DATA'!#REF!</f>
        <v>#REF!</v>
      </c>
      <c r="J213" s="50">
        <f>'BIO DATA'!J199:J373</f>
        <v>0</v>
      </c>
      <c r="K213" s="50">
        <f>'BIO DATA'!K199:K414</f>
        <v>0</v>
      </c>
      <c r="L213" s="8">
        <f>'BIO DATA'!T199:T373</f>
        <v>0</v>
      </c>
      <c r="M213" s="8">
        <f>'BIO DATA'!V199:V414</f>
        <v>0</v>
      </c>
      <c r="N213" s="8">
        <f>'BIO DATA'!W199:W414</f>
        <v>0</v>
      </c>
      <c r="O213" s="8">
        <f>'BIO DATA'!X199:X414</f>
        <v>0</v>
      </c>
      <c r="P213" s="8">
        <f>'BIO DATA'!Y199:Y414</f>
        <v>0</v>
      </c>
      <c r="Q213" s="8">
        <f>'BIO DATA'!Z199:Z414</f>
        <v>0</v>
      </c>
      <c r="R213" s="8">
        <f>'BIO DATA'!AA199:AA414</f>
        <v>0</v>
      </c>
      <c r="S213" s="8">
        <f>'BIO DATA'!AB199:AB414</f>
        <v>0</v>
      </c>
      <c r="T213" s="8">
        <f>'BIO DATA'!AC199:AC414</f>
        <v>0</v>
      </c>
      <c r="U213" s="8" t="e">
        <f>'BIO DATA'!#REF!</f>
        <v>#REF!</v>
      </c>
      <c r="V213" s="8">
        <f>'BIO DATA'!AL199:AL414</f>
        <v>0</v>
      </c>
      <c r="W213" s="8">
        <f>'BIO DATA'!AM199:AM414</f>
        <v>0</v>
      </c>
      <c r="X213" s="8">
        <f>'BIO DATA'!AG199:AG414</f>
        <v>0</v>
      </c>
      <c r="Y213" s="69" t="s">
        <v>217</v>
      </c>
      <c r="Z213" s="8">
        <f>'BIO DATA'!AI199:AI414</f>
        <v>0</v>
      </c>
      <c r="AA213" s="8">
        <f>'BIO DATA'!AJ199:AJ414</f>
        <v>0</v>
      </c>
      <c r="AB213" s="8" t="e">
        <f>'BIO DATA'!#REF!</f>
        <v>#REF!</v>
      </c>
      <c r="AC213" s="8">
        <f>'BIO DATA'!AL199:AL414</f>
        <v>0</v>
      </c>
      <c r="AD213" s="8">
        <f>'BIO DATA'!AM199:AM414</f>
        <v>0</v>
      </c>
      <c r="AE213" s="8">
        <f>'BIO DATA'!AN199:AN414</f>
        <v>0</v>
      </c>
      <c r="AF213" s="52"/>
      <c r="AG213" s="8" t="e">
        <f>'BIO DATA'!#REF!</f>
        <v>#REF!</v>
      </c>
      <c r="AH213" s="8" t="e">
        <f>'BIO DATA'!#REF!</f>
        <v>#REF!</v>
      </c>
      <c r="AI213" s="8" t="e">
        <f>'BIO DATA'!#REF!</f>
        <v>#REF!</v>
      </c>
      <c r="AJ213" s="8" t="e">
        <f>'BIO DATA'!#REF!</f>
        <v>#REF!</v>
      </c>
      <c r="AK213" s="8" t="e">
        <f>'BIO DATA'!#REF!</f>
        <v>#REF!</v>
      </c>
      <c r="AL213" s="8" t="e">
        <f>'BIO DATA'!#REF!</f>
        <v>#REF!</v>
      </c>
      <c r="AM213" s="8" t="e">
        <f>'BIO DATA'!#REF!</f>
        <v>#REF!</v>
      </c>
      <c r="AN213" s="8" t="e">
        <f>'BIO DATA'!#REF!</f>
        <v>#REF!</v>
      </c>
      <c r="AO213" s="8" t="e">
        <f>'BIO DATA'!#REF!</f>
        <v>#REF!</v>
      </c>
      <c r="AP213" s="54" t="s">
        <v>196</v>
      </c>
    </row>
    <row r="214" spans="1:42" s="54" customFormat="1" ht="20.100000000000001" customHeight="1" thickBot="1">
      <c r="A214" s="20" t="s">
        <v>596</v>
      </c>
      <c r="B214">
        <v>111</v>
      </c>
      <c r="C214" s="90" t="e">
        <f>'BIO DATA'!#REF!</f>
        <v>#REF!</v>
      </c>
      <c r="D214" s="90" t="e">
        <f>'BIO DATA'!#REF!</f>
        <v>#REF!</v>
      </c>
      <c r="E214" s="89" t="e">
        <f>'BIO DATA'!#REF!</f>
        <v>#REF!</v>
      </c>
      <c r="F214" s="49" t="e">
        <f>'BIO DATA'!#REF!</f>
        <v>#REF!</v>
      </c>
      <c r="G214" s="8" t="e">
        <f>'BIO DATA'!#REF!</f>
        <v>#REF!</v>
      </c>
      <c r="H214" s="51" t="e">
        <f>'BIO DATA'!#REF!</f>
        <v>#REF!</v>
      </c>
      <c r="I214" s="49" t="e">
        <f>'BIO DATA'!#REF!</f>
        <v>#REF!</v>
      </c>
      <c r="J214" s="50">
        <f>'BIO DATA'!J200:J374</f>
        <v>0</v>
      </c>
      <c r="K214" s="50">
        <f>'BIO DATA'!K200:K415</f>
        <v>0</v>
      </c>
      <c r="L214" s="8">
        <f>'BIO DATA'!T200:T374</f>
        <v>0</v>
      </c>
      <c r="M214" s="8">
        <f>'BIO DATA'!V200:V415</f>
        <v>0</v>
      </c>
      <c r="N214" s="8">
        <f>'BIO DATA'!W200:W415</f>
        <v>0</v>
      </c>
      <c r="O214" s="8">
        <f>'BIO DATA'!X200:X415</f>
        <v>0</v>
      </c>
      <c r="P214" s="8">
        <f>'BIO DATA'!Y200:Y415</f>
        <v>0</v>
      </c>
      <c r="Q214" s="8">
        <f>'BIO DATA'!Z200:Z415</f>
        <v>0</v>
      </c>
      <c r="R214" s="8">
        <f>'BIO DATA'!AA200:AA415</f>
        <v>0</v>
      </c>
      <c r="S214" s="8">
        <f>'BIO DATA'!AB200:AB415</f>
        <v>0</v>
      </c>
      <c r="T214" s="8">
        <f>'BIO DATA'!AC200:AC415</f>
        <v>0</v>
      </c>
      <c r="U214" s="8" t="e">
        <f>'BIO DATA'!#REF!</f>
        <v>#REF!</v>
      </c>
      <c r="V214" s="8">
        <f>'BIO DATA'!AL200:AL415</f>
        <v>0</v>
      </c>
      <c r="W214" s="8">
        <f>'BIO DATA'!AM200:AM415</f>
        <v>0</v>
      </c>
      <c r="X214" s="8">
        <f>'BIO DATA'!AG200:AG415</f>
        <v>0</v>
      </c>
      <c r="Y214" s="69" t="s">
        <v>217</v>
      </c>
      <c r="Z214" s="8">
        <f>'BIO DATA'!AI200:AI415</f>
        <v>0</v>
      </c>
      <c r="AA214" s="8">
        <f>'BIO DATA'!AJ200:AJ415</f>
        <v>0</v>
      </c>
      <c r="AB214" s="8" t="e">
        <f>'BIO DATA'!#REF!</f>
        <v>#REF!</v>
      </c>
      <c r="AC214" s="8">
        <f>'BIO DATA'!AL200:AL415</f>
        <v>0</v>
      </c>
      <c r="AD214" s="8">
        <f>'BIO DATA'!AM200:AM415</f>
        <v>0</v>
      </c>
      <c r="AE214" s="8">
        <f>'BIO DATA'!AN200:AN415</f>
        <v>0</v>
      </c>
      <c r="AF214" s="52"/>
      <c r="AG214" s="8" t="e">
        <f>'BIO DATA'!#REF!</f>
        <v>#REF!</v>
      </c>
      <c r="AH214" s="8" t="e">
        <f>'BIO DATA'!#REF!</f>
        <v>#REF!</v>
      </c>
      <c r="AI214" s="8" t="e">
        <f>'BIO DATA'!#REF!</f>
        <v>#REF!</v>
      </c>
      <c r="AJ214" s="8" t="e">
        <f>'BIO DATA'!#REF!</f>
        <v>#REF!</v>
      </c>
      <c r="AK214" s="8" t="e">
        <f>'BIO DATA'!#REF!</f>
        <v>#REF!</v>
      </c>
      <c r="AL214" s="8" t="e">
        <f>'BIO DATA'!#REF!</f>
        <v>#REF!</v>
      </c>
      <c r="AM214" s="8" t="e">
        <f>'BIO DATA'!#REF!</f>
        <v>#REF!</v>
      </c>
      <c r="AN214" s="8" t="e">
        <f>'BIO DATA'!#REF!</f>
        <v>#REF!</v>
      </c>
      <c r="AO214" s="8" t="e">
        <f>'BIO DATA'!#REF!</f>
        <v>#REF!</v>
      </c>
      <c r="AP214" s="54" t="s">
        <v>196</v>
      </c>
    </row>
    <row r="215" spans="1:42" s="54" customFormat="1" ht="20.100000000000001" customHeight="1" thickBot="1">
      <c r="A215" s="20" t="s">
        <v>596</v>
      </c>
      <c r="B215">
        <v>118</v>
      </c>
      <c r="C215" s="90" t="e">
        <f>'BIO DATA'!#REF!</f>
        <v>#REF!</v>
      </c>
      <c r="D215" s="90" t="e">
        <f>'BIO DATA'!#REF!</f>
        <v>#REF!</v>
      </c>
      <c r="E215" s="89" t="e">
        <f>'BIO DATA'!#REF!</f>
        <v>#REF!</v>
      </c>
      <c r="F215" s="49" t="e">
        <f>'BIO DATA'!#REF!</f>
        <v>#REF!</v>
      </c>
      <c r="G215" s="8" t="e">
        <f>'BIO DATA'!#REF!</f>
        <v>#REF!</v>
      </c>
      <c r="H215" s="51" t="e">
        <f>'BIO DATA'!#REF!</f>
        <v>#REF!</v>
      </c>
      <c r="I215" s="49" t="e">
        <f>'BIO DATA'!#REF!</f>
        <v>#REF!</v>
      </c>
      <c r="J215" s="50">
        <f>'BIO DATA'!J201:J375</f>
        <v>0</v>
      </c>
      <c r="K215" s="50">
        <f>'BIO DATA'!K201:K416</f>
        <v>0</v>
      </c>
      <c r="L215" s="8">
        <f>'BIO DATA'!T201:T375</f>
        <v>0</v>
      </c>
      <c r="M215" s="8">
        <f>'BIO DATA'!V201:V416</f>
        <v>0</v>
      </c>
      <c r="N215" s="8">
        <f>'BIO DATA'!W201:W416</f>
        <v>0</v>
      </c>
      <c r="O215" s="8">
        <f>'BIO DATA'!X201:X416</f>
        <v>0</v>
      </c>
      <c r="P215" s="8">
        <f>'BIO DATA'!Y201:Y416</f>
        <v>0</v>
      </c>
      <c r="Q215" s="8">
        <f>'BIO DATA'!Z201:Z416</f>
        <v>0</v>
      </c>
      <c r="R215" s="8">
        <f>'BIO DATA'!AA201:AA416</f>
        <v>0</v>
      </c>
      <c r="S215" s="8">
        <f>'BIO DATA'!AB201:AB416</f>
        <v>0</v>
      </c>
      <c r="T215" s="8">
        <f>'BIO DATA'!AC201:AC416</f>
        <v>0</v>
      </c>
      <c r="U215" s="8" t="e">
        <f>'BIO DATA'!#REF!</f>
        <v>#REF!</v>
      </c>
      <c r="V215" s="8">
        <f>'BIO DATA'!AL201:AL416</f>
        <v>0</v>
      </c>
      <c r="W215" s="8">
        <f>'BIO DATA'!AM201:AM416</f>
        <v>0</v>
      </c>
      <c r="X215" s="8">
        <f>'BIO DATA'!AG201:AG416</f>
        <v>0</v>
      </c>
      <c r="Y215" s="69" t="s">
        <v>217</v>
      </c>
      <c r="Z215" s="8">
        <f>'BIO DATA'!AI201:AI416</f>
        <v>0</v>
      </c>
      <c r="AA215" s="8">
        <f>'BIO DATA'!AJ201:AJ416</f>
        <v>0</v>
      </c>
      <c r="AB215" s="8" t="e">
        <f>'BIO DATA'!#REF!</f>
        <v>#REF!</v>
      </c>
      <c r="AC215" s="8">
        <f>'BIO DATA'!AL201:AL416</f>
        <v>0</v>
      </c>
      <c r="AD215" s="8">
        <f>'BIO DATA'!AM201:AM416</f>
        <v>0</v>
      </c>
      <c r="AE215" s="8">
        <f>'BIO DATA'!AN201:AN416</f>
        <v>0</v>
      </c>
      <c r="AF215" s="52"/>
      <c r="AG215" s="8" t="e">
        <f>'BIO DATA'!#REF!</f>
        <v>#REF!</v>
      </c>
      <c r="AH215" s="8" t="e">
        <f>'BIO DATA'!#REF!</f>
        <v>#REF!</v>
      </c>
      <c r="AI215" s="8" t="e">
        <f>'BIO DATA'!#REF!</f>
        <v>#REF!</v>
      </c>
      <c r="AJ215" s="8" t="e">
        <f>'BIO DATA'!#REF!</f>
        <v>#REF!</v>
      </c>
      <c r="AK215" s="8" t="e">
        <f>'BIO DATA'!#REF!</f>
        <v>#REF!</v>
      </c>
      <c r="AL215" s="8" t="e">
        <f>'BIO DATA'!#REF!</f>
        <v>#REF!</v>
      </c>
      <c r="AM215" s="8" t="e">
        <f>'BIO DATA'!#REF!</f>
        <v>#REF!</v>
      </c>
      <c r="AN215" s="8" t="e">
        <f>'BIO DATA'!#REF!</f>
        <v>#REF!</v>
      </c>
      <c r="AO215" s="8" t="e">
        <f>'BIO DATA'!#REF!</f>
        <v>#REF!</v>
      </c>
      <c r="AP215" s="54" t="s">
        <v>196</v>
      </c>
    </row>
    <row r="216" spans="1:42" s="54" customFormat="1" ht="20.100000000000001" customHeight="1" thickBot="1">
      <c r="A216" s="20" t="s">
        <v>596</v>
      </c>
      <c r="B216">
        <v>131</v>
      </c>
      <c r="C216" s="90" t="e">
        <f>'BIO DATA'!#REF!</f>
        <v>#REF!</v>
      </c>
      <c r="D216" s="90" t="e">
        <f>'BIO DATA'!#REF!</f>
        <v>#REF!</v>
      </c>
      <c r="E216" s="89" t="e">
        <f>'BIO DATA'!#REF!</f>
        <v>#REF!</v>
      </c>
      <c r="F216" s="49" t="e">
        <f>'BIO DATA'!#REF!</f>
        <v>#REF!</v>
      </c>
      <c r="G216" s="8" t="e">
        <f>'BIO DATA'!#REF!</f>
        <v>#REF!</v>
      </c>
      <c r="H216" s="51" t="e">
        <f>'BIO DATA'!#REF!</f>
        <v>#REF!</v>
      </c>
      <c r="I216" s="49" t="e">
        <f>'BIO DATA'!#REF!</f>
        <v>#REF!</v>
      </c>
      <c r="J216" s="50">
        <f>'BIO DATA'!J202:J376</f>
        <v>0</v>
      </c>
      <c r="K216" s="50">
        <f>'BIO DATA'!K202:K417</f>
        <v>0</v>
      </c>
      <c r="L216" s="8">
        <f>'BIO DATA'!T202:T376</f>
        <v>0</v>
      </c>
      <c r="M216" s="8">
        <f>'BIO DATA'!V202:V417</f>
        <v>0</v>
      </c>
      <c r="N216" s="8">
        <f>'BIO DATA'!W202:W417</f>
        <v>0</v>
      </c>
      <c r="O216" s="8">
        <f>'BIO DATA'!X202:X417</f>
        <v>0</v>
      </c>
      <c r="P216" s="8">
        <f>'BIO DATA'!Y202:Y417</f>
        <v>0</v>
      </c>
      <c r="Q216" s="8">
        <f>'BIO DATA'!Z202:Z417</f>
        <v>0</v>
      </c>
      <c r="R216" s="8">
        <f>'BIO DATA'!AA202:AA417</f>
        <v>0</v>
      </c>
      <c r="S216" s="8">
        <f>'BIO DATA'!AB202:AB417</f>
        <v>0</v>
      </c>
      <c r="T216" s="8">
        <f>'BIO DATA'!AC202:AC417</f>
        <v>0</v>
      </c>
      <c r="U216" s="8" t="e">
        <f>'BIO DATA'!#REF!</f>
        <v>#REF!</v>
      </c>
      <c r="V216" s="8">
        <f>'BIO DATA'!AL202:AL417</f>
        <v>0</v>
      </c>
      <c r="W216" s="8">
        <f>'BIO DATA'!AM202:AM417</f>
        <v>0</v>
      </c>
      <c r="X216" s="8">
        <f>'BIO DATA'!AG202:AG417</f>
        <v>0</v>
      </c>
      <c r="Y216" s="69" t="s">
        <v>217</v>
      </c>
      <c r="Z216" s="8">
        <f>'BIO DATA'!AI202:AI417</f>
        <v>0</v>
      </c>
      <c r="AA216" s="8">
        <f>'BIO DATA'!AJ202:AJ417</f>
        <v>0</v>
      </c>
      <c r="AB216" s="8" t="e">
        <f>'BIO DATA'!#REF!</f>
        <v>#REF!</v>
      </c>
      <c r="AC216" s="8">
        <f>'BIO DATA'!AL202:AL417</f>
        <v>0</v>
      </c>
      <c r="AD216" s="8">
        <f>'BIO DATA'!AM202:AM417</f>
        <v>0</v>
      </c>
      <c r="AE216" s="8">
        <f>'BIO DATA'!AN202:AN417</f>
        <v>0</v>
      </c>
      <c r="AF216" s="52"/>
      <c r="AG216" s="8" t="e">
        <f>'BIO DATA'!#REF!</f>
        <v>#REF!</v>
      </c>
      <c r="AH216" s="8" t="e">
        <f>'BIO DATA'!#REF!</f>
        <v>#REF!</v>
      </c>
      <c r="AI216" s="8" t="e">
        <f>'BIO DATA'!#REF!</f>
        <v>#REF!</v>
      </c>
      <c r="AJ216" s="8" t="e">
        <f>'BIO DATA'!#REF!</f>
        <v>#REF!</v>
      </c>
      <c r="AK216" s="8" t="e">
        <f>'BIO DATA'!#REF!</f>
        <v>#REF!</v>
      </c>
      <c r="AL216" s="8" t="e">
        <f>'BIO DATA'!#REF!</f>
        <v>#REF!</v>
      </c>
      <c r="AM216" s="8" t="e">
        <f>'BIO DATA'!#REF!</f>
        <v>#REF!</v>
      </c>
      <c r="AN216" s="8" t="e">
        <f>'BIO DATA'!#REF!</f>
        <v>#REF!</v>
      </c>
      <c r="AO216" s="8" t="e">
        <f>'BIO DATA'!#REF!</f>
        <v>#REF!</v>
      </c>
      <c r="AP216" s="54" t="s">
        <v>196</v>
      </c>
    </row>
    <row r="217" spans="1:42" s="54" customFormat="1" ht="20.100000000000001" customHeight="1" thickBot="1">
      <c r="A217" s="20" t="s">
        <v>596</v>
      </c>
      <c r="B217">
        <v>134</v>
      </c>
      <c r="C217" s="90" t="e">
        <f>'BIO DATA'!#REF!</f>
        <v>#REF!</v>
      </c>
      <c r="D217" s="90" t="e">
        <f>'BIO DATA'!#REF!</f>
        <v>#REF!</v>
      </c>
      <c r="E217" s="89" t="e">
        <f>'BIO DATA'!#REF!</f>
        <v>#REF!</v>
      </c>
      <c r="F217" s="49" t="e">
        <f>'BIO DATA'!#REF!</f>
        <v>#REF!</v>
      </c>
      <c r="G217" s="8" t="e">
        <f>'BIO DATA'!#REF!</f>
        <v>#REF!</v>
      </c>
      <c r="H217" s="51" t="e">
        <f>'BIO DATA'!#REF!</f>
        <v>#REF!</v>
      </c>
      <c r="I217" s="49" t="e">
        <f>'BIO DATA'!#REF!</f>
        <v>#REF!</v>
      </c>
      <c r="J217" s="50">
        <f>'BIO DATA'!J203:J377</f>
        <v>0</v>
      </c>
      <c r="K217" s="50">
        <f>'BIO DATA'!K203:K418</f>
        <v>0</v>
      </c>
      <c r="L217" s="8">
        <f>'BIO DATA'!T203:T377</f>
        <v>0</v>
      </c>
      <c r="M217" s="8">
        <f>'BIO DATA'!V203:V418</f>
        <v>0</v>
      </c>
      <c r="N217" s="8">
        <f>'BIO DATA'!W203:W418</f>
        <v>0</v>
      </c>
      <c r="O217" s="8">
        <f>'BIO DATA'!X203:X418</f>
        <v>0</v>
      </c>
      <c r="P217" s="8">
        <f>'BIO DATA'!Y203:Y418</f>
        <v>0</v>
      </c>
      <c r="Q217" s="8">
        <f>'BIO DATA'!Z203:Z418</f>
        <v>0</v>
      </c>
      <c r="R217" s="8">
        <f>'BIO DATA'!AA203:AA418</f>
        <v>0</v>
      </c>
      <c r="S217" s="8">
        <f>'BIO DATA'!AB203:AB418</f>
        <v>0</v>
      </c>
      <c r="T217" s="8">
        <f>'BIO DATA'!AC203:AC418</f>
        <v>0</v>
      </c>
      <c r="U217" s="8" t="e">
        <f>'BIO DATA'!#REF!</f>
        <v>#REF!</v>
      </c>
      <c r="V217" s="8">
        <f>'BIO DATA'!AL203:AL418</f>
        <v>0</v>
      </c>
      <c r="W217" s="8">
        <f>'BIO DATA'!AM203:AM418</f>
        <v>0</v>
      </c>
      <c r="X217" s="8">
        <f>'BIO DATA'!AG203:AG418</f>
        <v>0</v>
      </c>
      <c r="Y217" s="69" t="s">
        <v>217</v>
      </c>
      <c r="Z217" s="8">
        <f>'BIO DATA'!AI203:AI418</f>
        <v>0</v>
      </c>
      <c r="AA217" s="8">
        <f>'BIO DATA'!AJ203:AJ418</f>
        <v>0</v>
      </c>
      <c r="AB217" s="8" t="e">
        <f>'BIO DATA'!#REF!</f>
        <v>#REF!</v>
      </c>
      <c r="AC217" s="8">
        <f>'BIO DATA'!AL203:AL418</f>
        <v>0</v>
      </c>
      <c r="AD217" s="8">
        <f>'BIO DATA'!AM203:AM418</f>
        <v>0</v>
      </c>
      <c r="AE217" s="8">
        <f>'BIO DATA'!AN203:AN418</f>
        <v>0</v>
      </c>
      <c r="AF217" s="52"/>
      <c r="AG217" s="8" t="e">
        <f>'BIO DATA'!#REF!</f>
        <v>#REF!</v>
      </c>
      <c r="AH217" s="8" t="e">
        <f>'BIO DATA'!#REF!</f>
        <v>#REF!</v>
      </c>
      <c r="AI217" s="8" t="e">
        <f>'BIO DATA'!#REF!</f>
        <v>#REF!</v>
      </c>
      <c r="AJ217" s="8" t="e">
        <f>'BIO DATA'!#REF!</f>
        <v>#REF!</v>
      </c>
      <c r="AK217" s="8" t="e">
        <f>'BIO DATA'!#REF!</f>
        <v>#REF!</v>
      </c>
      <c r="AL217" s="8" t="e">
        <f>'BIO DATA'!#REF!</f>
        <v>#REF!</v>
      </c>
      <c r="AM217" s="8" t="e">
        <f>'BIO DATA'!#REF!</f>
        <v>#REF!</v>
      </c>
      <c r="AN217" s="8" t="e">
        <f>'BIO DATA'!#REF!</f>
        <v>#REF!</v>
      </c>
      <c r="AO217" s="8" t="e">
        <f>'BIO DATA'!#REF!</f>
        <v>#REF!</v>
      </c>
      <c r="AP217" s="54" t="s">
        <v>196</v>
      </c>
    </row>
    <row r="218" spans="1:42" s="54" customFormat="1" ht="20.100000000000001" customHeight="1" thickBot="1">
      <c r="A218" s="20" t="s">
        <v>596</v>
      </c>
      <c r="C218" s="90" t="e">
        <f>'BIO DATA'!#REF!</f>
        <v>#REF!</v>
      </c>
      <c r="D218" s="90" t="e">
        <f>'BIO DATA'!#REF!</f>
        <v>#REF!</v>
      </c>
      <c r="E218" s="89" t="e">
        <f>'BIO DATA'!#REF!</f>
        <v>#REF!</v>
      </c>
      <c r="F218" s="49" t="e">
        <f>'BIO DATA'!#REF!</f>
        <v>#REF!</v>
      </c>
      <c r="G218" s="8" t="e">
        <f>'BIO DATA'!#REF!</f>
        <v>#REF!</v>
      </c>
      <c r="H218" s="51" t="e">
        <f>'BIO DATA'!#REF!</f>
        <v>#REF!</v>
      </c>
      <c r="I218" s="49" t="e">
        <f>'BIO DATA'!#REF!</f>
        <v>#REF!</v>
      </c>
      <c r="J218" s="50">
        <f>'BIO DATA'!J204:J378</f>
        <v>0</v>
      </c>
      <c r="K218" s="50">
        <f>'BIO DATA'!K204:K419</f>
        <v>0</v>
      </c>
      <c r="L218" s="8">
        <f>'BIO DATA'!T204:T378</f>
        <v>0</v>
      </c>
      <c r="M218" s="8">
        <f>'BIO DATA'!V204:V419</f>
        <v>0</v>
      </c>
      <c r="N218" s="8">
        <f>'BIO DATA'!W204:W419</f>
        <v>0</v>
      </c>
      <c r="O218" s="8">
        <f>'BIO DATA'!X204:X419</f>
        <v>0</v>
      </c>
      <c r="P218" s="8">
        <f>'BIO DATA'!Y204:Y419</f>
        <v>0</v>
      </c>
      <c r="Q218" s="8">
        <f>'BIO DATA'!Z204:Z419</f>
        <v>0</v>
      </c>
      <c r="R218" s="8">
        <f>'BIO DATA'!AA204:AA419</f>
        <v>0</v>
      </c>
      <c r="S218" s="8">
        <f>'BIO DATA'!AB204:AB419</f>
        <v>0</v>
      </c>
      <c r="T218" s="8">
        <f>'BIO DATA'!AC204:AC419</f>
        <v>0</v>
      </c>
      <c r="U218" s="8" t="e">
        <f>'BIO DATA'!#REF!</f>
        <v>#REF!</v>
      </c>
      <c r="V218" s="8">
        <f>'BIO DATA'!AL204:AL419</f>
        <v>0</v>
      </c>
      <c r="W218" s="8">
        <f>'BIO DATA'!AM204:AM419</f>
        <v>0</v>
      </c>
      <c r="X218" s="8">
        <f>'BIO DATA'!AG204:AG419</f>
        <v>0</v>
      </c>
      <c r="Y218" s="69" t="s">
        <v>217</v>
      </c>
      <c r="Z218" s="8">
        <f>'BIO DATA'!AI204:AI419</f>
        <v>0</v>
      </c>
      <c r="AA218" s="8">
        <f>'BIO DATA'!AJ204:AJ419</f>
        <v>0</v>
      </c>
      <c r="AB218" s="8" t="e">
        <f>'BIO DATA'!#REF!</f>
        <v>#REF!</v>
      </c>
      <c r="AC218" s="8">
        <f>'BIO DATA'!AL204:AL419</f>
        <v>0</v>
      </c>
      <c r="AD218" s="8">
        <f>'BIO DATA'!AM204:AM419</f>
        <v>0</v>
      </c>
      <c r="AE218" s="8">
        <f>'BIO DATA'!AN204:AN419</f>
        <v>0</v>
      </c>
      <c r="AF218" s="52"/>
    </row>
    <row r="219" spans="1:42" s="54" customFormat="1" ht="20.100000000000001" customHeight="1" thickBot="1">
      <c r="A219" s="20" t="s">
        <v>596</v>
      </c>
      <c r="C219" s="90" t="e">
        <f>'BIO DATA'!#REF!</f>
        <v>#REF!</v>
      </c>
      <c r="D219" s="90" t="e">
        <f>'BIO DATA'!#REF!</f>
        <v>#REF!</v>
      </c>
      <c r="E219" s="89" t="e">
        <f>'BIO DATA'!#REF!</f>
        <v>#REF!</v>
      </c>
      <c r="F219" s="49" t="e">
        <f>'BIO DATA'!#REF!</f>
        <v>#REF!</v>
      </c>
      <c r="G219" s="8" t="e">
        <f>'BIO DATA'!#REF!</f>
        <v>#REF!</v>
      </c>
      <c r="H219" s="51" t="e">
        <f>'BIO DATA'!#REF!</f>
        <v>#REF!</v>
      </c>
      <c r="I219" s="49" t="e">
        <f>'BIO DATA'!#REF!</f>
        <v>#REF!</v>
      </c>
      <c r="J219" s="50">
        <f>'BIO DATA'!J204:J379</f>
        <v>0</v>
      </c>
      <c r="K219" s="50">
        <f>'BIO DATA'!K204:K420</f>
        <v>0</v>
      </c>
      <c r="L219" s="8">
        <f>'BIO DATA'!T204:T379</f>
        <v>0</v>
      </c>
      <c r="M219" s="8">
        <f>'BIO DATA'!V204:V420</f>
        <v>0</v>
      </c>
      <c r="N219" s="8">
        <f>'BIO DATA'!W204:W420</f>
        <v>0</v>
      </c>
      <c r="O219" s="8">
        <f>'BIO DATA'!X204:X420</f>
        <v>0</v>
      </c>
      <c r="P219" s="8">
        <f>'BIO DATA'!Y204:Y420</f>
        <v>0</v>
      </c>
      <c r="Q219" s="8">
        <f>'BIO DATA'!Z204:Z420</f>
        <v>0</v>
      </c>
      <c r="R219" s="8">
        <f>'BIO DATA'!AA204:AA420</f>
        <v>0</v>
      </c>
      <c r="S219" s="8">
        <f>'BIO DATA'!AB204:AB420</f>
        <v>0</v>
      </c>
      <c r="T219" s="8">
        <f>'BIO DATA'!AC204:AC420</f>
        <v>0</v>
      </c>
      <c r="U219" s="8" t="e">
        <f>'BIO DATA'!#REF!</f>
        <v>#REF!</v>
      </c>
      <c r="V219" s="8">
        <f>'BIO DATA'!AL204:AL420</f>
        <v>0</v>
      </c>
      <c r="W219" s="8">
        <f>'BIO DATA'!AM204:AM420</f>
        <v>0</v>
      </c>
      <c r="X219" s="8">
        <f>'BIO DATA'!AG204:AG420</f>
        <v>0</v>
      </c>
      <c r="Y219" s="69" t="s">
        <v>217</v>
      </c>
      <c r="Z219" s="8">
        <f>'BIO DATA'!AI204:AI420</f>
        <v>0</v>
      </c>
      <c r="AA219" s="8">
        <f>'BIO DATA'!AJ204:AJ420</f>
        <v>0</v>
      </c>
      <c r="AB219" s="8" t="e">
        <f>'BIO DATA'!#REF!</f>
        <v>#REF!</v>
      </c>
      <c r="AC219" s="8">
        <f>'BIO DATA'!AL204:AL420</f>
        <v>0</v>
      </c>
      <c r="AD219" s="8">
        <f>'BIO DATA'!AM204:AM420</f>
        <v>0</v>
      </c>
      <c r="AE219" s="8">
        <f>'BIO DATA'!AN204:AN420</f>
        <v>0</v>
      </c>
      <c r="AF219" s="52"/>
    </row>
    <row r="220" spans="1:42" s="54" customFormat="1" ht="20.100000000000001" customHeight="1"/>
    <row r="221" spans="1:42" s="54" customFormat="1" ht="20.100000000000001" customHeight="1"/>
    <row r="222" spans="1:42" s="54" customFormat="1" ht="20.100000000000001" customHeight="1"/>
    <row r="223" spans="1:42" s="54" customFormat="1" ht="20.100000000000001" customHeight="1"/>
    <row r="224" spans="1:42" s="54" customFormat="1" ht="20.100000000000001" customHeight="1"/>
    <row r="225" spans="1:42" s="54" customFormat="1" ht="20.100000000000001" customHeight="1">
      <c r="A225" s="10"/>
      <c r="B225" s="1"/>
      <c r="C225" s="10"/>
      <c r="D225" s="10"/>
      <c r="E225" s="10"/>
      <c r="F225" s="1"/>
      <c r="G225" s="4"/>
      <c r="H225" s="1"/>
      <c r="I225" s="1"/>
      <c r="J225" s="1"/>
      <c r="K225" s="1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8"/>
      <c r="Z225" s="4"/>
      <c r="AA225" s="4"/>
      <c r="AB225" s="4"/>
      <c r="AC225" s="4"/>
      <c r="AD225" s="4"/>
      <c r="AE225" s="4"/>
      <c r="AF225" s="48"/>
      <c r="AG225" s="4"/>
      <c r="AH225" s="4"/>
      <c r="AI225" s="4"/>
      <c r="AJ225" s="4"/>
      <c r="AK225" s="4"/>
      <c r="AL225" s="4"/>
      <c r="AM225" s="4"/>
      <c r="AN225" s="4"/>
      <c r="AO225" s="4"/>
      <c r="AP225" s="4"/>
    </row>
    <row r="226" spans="1:42" s="54" customFormat="1" ht="20.100000000000001" customHeight="1">
      <c r="A226" s="10"/>
      <c r="B226" s="1"/>
      <c r="C226" s="10"/>
      <c r="D226" s="10"/>
      <c r="E226" s="10"/>
      <c r="F226" s="1"/>
      <c r="G226" s="4"/>
      <c r="H226" s="1"/>
      <c r="I226" s="1"/>
      <c r="J226" s="1"/>
      <c r="K226" s="1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8"/>
      <c r="Z226" s="4"/>
      <c r="AA226" s="4"/>
      <c r="AB226" s="4"/>
      <c r="AC226" s="4"/>
      <c r="AD226" s="4"/>
      <c r="AE226" s="4"/>
      <c r="AF226" s="48"/>
      <c r="AG226" s="4"/>
      <c r="AH226" s="4"/>
      <c r="AI226" s="4"/>
      <c r="AJ226" s="4"/>
      <c r="AK226" s="4"/>
      <c r="AL226" s="4"/>
      <c r="AM226" s="4"/>
      <c r="AN226" s="4"/>
      <c r="AO226" s="4"/>
      <c r="AP226" s="4"/>
    </row>
    <row r="227" spans="1:42" s="54" customFormat="1" ht="20.100000000000001" customHeight="1">
      <c r="A227" s="10"/>
      <c r="B227" s="1"/>
      <c r="C227" s="10"/>
      <c r="D227" s="10"/>
      <c r="E227" s="10"/>
      <c r="F227" s="1"/>
      <c r="G227" s="4"/>
      <c r="H227" s="1"/>
      <c r="I227" s="1"/>
      <c r="J227" s="1"/>
      <c r="K227" s="1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8"/>
      <c r="Z227" s="4"/>
      <c r="AA227" s="4"/>
      <c r="AB227" s="4"/>
      <c r="AC227" s="4"/>
      <c r="AD227" s="4"/>
      <c r="AE227" s="4"/>
      <c r="AF227" s="48"/>
      <c r="AG227" s="4"/>
      <c r="AH227" s="4"/>
      <c r="AI227" s="4"/>
      <c r="AJ227" s="4"/>
      <c r="AK227" s="4"/>
      <c r="AL227" s="4"/>
      <c r="AM227" s="4"/>
      <c r="AN227" s="4"/>
      <c r="AO227" s="4"/>
      <c r="AP227" s="4"/>
    </row>
    <row r="228" spans="1:42" s="54" customFormat="1" ht="20.100000000000001" customHeight="1">
      <c r="A228" s="10"/>
      <c r="B228" s="1"/>
      <c r="C228" s="10"/>
      <c r="D228" s="10"/>
      <c r="E228" s="10"/>
      <c r="F228" s="1"/>
      <c r="G228" s="4"/>
      <c r="H228" s="1"/>
      <c r="I228" s="1"/>
      <c r="J228" s="1"/>
      <c r="K228" s="1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8"/>
      <c r="Z228" s="4"/>
      <c r="AA228" s="4"/>
      <c r="AB228" s="4"/>
      <c r="AC228" s="4"/>
      <c r="AD228" s="4"/>
      <c r="AE228" s="4"/>
      <c r="AF228" s="48"/>
      <c r="AG228" s="4"/>
      <c r="AH228" s="4"/>
      <c r="AI228" s="4"/>
      <c r="AJ228" s="4"/>
      <c r="AK228" s="4"/>
      <c r="AL228" s="4"/>
      <c r="AM228" s="4"/>
      <c r="AN228" s="4"/>
      <c r="AO228" s="4"/>
      <c r="AP228" s="4"/>
    </row>
    <row r="229" spans="1:42" s="54" customFormat="1" ht="20.100000000000001" customHeight="1">
      <c r="A229" s="10"/>
      <c r="B229" s="1"/>
      <c r="C229" s="10"/>
      <c r="D229" s="10"/>
      <c r="E229" s="10"/>
      <c r="F229" s="1"/>
      <c r="G229" s="4"/>
      <c r="H229" s="1"/>
      <c r="I229" s="1"/>
      <c r="J229" s="1"/>
      <c r="K229" s="1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8"/>
      <c r="Z229" s="4"/>
      <c r="AA229" s="4"/>
      <c r="AB229" s="4"/>
      <c r="AC229" s="4"/>
      <c r="AD229" s="4"/>
      <c r="AE229" s="4"/>
      <c r="AF229" s="48"/>
      <c r="AG229" s="4"/>
      <c r="AH229" s="4"/>
      <c r="AI229" s="4"/>
      <c r="AJ229" s="4"/>
      <c r="AK229" s="4"/>
      <c r="AL229" s="4"/>
      <c r="AM229" s="4"/>
      <c r="AN229" s="4"/>
      <c r="AO229" s="4"/>
      <c r="AP229" s="4"/>
    </row>
    <row r="230" spans="1:42" s="54" customFormat="1" ht="20.100000000000001" customHeight="1">
      <c r="A230" s="10"/>
      <c r="B230" s="1"/>
      <c r="C230" s="10"/>
      <c r="D230" s="10"/>
      <c r="E230" s="10"/>
      <c r="F230" s="1"/>
      <c r="G230" s="4"/>
      <c r="H230" s="1"/>
      <c r="I230" s="1"/>
      <c r="J230" s="1"/>
      <c r="K230" s="1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8"/>
      <c r="Z230" s="4"/>
      <c r="AA230" s="4"/>
      <c r="AB230" s="4"/>
      <c r="AC230" s="4"/>
      <c r="AD230" s="4"/>
      <c r="AE230" s="4"/>
      <c r="AF230" s="48"/>
      <c r="AG230" s="4"/>
      <c r="AH230" s="4"/>
      <c r="AI230" s="4"/>
      <c r="AJ230" s="4"/>
      <c r="AK230" s="4"/>
      <c r="AL230" s="4"/>
      <c r="AM230" s="4"/>
      <c r="AN230" s="4"/>
      <c r="AO230" s="4"/>
      <c r="AP230" s="4"/>
    </row>
    <row r="231" spans="1:42" s="54" customFormat="1" ht="20.100000000000001" customHeight="1">
      <c r="A231" s="10"/>
      <c r="B231" s="1"/>
      <c r="C231" s="10"/>
      <c r="D231" s="10"/>
      <c r="E231" s="10"/>
      <c r="F231" s="1"/>
      <c r="G231" s="4"/>
      <c r="H231" s="1"/>
      <c r="I231" s="1"/>
      <c r="J231" s="1"/>
      <c r="K231" s="1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8"/>
      <c r="Z231" s="4"/>
      <c r="AA231" s="4"/>
      <c r="AB231" s="4"/>
      <c r="AC231" s="4"/>
      <c r="AD231" s="4"/>
      <c r="AE231" s="4"/>
      <c r="AF231" s="48"/>
      <c r="AG231" s="4"/>
      <c r="AH231" s="4"/>
      <c r="AI231" s="4"/>
      <c r="AJ231" s="4"/>
      <c r="AK231" s="4"/>
      <c r="AL231" s="4"/>
      <c r="AM231" s="4"/>
      <c r="AN231" s="4"/>
      <c r="AO231" s="4"/>
      <c r="AP231" s="4"/>
    </row>
    <row r="232" spans="1:42" s="54" customFormat="1" ht="20.100000000000001" customHeight="1">
      <c r="A232" s="10"/>
      <c r="B232" s="1"/>
      <c r="C232" s="10"/>
      <c r="D232" s="10"/>
      <c r="E232" s="10"/>
      <c r="F232" s="1"/>
      <c r="G232" s="4"/>
      <c r="H232" s="1"/>
      <c r="I232" s="1"/>
      <c r="J232" s="1"/>
      <c r="K232" s="1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8"/>
      <c r="Z232" s="4"/>
      <c r="AA232" s="4"/>
      <c r="AB232" s="4"/>
      <c r="AC232" s="4"/>
      <c r="AD232" s="4"/>
      <c r="AE232" s="4"/>
      <c r="AF232" s="48"/>
      <c r="AG232" s="4"/>
      <c r="AH232" s="4"/>
      <c r="AI232" s="4"/>
      <c r="AJ232" s="4"/>
      <c r="AK232" s="4"/>
      <c r="AL232" s="4"/>
      <c r="AM232" s="4"/>
      <c r="AN232" s="4"/>
      <c r="AO232" s="4"/>
      <c r="AP232" s="4"/>
    </row>
    <row r="233" spans="1:42" s="54" customFormat="1" ht="20.100000000000001" customHeight="1">
      <c r="A233" s="10"/>
      <c r="B233" s="1"/>
      <c r="C233" s="10"/>
      <c r="D233" s="10"/>
      <c r="E233" s="10"/>
      <c r="F233" s="1"/>
      <c r="G233" s="4"/>
      <c r="H233" s="1"/>
      <c r="I233" s="1"/>
      <c r="J233" s="1"/>
      <c r="K233" s="1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8"/>
      <c r="Z233" s="4"/>
      <c r="AA233" s="4"/>
      <c r="AB233" s="4"/>
      <c r="AC233" s="4"/>
      <c r="AD233" s="4"/>
      <c r="AE233" s="4"/>
      <c r="AF233" s="48"/>
      <c r="AG233" s="4"/>
      <c r="AH233" s="4"/>
      <c r="AI233" s="4"/>
      <c r="AJ233" s="4"/>
      <c r="AK233" s="4"/>
      <c r="AL233" s="4"/>
      <c r="AM233" s="4"/>
      <c r="AN233" s="4"/>
      <c r="AO233" s="4"/>
      <c r="AP233" s="4"/>
    </row>
    <row r="234" spans="1:42" s="54" customFormat="1" ht="20.100000000000001" customHeight="1">
      <c r="A234" s="10"/>
      <c r="B234" s="1"/>
      <c r="C234" s="10"/>
      <c r="D234" s="10"/>
      <c r="E234" s="10"/>
      <c r="F234" s="1"/>
      <c r="G234" s="4"/>
      <c r="H234" s="1"/>
      <c r="I234" s="1"/>
      <c r="J234" s="1"/>
      <c r="K234" s="1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8"/>
      <c r="Z234" s="4"/>
      <c r="AA234" s="4"/>
      <c r="AB234" s="4"/>
      <c r="AC234" s="4"/>
      <c r="AD234" s="4"/>
      <c r="AE234" s="4"/>
      <c r="AF234" s="48"/>
      <c r="AG234" s="4"/>
      <c r="AH234" s="4"/>
      <c r="AI234" s="4"/>
      <c r="AJ234" s="4"/>
      <c r="AK234" s="4"/>
      <c r="AL234" s="4"/>
      <c r="AM234" s="4"/>
      <c r="AN234" s="4"/>
      <c r="AO234" s="4"/>
      <c r="AP234" s="4"/>
    </row>
    <row r="235" spans="1:42" s="54" customFormat="1" ht="20.100000000000001" customHeight="1">
      <c r="A235" s="10"/>
      <c r="B235" s="1"/>
      <c r="C235" s="10"/>
      <c r="D235" s="10"/>
      <c r="E235" s="10"/>
      <c r="F235" s="1"/>
      <c r="G235" s="4"/>
      <c r="H235" s="1"/>
      <c r="I235" s="1"/>
      <c r="J235" s="1"/>
      <c r="K235" s="1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8"/>
      <c r="Z235" s="4"/>
      <c r="AA235" s="4"/>
      <c r="AB235" s="4"/>
      <c r="AC235" s="4"/>
      <c r="AD235" s="4"/>
      <c r="AE235" s="4"/>
      <c r="AF235" s="48"/>
      <c r="AG235" s="4"/>
      <c r="AH235" s="4"/>
      <c r="AI235" s="4"/>
      <c r="AJ235" s="4"/>
      <c r="AK235" s="4"/>
      <c r="AL235" s="4"/>
      <c r="AM235" s="4"/>
      <c r="AN235" s="4"/>
      <c r="AO235" s="4"/>
      <c r="AP235" s="4"/>
    </row>
    <row r="236" spans="1:42" s="54" customFormat="1" ht="20.100000000000001" customHeight="1">
      <c r="A236" s="10"/>
      <c r="B236" s="1"/>
      <c r="C236" s="10"/>
      <c r="D236" s="10"/>
      <c r="E236" s="10"/>
      <c r="F236" s="1"/>
      <c r="G236" s="4"/>
      <c r="H236" s="1"/>
      <c r="I236" s="1"/>
      <c r="J236" s="1"/>
      <c r="K236" s="1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8"/>
      <c r="Z236" s="4"/>
      <c r="AA236" s="4"/>
      <c r="AB236" s="4"/>
      <c r="AC236" s="4"/>
      <c r="AD236" s="4"/>
      <c r="AE236" s="4"/>
      <c r="AF236" s="48"/>
      <c r="AG236" s="4"/>
      <c r="AH236" s="4"/>
      <c r="AI236" s="4"/>
      <c r="AJ236" s="4"/>
      <c r="AK236" s="4"/>
      <c r="AL236" s="4"/>
      <c r="AM236" s="4"/>
      <c r="AN236" s="4"/>
      <c r="AO236" s="4"/>
      <c r="AP236" s="4"/>
    </row>
    <row r="237" spans="1:42" s="54" customFormat="1" ht="20.100000000000001" customHeight="1">
      <c r="A237" s="10"/>
      <c r="B237" s="1"/>
      <c r="C237" s="10"/>
      <c r="D237" s="10"/>
      <c r="E237" s="10"/>
      <c r="F237" s="1"/>
      <c r="G237" s="4"/>
      <c r="H237" s="1"/>
      <c r="I237" s="1"/>
      <c r="J237" s="1"/>
      <c r="K237" s="1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8"/>
      <c r="Z237" s="4"/>
      <c r="AA237" s="4"/>
      <c r="AB237" s="4"/>
      <c r="AC237" s="4"/>
      <c r="AD237" s="4"/>
      <c r="AE237" s="4"/>
      <c r="AF237" s="48"/>
      <c r="AG237" s="4"/>
      <c r="AH237" s="4"/>
      <c r="AI237" s="4"/>
      <c r="AJ237" s="4"/>
      <c r="AK237" s="4"/>
      <c r="AL237" s="4"/>
      <c r="AM237" s="4"/>
      <c r="AN237" s="4"/>
      <c r="AO237" s="4"/>
      <c r="AP237" s="4"/>
    </row>
    <row r="238" spans="1:42" s="54" customFormat="1" ht="20.100000000000001" customHeight="1">
      <c r="A238" s="10"/>
      <c r="B238" s="1"/>
      <c r="C238" s="10"/>
      <c r="D238" s="10"/>
      <c r="E238" s="10"/>
      <c r="F238" s="1"/>
      <c r="G238" s="4"/>
      <c r="H238" s="1"/>
      <c r="I238" s="1"/>
      <c r="J238" s="1"/>
      <c r="K238" s="1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8"/>
      <c r="Z238" s="4"/>
      <c r="AA238" s="4"/>
      <c r="AB238" s="4"/>
      <c r="AC238" s="4"/>
      <c r="AD238" s="4"/>
      <c r="AE238" s="4"/>
      <c r="AF238" s="48"/>
      <c r="AG238" s="4"/>
      <c r="AH238" s="4"/>
      <c r="AI238" s="4"/>
      <c r="AJ238" s="4"/>
      <c r="AK238" s="4"/>
      <c r="AL238" s="4"/>
      <c r="AM238" s="4"/>
      <c r="AN238" s="4"/>
      <c r="AO238" s="4"/>
      <c r="AP238" s="4"/>
    </row>
    <row r="239" spans="1:42" s="54" customFormat="1" ht="20.100000000000001" customHeight="1">
      <c r="A239" s="10"/>
      <c r="B239" s="1"/>
      <c r="C239" s="10"/>
      <c r="D239" s="10"/>
      <c r="E239" s="10"/>
      <c r="F239" s="1"/>
      <c r="G239" s="4"/>
      <c r="H239" s="1"/>
      <c r="I239" s="1"/>
      <c r="J239" s="1"/>
      <c r="K239" s="1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8"/>
      <c r="Z239" s="4"/>
      <c r="AA239" s="4"/>
      <c r="AB239" s="4"/>
      <c r="AC239" s="4"/>
      <c r="AD239" s="4"/>
      <c r="AE239" s="4"/>
      <c r="AF239" s="48"/>
      <c r="AG239" s="4"/>
      <c r="AH239" s="4"/>
      <c r="AI239" s="4"/>
      <c r="AJ239" s="4"/>
      <c r="AK239" s="4"/>
      <c r="AL239" s="4"/>
      <c r="AM239" s="4"/>
      <c r="AN239" s="4"/>
      <c r="AO239" s="4"/>
      <c r="AP239" s="4"/>
    </row>
    <row r="240" spans="1:42" s="54" customFormat="1" ht="20.100000000000001" customHeight="1">
      <c r="A240" s="10"/>
      <c r="B240" s="1"/>
      <c r="C240" s="10"/>
      <c r="D240" s="10"/>
      <c r="E240" s="10"/>
      <c r="F240" s="1"/>
      <c r="G240" s="4"/>
      <c r="H240" s="1"/>
      <c r="I240" s="1"/>
      <c r="J240" s="1"/>
      <c r="K240" s="1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8"/>
      <c r="Z240" s="4"/>
      <c r="AA240" s="4"/>
      <c r="AB240" s="4"/>
      <c r="AC240" s="4"/>
      <c r="AD240" s="4"/>
      <c r="AE240" s="4"/>
      <c r="AF240" s="48"/>
      <c r="AG240" s="4"/>
      <c r="AH240" s="4"/>
      <c r="AI240" s="4"/>
      <c r="AJ240" s="4"/>
      <c r="AK240" s="4"/>
      <c r="AL240" s="4"/>
      <c r="AM240" s="4"/>
      <c r="AN240" s="4"/>
      <c r="AO240" s="4"/>
      <c r="AP240" s="4"/>
    </row>
    <row r="241" spans="1:42" s="54" customFormat="1" ht="20.100000000000001" customHeight="1">
      <c r="A241" s="10"/>
      <c r="B241" s="1"/>
      <c r="C241" s="10"/>
      <c r="D241" s="10"/>
      <c r="E241" s="10"/>
      <c r="F241" s="1"/>
      <c r="G241" s="4"/>
      <c r="H241" s="1"/>
      <c r="I241" s="1"/>
      <c r="J241" s="1"/>
      <c r="K241" s="1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8"/>
      <c r="Z241" s="4"/>
      <c r="AA241" s="4"/>
      <c r="AB241" s="4"/>
      <c r="AC241" s="4"/>
      <c r="AD241" s="4"/>
      <c r="AE241" s="4"/>
      <c r="AF241" s="48"/>
      <c r="AG241" s="4"/>
      <c r="AH241" s="4"/>
      <c r="AI241" s="4"/>
      <c r="AJ241" s="4"/>
      <c r="AK241" s="4"/>
      <c r="AL241" s="4"/>
      <c r="AM241" s="4"/>
      <c r="AN241" s="4"/>
      <c r="AO241" s="4"/>
      <c r="AP241" s="4"/>
    </row>
    <row r="242" spans="1:42" s="54" customFormat="1" ht="20.100000000000001" customHeight="1">
      <c r="A242" s="10"/>
      <c r="B242" s="1"/>
      <c r="C242" s="10"/>
      <c r="D242" s="10"/>
      <c r="E242" s="10"/>
      <c r="F242" s="1"/>
      <c r="G242" s="4"/>
      <c r="H242" s="1"/>
      <c r="I242" s="1"/>
      <c r="J242" s="1"/>
      <c r="K242" s="1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8"/>
      <c r="Z242" s="4"/>
      <c r="AA242" s="4"/>
      <c r="AB242" s="4"/>
      <c r="AC242" s="4"/>
      <c r="AD242" s="4"/>
      <c r="AE242" s="4"/>
      <c r="AF242" s="48"/>
      <c r="AG242" s="4"/>
      <c r="AH242" s="4"/>
      <c r="AI242" s="4"/>
      <c r="AJ242" s="4"/>
      <c r="AK242" s="4"/>
      <c r="AL242" s="4"/>
      <c r="AM242" s="4"/>
      <c r="AN242" s="4"/>
      <c r="AO242" s="4"/>
      <c r="AP242" s="4"/>
    </row>
    <row r="243" spans="1:42" s="54" customFormat="1" ht="20.100000000000001" customHeight="1">
      <c r="A243" s="10"/>
      <c r="B243" s="1"/>
      <c r="C243" s="10"/>
      <c r="D243" s="10"/>
      <c r="E243" s="10"/>
      <c r="F243" s="1"/>
      <c r="G243" s="4"/>
      <c r="H243" s="1"/>
      <c r="I243" s="1"/>
      <c r="J243" s="1"/>
      <c r="K243" s="1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8"/>
      <c r="Z243" s="4"/>
      <c r="AA243" s="4"/>
      <c r="AB243" s="4"/>
      <c r="AC243" s="4"/>
      <c r="AD243" s="4"/>
      <c r="AE243" s="4"/>
      <c r="AF243" s="48"/>
      <c r="AG243" s="4"/>
      <c r="AH243" s="4"/>
      <c r="AI243" s="4"/>
      <c r="AJ243" s="4"/>
      <c r="AK243" s="4"/>
      <c r="AL243" s="4"/>
      <c r="AM243" s="4"/>
      <c r="AN243" s="4"/>
      <c r="AO243" s="4"/>
      <c r="AP243" s="4"/>
    </row>
    <row r="244" spans="1:42" s="54" customFormat="1" ht="20.100000000000001" customHeight="1">
      <c r="A244" s="10"/>
      <c r="B244" s="1"/>
      <c r="C244" s="10"/>
      <c r="D244" s="10"/>
      <c r="E244" s="10"/>
      <c r="F244" s="1"/>
      <c r="G244" s="4"/>
      <c r="H244" s="1"/>
      <c r="I244" s="1"/>
      <c r="J244" s="1"/>
      <c r="K244" s="1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8"/>
      <c r="Z244" s="4"/>
      <c r="AA244" s="4"/>
      <c r="AB244" s="4"/>
      <c r="AC244" s="4"/>
      <c r="AD244" s="4"/>
      <c r="AE244" s="4"/>
      <c r="AF244" s="48"/>
      <c r="AG244" s="4"/>
      <c r="AH244" s="4"/>
      <c r="AI244" s="4"/>
      <c r="AJ244" s="4"/>
      <c r="AK244" s="4"/>
      <c r="AL244" s="4"/>
      <c r="AM244" s="4"/>
      <c r="AN244" s="4"/>
      <c r="AO244" s="4"/>
      <c r="AP244" s="4"/>
    </row>
    <row r="245" spans="1:42" s="54" customFormat="1" ht="20.100000000000001" customHeight="1">
      <c r="A245" s="10"/>
      <c r="B245" s="1"/>
      <c r="C245" s="10"/>
      <c r="D245" s="10"/>
      <c r="E245" s="10"/>
      <c r="F245" s="1"/>
      <c r="G245" s="4"/>
      <c r="H245" s="1"/>
      <c r="I245" s="1"/>
      <c r="J245" s="1"/>
      <c r="K245" s="1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8"/>
      <c r="Z245" s="4"/>
      <c r="AA245" s="4"/>
      <c r="AB245" s="4"/>
      <c r="AC245" s="4"/>
      <c r="AD245" s="4"/>
      <c r="AE245" s="4"/>
      <c r="AF245" s="48"/>
      <c r="AG245" s="4"/>
      <c r="AH245" s="4"/>
      <c r="AI245" s="4"/>
      <c r="AJ245" s="4"/>
      <c r="AK245" s="4"/>
      <c r="AL245" s="4"/>
      <c r="AM245" s="4"/>
      <c r="AN245" s="4"/>
      <c r="AO245" s="4"/>
      <c r="AP245" s="4"/>
    </row>
    <row r="246" spans="1:42" s="54" customFormat="1" ht="20.100000000000001" customHeight="1">
      <c r="A246" s="10"/>
      <c r="B246" s="1"/>
      <c r="C246" s="10"/>
      <c r="D246" s="10"/>
      <c r="E246" s="10"/>
      <c r="F246" s="1"/>
      <c r="G246" s="4"/>
      <c r="H246" s="1"/>
      <c r="I246" s="1"/>
      <c r="J246" s="1"/>
      <c r="K246" s="1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8"/>
      <c r="Z246" s="4"/>
      <c r="AA246" s="4"/>
      <c r="AB246" s="4"/>
      <c r="AC246" s="4"/>
      <c r="AD246" s="4"/>
      <c r="AE246" s="4"/>
      <c r="AF246" s="48"/>
      <c r="AG246" s="4"/>
      <c r="AH246" s="4"/>
      <c r="AI246" s="4"/>
      <c r="AJ246" s="4"/>
      <c r="AK246" s="4"/>
      <c r="AL246" s="4"/>
      <c r="AM246" s="4"/>
      <c r="AN246" s="4"/>
      <c r="AO246" s="4"/>
      <c r="AP246" s="4"/>
    </row>
    <row r="247" spans="1:42" s="54" customFormat="1" ht="20.100000000000001" customHeight="1">
      <c r="A247" s="10"/>
      <c r="B247" s="1"/>
      <c r="C247" s="10"/>
      <c r="D247" s="10"/>
      <c r="E247" s="10"/>
      <c r="F247" s="1"/>
      <c r="G247" s="4"/>
      <c r="H247" s="1"/>
      <c r="I247" s="1"/>
      <c r="J247" s="1"/>
      <c r="K247" s="1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8"/>
      <c r="Z247" s="4"/>
      <c r="AA247" s="4"/>
      <c r="AB247" s="4"/>
      <c r="AC247" s="4"/>
      <c r="AD247" s="4"/>
      <c r="AE247" s="4"/>
      <c r="AF247" s="48"/>
      <c r="AG247" s="4"/>
      <c r="AH247" s="4"/>
      <c r="AI247" s="4"/>
      <c r="AJ247" s="4"/>
      <c r="AK247" s="4"/>
      <c r="AL247" s="4"/>
      <c r="AM247" s="4"/>
      <c r="AN247" s="4"/>
      <c r="AO247" s="4"/>
      <c r="AP247" s="4"/>
    </row>
    <row r="248" spans="1:42" s="54" customFormat="1" ht="20.100000000000001" customHeight="1">
      <c r="A248" s="10"/>
      <c r="B248" s="1"/>
      <c r="C248" s="10"/>
      <c r="D248" s="10"/>
      <c r="E248" s="10"/>
      <c r="F248" s="1"/>
      <c r="G248" s="4"/>
      <c r="H248" s="1"/>
      <c r="I248" s="1"/>
      <c r="J248" s="1"/>
      <c r="K248" s="1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8"/>
      <c r="Z248" s="4"/>
      <c r="AA248" s="4"/>
      <c r="AB248" s="4"/>
      <c r="AC248" s="4"/>
      <c r="AD248" s="4"/>
      <c r="AE248" s="4"/>
      <c r="AF248" s="48"/>
      <c r="AG248" s="4"/>
      <c r="AH248" s="4"/>
      <c r="AI248" s="4"/>
      <c r="AJ248" s="4"/>
      <c r="AK248" s="4"/>
      <c r="AL248" s="4"/>
      <c r="AM248" s="4"/>
      <c r="AN248" s="4"/>
      <c r="AO248" s="4"/>
      <c r="AP248" s="4"/>
    </row>
    <row r="249" spans="1:42" s="54" customFormat="1" ht="20.100000000000001" customHeight="1">
      <c r="A249" s="10"/>
      <c r="B249" s="1"/>
      <c r="C249" s="10"/>
      <c r="D249" s="10"/>
      <c r="E249" s="10"/>
      <c r="F249" s="1"/>
      <c r="G249" s="4"/>
      <c r="H249" s="1"/>
      <c r="I249" s="1"/>
      <c r="J249" s="1"/>
      <c r="K249" s="1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8"/>
      <c r="Z249" s="4"/>
      <c r="AA249" s="4"/>
      <c r="AB249" s="4"/>
      <c r="AC249" s="4"/>
      <c r="AD249" s="4"/>
      <c r="AE249" s="4"/>
      <c r="AF249" s="48"/>
      <c r="AG249" s="4"/>
      <c r="AH249" s="4"/>
      <c r="AI249" s="4"/>
      <c r="AJ249" s="4"/>
      <c r="AK249" s="4"/>
      <c r="AL249" s="4"/>
      <c r="AM249" s="4"/>
      <c r="AN249" s="4"/>
      <c r="AO249" s="4"/>
      <c r="AP249" s="4"/>
    </row>
    <row r="250" spans="1:42" s="54" customFormat="1" ht="20.100000000000001" customHeight="1">
      <c r="A250" s="10"/>
      <c r="B250" s="1"/>
      <c r="C250" s="10"/>
      <c r="D250" s="10"/>
      <c r="E250" s="10"/>
      <c r="F250" s="1"/>
      <c r="G250" s="4"/>
      <c r="H250" s="1"/>
      <c r="I250" s="1"/>
      <c r="J250" s="1"/>
      <c r="K250" s="1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8"/>
      <c r="Z250" s="4"/>
      <c r="AA250" s="4"/>
      <c r="AB250" s="4"/>
      <c r="AC250" s="4"/>
      <c r="AD250" s="4"/>
      <c r="AE250" s="4"/>
      <c r="AF250" s="48"/>
      <c r="AG250" s="4"/>
      <c r="AH250" s="4"/>
      <c r="AI250" s="4"/>
      <c r="AJ250" s="4"/>
      <c r="AK250" s="4"/>
      <c r="AL250" s="4"/>
      <c r="AM250" s="4"/>
      <c r="AN250" s="4"/>
      <c r="AO250" s="4"/>
      <c r="AP250" s="4"/>
    </row>
    <row r="251" spans="1:42" s="54" customFormat="1" ht="20.100000000000001" customHeight="1">
      <c r="A251" s="10"/>
      <c r="B251" s="1"/>
      <c r="C251" s="10"/>
      <c r="D251" s="10"/>
      <c r="E251" s="10"/>
      <c r="F251" s="1"/>
      <c r="G251" s="4"/>
      <c r="H251" s="1"/>
      <c r="I251" s="1"/>
      <c r="J251" s="1"/>
      <c r="K251" s="1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8"/>
      <c r="Z251" s="4"/>
      <c r="AA251" s="4"/>
      <c r="AB251" s="4"/>
      <c r="AC251" s="4"/>
      <c r="AD251" s="4"/>
      <c r="AE251" s="4"/>
      <c r="AF251" s="48"/>
      <c r="AG251" s="4"/>
      <c r="AH251" s="4"/>
      <c r="AI251" s="4"/>
      <c r="AJ251" s="4"/>
      <c r="AK251" s="4"/>
      <c r="AL251" s="4"/>
      <c r="AM251" s="4"/>
      <c r="AN251" s="4"/>
      <c r="AO251" s="4"/>
      <c r="AP251" s="4"/>
    </row>
    <row r="252" spans="1:42" s="54" customFormat="1" ht="20.100000000000001" customHeight="1">
      <c r="A252" s="10"/>
      <c r="B252" s="1"/>
      <c r="C252" s="10"/>
      <c r="D252" s="10"/>
      <c r="E252" s="10"/>
      <c r="F252" s="1"/>
      <c r="G252" s="4"/>
      <c r="H252" s="1"/>
      <c r="I252" s="1"/>
      <c r="J252" s="1"/>
      <c r="K252" s="1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8"/>
      <c r="Z252" s="4"/>
      <c r="AA252" s="4"/>
      <c r="AB252" s="4"/>
      <c r="AC252" s="4"/>
      <c r="AD252" s="4"/>
      <c r="AE252" s="4"/>
      <c r="AF252" s="48"/>
      <c r="AG252" s="4"/>
      <c r="AH252" s="4"/>
      <c r="AI252" s="4"/>
      <c r="AJ252" s="4"/>
      <c r="AK252" s="4"/>
      <c r="AL252" s="4"/>
      <c r="AM252" s="4"/>
      <c r="AN252" s="4"/>
      <c r="AO252" s="4"/>
      <c r="AP252" s="4"/>
    </row>
    <row r="253" spans="1:42" s="54" customFormat="1" ht="20.100000000000001" customHeight="1">
      <c r="A253" s="10"/>
      <c r="B253" s="1"/>
      <c r="C253" s="10"/>
      <c r="D253" s="10"/>
      <c r="E253" s="10"/>
      <c r="F253" s="1"/>
      <c r="G253" s="4"/>
      <c r="H253" s="1"/>
      <c r="I253" s="1"/>
      <c r="J253" s="1"/>
      <c r="K253" s="1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8"/>
      <c r="Z253" s="4"/>
      <c r="AA253" s="4"/>
      <c r="AB253" s="4"/>
      <c r="AC253" s="4"/>
      <c r="AD253" s="4"/>
      <c r="AE253" s="4"/>
      <c r="AF253" s="48"/>
      <c r="AG253" s="4"/>
      <c r="AH253" s="4"/>
      <c r="AI253" s="4"/>
      <c r="AJ253" s="4"/>
      <c r="AK253" s="4"/>
      <c r="AL253" s="4"/>
      <c r="AM253" s="4"/>
      <c r="AN253" s="4"/>
      <c r="AO253" s="4"/>
      <c r="AP253" s="4"/>
    </row>
    <row r="254" spans="1:42" s="54" customFormat="1" ht="20.100000000000001" customHeight="1">
      <c r="A254" s="10"/>
      <c r="B254" s="1"/>
      <c r="C254" s="10"/>
      <c r="D254" s="10"/>
      <c r="E254" s="10"/>
      <c r="F254" s="1"/>
      <c r="G254" s="4"/>
      <c r="H254" s="1"/>
      <c r="I254" s="1"/>
      <c r="J254" s="1"/>
      <c r="K254" s="1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8"/>
      <c r="Z254" s="4"/>
      <c r="AA254" s="4"/>
      <c r="AB254" s="4"/>
      <c r="AC254" s="4"/>
      <c r="AD254" s="4"/>
      <c r="AE254" s="4"/>
      <c r="AF254" s="48"/>
      <c r="AG254" s="4"/>
      <c r="AH254" s="4"/>
      <c r="AI254" s="4"/>
      <c r="AJ254" s="4"/>
      <c r="AK254" s="4"/>
      <c r="AL254" s="4"/>
      <c r="AM254" s="4"/>
      <c r="AN254" s="4"/>
      <c r="AO254" s="4"/>
      <c r="AP254" s="4"/>
    </row>
    <row r="255" spans="1:42" s="54" customFormat="1" ht="20.100000000000001" customHeight="1">
      <c r="A255" s="10"/>
      <c r="B255" s="1"/>
      <c r="C255" s="10"/>
      <c r="D255" s="10"/>
      <c r="E255" s="10"/>
      <c r="F255" s="1"/>
      <c r="G255" s="4"/>
      <c r="H255" s="1"/>
      <c r="I255" s="1"/>
      <c r="J255" s="1"/>
      <c r="K255" s="1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8"/>
      <c r="Z255" s="4"/>
      <c r="AA255" s="4"/>
      <c r="AB255" s="4"/>
      <c r="AC255" s="4"/>
      <c r="AD255" s="4"/>
      <c r="AE255" s="4"/>
      <c r="AF255" s="48"/>
      <c r="AG255" s="4"/>
      <c r="AH255" s="4"/>
      <c r="AI255" s="4"/>
      <c r="AJ255" s="4"/>
      <c r="AK255" s="4"/>
      <c r="AL255" s="4"/>
      <c r="AM255" s="4"/>
      <c r="AN255" s="4"/>
      <c r="AO255" s="4"/>
      <c r="AP255" s="4"/>
    </row>
    <row r="256" spans="1:42" s="54" customFormat="1" ht="20.100000000000001" customHeight="1">
      <c r="A256" s="10"/>
      <c r="B256" s="1"/>
      <c r="C256" s="10"/>
      <c r="D256" s="10"/>
      <c r="E256" s="10"/>
      <c r="F256" s="1"/>
      <c r="G256" s="4"/>
      <c r="H256" s="1"/>
      <c r="I256" s="1"/>
      <c r="J256" s="1"/>
      <c r="K256" s="1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8"/>
      <c r="Z256" s="4"/>
      <c r="AA256" s="4"/>
      <c r="AB256" s="4"/>
      <c r="AC256" s="4"/>
      <c r="AD256" s="4"/>
      <c r="AE256" s="4"/>
      <c r="AF256" s="48"/>
      <c r="AG256" s="4"/>
      <c r="AH256" s="4"/>
      <c r="AI256" s="4"/>
      <c r="AJ256" s="4"/>
      <c r="AK256" s="4"/>
      <c r="AL256" s="4"/>
      <c r="AM256" s="4"/>
      <c r="AN256" s="4"/>
      <c r="AO256" s="4"/>
      <c r="AP256" s="4"/>
    </row>
    <row r="257" spans="1:42" s="54" customFormat="1" ht="20.100000000000001" customHeight="1">
      <c r="A257" s="10"/>
      <c r="B257" s="1"/>
      <c r="C257" s="10"/>
      <c r="D257" s="10"/>
      <c r="E257" s="10"/>
      <c r="F257" s="1"/>
      <c r="G257" s="4"/>
      <c r="H257" s="1"/>
      <c r="I257" s="1"/>
      <c r="J257" s="1"/>
      <c r="K257" s="1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8"/>
      <c r="Z257" s="4"/>
      <c r="AA257" s="4"/>
      <c r="AB257" s="4"/>
      <c r="AC257" s="4"/>
      <c r="AD257" s="4"/>
      <c r="AE257" s="4"/>
      <c r="AF257" s="48"/>
      <c r="AG257" s="4"/>
      <c r="AH257" s="4"/>
      <c r="AI257" s="4"/>
      <c r="AJ257" s="4"/>
      <c r="AK257" s="4"/>
      <c r="AL257" s="4"/>
      <c r="AM257" s="4"/>
      <c r="AN257" s="4"/>
      <c r="AO257" s="4"/>
      <c r="AP257" s="4"/>
    </row>
    <row r="258" spans="1:42" s="54" customFormat="1" ht="20.100000000000001" customHeight="1">
      <c r="A258" s="10"/>
      <c r="B258" s="1"/>
      <c r="C258" s="10"/>
      <c r="D258" s="10"/>
      <c r="E258" s="10"/>
      <c r="F258" s="1"/>
      <c r="G258" s="4"/>
      <c r="H258" s="1"/>
      <c r="I258" s="1"/>
      <c r="J258" s="1"/>
      <c r="K258" s="1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8"/>
      <c r="Z258" s="4"/>
      <c r="AA258" s="4"/>
      <c r="AB258" s="4"/>
      <c r="AC258" s="4"/>
      <c r="AD258" s="4"/>
      <c r="AE258" s="4"/>
      <c r="AF258" s="48"/>
      <c r="AG258" s="4"/>
      <c r="AH258" s="4"/>
      <c r="AI258" s="4"/>
      <c r="AJ258" s="4"/>
      <c r="AK258" s="4"/>
      <c r="AL258" s="4"/>
      <c r="AM258" s="4"/>
      <c r="AN258" s="4"/>
      <c r="AO258" s="4"/>
      <c r="AP258" s="4"/>
    </row>
    <row r="259" spans="1:42" s="54" customFormat="1" ht="20.100000000000001" customHeight="1">
      <c r="A259" s="10"/>
      <c r="B259" s="1"/>
      <c r="C259" s="10"/>
      <c r="D259" s="10"/>
      <c r="E259" s="10"/>
      <c r="F259" s="1"/>
      <c r="G259" s="4"/>
      <c r="H259" s="1"/>
      <c r="I259" s="1"/>
      <c r="J259" s="1"/>
      <c r="K259" s="1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8"/>
      <c r="Z259" s="4"/>
      <c r="AA259" s="4"/>
      <c r="AB259" s="4"/>
      <c r="AC259" s="4"/>
      <c r="AD259" s="4"/>
      <c r="AE259" s="4"/>
      <c r="AF259" s="48"/>
      <c r="AG259" s="4"/>
      <c r="AH259" s="4"/>
      <c r="AI259" s="4"/>
      <c r="AJ259" s="4"/>
      <c r="AK259" s="4"/>
      <c r="AL259" s="4"/>
      <c r="AM259" s="4"/>
      <c r="AN259" s="4"/>
      <c r="AO259" s="4"/>
      <c r="AP259" s="4"/>
    </row>
    <row r="260" spans="1:42" s="54" customFormat="1" ht="20.100000000000001" customHeight="1">
      <c r="A260" s="10"/>
      <c r="B260" s="1"/>
      <c r="C260" s="10"/>
      <c r="D260" s="10"/>
      <c r="E260" s="10"/>
      <c r="F260" s="1"/>
      <c r="G260" s="4"/>
      <c r="H260" s="1"/>
      <c r="I260" s="1"/>
      <c r="J260" s="1"/>
      <c r="K260" s="1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8"/>
      <c r="Z260" s="4"/>
      <c r="AA260" s="4"/>
      <c r="AB260" s="4"/>
      <c r="AC260" s="4"/>
      <c r="AD260" s="4"/>
      <c r="AE260" s="4"/>
      <c r="AF260" s="48"/>
      <c r="AG260" s="4"/>
      <c r="AH260" s="4"/>
      <c r="AI260" s="4"/>
      <c r="AJ260" s="4"/>
      <c r="AK260" s="4"/>
      <c r="AL260" s="4"/>
      <c r="AM260" s="4"/>
      <c r="AN260" s="4"/>
      <c r="AO260" s="4"/>
      <c r="AP260" s="4"/>
    </row>
    <row r="261" spans="1:42" s="54" customFormat="1" ht="20.100000000000001" customHeight="1">
      <c r="A261" s="10"/>
      <c r="B261" s="1"/>
      <c r="C261" s="10"/>
      <c r="D261" s="10"/>
      <c r="E261" s="10"/>
      <c r="F261" s="1"/>
      <c r="G261" s="4"/>
      <c r="H261" s="1"/>
      <c r="I261" s="1"/>
      <c r="J261" s="1"/>
      <c r="K261" s="1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8"/>
      <c r="Z261" s="4"/>
      <c r="AA261" s="4"/>
      <c r="AB261" s="4"/>
      <c r="AC261" s="4"/>
      <c r="AD261" s="4"/>
      <c r="AE261" s="4"/>
      <c r="AF261" s="48"/>
      <c r="AG261" s="4"/>
      <c r="AH261" s="4"/>
      <c r="AI261" s="4"/>
      <c r="AJ261" s="4"/>
      <c r="AK261" s="4"/>
      <c r="AL261" s="4"/>
      <c r="AM261" s="4"/>
      <c r="AN261" s="4"/>
      <c r="AO261" s="4"/>
      <c r="AP261" s="4"/>
    </row>
    <row r="262" spans="1:42" s="54" customFormat="1" ht="20.100000000000001" customHeight="1">
      <c r="A262" s="10"/>
      <c r="B262" s="1"/>
      <c r="C262" s="10"/>
      <c r="D262" s="10"/>
      <c r="E262" s="10"/>
      <c r="F262" s="1"/>
      <c r="G262" s="4"/>
      <c r="H262" s="1"/>
      <c r="I262" s="1"/>
      <c r="J262" s="1"/>
      <c r="K262" s="1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8"/>
      <c r="Z262" s="4"/>
      <c r="AA262" s="4"/>
      <c r="AB262" s="4"/>
      <c r="AC262" s="4"/>
      <c r="AD262" s="4"/>
      <c r="AE262" s="4"/>
      <c r="AF262" s="48"/>
      <c r="AG262" s="4"/>
      <c r="AH262" s="4"/>
      <c r="AI262" s="4"/>
      <c r="AJ262" s="4"/>
      <c r="AK262" s="4"/>
      <c r="AL262" s="4"/>
      <c r="AM262" s="4"/>
      <c r="AN262" s="4"/>
      <c r="AO262" s="4"/>
      <c r="AP262" s="4"/>
    </row>
    <row r="263" spans="1:42" s="54" customFormat="1" ht="20.100000000000001" customHeight="1">
      <c r="A263" s="10"/>
      <c r="B263" s="1"/>
      <c r="C263" s="10"/>
      <c r="D263" s="10"/>
      <c r="E263" s="10"/>
      <c r="F263" s="1"/>
      <c r="G263" s="4"/>
      <c r="H263" s="1"/>
      <c r="I263" s="1"/>
      <c r="J263" s="1"/>
      <c r="K263" s="1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8"/>
      <c r="Z263" s="4"/>
      <c r="AA263" s="4"/>
      <c r="AB263" s="4"/>
      <c r="AC263" s="4"/>
      <c r="AD263" s="4"/>
      <c r="AE263" s="4"/>
      <c r="AF263" s="48"/>
      <c r="AG263" s="4"/>
      <c r="AH263" s="4"/>
      <c r="AI263" s="4"/>
      <c r="AJ263" s="4"/>
      <c r="AK263" s="4"/>
      <c r="AL263" s="4"/>
      <c r="AM263" s="4"/>
      <c r="AN263" s="4"/>
      <c r="AO263" s="4"/>
      <c r="AP263" s="4"/>
    </row>
    <row r="264" spans="1:42" s="54" customFormat="1" ht="20.100000000000001" customHeight="1">
      <c r="A264" s="10"/>
      <c r="B264" s="1"/>
      <c r="C264" s="10"/>
      <c r="D264" s="10"/>
      <c r="E264" s="10"/>
      <c r="F264" s="1"/>
      <c r="G264" s="4"/>
      <c r="H264" s="1"/>
      <c r="I264" s="1"/>
      <c r="J264" s="1"/>
      <c r="K264" s="1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8"/>
      <c r="Z264" s="4"/>
      <c r="AA264" s="4"/>
      <c r="AB264" s="4"/>
      <c r="AC264" s="4"/>
      <c r="AD264" s="4"/>
      <c r="AE264" s="4"/>
      <c r="AF264" s="48"/>
      <c r="AG264" s="4"/>
      <c r="AH264" s="4"/>
      <c r="AI264" s="4"/>
      <c r="AJ264" s="4"/>
      <c r="AK264" s="4"/>
      <c r="AL264" s="4"/>
      <c r="AM264" s="4"/>
      <c r="AN264" s="4"/>
      <c r="AO264" s="4"/>
      <c r="AP264" s="4"/>
    </row>
    <row r="265" spans="1:42" s="54" customFormat="1" ht="20.100000000000001" customHeight="1">
      <c r="A265" s="10"/>
      <c r="B265" s="1"/>
      <c r="C265" s="10"/>
      <c r="D265" s="10"/>
      <c r="E265" s="10"/>
      <c r="F265" s="1"/>
      <c r="G265" s="4"/>
      <c r="H265" s="1"/>
      <c r="I265" s="1"/>
      <c r="J265" s="1"/>
      <c r="K265" s="1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8"/>
      <c r="Z265" s="4"/>
      <c r="AA265" s="4"/>
      <c r="AB265" s="4"/>
      <c r="AC265" s="4"/>
      <c r="AD265" s="4"/>
      <c r="AE265" s="4"/>
      <c r="AF265" s="48"/>
      <c r="AG265" s="4"/>
      <c r="AH265" s="4"/>
      <c r="AI265" s="4"/>
      <c r="AJ265" s="4"/>
      <c r="AK265" s="4"/>
      <c r="AL265" s="4"/>
      <c r="AM265" s="4"/>
      <c r="AN265" s="4"/>
      <c r="AO265" s="4"/>
      <c r="AP265" s="4"/>
    </row>
    <row r="266" spans="1:42" s="54" customFormat="1" ht="20.100000000000001" customHeight="1">
      <c r="A266" s="10"/>
      <c r="B266" s="1"/>
      <c r="C266" s="10"/>
      <c r="D266" s="10"/>
      <c r="E266" s="10"/>
      <c r="F266" s="1"/>
      <c r="G266" s="4"/>
      <c r="H266" s="1"/>
      <c r="I266" s="1"/>
      <c r="J266" s="1"/>
      <c r="K266" s="1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8"/>
      <c r="Z266" s="4"/>
      <c r="AA266" s="4"/>
      <c r="AB266" s="4"/>
      <c r="AC266" s="4"/>
      <c r="AD266" s="4"/>
      <c r="AE266" s="4"/>
      <c r="AF266" s="48"/>
      <c r="AG266" s="4"/>
      <c r="AH266" s="4"/>
      <c r="AI266" s="4"/>
      <c r="AJ266" s="4"/>
      <c r="AK266" s="4"/>
      <c r="AL266" s="4"/>
      <c r="AM266" s="4"/>
      <c r="AN266" s="4"/>
      <c r="AO266" s="4"/>
      <c r="AP266" s="4"/>
    </row>
    <row r="267" spans="1:42" s="54" customFormat="1" ht="20.100000000000001" customHeight="1">
      <c r="A267" s="10"/>
      <c r="B267" s="1"/>
      <c r="C267" s="10"/>
      <c r="D267" s="10"/>
      <c r="E267" s="10"/>
      <c r="F267" s="1"/>
      <c r="G267" s="4"/>
      <c r="H267" s="1"/>
      <c r="I267" s="1"/>
      <c r="J267" s="1"/>
      <c r="K267" s="1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8"/>
      <c r="Z267" s="4"/>
      <c r="AA267" s="4"/>
      <c r="AB267" s="4"/>
      <c r="AC267" s="4"/>
      <c r="AD267" s="4"/>
      <c r="AE267" s="4"/>
      <c r="AF267" s="48"/>
      <c r="AG267" s="4"/>
      <c r="AH267" s="4"/>
      <c r="AI267" s="4"/>
      <c r="AJ267" s="4"/>
      <c r="AK267" s="4"/>
      <c r="AL267" s="4"/>
      <c r="AM267" s="4"/>
      <c r="AN267" s="4"/>
      <c r="AO267" s="4"/>
      <c r="AP267" s="4"/>
    </row>
    <row r="268" spans="1:42" s="54" customFormat="1" ht="20.100000000000001" customHeight="1">
      <c r="A268" s="10"/>
      <c r="B268" s="1"/>
      <c r="C268" s="10"/>
      <c r="D268" s="10"/>
      <c r="E268" s="10"/>
      <c r="F268" s="1"/>
      <c r="G268" s="4"/>
      <c r="H268" s="1"/>
      <c r="I268" s="1"/>
      <c r="J268" s="1"/>
      <c r="K268" s="1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8"/>
      <c r="Z268" s="4"/>
      <c r="AA268" s="4"/>
      <c r="AB268" s="4"/>
      <c r="AC268" s="4"/>
      <c r="AD268" s="4"/>
      <c r="AE268" s="4"/>
      <c r="AF268" s="48"/>
      <c r="AG268" s="4"/>
      <c r="AH268" s="4"/>
      <c r="AI268" s="4"/>
      <c r="AJ268" s="4"/>
      <c r="AK268" s="4"/>
      <c r="AL268" s="4"/>
      <c r="AM268" s="4"/>
      <c r="AN268" s="4"/>
      <c r="AO268" s="4"/>
      <c r="AP268" s="4"/>
    </row>
    <row r="269" spans="1:42" s="54" customFormat="1" ht="20.100000000000001" customHeight="1">
      <c r="A269" s="10"/>
      <c r="B269" s="1"/>
      <c r="C269" s="10"/>
      <c r="D269" s="10"/>
      <c r="E269" s="10"/>
      <c r="F269" s="1"/>
      <c r="G269" s="4"/>
      <c r="H269" s="1"/>
      <c r="I269" s="1"/>
      <c r="J269" s="1"/>
      <c r="K269" s="1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8"/>
      <c r="Z269" s="4"/>
      <c r="AA269" s="4"/>
      <c r="AB269" s="4"/>
      <c r="AC269" s="4"/>
      <c r="AD269" s="4"/>
      <c r="AE269" s="4"/>
      <c r="AF269" s="48"/>
      <c r="AG269" s="4"/>
      <c r="AH269" s="4"/>
      <c r="AI269" s="4"/>
      <c r="AJ269" s="4"/>
      <c r="AK269" s="4"/>
      <c r="AL269" s="4"/>
      <c r="AM269" s="4"/>
      <c r="AN269" s="4"/>
      <c r="AO269" s="4"/>
      <c r="AP269" s="4"/>
    </row>
    <row r="270" spans="1:42" s="54" customFormat="1" ht="20.100000000000001" customHeight="1">
      <c r="A270" s="10"/>
      <c r="B270" s="1"/>
      <c r="C270" s="10"/>
      <c r="D270" s="10"/>
      <c r="E270" s="10"/>
      <c r="F270" s="1"/>
      <c r="G270" s="4"/>
      <c r="H270" s="1"/>
      <c r="I270" s="1"/>
      <c r="J270" s="1"/>
      <c r="K270" s="1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8"/>
      <c r="Z270" s="4"/>
      <c r="AA270" s="4"/>
      <c r="AB270" s="4"/>
      <c r="AC270" s="4"/>
      <c r="AD270" s="4"/>
      <c r="AE270" s="4"/>
      <c r="AF270" s="48"/>
      <c r="AG270" s="4"/>
      <c r="AH270" s="4"/>
      <c r="AI270" s="4"/>
      <c r="AJ270" s="4"/>
      <c r="AK270" s="4"/>
      <c r="AL270" s="4"/>
      <c r="AM270" s="4"/>
      <c r="AN270" s="4"/>
      <c r="AO270" s="4"/>
      <c r="AP270" s="4"/>
    </row>
    <row r="271" spans="1:42" s="54" customFormat="1" ht="20.100000000000001" customHeight="1">
      <c r="A271" s="10"/>
      <c r="B271" s="1"/>
      <c r="C271" s="10"/>
      <c r="D271" s="10"/>
      <c r="E271" s="10"/>
      <c r="F271" s="1"/>
      <c r="G271" s="4"/>
      <c r="H271" s="1"/>
      <c r="I271" s="1"/>
      <c r="J271" s="1"/>
      <c r="K271" s="1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8"/>
      <c r="Z271" s="4"/>
      <c r="AA271" s="4"/>
      <c r="AB271" s="4"/>
      <c r="AC271" s="4"/>
      <c r="AD271" s="4"/>
      <c r="AE271" s="4"/>
      <c r="AF271" s="48"/>
      <c r="AG271" s="4"/>
      <c r="AH271" s="4"/>
      <c r="AI271" s="4"/>
      <c r="AJ271" s="4"/>
      <c r="AK271" s="4"/>
      <c r="AL271" s="4"/>
      <c r="AM271" s="4"/>
      <c r="AN271" s="4"/>
      <c r="AO271" s="4"/>
      <c r="AP271" s="4"/>
    </row>
    <row r="272" spans="1:42" s="54" customFormat="1" ht="20.100000000000001" customHeight="1">
      <c r="A272" s="10"/>
      <c r="B272" s="1"/>
      <c r="C272" s="10"/>
      <c r="D272" s="10"/>
      <c r="E272" s="10"/>
      <c r="F272" s="1"/>
      <c r="G272" s="4"/>
      <c r="H272" s="1"/>
      <c r="I272" s="1"/>
      <c r="J272" s="1"/>
      <c r="K272" s="1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8"/>
      <c r="Z272" s="4"/>
      <c r="AA272" s="4"/>
      <c r="AB272" s="4"/>
      <c r="AC272" s="4"/>
      <c r="AD272" s="4"/>
      <c r="AE272" s="4"/>
      <c r="AF272" s="48"/>
      <c r="AG272" s="4"/>
      <c r="AH272" s="4"/>
      <c r="AI272" s="4"/>
      <c r="AJ272" s="4"/>
      <c r="AK272" s="4"/>
      <c r="AL272" s="4"/>
      <c r="AM272" s="4"/>
      <c r="AN272" s="4"/>
      <c r="AO272" s="4"/>
      <c r="AP272" s="4"/>
    </row>
    <row r="273" spans="1:42" s="54" customFormat="1" ht="20.100000000000001" customHeight="1">
      <c r="A273" s="10"/>
      <c r="B273" s="1"/>
      <c r="C273" s="10"/>
      <c r="D273" s="10"/>
      <c r="E273" s="10"/>
      <c r="F273" s="1"/>
      <c r="G273" s="4"/>
      <c r="H273" s="1"/>
      <c r="I273" s="1"/>
      <c r="J273" s="1"/>
      <c r="K273" s="1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8"/>
      <c r="Z273" s="4"/>
      <c r="AA273" s="4"/>
      <c r="AB273" s="4"/>
      <c r="AC273" s="4"/>
      <c r="AD273" s="4"/>
      <c r="AE273" s="4"/>
      <c r="AF273" s="48"/>
      <c r="AG273" s="4"/>
      <c r="AH273" s="4"/>
      <c r="AI273" s="4"/>
      <c r="AJ273" s="4"/>
      <c r="AK273" s="4"/>
      <c r="AL273" s="4"/>
      <c r="AM273" s="4"/>
      <c r="AN273" s="4"/>
      <c r="AO273" s="4"/>
      <c r="AP273" s="4"/>
    </row>
    <row r="274" spans="1:42" s="54" customFormat="1" ht="20.100000000000001" customHeight="1">
      <c r="A274" s="10"/>
      <c r="B274" s="1"/>
      <c r="C274" s="10"/>
      <c r="D274" s="10"/>
      <c r="E274" s="10"/>
      <c r="F274" s="1"/>
      <c r="G274" s="4"/>
      <c r="H274" s="1"/>
      <c r="I274" s="1"/>
      <c r="J274" s="1"/>
      <c r="K274" s="1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8"/>
      <c r="Z274" s="4"/>
      <c r="AA274" s="4"/>
      <c r="AB274" s="4"/>
      <c r="AC274" s="4"/>
      <c r="AD274" s="4"/>
      <c r="AE274" s="4"/>
      <c r="AF274" s="48"/>
      <c r="AG274" s="4"/>
      <c r="AH274" s="4"/>
      <c r="AI274" s="4"/>
      <c r="AJ274" s="4"/>
      <c r="AK274" s="4"/>
      <c r="AL274" s="4"/>
      <c r="AM274" s="4"/>
      <c r="AN274" s="4"/>
      <c r="AO274" s="4"/>
      <c r="AP274" s="4"/>
    </row>
    <row r="275" spans="1:42" s="54" customFormat="1" ht="20.100000000000001" customHeight="1">
      <c r="A275" s="10"/>
      <c r="B275" s="1"/>
      <c r="C275" s="10"/>
      <c r="D275" s="10"/>
      <c r="E275" s="10"/>
      <c r="F275" s="1"/>
      <c r="G275" s="4"/>
      <c r="H275" s="1"/>
      <c r="I275" s="1"/>
      <c r="J275" s="1"/>
      <c r="K275" s="1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8"/>
      <c r="Z275" s="4"/>
      <c r="AA275" s="4"/>
      <c r="AB275" s="4"/>
      <c r="AC275" s="4"/>
      <c r="AD275" s="4"/>
      <c r="AE275" s="4"/>
      <c r="AF275" s="48"/>
      <c r="AG275" s="4"/>
      <c r="AH275" s="4"/>
      <c r="AI275" s="4"/>
      <c r="AJ275" s="4"/>
      <c r="AK275" s="4"/>
      <c r="AL275" s="4"/>
      <c r="AM275" s="4"/>
      <c r="AN275" s="4"/>
      <c r="AO275" s="4"/>
      <c r="AP275" s="4"/>
    </row>
    <row r="276" spans="1:42" s="54" customFormat="1" ht="20.100000000000001" customHeight="1">
      <c r="A276" s="10"/>
      <c r="B276" s="1"/>
      <c r="C276" s="10"/>
      <c r="D276" s="10"/>
      <c r="E276" s="10"/>
      <c r="F276" s="1"/>
      <c r="G276" s="4"/>
      <c r="H276" s="1"/>
      <c r="I276" s="1"/>
      <c r="J276" s="1"/>
      <c r="K276" s="1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8"/>
      <c r="Z276" s="4"/>
      <c r="AA276" s="4"/>
      <c r="AB276" s="4"/>
      <c r="AC276" s="4"/>
      <c r="AD276" s="4"/>
      <c r="AE276" s="4"/>
      <c r="AF276" s="48"/>
      <c r="AG276" s="4"/>
      <c r="AH276" s="4"/>
      <c r="AI276" s="4"/>
      <c r="AJ276" s="4"/>
      <c r="AK276" s="4"/>
      <c r="AL276" s="4"/>
      <c r="AM276" s="4"/>
      <c r="AN276" s="4"/>
      <c r="AO276" s="4"/>
      <c r="AP276" s="4"/>
    </row>
    <row r="277" spans="1:42" s="54" customFormat="1" ht="20.100000000000001" customHeight="1">
      <c r="A277" s="10"/>
      <c r="B277" s="1"/>
      <c r="C277" s="10"/>
      <c r="D277" s="10"/>
      <c r="E277" s="10"/>
      <c r="F277" s="1"/>
      <c r="G277" s="4"/>
      <c r="H277" s="1"/>
      <c r="I277" s="1"/>
      <c r="J277" s="1"/>
      <c r="K277" s="1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8"/>
      <c r="Z277" s="4"/>
      <c r="AA277" s="4"/>
      <c r="AB277" s="4"/>
      <c r="AC277" s="4"/>
      <c r="AD277" s="4"/>
      <c r="AE277" s="4"/>
      <c r="AF277" s="48"/>
      <c r="AG277" s="4"/>
      <c r="AH277" s="4"/>
      <c r="AI277" s="4"/>
      <c r="AJ277" s="4"/>
      <c r="AK277" s="4"/>
      <c r="AL277" s="4"/>
      <c r="AM277" s="4"/>
      <c r="AN277" s="4"/>
      <c r="AO277" s="4"/>
      <c r="AP277" s="4"/>
    </row>
    <row r="278" spans="1:42" s="54" customFormat="1" ht="20.100000000000001" customHeight="1">
      <c r="A278" s="10"/>
      <c r="B278" s="1"/>
      <c r="C278" s="10"/>
      <c r="D278" s="10"/>
      <c r="E278" s="10"/>
      <c r="F278" s="1"/>
      <c r="G278" s="4"/>
      <c r="H278" s="1"/>
      <c r="I278" s="1"/>
      <c r="J278" s="1"/>
      <c r="K278" s="1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8"/>
      <c r="Z278" s="4"/>
      <c r="AA278" s="4"/>
      <c r="AB278" s="4"/>
      <c r="AC278" s="4"/>
      <c r="AD278" s="4"/>
      <c r="AE278" s="4"/>
      <c r="AF278" s="48"/>
      <c r="AG278" s="4"/>
      <c r="AH278" s="4"/>
      <c r="AI278" s="4"/>
      <c r="AJ278" s="4"/>
      <c r="AK278" s="4"/>
      <c r="AL278" s="4"/>
      <c r="AM278" s="4"/>
      <c r="AN278" s="4"/>
      <c r="AO278" s="4"/>
      <c r="AP278" s="4"/>
    </row>
    <row r="279" spans="1:42" s="54" customFormat="1" ht="20.100000000000001" customHeight="1">
      <c r="A279" s="10"/>
      <c r="B279" s="1"/>
      <c r="C279" s="10"/>
      <c r="D279" s="10"/>
      <c r="E279" s="10"/>
      <c r="F279" s="1"/>
      <c r="G279" s="4"/>
      <c r="H279" s="1"/>
      <c r="I279" s="1"/>
      <c r="J279" s="1"/>
      <c r="K279" s="1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8"/>
      <c r="Z279" s="4"/>
      <c r="AA279" s="4"/>
      <c r="AB279" s="4"/>
      <c r="AC279" s="4"/>
      <c r="AD279" s="4"/>
      <c r="AE279" s="4"/>
      <c r="AF279" s="48"/>
      <c r="AG279" s="4"/>
      <c r="AH279" s="4"/>
      <c r="AI279" s="4"/>
      <c r="AJ279" s="4"/>
      <c r="AK279" s="4"/>
      <c r="AL279" s="4"/>
      <c r="AM279" s="4"/>
      <c r="AN279" s="4"/>
      <c r="AO279" s="4"/>
      <c r="AP279" s="4"/>
    </row>
    <row r="280" spans="1:42" s="54" customFormat="1" ht="20.100000000000001" customHeight="1">
      <c r="A280" s="10"/>
      <c r="B280" s="1"/>
      <c r="C280" s="10"/>
      <c r="D280" s="10"/>
      <c r="E280" s="10"/>
      <c r="F280" s="1"/>
      <c r="G280" s="4"/>
      <c r="H280" s="1"/>
      <c r="I280" s="1"/>
      <c r="J280" s="1"/>
      <c r="K280" s="1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8"/>
      <c r="Z280" s="4"/>
      <c r="AA280" s="4"/>
      <c r="AB280" s="4"/>
      <c r="AC280" s="4"/>
      <c r="AD280" s="4"/>
      <c r="AE280" s="4"/>
      <c r="AF280" s="48"/>
      <c r="AG280" s="4"/>
      <c r="AH280" s="4"/>
      <c r="AI280" s="4"/>
      <c r="AJ280" s="4"/>
      <c r="AK280" s="4"/>
      <c r="AL280" s="4"/>
      <c r="AM280" s="4"/>
      <c r="AN280" s="4"/>
      <c r="AO280" s="4"/>
      <c r="AP280" s="4"/>
    </row>
    <row r="281" spans="1:42" s="54" customFormat="1" ht="20.100000000000001" customHeight="1">
      <c r="A281" s="10"/>
      <c r="B281" s="1"/>
      <c r="C281" s="10"/>
      <c r="D281" s="10"/>
      <c r="E281" s="10"/>
      <c r="F281" s="1"/>
      <c r="G281" s="4"/>
      <c r="H281" s="1"/>
      <c r="I281" s="1"/>
      <c r="J281" s="1"/>
      <c r="K281" s="1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8"/>
      <c r="Z281" s="4"/>
      <c r="AA281" s="4"/>
      <c r="AB281" s="4"/>
      <c r="AC281" s="4"/>
      <c r="AD281" s="4"/>
      <c r="AE281" s="4"/>
      <c r="AF281" s="48"/>
      <c r="AG281" s="4"/>
      <c r="AH281" s="4"/>
      <c r="AI281" s="4"/>
      <c r="AJ281" s="4"/>
      <c r="AK281" s="4"/>
      <c r="AL281" s="4"/>
      <c r="AM281" s="4"/>
      <c r="AN281" s="4"/>
      <c r="AO281" s="4"/>
      <c r="AP281" s="4"/>
    </row>
    <row r="282" spans="1:42" s="54" customFormat="1" ht="20.100000000000001" customHeight="1">
      <c r="A282" s="10"/>
      <c r="B282" s="1"/>
      <c r="C282" s="10"/>
      <c r="D282" s="10"/>
      <c r="E282" s="10"/>
      <c r="F282" s="1"/>
      <c r="G282" s="4"/>
      <c r="H282" s="1"/>
      <c r="I282" s="1"/>
      <c r="J282" s="1"/>
      <c r="K282" s="1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8"/>
      <c r="Z282" s="4"/>
      <c r="AA282" s="4"/>
      <c r="AB282" s="4"/>
      <c r="AC282" s="4"/>
      <c r="AD282" s="4"/>
      <c r="AE282" s="4"/>
      <c r="AF282" s="48"/>
      <c r="AG282" s="4"/>
      <c r="AH282" s="4"/>
      <c r="AI282" s="4"/>
      <c r="AJ282" s="4"/>
      <c r="AK282" s="4"/>
      <c r="AL282" s="4"/>
      <c r="AM282" s="4"/>
      <c r="AN282" s="4"/>
      <c r="AO282" s="4"/>
      <c r="AP282" s="4"/>
    </row>
    <row r="283" spans="1:42" s="54" customFormat="1" ht="20.100000000000001" customHeight="1">
      <c r="A283" s="10"/>
      <c r="B283" s="1"/>
      <c r="C283" s="10"/>
      <c r="D283" s="10"/>
      <c r="E283" s="10"/>
      <c r="F283" s="1"/>
      <c r="G283" s="4"/>
      <c r="H283" s="1"/>
      <c r="I283" s="1"/>
      <c r="J283" s="1"/>
      <c r="K283" s="1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8"/>
      <c r="Z283" s="4"/>
      <c r="AA283" s="4"/>
      <c r="AB283" s="4"/>
      <c r="AC283" s="4"/>
      <c r="AD283" s="4"/>
      <c r="AE283" s="4"/>
      <c r="AF283" s="48"/>
      <c r="AG283" s="4"/>
      <c r="AH283" s="4"/>
      <c r="AI283" s="4"/>
      <c r="AJ283" s="4"/>
      <c r="AK283" s="4"/>
      <c r="AL283" s="4"/>
      <c r="AM283" s="4"/>
      <c r="AN283" s="4"/>
      <c r="AO283" s="4"/>
      <c r="AP283" s="4"/>
    </row>
    <row r="284" spans="1:42" s="54" customFormat="1" ht="20.100000000000001" customHeight="1">
      <c r="A284" s="10"/>
      <c r="B284" s="1"/>
      <c r="C284" s="10"/>
      <c r="D284" s="10"/>
      <c r="E284" s="10"/>
      <c r="F284" s="1"/>
      <c r="G284" s="4"/>
      <c r="H284" s="1"/>
      <c r="I284" s="1"/>
      <c r="J284" s="1"/>
      <c r="K284" s="1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8"/>
      <c r="Z284" s="4"/>
      <c r="AA284" s="4"/>
      <c r="AB284" s="4"/>
      <c r="AC284" s="4"/>
      <c r="AD284" s="4"/>
      <c r="AE284" s="4"/>
      <c r="AF284" s="48"/>
      <c r="AG284" s="4"/>
      <c r="AH284" s="4"/>
      <c r="AI284" s="4"/>
      <c r="AJ284" s="4"/>
      <c r="AK284" s="4"/>
      <c r="AL284" s="4"/>
      <c r="AM284" s="4"/>
      <c r="AN284" s="4"/>
      <c r="AO284" s="4"/>
      <c r="AP284" s="4"/>
    </row>
    <row r="285" spans="1:42" s="54" customFormat="1" ht="20.100000000000001" customHeight="1">
      <c r="A285" s="10"/>
      <c r="B285" s="1"/>
      <c r="C285" s="10"/>
      <c r="D285" s="10"/>
      <c r="E285" s="10"/>
      <c r="F285" s="1"/>
      <c r="G285" s="4"/>
      <c r="H285" s="1"/>
      <c r="I285" s="1"/>
      <c r="J285" s="1"/>
      <c r="K285" s="1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8"/>
      <c r="Z285" s="4"/>
      <c r="AA285" s="4"/>
      <c r="AB285" s="4"/>
      <c r="AC285" s="4"/>
      <c r="AD285" s="4"/>
      <c r="AE285" s="4"/>
      <c r="AF285" s="48"/>
      <c r="AG285" s="4"/>
      <c r="AH285" s="4"/>
      <c r="AI285" s="4"/>
      <c r="AJ285" s="4"/>
      <c r="AK285" s="4"/>
      <c r="AL285" s="4"/>
      <c r="AM285" s="4"/>
      <c r="AN285" s="4"/>
      <c r="AO285" s="4"/>
      <c r="AP285" s="4"/>
    </row>
    <row r="286" spans="1:42" s="54" customFormat="1" ht="20.100000000000001" customHeight="1">
      <c r="A286" s="10"/>
      <c r="B286" s="1"/>
      <c r="C286" s="10"/>
      <c r="D286" s="10"/>
      <c r="E286" s="10"/>
      <c r="F286" s="1"/>
      <c r="G286" s="4"/>
      <c r="H286" s="1"/>
      <c r="I286" s="1"/>
      <c r="J286" s="1"/>
      <c r="K286" s="1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8"/>
      <c r="Z286" s="4"/>
      <c r="AA286" s="4"/>
      <c r="AB286" s="4"/>
      <c r="AC286" s="4"/>
      <c r="AD286" s="4"/>
      <c r="AE286" s="4"/>
      <c r="AF286" s="48"/>
      <c r="AG286" s="4"/>
      <c r="AH286" s="4"/>
      <c r="AI286" s="4"/>
      <c r="AJ286" s="4"/>
      <c r="AK286" s="4"/>
      <c r="AL286" s="4"/>
      <c r="AM286" s="4"/>
      <c r="AN286" s="4"/>
      <c r="AO286" s="4"/>
      <c r="AP286" s="4"/>
    </row>
    <row r="287" spans="1:42" s="54" customFormat="1" ht="20.100000000000001" customHeight="1">
      <c r="A287" s="10"/>
      <c r="B287" s="1"/>
      <c r="C287" s="10"/>
      <c r="D287" s="10"/>
      <c r="E287" s="10"/>
      <c r="F287" s="1"/>
      <c r="G287" s="4"/>
      <c r="H287" s="1"/>
      <c r="I287" s="1"/>
      <c r="J287" s="1"/>
      <c r="K287" s="1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8"/>
      <c r="Z287" s="4"/>
      <c r="AA287" s="4"/>
      <c r="AB287" s="4"/>
      <c r="AC287" s="4"/>
      <c r="AD287" s="4"/>
      <c r="AE287" s="4"/>
      <c r="AF287" s="48"/>
      <c r="AG287" s="4"/>
      <c r="AH287" s="4"/>
      <c r="AI287" s="4"/>
      <c r="AJ287" s="4"/>
      <c r="AK287" s="4"/>
      <c r="AL287" s="4"/>
      <c r="AM287" s="4"/>
      <c r="AN287" s="4"/>
      <c r="AO287" s="4"/>
      <c r="AP287" s="4"/>
    </row>
    <row r="288" spans="1:42" s="54" customFormat="1" ht="20.100000000000001" customHeight="1">
      <c r="A288" s="10"/>
      <c r="B288" s="1"/>
      <c r="C288" s="10"/>
      <c r="D288" s="10"/>
      <c r="E288" s="10"/>
      <c r="F288" s="1"/>
      <c r="G288" s="4"/>
      <c r="H288" s="1"/>
      <c r="I288" s="1"/>
      <c r="J288" s="1"/>
      <c r="K288" s="1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8"/>
      <c r="Z288" s="4"/>
      <c r="AA288" s="4"/>
      <c r="AB288" s="4"/>
      <c r="AC288" s="4"/>
      <c r="AD288" s="4"/>
      <c r="AE288" s="4"/>
      <c r="AF288" s="48"/>
      <c r="AG288" s="4"/>
      <c r="AH288" s="4"/>
      <c r="AI288" s="4"/>
      <c r="AJ288" s="4"/>
      <c r="AK288" s="4"/>
      <c r="AL288" s="4"/>
      <c r="AM288" s="4"/>
      <c r="AN288" s="4"/>
      <c r="AO288" s="4"/>
      <c r="AP288" s="4"/>
    </row>
    <row r="289" spans="1:42" s="54" customFormat="1" ht="20.100000000000001" customHeight="1">
      <c r="A289" s="10"/>
      <c r="B289" s="1"/>
      <c r="C289" s="10"/>
      <c r="D289" s="10"/>
      <c r="E289" s="10"/>
      <c r="F289" s="1"/>
      <c r="G289" s="4"/>
      <c r="H289" s="1"/>
      <c r="I289" s="1"/>
      <c r="J289" s="1"/>
      <c r="K289" s="1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8"/>
      <c r="Z289" s="4"/>
      <c r="AA289" s="4"/>
      <c r="AB289" s="4"/>
      <c r="AC289" s="4"/>
      <c r="AD289" s="4"/>
      <c r="AE289" s="4"/>
      <c r="AF289" s="48"/>
      <c r="AG289" s="4"/>
      <c r="AH289" s="4"/>
      <c r="AI289" s="4"/>
      <c r="AJ289" s="4"/>
      <c r="AK289" s="4"/>
      <c r="AL289" s="4"/>
      <c r="AM289" s="4"/>
      <c r="AN289" s="4"/>
      <c r="AO289" s="4"/>
      <c r="AP289" s="4"/>
    </row>
    <row r="290" spans="1:42" s="54" customFormat="1" ht="20.100000000000001" customHeight="1">
      <c r="A290" s="10"/>
      <c r="B290" s="1"/>
      <c r="C290" s="10"/>
      <c r="D290" s="10"/>
      <c r="E290" s="10"/>
      <c r="F290" s="1"/>
      <c r="G290" s="4"/>
      <c r="H290" s="1"/>
      <c r="I290" s="1"/>
      <c r="J290" s="1"/>
      <c r="K290" s="1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8"/>
      <c r="Z290" s="4"/>
      <c r="AA290" s="4"/>
      <c r="AB290" s="4"/>
      <c r="AC290" s="4"/>
      <c r="AD290" s="4"/>
      <c r="AE290" s="4"/>
      <c r="AF290" s="48"/>
      <c r="AG290" s="4"/>
      <c r="AH290" s="4"/>
      <c r="AI290" s="4"/>
      <c r="AJ290" s="4"/>
      <c r="AK290" s="4"/>
      <c r="AL290" s="4"/>
      <c r="AM290" s="4"/>
      <c r="AN290" s="4"/>
      <c r="AO290" s="4"/>
      <c r="AP290" s="4"/>
    </row>
    <row r="291" spans="1:42" s="54" customFormat="1" ht="20.100000000000001" customHeight="1">
      <c r="A291" s="10"/>
      <c r="B291" s="1"/>
      <c r="C291" s="10"/>
      <c r="D291" s="10"/>
      <c r="E291" s="10"/>
      <c r="F291" s="1"/>
      <c r="G291" s="4"/>
      <c r="H291" s="1"/>
      <c r="I291" s="1"/>
      <c r="J291" s="1"/>
      <c r="K291" s="1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8"/>
      <c r="Z291" s="4"/>
      <c r="AA291" s="4"/>
      <c r="AB291" s="4"/>
      <c r="AC291" s="4"/>
      <c r="AD291" s="4"/>
      <c r="AE291" s="4"/>
      <c r="AF291" s="48"/>
      <c r="AG291" s="4"/>
      <c r="AH291" s="4"/>
      <c r="AI291" s="4"/>
      <c r="AJ291" s="4"/>
      <c r="AK291" s="4"/>
      <c r="AL291" s="4"/>
      <c r="AM291" s="4"/>
      <c r="AN291" s="4"/>
      <c r="AO291" s="4"/>
      <c r="AP291" s="4"/>
    </row>
    <row r="292" spans="1:42" s="54" customFormat="1" ht="20.100000000000001" customHeight="1">
      <c r="A292" s="10"/>
      <c r="B292" s="1"/>
      <c r="C292" s="10"/>
      <c r="D292" s="10"/>
      <c r="E292" s="10"/>
      <c r="F292" s="1"/>
      <c r="G292" s="4"/>
      <c r="H292" s="1"/>
      <c r="I292" s="1"/>
      <c r="J292" s="1"/>
      <c r="K292" s="1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8"/>
      <c r="Z292" s="4"/>
      <c r="AA292" s="4"/>
      <c r="AB292" s="4"/>
      <c r="AC292" s="4"/>
      <c r="AD292" s="4"/>
      <c r="AE292" s="4"/>
      <c r="AF292" s="48"/>
      <c r="AG292" s="4"/>
      <c r="AH292" s="4"/>
      <c r="AI292" s="4"/>
      <c r="AJ292" s="4"/>
      <c r="AK292" s="4"/>
      <c r="AL292" s="4"/>
      <c r="AM292" s="4"/>
      <c r="AN292" s="4"/>
      <c r="AO292" s="4"/>
      <c r="AP292" s="4"/>
    </row>
    <row r="293" spans="1:42" s="54" customFormat="1" ht="20.100000000000001" customHeight="1">
      <c r="A293" s="10"/>
      <c r="B293" s="1"/>
      <c r="C293" s="10"/>
      <c r="D293" s="10"/>
      <c r="E293" s="10"/>
      <c r="F293" s="1"/>
      <c r="G293" s="4"/>
      <c r="H293" s="1"/>
      <c r="I293" s="1"/>
      <c r="J293" s="1"/>
      <c r="K293" s="1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8"/>
      <c r="Z293" s="4"/>
      <c r="AA293" s="4"/>
      <c r="AB293" s="4"/>
      <c r="AC293" s="4"/>
      <c r="AD293" s="4"/>
      <c r="AE293" s="4"/>
      <c r="AF293" s="48"/>
      <c r="AG293" s="4"/>
      <c r="AH293" s="4"/>
      <c r="AI293" s="4"/>
      <c r="AJ293" s="4"/>
      <c r="AK293" s="4"/>
      <c r="AL293" s="4"/>
      <c r="AM293" s="4"/>
      <c r="AN293" s="4"/>
      <c r="AO293" s="4"/>
      <c r="AP293" s="4"/>
    </row>
    <row r="294" spans="1:42" s="54" customFormat="1" ht="20.100000000000001" customHeight="1">
      <c r="A294" s="10"/>
      <c r="B294" s="1"/>
      <c r="C294" s="10"/>
      <c r="D294" s="10"/>
      <c r="E294" s="10"/>
      <c r="F294" s="1"/>
      <c r="G294" s="4"/>
      <c r="H294" s="1"/>
      <c r="I294" s="1"/>
      <c r="J294" s="1"/>
      <c r="K294" s="1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8"/>
      <c r="Z294" s="4"/>
      <c r="AA294" s="4"/>
      <c r="AB294" s="4"/>
      <c r="AC294" s="4"/>
      <c r="AD294" s="4"/>
      <c r="AE294" s="4"/>
      <c r="AF294" s="48"/>
      <c r="AG294" s="4"/>
      <c r="AH294" s="4"/>
      <c r="AI294" s="4"/>
      <c r="AJ294" s="4"/>
      <c r="AK294" s="4"/>
      <c r="AL294" s="4"/>
      <c r="AM294" s="4"/>
      <c r="AN294" s="4"/>
      <c r="AO294" s="4"/>
      <c r="AP294" s="4"/>
    </row>
    <row r="295" spans="1:42" s="54" customFormat="1" ht="20.100000000000001" customHeight="1">
      <c r="A295" s="10"/>
      <c r="B295" s="1"/>
      <c r="C295" s="10"/>
      <c r="D295" s="10"/>
      <c r="E295" s="10"/>
      <c r="F295" s="1"/>
      <c r="G295" s="4"/>
      <c r="H295" s="1"/>
      <c r="I295" s="1"/>
      <c r="J295" s="1"/>
      <c r="K295" s="1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8"/>
      <c r="Z295" s="4"/>
      <c r="AA295" s="4"/>
      <c r="AB295" s="4"/>
      <c r="AC295" s="4"/>
      <c r="AD295" s="4"/>
      <c r="AE295" s="4"/>
      <c r="AF295" s="48"/>
      <c r="AG295" s="4"/>
      <c r="AH295" s="4"/>
      <c r="AI295" s="4"/>
      <c r="AJ295" s="4"/>
      <c r="AK295" s="4"/>
      <c r="AL295" s="4"/>
      <c r="AM295" s="4"/>
      <c r="AN295" s="4"/>
      <c r="AO295" s="4"/>
      <c r="AP295" s="4"/>
    </row>
    <row r="296" spans="1:42" s="54" customFormat="1" ht="20.100000000000001" customHeight="1">
      <c r="A296" s="10"/>
      <c r="B296" s="1"/>
      <c r="C296" s="10"/>
      <c r="D296" s="10"/>
      <c r="E296" s="10"/>
      <c r="F296" s="1"/>
      <c r="G296" s="4"/>
      <c r="H296" s="1"/>
      <c r="I296" s="1"/>
      <c r="J296" s="1"/>
      <c r="K296" s="1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8"/>
      <c r="Z296" s="4"/>
      <c r="AA296" s="4"/>
      <c r="AB296" s="4"/>
      <c r="AC296" s="4"/>
      <c r="AD296" s="4"/>
      <c r="AE296" s="4"/>
      <c r="AF296" s="48"/>
      <c r="AG296" s="4"/>
      <c r="AH296" s="4"/>
      <c r="AI296" s="4"/>
      <c r="AJ296" s="4"/>
      <c r="AK296" s="4"/>
      <c r="AL296" s="4"/>
      <c r="AM296" s="4"/>
      <c r="AN296" s="4"/>
      <c r="AO296" s="4"/>
      <c r="AP296" s="4"/>
    </row>
    <row r="297" spans="1:42" s="54" customFormat="1" ht="20.100000000000001" customHeight="1">
      <c r="A297" s="10"/>
      <c r="B297" s="1"/>
      <c r="C297" s="10"/>
      <c r="D297" s="10"/>
      <c r="E297" s="10"/>
      <c r="F297" s="1"/>
      <c r="G297" s="4"/>
      <c r="H297" s="1"/>
      <c r="I297" s="1"/>
      <c r="J297" s="1"/>
      <c r="K297" s="1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8"/>
      <c r="Z297" s="4"/>
      <c r="AA297" s="4"/>
      <c r="AB297" s="4"/>
      <c r="AC297" s="4"/>
      <c r="AD297" s="4"/>
      <c r="AE297" s="4"/>
      <c r="AF297" s="48"/>
      <c r="AG297" s="4"/>
      <c r="AH297" s="4"/>
      <c r="AI297" s="4"/>
      <c r="AJ297" s="4"/>
      <c r="AK297" s="4"/>
      <c r="AL297" s="4"/>
      <c r="AM297" s="4"/>
      <c r="AN297" s="4"/>
      <c r="AO297" s="4"/>
      <c r="AP297" s="4"/>
    </row>
    <row r="298" spans="1:42" s="54" customFormat="1" ht="20.100000000000001" customHeight="1">
      <c r="A298" s="10"/>
      <c r="B298" s="1"/>
      <c r="C298" s="10"/>
      <c r="D298" s="10"/>
      <c r="E298" s="10"/>
      <c r="F298" s="1"/>
      <c r="G298" s="4"/>
      <c r="H298" s="1"/>
      <c r="I298" s="1"/>
      <c r="J298" s="1"/>
      <c r="K298" s="1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8"/>
      <c r="Z298" s="4"/>
      <c r="AA298" s="4"/>
      <c r="AB298" s="4"/>
      <c r="AC298" s="4"/>
      <c r="AD298" s="4"/>
      <c r="AE298" s="4"/>
      <c r="AF298" s="48"/>
      <c r="AG298" s="4"/>
      <c r="AH298" s="4"/>
      <c r="AI298" s="4"/>
      <c r="AJ298" s="4"/>
      <c r="AK298" s="4"/>
      <c r="AL298" s="4"/>
      <c r="AM298" s="4"/>
      <c r="AN298" s="4"/>
      <c r="AO298" s="4"/>
      <c r="AP298" s="4"/>
    </row>
    <row r="299" spans="1:42" s="54" customFormat="1" ht="20.100000000000001" customHeight="1">
      <c r="A299" s="10"/>
      <c r="B299" s="1"/>
      <c r="C299" s="10"/>
      <c r="D299" s="10"/>
      <c r="E299" s="10"/>
      <c r="F299" s="1"/>
      <c r="G299" s="4"/>
      <c r="H299" s="1"/>
      <c r="I299" s="1"/>
      <c r="J299" s="1"/>
      <c r="K299" s="1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8"/>
      <c r="Z299" s="4"/>
      <c r="AA299" s="4"/>
      <c r="AB299" s="4"/>
      <c r="AC299" s="4"/>
      <c r="AD299" s="4"/>
      <c r="AE299" s="4"/>
      <c r="AF299" s="48"/>
      <c r="AG299" s="4"/>
      <c r="AH299" s="4"/>
      <c r="AI299" s="4"/>
      <c r="AJ299" s="4"/>
      <c r="AK299" s="4"/>
      <c r="AL299" s="4"/>
      <c r="AM299" s="4"/>
      <c r="AN299" s="4"/>
      <c r="AO299" s="4"/>
      <c r="AP299" s="4"/>
    </row>
    <row r="300" spans="1:42" s="54" customFormat="1" ht="20.100000000000001" customHeight="1">
      <c r="A300" s="10"/>
      <c r="B300" s="1"/>
      <c r="C300" s="10"/>
      <c r="D300" s="10"/>
      <c r="E300" s="10"/>
      <c r="F300" s="1"/>
      <c r="G300" s="4"/>
      <c r="H300" s="1"/>
      <c r="I300" s="1"/>
      <c r="J300" s="1"/>
      <c r="K300" s="1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8"/>
      <c r="Z300" s="4"/>
      <c r="AA300" s="4"/>
      <c r="AB300" s="4"/>
      <c r="AC300" s="4"/>
      <c r="AD300" s="4"/>
      <c r="AE300" s="4"/>
      <c r="AF300" s="48"/>
      <c r="AG300" s="4"/>
      <c r="AH300" s="4"/>
      <c r="AI300" s="4"/>
      <c r="AJ300" s="4"/>
      <c r="AK300" s="4"/>
      <c r="AL300" s="4"/>
      <c r="AM300" s="4"/>
      <c r="AN300" s="4"/>
      <c r="AO300" s="4"/>
      <c r="AP300" s="4"/>
    </row>
    <row r="301" spans="1:42" s="54" customFormat="1" ht="20.100000000000001" customHeight="1">
      <c r="A301" s="10"/>
      <c r="B301" s="1"/>
      <c r="C301" s="10"/>
      <c r="D301" s="10"/>
      <c r="E301" s="10"/>
      <c r="F301" s="1"/>
      <c r="G301" s="4"/>
      <c r="H301" s="1"/>
      <c r="I301" s="1"/>
      <c r="J301" s="1"/>
      <c r="K301" s="1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8"/>
      <c r="Z301" s="4"/>
      <c r="AA301" s="4"/>
      <c r="AB301" s="4"/>
      <c r="AC301" s="4"/>
      <c r="AD301" s="4"/>
      <c r="AE301" s="4"/>
      <c r="AF301" s="48"/>
      <c r="AG301" s="4"/>
      <c r="AH301" s="4"/>
      <c r="AI301" s="4"/>
      <c r="AJ301" s="4"/>
      <c r="AK301" s="4"/>
      <c r="AL301" s="4"/>
      <c r="AM301" s="4"/>
      <c r="AN301" s="4"/>
      <c r="AO301" s="4"/>
      <c r="AP301" s="4"/>
    </row>
    <row r="302" spans="1:42" s="54" customFormat="1" ht="20.100000000000001" customHeight="1">
      <c r="A302" s="10"/>
      <c r="B302" s="1"/>
      <c r="C302" s="10"/>
      <c r="D302" s="10"/>
      <c r="E302" s="10"/>
      <c r="F302" s="1"/>
      <c r="G302" s="4"/>
      <c r="H302" s="1"/>
      <c r="I302" s="1"/>
      <c r="J302" s="1"/>
      <c r="K302" s="1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8"/>
      <c r="Z302" s="4"/>
      <c r="AA302" s="4"/>
      <c r="AB302" s="4"/>
      <c r="AC302" s="4"/>
      <c r="AD302" s="4"/>
      <c r="AE302" s="4"/>
      <c r="AF302" s="48"/>
      <c r="AG302" s="4"/>
      <c r="AH302" s="4"/>
      <c r="AI302" s="4"/>
      <c r="AJ302" s="4"/>
      <c r="AK302" s="4"/>
      <c r="AL302" s="4"/>
      <c r="AM302" s="4"/>
      <c r="AN302" s="4"/>
      <c r="AO302" s="4"/>
      <c r="AP302" s="4"/>
    </row>
    <row r="303" spans="1:42" s="54" customFormat="1" ht="20.100000000000001" customHeight="1">
      <c r="A303" s="10"/>
      <c r="B303" s="1"/>
      <c r="C303" s="10"/>
      <c r="D303" s="10"/>
      <c r="E303" s="10"/>
      <c r="F303" s="1"/>
      <c r="G303" s="4"/>
      <c r="H303" s="1"/>
      <c r="I303" s="1"/>
      <c r="J303" s="1"/>
      <c r="K303" s="1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8"/>
      <c r="Z303" s="4"/>
      <c r="AA303" s="4"/>
      <c r="AB303" s="4"/>
      <c r="AC303" s="4"/>
      <c r="AD303" s="4"/>
      <c r="AE303" s="4"/>
      <c r="AF303" s="48"/>
      <c r="AG303" s="4"/>
      <c r="AH303" s="4"/>
      <c r="AI303" s="4"/>
      <c r="AJ303" s="4"/>
      <c r="AK303" s="4"/>
      <c r="AL303" s="4"/>
      <c r="AM303" s="4"/>
      <c r="AN303" s="4"/>
      <c r="AO303" s="4"/>
      <c r="AP303" s="4"/>
    </row>
    <row r="304" spans="1:42" s="54" customFormat="1" ht="20.100000000000001" customHeight="1">
      <c r="A304" s="10"/>
      <c r="B304" s="1"/>
      <c r="C304" s="10"/>
      <c r="D304" s="10"/>
      <c r="E304" s="10"/>
      <c r="F304" s="1"/>
      <c r="G304" s="4"/>
      <c r="H304" s="1"/>
      <c r="I304" s="1"/>
      <c r="J304" s="1"/>
      <c r="K304" s="1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8"/>
      <c r="Z304" s="4"/>
      <c r="AA304" s="4"/>
      <c r="AB304" s="4"/>
      <c r="AC304" s="4"/>
      <c r="AD304" s="4"/>
      <c r="AE304" s="4"/>
      <c r="AF304" s="48"/>
      <c r="AG304" s="4"/>
      <c r="AH304" s="4"/>
      <c r="AI304" s="4"/>
      <c r="AJ304" s="4"/>
      <c r="AK304" s="4"/>
      <c r="AL304" s="4"/>
      <c r="AM304" s="4"/>
      <c r="AN304" s="4"/>
      <c r="AO304" s="4"/>
      <c r="AP304" s="4"/>
    </row>
    <row r="305" spans="1:43" s="54" customFormat="1" ht="20.100000000000001" customHeight="1">
      <c r="A305" s="10"/>
      <c r="B305" s="1"/>
      <c r="C305" s="10"/>
      <c r="D305" s="10"/>
      <c r="E305" s="10"/>
      <c r="F305" s="1"/>
      <c r="G305" s="4"/>
      <c r="H305" s="1"/>
      <c r="I305" s="1"/>
      <c r="J305" s="1"/>
      <c r="K305" s="1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8"/>
      <c r="Z305" s="4"/>
      <c r="AA305" s="4"/>
      <c r="AB305" s="4"/>
      <c r="AC305" s="4"/>
      <c r="AD305" s="4"/>
      <c r="AE305" s="4"/>
      <c r="AF305" s="48"/>
      <c r="AG305" s="4"/>
      <c r="AH305" s="4"/>
      <c r="AI305" s="4"/>
      <c r="AJ305" s="4"/>
      <c r="AK305" s="4"/>
      <c r="AL305" s="4"/>
      <c r="AM305" s="4"/>
      <c r="AN305" s="4"/>
      <c r="AO305" s="4"/>
      <c r="AP305" s="4"/>
    </row>
    <row r="306" spans="1:43" s="54" customFormat="1" ht="20.100000000000001" customHeight="1">
      <c r="A306" s="10"/>
      <c r="B306" s="1"/>
      <c r="C306" s="10"/>
      <c r="D306" s="10"/>
      <c r="E306" s="10"/>
      <c r="F306" s="1"/>
      <c r="G306" s="4"/>
      <c r="H306" s="1"/>
      <c r="I306" s="1"/>
      <c r="J306" s="1"/>
      <c r="K306" s="1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8"/>
      <c r="Z306" s="4"/>
      <c r="AA306" s="4"/>
      <c r="AB306" s="4"/>
      <c r="AC306" s="4"/>
      <c r="AD306" s="4"/>
      <c r="AE306" s="4"/>
      <c r="AF306" s="48"/>
      <c r="AG306" s="4"/>
      <c r="AH306" s="4"/>
      <c r="AI306" s="4"/>
      <c r="AJ306" s="4"/>
      <c r="AK306" s="4"/>
      <c r="AL306" s="4"/>
      <c r="AM306" s="4"/>
      <c r="AN306" s="4"/>
      <c r="AO306" s="4"/>
      <c r="AP306" s="4"/>
    </row>
    <row r="307" spans="1:43" s="54" customFormat="1" ht="20.100000000000001" customHeight="1">
      <c r="A307" s="10"/>
      <c r="B307" s="1"/>
      <c r="C307" s="10"/>
      <c r="D307" s="10"/>
      <c r="E307" s="10"/>
      <c r="F307" s="1"/>
      <c r="G307" s="4"/>
      <c r="H307" s="1"/>
      <c r="I307" s="1"/>
      <c r="J307" s="1"/>
      <c r="K307" s="1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8"/>
      <c r="Z307" s="4"/>
      <c r="AA307" s="4"/>
      <c r="AB307" s="4"/>
      <c r="AC307" s="4"/>
      <c r="AD307" s="4"/>
      <c r="AE307" s="4"/>
      <c r="AF307" s="48"/>
      <c r="AG307" s="4"/>
      <c r="AH307" s="4"/>
      <c r="AI307" s="4"/>
      <c r="AJ307" s="4"/>
      <c r="AK307" s="4"/>
      <c r="AL307" s="4"/>
      <c r="AM307" s="4"/>
      <c r="AN307" s="4"/>
      <c r="AO307" s="4"/>
      <c r="AP307" s="4"/>
    </row>
    <row r="308" spans="1:43" s="54" customFormat="1" ht="20.100000000000001" customHeight="1">
      <c r="A308" s="10"/>
      <c r="B308" s="1"/>
      <c r="C308" s="10"/>
      <c r="D308" s="10"/>
      <c r="E308" s="10"/>
      <c r="F308" s="1"/>
      <c r="G308" s="4"/>
      <c r="H308" s="1"/>
      <c r="I308" s="1"/>
      <c r="J308" s="1"/>
      <c r="K308" s="1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8"/>
      <c r="Z308" s="4"/>
      <c r="AA308" s="4"/>
      <c r="AB308" s="4"/>
      <c r="AC308" s="4"/>
      <c r="AD308" s="4"/>
      <c r="AE308" s="4"/>
      <c r="AF308" s="48"/>
      <c r="AG308" s="4"/>
      <c r="AH308" s="4"/>
      <c r="AI308" s="4"/>
      <c r="AJ308" s="4"/>
      <c r="AK308" s="4"/>
      <c r="AL308" s="4"/>
      <c r="AM308" s="4"/>
      <c r="AN308" s="4"/>
      <c r="AO308" s="4"/>
      <c r="AP308" s="4"/>
    </row>
    <row r="309" spans="1:43" s="54" customFormat="1" ht="20.100000000000001" customHeight="1">
      <c r="A309" s="10"/>
      <c r="B309" s="1"/>
      <c r="C309" s="10"/>
      <c r="D309" s="10"/>
      <c r="E309" s="10"/>
      <c r="F309" s="1"/>
      <c r="G309" s="4"/>
      <c r="H309" s="1"/>
      <c r="I309" s="1"/>
      <c r="J309" s="1"/>
      <c r="K309" s="1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8"/>
      <c r="Z309" s="4"/>
      <c r="AA309" s="4"/>
      <c r="AB309" s="4"/>
      <c r="AC309" s="4"/>
      <c r="AD309" s="4"/>
      <c r="AE309" s="4"/>
      <c r="AF309" s="48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</row>
    <row r="310" spans="1:43" s="54" customFormat="1" ht="20.100000000000001" customHeight="1">
      <c r="A310" s="10"/>
      <c r="B310" s="1"/>
      <c r="C310" s="10"/>
      <c r="D310" s="10"/>
      <c r="E310" s="10"/>
      <c r="F310" s="1"/>
      <c r="G310" s="4"/>
      <c r="H310" s="1"/>
      <c r="I310" s="1"/>
      <c r="J310" s="1"/>
      <c r="K310" s="1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8"/>
      <c r="Z310" s="4"/>
      <c r="AA310" s="4"/>
      <c r="AB310" s="4"/>
      <c r="AC310" s="4"/>
      <c r="AD310" s="4"/>
      <c r="AE310" s="4"/>
      <c r="AF310" s="48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</row>
    <row r="311" spans="1:43" s="54" customFormat="1" ht="20.100000000000001" customHeight="1">
      <c r="A311" s="10"/>
      <c r="B311" s="1"/>
      <c r="C311" s="10"/>
      <c r="D311" s="10"/>
      <c r="E311" s="10"/>
      <c r="F311" s="1"/>
      <c r="G311" s="4"/>
      <c r="H311" s="1"/>
      <c r="I311" s="1"/>
      <c r="J311" s="1"/>
      <c r="K311" s="1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8"/>
      <c r="Z311" s="4"/>
      <c r="AA311" s="4"/>
      <c r="AB311" s="4"/>
      <c r="AC311" s="4"/>
      <c r="AD311" s="4"/>
      <c r="AE311" s="4"/>
      <c r="AF311" s="48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</row>
    <row r="312" spans="1:43" s="54" customFormat="1" ht="20.100000000000001" customHeight="1">
      <c r="A312" s="10"/>
      <c r="B312" s="1"/>
      <c r="C312" s="10"/>
      <c r="D312" s="10"/>
      <c r="E312" s="10"/>
      <c r="F312" s="1"/>
      <c r="G312" s="4"/>
      <c r="H312" s="1"/>
      <c r="I312" s="1"/>
      <c r="J312" s="1"/>
      <c r="K312" s="1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8"/>
      <c r="Z312" s="4"/>
      <c r="AA312" s="4"/>
      <c r="AB312" s="4"/>
      <c r="AC312" s="4"/>
      <c r="AD312" s="4"/>
      <c r="AE312" s="4"/>
      <c r="AF312" s="48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</row>
    <row r="313" spans="1:43" s="54" customFormat="1" ht="20.100000000000001" customHeight="1">
      <c r="A313" s="10"/>
      <c r="B313" s="1"/>
      <c r="C313" s="10"/>
      <c r="D313" s="10"/>
      <c r="E313" s="10"/>
      <c r="F313" s="1"/>
      <c r="G313" s="4"/>
      <c r="H313" s="1"/>
      <c r="I313" s="1"/>
      <c r="J313" s="1"/>
      <c r="K313" s="1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8"/>
      <c r="Z313" s="4"/>
      <c r="AA313" s="4"/>
      <c r="AB313" s="4"/>
      <c r="AC313" s="4"/>
      <c r="AD313" s="4"/>
      <c r="AE313" s="4"/>
      <c r="AF313" s="48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</row>
    <row r="314" spans="1:43" s="54" customFormat="1" ht="20.100000000000001" customHeight="1">
      <c r="A314" s="10"/>
      <c r="B314" s="1"/>
      <c r="C314" s="10"/>
      <c r="D314" s="10"/>
      <c r="E314" s="10"/>
      <c r="F314" s="1"/>
      <c r="G314" s="4"/>
      <c r="H314" s="1"/>
      <c r="I314" s="1"/>
      <c r="J314" s="1"/>
      <c r="K314" s="1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8"/>
      <c r="Z314" s="4"/>
      <c r="AA314" s="4"/>
      <c r="AB314" s="4"/>
      <c r="AC314" s="4"/>
      <c r="AD314" s="4"/>
      <c r="AE314" s="4"/>
      <c r="AF314" s="48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</row>
    <row r="315" spans="1:43" s="54" customFormat="1" ht="20.100000000000001" customHeight="1">
      <c r="A315" s="10"/>
      <c r="B315" s="1"/>
      <c r="C315" s="10"/>
      <c r="D315" s="10"/>
      <c r="E315" s="10"/>
      <c r="F315" s="1"/>
      <c r="G315" s="4"/>
      <c r="H315" s="1"/>
      <c r="I315" s="1"/>
      <c r="J315" s="1"/>
      <c r="K315" s="1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8"/>
      <c r="Z315" s="4"/>
      <c r="AA315" s="4"/>
      <c r="AB315" s="4"/>
      <c r="AC315" s="4"/>
      <c r="AD315" s="4"/>
      <c r="AE315" s="4"/>
      <c r="AF315" s="48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</row>
    <row r="316" spans="1:43" s="54" customFormat="1" ht="20.100000000000001" customHeight="1">
      <c r="A316" s="10"/>
      <c r="B316" s="1"/>
      <c r="C316" s="10"/>
      <c r="D316" s="10"/>
      <c r="E316" s="10"/>
      <c r="F316" s="1"/>
      <c r="G316" s="4"/>
      <c r="H316" s="1"/>
      <c r="I316" s="1"/>
      <c r="J316" s="1"/>
      <c r="K316" s="1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8"/>
      <c r="Z316" s="4"/>
      <c r="AA316" s="4"/>
      <c r="AB316" s="4"/>
      <c r="AC316" s="4"/>
      <c r="AD316" s="4"/>
      <c r="AE316" s="4"/>
      <c r="AF316" s="48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</row>
  </sheetData>
  <phoneticPr fontId="28" type="noConversion"/>
  <conditionalFormatting sqref="J1:K217 K3:K219 J5:J219">
    <cfRule type="cellIs" dxfId="1" priority="1" operator="lessThan">
      <formula>0.5</formula>
    </cfRule>
  </conditionalFormatting>
  <conditionalFormatting sqref="J1:K1048576">
    <cfRule type="cellIs" dxfId="0" priority="2" operator="lessThan">
      <formula>0</formula>
    </cfRule>
  </conditionalFormatting>
  <pageMargins left="0.7" right="0.7" top="0.75" bottom="0.75" header="0.3" footer="0.3"/>
  <pageSetup paperSize="300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S453"/>
  <sheetViews>
    <sheetView zoomScale="90" zoomScaleNormal="90" workbookViewId="0">
      <pane xSplit="5" ySplit="5" topLeftCell="F423" activePane="bottomRight" state="frozen"/>
      <selection pane="topRight" activeCell="F1" sqref="F1"/>
      <selection pane="bottomLeft" activeCell="A6" sqref="A6"/>
      <selection pane="bottomRight" activeCell="K434" sqref="K434"/>
    </sheetView>
  </sheetViews>
  <sheetFormatPr defaultRowHeight="15.75"/>
  <cols>
    <col min="1" max="1" width="9.140625" style="4"/>
    <col min="2" max="2" width="5" style="1" customWidth="1"/>
    <col min="3" max="3" width="7.85546875" style="1" customWidth="1"/>
    <col min="4" max="4" width="5.5703125" style="45" customWidth="1"/>
    <col min="5" max="5" width="22.28515625" style="27" customWidth="1"/>
    <col min="6" max="6" width="20.5703125" style="27" customWidth="1"/>
    <col min="7" max="7" width="5.42578125" style="5" customWidth="1"/>
    <col min="8" max="8" width="10.85546875" style="7" customWidth="1"/>
    <col min="9" max="9" width="12" style="1" bestFit="1" customWidth="1"/>
    <col min="10" max="10" width="32.140625" style="7" customWidth="1"/>
    <col min="11" max="11" width="14.28515625" style="27" customWidth="1"/>
    <col min="12" max="12" width="14" style="1" customWidth="1"/>
    <col min="13" max="13" width="13" style="7" customWidth="1"/>
    <col min="14" max="14" width="11.140625" style="4" customWidth="1"/>
    <col min="15" max="15" width="11.42578125" style="7" customWidth="1"/>
    <col min="16" max="16" width="10.7109375" style="7" customWidth="1"/>
    <col min="17" max="17" width="11.140625" style="4" customWidth="1"/>
    <col min="18" max="16384" width="9.140625" style="4"/>
  </cols>
  <sheetData>
    <row r="1" spans="2:19" s="22" customFormat="1" ht="18.75">
      <c r="B1" s="263" t="s">
        <v>3285</v>
      </c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</row>
    <row r="2" spans="2:19" s="22" customFormat="1" ht="18.75">
      <c r="B2" s="263" t="s">
        <v>133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</row>
    <row r="3" spans="2:19" s="22" customFormat="1" ht="18.75">
      <c r="B3" s="264" t="s">
        <v>3300</v>
      </c>
      <c r="C3" s="264"/>
      <c r="D3" s="264"/>
      <c r="E3" s="264"/>
      <c r="F3" s="264"/>
      <c r="G3" s="264"/>
      <c r="H3" s="264"/>
      <c r="I3" s="264"/>
      <c r="J3" s="264"/>
      <c r="K3" s="264"/>
      <c r="L3" s="264"/>
      <c r="M3" s="264"/>
      <c r="N3" s="264"/>
      <c r="O3" s="264"/>
      <c r="P3" s="264"/>
      <c r="Q3" s="264"/>
    </row>
    <row r="4" spans="2:19" s="28" customFormat="1" ht="15.75" customHeight="1">
      <c r="B4" s="261" t="s">
        <v>0</v>
      </c>
      <c r="C4" s="271" t="s">
        <v>134</v>
      </c>
      <c r="D4" s="272" t="s">
        <v>2</v>
      </c>
      <c r="E4" s="261" t="s">
        <v>3</v>
      </c>
      <c r="F4" s="261" t="s">
        <v>8</v>
      </c>
      <c r="G4" s="261" t="s">
        <v>135</v>
      </c>
      <c r="H4" s="261" t="s">
        <v>136</v>
      </c>
      <c r="I4" s="261"/>
      <c r="J4" s="261" t="s">
        <v>6</v>
      </c>
      <c r="K4" s="273" t="s">
        <v>137</v>
      </c>
      <c r="L4" s="273"/>
      <c r="M4" s="273"/>
      <c r="N4" s="273"/>
      <c r="O4" s="261" t="s">
        <v>138</v>
      </c>
      <c r="P4" s="261"/>
      <c r="Q4" s="261" t="s">
        <v>159</v>
      </c>
    </row>
    <row r="5" spans="2:19" s="28" customFormat="1" ht="24.75" customHeight="1">
      <c r="B5" s="261"/>
      <c r="C5" s="271"/>
      <c r="D5" s="272"/>
      <c r="E5" s="261"/>
      <c r="F5" s="261"/>
      <c r="G5" s="261"/>
      <c r="H5" s="29" t="s">
        <v>140</v>
      </c>
      <c r="I5" s="29" t="s">
        <v>141</v>
      </c>
      <c r="J5" s="261"/>
      <c r="K5" s="29" t="s">
        <v>142</v>
      </c>
      <c r="L5" s="30" t="s">
        <v>142</v>
      </c>
      <c r="M5" s="29" t="s">
        <v>143</v>
      </c>
      <c r="N5" s="30" t="s">
        <v>144</v>
      </c>
      <c r="O5" s="29" t="s">
        <v>145</v>
      </c>
      <c r="P5" s="29" t="s">
        <v>146</v>
      </c>
      <c r="Q5" s="261"/>
      <c r="R5" s="31"/>
      <c r="S5" s="31"/>
    </row>
    <row r="6" spans="2:19" s="37" customFormat="1" ht="38.25">
      <c r="B6" s="32">
        <v>1</v>
      </c>
      <c r="C6" s="33">
        <f>'BIO DATA'!D2</f>
        <v>11201</v>
      </c>
      <c r="D6" s="62" t="str">
        <f>'BIO DATA'!E2</f>
        <v>0113015237</v>
      </c>
      <c r="E6" s="34" t="str">
        <f>'BIO DATA'!F2</f>
        <v>Abiyyi Al Hakim Assyauqi</v>
      </c>
      <c r="F6" s="35" t="str">
        <f>'BIO DATA'!Z2</f>
        <v>MTs. Mu'allimin Muh. Yogyakarta</v>
      </c>
      <c r="G6" s="68">
        <f>'BIO DATA'!J2</f>
        <v>1</v>
      </c>
      <c r="H6" s="119" t="str">
        <f>'BIO DATA'!N2</f>
        <v>Pemalang</v>
      </c>
      <c r="I6" s="120" t="str">
        <f>'BIO DATA'!Q2</f>
        <v>19 Januari 2011</v>
      </c>
      <c r="J6" s="34" t="str">
        <f>'BIO DATA'!T2</f>
        <v>RT. 02 RW.16 Dusun Kebonsari Kelurahan Petarukan Kec. Patarukan Kab. Pemalang 52362</v>
      </c>
      <c r="K6" s="34" t="str">
        <f>'BIO DATA'!AC2</f>
        <v>Imam Nur Hakim</v>
      </c>
      <c r="L6" s="36" t="str">
        <f>'BIO DATA'!AH2</f>
        <v>085228816865</v>
      </c>
      <c r="M6" s="34" t="str">
        <f>'BIO DATA'!AJ2</f>
        <v>Romistiyani Khasanah</v>
      </c>
      <c r="N6" s="125">
        <f>'BIO DATA'!AO2</f>
        <v>0</v>
      </c>
      <c r="O6" s="34" t="str">
        <f>'BIO DATA'!AF2</f>
        <v>PNS</v>
      </c>
      <c r="P6" s="34" t="str">
        <f>'BIO DATA'!AM2</f>
        <v>Guru</v>
      </c>
      <c r="Q6" s="159" t="str">
        <f>'BIO DATA'!I2</f>
        <v>MTs-25 120006369</v>
      </c>
    </row>
    <row r="7" spans="2:19" s="37" customFormat="1" ht="25.5">
      <c r="B7" s="32">
        <v>2</v>
      </c>
      <c r="C7" s="33">
        <f>'BIO DATA'!D3</f>
        <v>11218</v>
      </c>
      <c r="D7" s="62" t="str">
        <f>'BIO DATA'!E3</f>
        <v>0102449757</v>
      </c>
      <c r="E7" s="34" t="str">
        <f>'BIO DATA'!F3</f>
        <v>Ahmad Azzam Hilmi Alqodri</v>
      </c>
      <c r="F7" s="35" t="str">
        <f>'BIO DATA'!Z3</f>
        <v>MTs. Mu'allimin Muh. Yogyakarta</v>
      </c>
      <c r="G7" s="68">
        <f>'BIO DATA'!J3</f>
        <v>2</v>
      </c>
      <c r="H7" s="119" t="str">
        <f>'BIO DATA'!N3</f>
        <v>Yogyakarta</v>
      </c>
      <c r="I7" s="120" t="str">
        <f>'BIO DATA'!Q3</f>
        <v>25 April 2010</v>
      </c>
      <c r="J7" s="34" t="str">
        <f>'BIO DATA'!T3</f>
        <v>Notoprajan NG II/783, DI Yogyakarta, 55262</v>
      </c>
      <c r="K7" s="34" t="str">
        <f>'BIO DATA'!AC3</f>
        <v>Hanifan Al Qodri</v>
      </c>
      <c r="L7" s="36" t="str">
        <f>'BIO DATA'!AH3</f>
        <v>082245474550</v>
      </c>
      <c r="M7" s="34" t="str">
        <f>'BIO DATA'!AJ3</f>
        <v>Aini Nur Jannah</v>
      </c>
      <c r="N7" s="125">
        <f>'BIO DATA'!AO3</f>
        <v>0</v>
      </c>
      <c r="O7" s="34" t="str">
        <f>'BIO DATA'!AF3</f>
        <v>Lainnya</v>
      </c>
      <c r="P7" s="34">
        <f>'BIO DATA'!AM3</f>
        <v>0</v>
      </c>
      <c r="Q7" s="159" t="str">
        <f>'BIO DATA'!I3</f>
        <v>MTs-25 120006431</v>
      </c>
      <c r="R7" s="38"/>
      <c r="S7" s="38"/>
    </row>
    <row r="8" spans="2:19" s="38" customFormat="1" ht="38.25">
      <c r="B8" s="32">
        <v>3</v>
      </c>
      <c r="C8" s="33">
        <f>'BIO DATA'!D4</f>
        <v>11225</v>
      </c>
      <c r="D8" s="62" t="str">
        <f>'BIO DATA'!E4</f>
        <v>0125377818</v>
      </c>
      <c r="E8" s="34" t="str">
        <f>'BIO DATA'!F4</f>
        <v>Ahmad Labib Affany</v>
      </c>
      <c r="F8" s="35" t="str">
        <f>'BIO DATA'!Z4</f>
        <v>MTs. Mu'allimin Muh. Yogyakarta</v>
      </c>
      <c r="G8" s="68">
        <f>'BIO DATA'!J4</f>
        <v>2</v>
      </c>
      <c r="H8" s="119" t="str">
        <f>'BIO DATA'!N4</f>
        <v>Semarang</v>
      </c>
      <c r="I8" s="120" t="str">
        <f>'BIO DATA'!Q4</f>
        <v>15 Juli 2010</v>
      </c>
      <c r="J8" s="34" t="str">
        <f>'BIO DATA'!T4</f>
        <v>Perum BPI Blok N.11 RT.06 RW.10 Purwoyoso Ngaliyan Semarang, Jawa Tengah, 50184</v>
      </c>
      <c r="K8" s="34" t="str">
        <f>'BIO DATA'!AC4</f>
        <v>Ahmad Furqon</v>
      </c>
      <c r="L8" s="36" t="str">
        <f>'BIO DATA'!AH4</f>
        <v>085640384995</v>
      </c>
      <c r="M8" s="34" t="str">
        <f>'BIO DATA'!AJ4</f>
        <v>Yunita Dewi Septiana</v>
      </c>
      <c r="N8" s="125">
        <f>'BIO DATA'!AO4</f>
        <v>0</v>
      </c>
      <c r="O8" s="34" t="str">
        <f>'BIO DATA'!AF4</f>
        <v>Dosen</v>
      </c>
      <c r="P8" s="34" t="str">
        <f>'BIO DATA'!AM4</f>
        <v>Ibu Rumah Tangga</v>
      </c>
      <c r="Q8" s="159" t="str">
        <f>'BIO DATA'!I4</f>
        <v>MTs-25 120006432</v>
      </c>
    </row>
    <row r="9" spans="2:19" s="38" customFormat="1" ht="51">
      <c r="B9" s="32">
        <v>4</v>
      </c>
      <c r="C9" s="33">
        <f>'BIO DATA'!D5</f>
        <v>11234</v>
      </c>
      <c r="D9" s="62" t="str">
        <f>'BIO DATA'!E5</f>
        <v>0097947581</v>
      </c>
      <c r="E9" s="34" t="str">
        <f>'BIO DATA'!F5</f>
        <v>Ahmad Yuda Satria</v>
      </c>
      <c r="F9" s="35" t="str">
        <f>'BIO DATA'!Z5</f>
        <v>MTs. Mu'allimin Muh. Yogyakarta</v>
      </c>
      <c r="G9" s="68">
        <f>'BIO DATA'!J5</f>
        <v>2</v>
      </c>
      <c r="H9" s="119" t="str">
        <f>'BIO DATA'!N5</f>
        <v>Yogyakarta</v>
      </c>
      <c r="I9" s="120" t="str">
        <f>'BIO DATA'!Q5</f>
        <v>04 Juli 2009</v>
      </c>
      <c r="J9" s="34" t="str">
        <f>'BIO DATA'!T5</f>
        <v>Jl. Patih Singoranu No. 55, Nitikan RT 47 RW 12 Kel. Sorosutan Kec. Umbulharjo, Yogyakarta, DI Yogyakarta, 55162</v>
      </c>
      <c r="K9" s="34" t="str">
        <f>'BIO DATA'!AC5</f>
        <v>Syarif Hudoyo</v>
      </c>
      <c r="L9" s="36" t="str">
        <f>'BIO DATA'!AH5</f>
        <v>0818277560</v>
      </c>
      <c r="M9" s="34" t="str">
        <f>'BIO DATA'!AJ5</f>
        <v>Nurul 'Aini</v>
      </c>
      <c r="N9" s="125">
        <f>'BIO DATA'!AO5</f>
        <v>0</v>
      </c>
      <c r="O9" s="34" t="str">
        <f>'BIO DATA'!AF5</f>
        <v>Wiraswasta</v>
      </c>
      <c r="P9" s="34" t="str">
        <f>'BIO DATA'!AM5</f>
        <v>Karyawan Swasta</v>
      </c>
      <c r="Q9" s="159" t="str">
        <f>'BIO DATA'!I5</f>
        <v>MTs-25 120006462</v>
      </c>
    </row>
    <row r="10" spans="2:19" s="38" customFormat="1" ht="41.25" customHeight="1">
      <c r="B10" s="32">
        <v>5</v>
      </c>
      <c r="C10" s="33">
        <f>'BIO DATA'!D6</f>
        <v>11240</v>
      </c>
      <c r="D10" s="62" t="str">
        <f>'BIO DATA'!E6</f>
        <v>0101481195</v>
      </c>
      <c r="E10" s="34" t="str">
        <f>'BIO DATA'!F6</f>
        <v>Akbar Izzatu Zikri</v>
      </c>
      <c r="F10" s="35" t="str">
        <f>'BIO DATA'!Z6</f>
        <v>MTs. Mu'allimin Muh. Yogyakarta</v>
      </c>
      <c r="G10" s="68">
        <f>'BIO DATA'!J6</f>
        <v>1</v>
      </c>
      <c r="H10" s="119" t="str">
        <f>'BIO DATA'!N6</f>
        <v>Jakarta</v>
      </c>
      <c r="I10" s="120" t="str">
        <f>'BIO DATA'!Q6</f>
        <v>19 Maret 2010</v>
      </c>
      <c r="J10" s="34" t="str">
        <f>'BIO DATA'!T6</f>
        <v>Jl.Kayu Manis VIII No.16 RT.012, RT.007, Kelurahan Kayu Manis, Kecamatan Matraman, Kota Administrasi Jakarta Timur, Provinsi DKI Jakarta, DKI Jakarta, 13130</v>
      </c>
      <c r="K10" s="34" t="str">
        <f>'BIO DATA'!AC6</f>
        <v>Afdal Zikri</v>
      </c>
      <c r="L10" s="36" t="str">
        <f>'BIO DATA'!AH6</f>
        <v>085813687817</v>
      </c>
      <c r="M10" s="34" t="str">
        <f>'BIO DATA'!AJ6</f>
        <v>Upik Rahmawati</v>
      </c>
      <c r="N10" s="125">
        <f>'BIO DATA'!AO6</f>
        <v>0</v>
      </c>
      <c r="O10" s="34" t="str">
        <f>'BIO DATA'!AF6</f>
        <v>Guru</v>
      </c>
      <c r="P10" s="34" t="str">
        <f>'BIO DATA'!AM6</f>
        <v>Karyawan Swasta</v>
      </c>
      <c r="Q10" s="159" t="str">
        <f>'BIO DATA'!I6</f>
        <v>MTs-25 120006340</v>
      </c>
    </row>
    <row r="11" spans="2:19" s="38" customFormat="1" ht="51">
      <c r="B11" s="32">
        <v>6</v>
      </c>
      <c r="C11" s="33">
        <f>'BIO DATA'!D7</f>
        <v>11245</v>
      </c>
      <c r="D11" s="62" t="str">
        <f>'BIO DATA'!E7</f>
        <v>0089767974</v>
      </c>
      <c r="E11" s="34" t="str">
        <f>'BIO DATA'!F7</f>
        <v>Al Fatih Ghaffar Irsyad</v>
      </c>
      <c r="F11" s="35" t="str">
        <f>'BIO DATA'!Z7</f>
        <v>MTs. Mu'allimin Muh. Yogyakarta</v>
      </c>
      <c r="G11" s="68">
        <f>'BIO DATA'!J7</f>
        <v>1</v>
      </c>
      <c r="H11" s="119" t="str">
        <f>'BIO DATA'!N7</f>
        <v>Klaten</v>
      </c>
      <c r="I11" s="120" t="str">
        <f>'BIO DATA'!Q7</f>
        <v>08 Juli 2008</v>
      </c>
      <c r="J11" s="34" t="str">
        <f>'BIO DATA'!T7</f>
        <v>Vila Juanda Depok No.1 KP. Bojong Gang Kober Raya RT.007 RW.020 Baktijaya, Sukmajaya, Kota Depok, Jawa Barat 16418</v>
      </c>
      <c r="K11" s="34" t="str">
        <f>'BIO DATA'!AC7</f>
        <v>Suroto</v>
      </c>
      <c r="L11" s="36" t="str">
        <f>'BIO DATA'!AH7</f>
        <v>081311050151</v>
      </c>
      <c r="M11" s="34" t="str">
        <f>'BIO DATA'!AJ7</f>
        <v>Tatik Sri Rahayu</v>
      </c>
      <c r="N11" s="125">
        <f>'BIO DATA'!AO7</f>
        <v>0</v>
      </c>
      <c r="O11" s="34" t="str">
        <f>'BIO DATA'!AF7</f>
        <v>PNS</v>
      </c>
      <c r="P11" s="34" t="str">
        <f>'BIO DATA'!AM7</f>
        <v>Karyawan Swasta</v>
      </c>
      <c r="Q11" s="159" t="str">
        <f>'BIO DATA'!I7</f>
        <v>MTs-25 120006463</v>
      </c>
    </row>
    <row r="12" spans="2:19" s="38" customFormat="1" ht="25.5">
      <c r="B12" s="32">
        <v>7</v>
      </c>
      <c r="C12" s="33">
        <f>'BIO DATA'!D8</f>
        <v>11253</v>
      </c>
      <c r="D12" s="62" t="str">
        <f>'BIO DATA'!E8</f>
        <v>0102809234</v>
      </c>
      <c r="E12" s="34" t="str">
        <f>'BIO DATA'!F8</f>
        <v>Ananda Faiq Ibrahim</v>
      </c>
      <c r="F12" s="35" t="str">
        <f>'BIO DATA'!Z8</f>
        <v>MTs. Mu'allimin Muh. Yogyakarta</v>
      </c>
      <c r="G12" s="68">
        <f>'BIO DATA'!J8</f>
        <v>2</v>
      </c>
      <c r="H12" s="119" t="str">
        <f>'BIO DATA'!N8</f>
        <v>Magelang</v>
      </c>
      <c r="I12" s="120" t="str">
        <f>'BIO DATA'!Q8</f>
        <v>12 Juni 2010</v>
      </c>
      <c r="J12" s="34" t="str">
        <f>'BIO DATA'!T8</f>
        <v>Bandongan RT 01 RW 05 Gondosuli, Muntilan, Magelang</v>
      </c>
      <c r="K12" s="34" t="str">
        <f>'BIO DATA'!AC8</f>
        <v>Sukito</v>
      </c>
      <c r="L12" s="36">
        <f>'BIO DATA'!AH8</f>
        <v>0</v>
      </c>
      <c r="M12" s="34" t="str">
        <f>'BIO DATA'!AJ8</f>
        <v>Kanthi Pamungkas Sari</v>
      </c>
      <c r="N12" s="125">
        <f>'BIO DATA'!AO8</f>
        <v>0</v>
      </c>
      <c r="O12" s="34" t="str">
        <f>'BIO DATA'!AF8</f>
        <v>Pensiunan</v>
      </c>
      <c r="P12" s="34" t="str">
        <f>'BIO DATA'!AM8</f>
        <v>Dosen</v>
      </c>
      <c r="Q12" s="159" t="str">
        <f>'BIO DATA'!I8</f>
        <v>MTs-25 120006406</v>
      </c>
    </row>
    <row r="13" spans="2:19" s="38" customFormat="1" ht="48.75" customHeight="1">
      <c r="B13" s="32">
        <v>8</v>
      </c>
      <c r="C13" s="33">
        <f>'BIO DATA'!D9</f>
        <v>11267</v>
      </c>
      <c r="D13" s="62" t="str">
        <f>'BIO DATA'!E9</f>
        <v>0104810202</v>
      </c>
      <c r="E13" s="34" t="str">
        <f>'BIO DATA'!F9</f>
        <v>Atiyan Ali Da'i</v>
      </c>
      <c r="F13" s="35" t="str">
        <f>'BIO DATA'!Z9</f>
        <v>MTs. Mu'allimin Muh. Yogyakarta</v>
      </c>
      <c r="G13" s="68">
        <f>'BIO DATA'!J9</f>
        <v>1</v>
      </c>
      <c r="H13" s="119" t="str">
        <f>'BIO DATA'!N9</f>
        <v>Tegal</v>
      </c>
      <c r="I13" s="120" t="str">
        <f>'BIO DATA'!Q9</f>
        <v>12 Januari 2010</v>
      </c>
      <c r="J13" s="34" t="str">
        <f>'BIO DATA'!T9</f>
        <v>Palm Asri 2 Blok.O No. 20 RT.02 RW.06 Desa Pedagangan Kec. Dukuhwaru Kab. Tegal, Jawa Tengah, 52451</v>
      </c>
      <c r="K13" s="34" t="str">
        <f>'BIO DATA'!AC9</f>
        <v>Alen Wibowo</v>
      </c>
      <c r="L13" s="36" t="str">
        <f>'BIO DATA'!AH9</f>
        <v>085290287753</v>
      </c>
      <c r="M13" s="34" t="str">
        <f>'BIO DATA'!AJ9</f>
        <v>Laelin M Enna</v>
      </c>
      <c r="N13" s="125">
        <f>'BIO DATA'!AO9</f>
        <v>0</v>
      </c>
      <c r="O13" s="34" t="str">
        <f>'BIO DATA'!AF9</f>
        <v>PNS</v>
      </c>
      <c r="P13" s="34" t="str">
        <f>'BIO DATA'!AM9</f>
        <v>Guru</v>
      </c>
      <c r="Q13" s="159" t="str">
        <f>'BIO DATA'!I9</f>
        <v>MTs-25 120006435</v>
      </c>
    </row>
    <row r="14" spans="2:19" s="38" customFormat="1" ht="40.5" customHeight="1">
      <c r="B14" s="32">
        <v>9</v>
      </c>
      <c r="C14" s="33">
        <f>'BIO DATA'!D10</f>
        <v>11304</v>
      </c>
      <c r="D14" s="62" t="str">
        <f>'BIO DATA'!E10</f>
        <v>0094471248</v>
      </c>
      <c r="E14" s="34" t="str">
        <f>'BIO DATA'!F10</f>
        <v>Fachri Rabbani Nurrahman</v>
      </c>
      <c r="F14" s="35" t="str">
        <f>'BIO DATA'!Z10</f>
        <v>MTs. Mu'allimin Muh. Yogyakarta</v>
      </c>
      <c r="G14" s="68">
        <f>'BIO DATA'!J10</f>
        <v>2</v>
      </c>
      <c r="H14" s="119" t="str">
        <f>'BIO DATA'!N10</f>
        <v>Yogyakarta</v>
      </c>
      <c r="I14" s="120" t="str">
        <f>'BIO DATA'!Q10</f>
        <v>29 Desember 2009</v>
      </c>
      <c r="J14" s="34" t="str">
        <f>'BIO DATA'!T10</f>
        <v>Prenggan Selatan KG II/926, RT/RW : 028/006, Kel. Prenggan, Kec. Kotagede, Kota Yogyakarta, DI Yogyakarta, 55172</v>
      </c>
      <c r="K14" s="34" t="str">
        <f>'BIO DATA'!AC10</f>
        <v>Muhammad Fitri Nurrahman</v>
      </c>
      <c r="L14" s="36" t="str">
        <f>'BIO DATA'!AH10</f>
        <v>08122798055</v>
      </c>
      <c r="M14" s="34" t="str">
        <f>'BIO DATA'!AJ10</f>
        <v>Ririn Ernawati</v>
      </c>
      <c r="N14" s="125">
        <f>'BIO DATA'!AO10</f>
        <v>0</v>
      </c>
      <c r="O14" s="34" t="str">
        <f>'BIO DATA'!AF10</f>
        <v>Lainnya</v>
      </c>
      <c r="P14" s="34">
        <f>'BIO DATA'!AM10</f>
        <v>0</v>
      </c>
      <c r="Q14" s="159" t="str">
        <f>'BIO DATA'!I10</f>
        <v>MTs-25 120006468</v>
      </c>
    </row>
    <row r="15" spans="2:19" s="38" customFormat="1" ht="38.25">
      <c r="B15" s="32">
        <v>10</v>
      </c>
      <c r="C15" s="33">
        <f>'BIO DATA'!D11</f>
        <v>11333</v>
      </c>
      <c r="D15" s="62" t="str">
        <f>'BIO DATA'!E11</f>
        <v>0107726015</v>
      </c>
      <c r="E15" s="34" t="str">
        <f>'BIO DATA'!F11</f>
        <v>Galang Thariq Nurmuhammad</v>
      </c>
      <c r="F15" s="35" t="str">
        <f>'BIO DATA'!Z11</f>
        <v>MTs. Mu'allimin Muh. Yogyakarta</v>
      </c>
      <c r="G15" s="68">
        <f>'BIO DATA'!J11</f>
        <v>1</v>
      </c>
      <c r="H15" s="119" t="str">
        <f>'BIO DATA'!N11</f>
        <v>Semarang</v>
      </c>
      <c r="I15" s="120" t="str">
        <f>'BIO DATA'!Q11</f>
        <v>16 Desember 2010</v>
      </c>
      <c r="J15" s="34" t="str">
        <f>'BIO DATA'!T11</f>
        <v>Gang Kedawung II Rt. 01 Rw.08 No.45 Patemon Gunungpati Semarang Jawa Tengah 50229</v>
      </c>
      <c r="K15" s="34" t="str">
        <f>'BIO DATA'!AC11</f>
        <v>Wiwik Dwi Haryono</v>
      </c>
      <c r="L15" s="36">
        <f>'BIO DATA'!AH11</f>
        <v>0</v>
      </c>
      <c r="M15" s="34" t="str">
        <f>'BIO DATA'!AJ11</f>
        <v>Harianingsih</v>
      </c>
      <c r="N15" s="125" t="str">
        <f>'BIO DATA'!AO11</f>
        <v>08156656854</v>
      </c>
      <c r="O15" s="34" t="str">
        <f>'BIO DATA'!AF11</f>
        <v>Karyawan Swasta</v>
      </c>
      <c r="P15" s="34" t="str">
        <f>'BIO DATA'!AM11</f>
        <v>Dosen</v>
      </c>
      <c r="Q15" s="159" t="str">
        <f>'BIO DATA'!I11</f>
        <v>MTs-25 120006322</v>
      </c>
    </row>
    <row r="16" spans="2:19" s="38" customFormat="1" ht="38.25">
      <c r="B16" s="32">
        <v>11</v>
      </c>
      <c r="C16" s="33">
        <f>'BIO DATA'!D12</f>
        <v>11336</v>
      </c>
      <c r="D16" s="62" t="str">
        <f>'BIO DATA'!E12</f>
        <v>0101900997</v>
      </c>
      <c r="E16" s="34" t="str">
        <f>'BIO DATA'!F12</f>
        <v>Gibran Husein Afdhalla</v>
      </c>
      <c r="F16" s="35" t="str">
        <f>'BIO DATA'!Z12</f>
        <v>MTs. Mu'allimin Muh. Yogyakarta</v>
      </c>
      <c r="G16" s="68">
        <f>'BIO DATA'!J12</f>
        <v>1</v>
      </c>
      <c r="H16" s="119" t="str">
        <f>'BIO DATA'!N12</f>
        <v>Praya</v>
      </c>
      <c r="I16" s="120" t="str">
        <f>'BIO DATA'!Q12</f>
        <v>24 September 2010</v>
      </c>
      <c r="J16" s="34" t="str">
        <f>'BIO DATA'!T12</f>
        <v>BTN Puyung Indah Blok C 13, Desa Puyung Kec. Jonggat Kab. Lombok Tengah NTB  83561</v>
      </c>
      <c r="K16" s="34" t="str">
        <f>'BIO DATA'!AC12</f>
        <v>Atu Ibrahim, S.E</v>
      </c>
      <c r="L16" s="36" t="str">
        <f>'BIO DATA'!AH12</f>
        <v>081904112440</v>
      </c>
      <c r="M16" s="34" t="str">
        <f>'BIO DATA'!AJ12</f>
        <v>Titik Pratiwi</v>
      </c>
      <c r="N16" s="125">
        <f>'BIO DATA'!AO12</f>
        <v>0</v>
      </c>
      <c r="O16" s="34" t="str">
        <f>'BIO DATA'!AF12</f>
        <v>Wiraswasta</v>
      </c>
      <c r="P16" s="34" t="str">
        <f>'BIO DATA'!AM12</f>
        <v>Guru</v>
      </c>
      <c r="Q16" s="159" t="str">
        <f>'BIO DATA'!I12</f>
        <v>MTs-25 120006415</v>
      </c>
    </row>
    <row r="17" spans="2:19" s="38" customFormat="1" ht="39" customHeight="1">
      <c r="B17" s="32">
        <v>12</v>
      </c>
      <c r="C17" s="33">
        <f>'BIO DATA'!D13</f>
        <v>11343</v>
      </c>
      <c r="D17" s="62" t="str">
        <f>'BIO DATA'!E13</f>
        <v>0094957046</v>
      </c>
      <c r="E17" s="34" t="str">
        <f>'BIO DATA'!F13</f>
        <v>Haidar Anwari</v>
      </c>
      <c r="F17" s="35" t="str">
        <f>'BIO DATA'!Z13</f>
        <v>MTs. Mu'allimin Muh. Yogyakarta</v>
      </c>
      <c r="G17" s="68">
        <f>'BIO DATA'!J13</f>
        <v>2</v>
      </c>
      <c r="H17" s="119" t="str">
        <f>'BIO DATA'!N13</f>
        <v>Sleman</v>
      </c>
      <c r="I17" s="120" t="str">
        <f>'BIO DATA'!Q13</f>
        <v>28 Oktober 2009</v>
      </c>
      <c r="J17" s="34" t="str">
        <f>'BIO DATA'!T13</f>
        <v>Susukan 1 RT 002 RW 001 Margokaton Seyegan Sleman, DI Yogyakarta, 55561</v>
      </c>
      <c r="K17" s="34" t="str">
        <f>'BIO DATA'!AC13</f>
        <v>Nurkhoirudin</v>
      </c>
      <c r="L17" s="36" t="str">
        <f>'BIO DATA'!AH13</f>
        <v>082133113286</v>
      </c>
      <c r="M17" s="34" t="str">
        <f>'BIO DATA'!AJ13</f>
        <v>Dhian Navitri</v>
      </c>
      <c r="N17" s="125">
        <f>'BIO DATA'!AO13</f>
        <v>0</v>
      </c>
      <c r="O17" s="34" t="str">
        <f>'BIO DATA'!AF13</f>
        <v>Lainnya</v>
      </c>
      <c r="P17" s="34" t="str">
        <f>'BIO DATA'!AM13</f>
        <v>Karyawan Swasta</v>
      </c>
      <c r="Q17" s="159" t="str">
        <f>'BIO DATA'!I13</f>
        <v>MTs-25 120006497</v>
      </c>
    </row>
    <row r="18" spans="2:19" s="38" customFormat="1" ht="38.25">
      <c r="B18" s="32">
        <v>13</v>
      </c>
      <c r="C18" s="33">
        <f>'BIO DATA'!D14</f>
        <v>11348</v>
      </c>
      <c r="D18" s="62" t="str">
        <f>'BIO DATA'!E14</f>
        <v>0106383983</v>
      </c>
      <c r="E18" s="34" t="str">
        <f>'BIO DATA'!F14</f>
        <v>Humam Zaid Zidan</v>
      </c>
      <c r="F18" s="35" t="str">
        <f>'BIO DATA'!Z14</f>
        <v>MTs. Mu'allimin Muh. Yogyakarta</v>
      </c>
      <c r="G18" s="68">
        <f>'BIO DATA'!J14</f>
        <v>1</v>
      </c>
      <c r="H18" s="119" t="str">
        <f>'BIO DATA'!N14</f>
        <v>Nanga Pinoh</v>
      </c>
      <c r="I18" s="120" t="str">
        <f>'BIO DATA'!Q14</f>
        <v>09 Juli 2010</v>
      </c>
      <c r="J18" s="34" t="str">
        <f>'BIO DATA'!T14</f>
        <v>Dusiun Mekar Sari II RT 018 RW 04 Desa Paal Kec. Nanga Pinoh Kab. Melawi, Kalimantan Barat, 79672</v>
      </c>
      <c r="K18" s="34" t="str">
        <f>'BIO DATA'!AC14</f>
        <v>Yusuf Salim</v>
      </c>
      <c r="L18" s="36" t="str">
        <f>'BIO DATA'!AH14</f>
        <v>082235065094</v>
      </c>
      <c r="M18" s="34" t="str">
        <f>'BIO DATA'!AJ14</f>
        <v>Nita Yulianti</v>
      </c>
      <c r="N18" s="125">
        <f>'BIO DATA'!AO14</f>
        <v>0</v>
      </c>
      <c r="O18" s="34" t="str">
        <f>'BIO DATA'!AF14</f>
        <v>PNS</v>
      </c>
      <c r="P18" s="34" t="str">
        <f>'BIO DATA'!AM14</f>
        <v>Ibu Rumah Tangga</v>
      </c>
      <c r="Q18" s="159" t="str">
        <f>'BIO DATA'!I14</f>
        <v>MTs-25 120006499</v>
      </c>
    </row>
    <row r="19" spans="2:19" s="38" customFormat="1" ht="40.5" customHeight="1">
      <c r="B19" s="32">
        <v>14</v>
      </c>
      <c r="C19" s="33">
        <f>'BIO DATA'!D15</f>
        <v>11404</v>
      </c>
      <c r="D19" s="62" t="str">
        <f>'BIO DATA'!E15</f>
        <v>0107491206</v>
      </c>
      <c r="E19" s="34" t="str">
        <f>'BIO DATA'!F15</f>
        <v>Muhammad Fadhil Hanifudin</v>
      </c>
      <c r="F19" s="35" t="str">
        <f>'BIO DATA'!Z15</f>
        <v>MTs. Mu'allimin Muh. Yogyakarta</v>
      </c>
      <c r="G19" s="68">
        <f>'BIO DATA'!J15</f>
        <v>1</v>
      </c>
      <c r="H19" s="119" t="str">
        <f>'BIO DATA'!N15</f>
        <v>Bantul</v>
      </c>
      <c r="I19" s="120" t="str">
        <f>'BIO DATA'!Q15</f>
        <v>07 Juni 2010</v>
      </c>
      <c r="J19" s="34" t="str">
        <f>'BIO DATA'!T15</f>
        <v>Dongkelan RT 07 Imogiri, Imogiri, Bantul, DI Yogyakarta, 55782</v>
      </c>
      <c r="K19" s="34" t="str">
        <f>'BIO DATA'!AC15</f>
        <v>Ngadilan, S.Pd.</v>
      </c>
      <c r="L19" s="36" t="str">
        <f>'BIO DATA'!AH15</f>
        <v>087738555544</v>
      </c>
      <c r="M19" s="34" t="str">
        <f>'BIO DATA'!AJ15</f>
        <v>Rr. Ersi Nurmaeli</v>
      </c>
      <c r="N19" s="125">
        <f>'BIO DATA'!AO15</f>
        <v>0</v>
      </c>
      <c r="O19" s="34" t="str">
        <f>'BIO DATA'!AF15</f>
        <v>PNS</v>
      </c>
      <c r="P19" s="34">
        <f>'BIO DATA'!AM15</f>
        <v>0</v>
      </c>
      <c r="Q19" s="159" t="str">
        <f>'BIO DATA'!I15</f>
        <v>MTs-25 120006422</v>
      </c>
    </row>
    <row r="20" spans="2:19" s="38" customFormat="1" ht="39.75" customHeight="1">
      <c r="B20" s="32">
        <v>15</v>
      </c>
      <c r="C20" s="33">
        <f>'BIO DATA'!D16</f>
        <v>11410</v>
      </c>
      <c r="D20" s="62" t="str">
        <f>'BIO DATA'!E16</f>
        <v>0109920071</v>
      </c>
      <c r="E20" s="34" t="str">
        <f>'BIO DATA'!F16</f>
        <v>Muhammad Faiz Abdullah</v>
      </c>
      <c r="F20" s="35" t="str">
        <f>'BIO DATA'!Z16</f>
        <v>MTs. Mu'allimin Muh. Yogyakarta</v>
      </c>
      <c r="G20" s="68">
        <f>'BIO DATA'!J16</f>
        <v>2</v>
      </c>
      <c r="H20" s="119" t="str">
        <f>'BIO DATA'!N16</f>
        <v>Wonosobo</v>
      </c>
      <c r="I20" s="120" t="str">
        <f>'BIO DATA'!Q16</f>
        <v>18 Desember 2009</v>
      </c>
      <c r="J20" s="34" t="str">
        <f>'BIO DATA'!T16</f>
        <v>Betengsari no. 48 RT 02/RW 12 Wonosobo Timur, Wonosobo. Jawa Tengah 56311</v>
      </c>
      <c r="K20" s="34" t="str">
        <f>'BIO DATA'!AC16</f>
        <v>Sumadi</v>
      </c>
      <c r="L20" s="36" t="str">
        <f>'BIO DATA'!AH16</f>
        <v>081215968157</v>
      </c>
      <c r="M20" s="34" t="str">
        <f>'BIO DATA'!AJ16</f>
        <v>Anik Khoiriyah</v>
      </c>
      <c r="N20" s="125">
        <f>'BIO DATA'!AO16</f>
        <v>0</v>
      </c>
      <c r="O20" s="34" t="str">
        <f>'BIO DATA'!AF16</f>
        <v>PNS</v>
      </c>
      <c r="P20" s="34" t="str">
        <f>'BIO DATA'!AM16</f>
        <v>Dokter</v>
      </c>
      <c r="Q20" s="159" t="str">
        <f>'BIO DATA'!I16</f>
        <v>MTs-25 120006388</v>
      </c>
    </row>
    <row r="21" spans="2:19" s="38" customFormat="1" ht="25.5">
      <c r="B21" s="32">
        <v>16</v>
      </c>
      <c r="C21" s="33">
        <f>'BIO DATA'!D17</f>
        <v>11411</v>
      </c>
      <c r="D21" s="62" t="str">
        <f>'BIO DATA'!E17</f>
        <v>0099201027</v>
      </c>
      <c r="E21" s="34" t="str">
        <f>'BIO DATA'!F17</f>
        <v>Muhammad Faiz Husain</v>
      </c>
      <c r="F21" s="35" t="str">
        <f>'BIO DATA'!Z17</f>
        <v>MTs. Mu'allimin Muh. Yogyakarta</v>
      </c>
      <c r="G21" s="68">
        <f>'BIO DATA'!J17</f>
        <v>1</v>
      </c>
      <c r="H21" s="119" t="str">
        <f>'BIO DATA'!N17</f>
        <v>Bantul</v>
      </c>
      <c r="I21" s="120" t="str">
        <f>'BIO DATA'!Q17</f>
        <v>17 Desember 2009</v>
      </c>
      <c r="J21" s="34" t="str">
        <f>'BIO DATA'!T17</f>
        <v>RT 01 Kranggan Murtigading Sanden, DI Yogyakarta, 55763</v>
      </c>
      <c r="K21" s="34" t="str">
        <f>'BIO DATA'!AC17</f>
        <v>Wahid hidayat</v>
      </c>
      <c r="L21" s="36" t="str">
        <f>'BIO DATA'!AH17</f>
        <v>085277118182</v>
      </c>
      <c r="M21" s="34" t="str">
        <f>'BIO DATA'!AJ17</f>
        <v>Endang Sri Sukamti</v>
      </c>
      <c r="N21" s="125">
        <f>'BIO DATA'!AO17</f>
        <v>0</v>
      </c>
      <c r="O21" s="34" t="str">
        <f>'BIO DATA'!AF17</f>
        <v>Lainnya</v>
      </c>
      <c r="P21" s="34" t="str">
        <f>'BIO DATA'!AM17</f>
        <v>Wiraswasta</v>
      </c>
      <c r="Q21" s="159" t="str">
        <f>'BIO DATA'!I17</f>
        <v>MTs-25 120006450</v>
      </c>
    </row>
    <row r="22" spans="2:19" s="38" customFormat="1" ht="51">
      <c r="B22" s="32">
        <v>17</v>
      </c>
      <c r="C22" s="33">
        <f>'BIO DATA'!D18</f>
        <v>11405</v>
      </c>
      <c r="D22" s="62" t="str">
        <f>'BIO DATA'!E18</f>
        <v>3104773255</v>
      </c>
      <c r="E22" s="34" t="str">
        <f>'BIO DATA'!F18</f>
        <v>Muhammad Fattih Kasyfil Ilmi</v>
      </c>
      <c r="F22" s="35" t="str">
        <f>'BIO DATA'!Z18</f>
        <v>MTs. Mu'allimin Muh. Yogyakarta</v>
      </c>
      <c r="G22" s="68">
        <f>'BIO DATA'!J18</f>
        <v>1</v>
      </c>
      <c r="H22" s="119" t="str">
        <f>'BIO DATA'!N18</f>
        <v>Pekalongan</v>
      </c>
      <c r="I22" s="120" t="str">
        <f>'BIO DATA'!Q18</f>
        <v>04 Februari 2010</v>
      </c>
      <c r="J22" s="34" t="str">
        <f>'BIO DATA'!T18</f>
        <v>Dukuh Sidokerti Desa Babalan Lor RT. 11 RW. 03 Kecamatan Bojong Kabupaten Pekalongan Jawa Tengah 51156</v>
      </c>
      <c r="K22" s="34" t="str">
        <f>'BIO DATA'!AC18</f>
        <v>Risa Noviyanto</v>
      </c>
      <c r="L22" s="36" t="str">
        <f>'BIO DATA'!AH18</f>
        <v>081218233743</v>
      </c>
      <c r="M22" s="34" t="str">
        <f>'BIO DATA'!AJ18</f>
        <v>Siti Muarofah</v>
      </c>
      <c r="N22" s="125">
        <f>'BIO DATA'!AO18</f>
        <v>0</v>
      </c>
      <c r="O22" s="34" t="str">
        <f>'BIO DATA'!AF18</f>
        <v>Wiraswasta</v>
      </c>
      <c r="P22" s="34" t="str">
        <f>'BIO DATA'!AM18</f>
        <v>Guru</v>
      </c>
      <c r="Q22" s="159" t="str">
        <f>'BIO DATA'!I18</f>
        <v>MTs-25 120006505</v>
      </c>
    </row>
    <row r="23" spans="2:19" s="38" customFormat="1" ht="12.75">
      <c r="B23" s="39"/>
      <c r="C23" s="40"/>
      <c r="D23" s="144"/>
      <c r="E23" s="41"/>
      <c r="F23" s="37"/>
      <c r="G23" s="108"/>
      <c r="H23" s="145"/>
      <c r="I23" s="121"/>
      <c r="J23" s="41"/>
      <c r="K23" s="41"/>
      <c r="L23" s="136"/>
      <c r="M23" s="41"/>
      <c r="N23" s="137"/>
      <c r="O23" s="41"/>
      <c r="P23" s="41"/>
      <c r="Q23" s="122"/>
    </row>
    <row r="24" spans="2:19" s="38" customFormat="1" ht="12.75">
      <c r="B24" s="39"/>
      <c r="C24" s="40"/>
      <c r="D24" s="144"/>
      <c r="E24" s="41"/>
      <c r="F24" s="37"/>
      <c r="G24" s="108"/>
      <c r="H24" s="145"/>
      <c r="I24" s="121"/>
      <c r="J24" s="41"/>
      <c r="K24" s="41"/>
      <c r="L24" s="136"/>
      <c r="M24" s="41"/>
      <c r="N24" s="137"/>
      <c r="O24" s="41"/>
      <c r="P24" s="41"/>
      <c r="Q24" s="122"/>
    </row>
    <row r="25" spans="2:19" s="22" customFormat="1" ht="18.75">
      <c r="B25" s="60"/>
      <c r="C25" s="60"/>
      <c r="D25" s="60"/>
      <c r="E25" s="60"/>
      <c r="F25" s="60"/>
      <c r="G25" s="67"/>
      <c r="H25" s="60"/>
      <c r="I25" s="60"/>
      <c r="J25" s="60"/>
      <c r="K25" s="60"/>
      <c r="L25" s="60"/>
      <c r="M25" s="60" t="s">
        <v>3286</v>
      </c>
      <c r="N25" s="60"/>
      <c r="O25" s="60"/>
      <c r="P25" s="60"/>
      <c r="Q25" s="60"/>
    </row>
    <row r="26" spans="2:19" s="28" customFormat="1" ht="15.75" customHeight="1">
      <c r="B26" s="261" t="s">
        <v>0</v>
      </c>
      <c r="C26" s="271" t="s">
        <v>134</v>
      </c>
      <c r="D26" s="272" t="s">
        <v>2</v>
      </c>
      <c r="E26" s="261" t="s">
        <v>3</v>
      </c>
      <c r="F26" s="261" t="s">
        <v>8</v>
      </c>
      <c r="G26" s="261" t="s">
        <v>135</v>
      </c>
      <c r="H26" s="261" t="s">
        <v>136</v>
      </c>
      <c r="I26" s="261"/>
      <c r="J26" s="261" t="s">
        <v>6</v>
      </c>
      <c r="K26" s="273" t="s">
        <v>137</v>
      </c>
      <c r="L26" s="273"/>
      <c r="M26" s="273"/>
      <c r="N26" s="273"/>
      <c r="O26" s="261" t="s">
        <v>138</v>
      </c>
      <c r="P26" s="261"/>
      <c r="Q26" s="261" t="s">
        <v>159</v>
      </c>
    </row>
    <row r="27" spans="2:19" s="28" customFormat="1" ht="15.75" customHeight="1">
      <c r="B27" s="261"/>
      <c r="C27" s="271"/>
      <c r="D27" s="272"/>
      <c r="E27" s="261"/>
      <c r="F27" s="261"/>
      <c r="G27" s="261"/>
      <c r="H27" s="29" t="s">
        <v>140</v>
      </c>
      <c r="I27" s="29" t="s">
        <v>141</v>
      </c>
      <c r="J27" s="261"/>
      <c r="K27" s="29" t="s">
        <v>142</v>
      </c>
      <c r="L27" s="30" t="s">
        <v>142</v>
      </c>
      <c r="M27" s="29" t="s">
        <v>143</v>
      </c>
      <c r="N27" s="30" t="s">
        <v>144</v>
      </c>
      <c r="O27" s="29" t="s">
        <v>145</v>
      </c>
      <c r="P27" s="29" t="s">
        <v>146</v>
      </c>
      <c r="Q27" s="261"/>
      <c r="R27" s="31"/>
      <c r="S27" s="31"/>
    </row>
    <row r="28" spans="2:19" s="38" customFormat="1" ht="38.25">
      <c r="B28" s="32">
        <v>18</v>
      </c>
      <c r="C28" s="33">
        <f>'BIO DATA'!D19</f>
        <v>11424</v>
      </c>
      <c r="D28" s="138" t="str">
        <f>'BIO DATA'!E19</f>
        <v>0107879945</v>
      </c>
      <c r="E28" s="34" t="str">
        <f>'BIO DATA'!F19</f>
        <v>Muhammad Ilham</v>
      </c>
      <c r="F28" s="35" t="str">
        <f>'BIO DATA'!Z19</f>
        <v>MTs. Mu'allimin Muh. Yogyakarta</v>
      </c>
      <c r="G28" s="68">
        <f>'BIO DATA'!J19</f>
        <v>1</v>
      </c>
      <c r="H28" s="124" t="str">
        <f>'BIO DATA'!N19</f>
        <v>Bantul</v>
      </c>
      <c r="I28" s="120" t="str">
        <f>'BIO DATA'!Q19</f>
        <v>13 Agustus 2009</v>
      </c>
      <c r="J28" s="34" t="str">
        <f>'BIO DATA'!T19</f>
        <v>Karanggam RT.04, Desa Bantul Kota,Kecamatan Bantul,Kabupaten Bantul, DIY 55571</v>
      </c>
      <c r="K28" s="34" t="str">
        <f>'BIO DATA'!AC19</f>
        <v>Tony Mardianto, ST., MT.</v>
      </c>
      <c r="L28" s="123" t="str">
        <f>'BIO DATA'!AH19</f>
        <v>081393012121</v>
      </c>
      <c r="M28" s="34" t="str">
        <f>'BIO DATA'!AJ19</f>
        <v>Kurniati</v>
      </c>
      <c r="N28" s="125">
        <f>'BIO DATA'!AO19</f>
        <v>0</v>
      </c>
      <c r="O28" s="34" t="str">
        <f>'BIO DATA'!AF19</f>
        <v>Lainnya</v>
      </c>
      <c r="P28" s="34">
        <f>'BIO DATA'!AM19</f>
        <v>0</v>
      </c>
      <c r="Q28" s="159" t="str">
        <f>'BIO DATA'!I19</f>
        <v>MTs-25 120006330</v>
      </c>
    </row>
    <row r="29" spans="2:19" s="38" customFormat="1" ht="38.25">
      <c r="B29" s="32">
        <v>19</v>
      </c>
      <c r="C29" s="33">
        <f>'BIO DATA'!D20</f>
        <v>11428</v>
      </c>
      <c r="D29" s="138" t="str">
        <f>'BIO DATA'!E20</f>
        <v>0096111120</v>
      </c>
      <c r="E29" s="34" t="str">
        <f>'BIO DATA'!F20</f>
        <v>Muhammad Irsyad Dhiyaa'il Haq</v>
      </c>
      <c r="F29" s="35" t="str">
        <f>'BIO DATA'!Z20</f>
        <v>MTs. Mu'allimin Muh. Yogyakarta</v>
      </c>
      <c r="G29" s="68">
        <f>'BIO DATA'!J20</f>
        <v>2</v>
      </c>
      <c r="H29" s="124" t="str">
        <f>'BIO DATA'!N20</f>
        <v>Pacitan</v>
      </c>
      <c r="I29" s="120" t="str">
        <f>'BIO DATA'!Q20</f>
        <v>06 September 2009</v>
      </c>
      <c r="J29" s="34" t="str">
        <f>'BIO DATA'!T20</f>
        <v>Dusun Purwosari RT. 01 RW. 08, Purwosari, Kebonagung, Pacitan Jawa Timur 63561</v>
      </c>
      <c r="K29" s="34" t="str">
        <f>'BIO DATA'!AC20</f>
        <v>Ahmadi</v>
      </c>
      <c r="L29" s="123" t="str">
        <f>'BIO DATA'!AH20</f>
        <v>082335069090</v>
      </c>
      <c r="M29" s="34" t="str">
        <f>'BIO DATA'!AJ20</f>
        <v>Tri Puji Astuti</v>
      </c>
      <c r="N29" s="125">
        <f>'BIO DATA'!AO20</f>
        <v>0</v>
      </c>
      <c r="O29" s="34" t="str">
        <f>'BIO DATA'!AF20</f>
        <v>Lainnya</v>
      </c>
      <c r="P29" s="34">
        <f>'BIO DATA'!AM20</f>
        <v>0</v>
      </c>
      <c r="Q29" s="159" t="str">
        <f>'BIO DATA'!I20</f>
        <v>MTs-25 120006451</v>
      </c>
    </row>
    <row r="30" spans="2:19" s="38" customFormat="1" ht="38.25">
      <c r="B30" s="32">
        <v>20</v>
      </c>
      <c r="C30" s="33">
        <f>'BIO DATA'!D21</f>
        <v>11443</v>
      </c>
      <c r="D30" s="138" t="str">
        <f>'BIO DATA'!E21</f>
        <v>0102009250</v>
      </c>
      <c r="E30" s="34" t="str">
        <f>'BIO DATA'!F21</f>
        <v>Muhammad Maulana Ishaq</v>
      </c>
      <c r="F30" s="35" t="str">
        <f>'BIO DATA'!Z21</f>
        <v>MTs. Mu'allimin Muh. Yogyakarta</v>
      </c>
      <c r="G30" s="68">
        <f>'BIO DATA'!J21</f>
        <v>1</v>
      </c>
      <c r="H30" s="124" t="str">
        <f>'BIO DATA'!N21</f>
        <v>Pacitan</v>
      </c>
      <c r="I30" s="120" t="str">
        <f>'BIO DATA'!Q21</f>
        <v>02 Juni 2010</v>
      </c>
      <c r="J30" s="34" t="str">
        <f>'BIO DATA'!T21</f>
        <v>Jl. Bangau No 570 Wonocatur RT 13 Banguntapan, Banguntapan, Bantul, DIY 55198</v>
      </c>
      <c r="K30" s="34" t="str">
        <f>'BIO DATA'!AC21</f>
        <v>Ismail Setia Budi</v>
      </c>
      <c r="L30" s="123" t="str">
        <f>'BIO DATA'!AH21</f>
        <v>087739158724</v>
      </c>
      <c r="M30" s="34" t="str">
        <f>'BIO DATA'!AJ21</f>
        <v>Siti Munawaroh</v>
      </c>
      <c r="N30" s="125">
        <f>'BIO DATA'!AO21</f>
        <v>0</v>
      </c>
      <c r="O30" s="34" t="str">
        <f>'BIO DATA'!AF21</f>
        <v>Lainnya</v>
      </c>
      <c r="P30" s="34" t="str">
        <f>'BIO DATA'!AM21</f>
        <v>Guru</v>
      </c>
      <c r="Q30" s="159" t="str">
        <f>'BIO DATA'!I21</f>
        <v>MTs-25 120006357</v>
      </c>
    </row>
    <row r="31" spans="2:19" s="38" customFormat="1" ht="51">
      <c r="B31" s="32">
        <v>21</v>
      </c>
      <c r="C31" s="33">
        <f>'BIO DATA'!D22</f>
        <v>11438</v>
      </c>
      <c r="D31" s="138" t="str">
        <f>'BIO DATA'!E22</f>
        <v>0103860897</v>
      </c>
      <c r="E31" s="34" t="str">
        <f>'BIO DATA'!F22</f>
        <v>Muhammad Nabil Ramadhan</v>
      </c>
      <c r="F31" s="35" t="str">
        <f>'BIO DATA'!Z22</f>
        <v>MTs. Mu'allimin Muh. Yogyakarta</v>
      </c>
      <c r="G31" s="68">
        <f>'BIO DATA'!J22</f>
        <v>1</v>
      </c>
      <c r="H31" s="124" t="str">
        <f>'BIO DATA'!N22</f>
        <v>Tangerang Selatan</v>
      </c>
      <c r="I31" s="120" t="str">
        <f>'BIO DATA'!Q22</f>
        <v>31 Agustus 2010</v>
      </c>
      <c r="J31" s="34" t="str">
        <f>'BIO DATA'!T22</f>
        <v>Komplek Vila Dago, Blok C 7 No 1, RT 01 RW 20, Kelurahan  Benda Baru, Pamulang, Tangerang Selatan Banten 15418</v>
      </c>
      <c r="K31" s="34" t="str">
        <f>'BIO DATA'!AC22</f>
        <v>Hartono</v>
      </c>
      <c r="L31" s="123" t="str">
        <f>'BIO DATA'!AH22</f>
        <v>081380861981</v>
      </c>
      <c r="M31" s="34" t="str">
        <f>'BIO DATA'!AJ22</f>
        <v>Gafrina Desi</v>
      </c>
      <c r="N31" s="125">
        <f>'BIO DATA'!AO22</f>
        <v>0</v>
      </c>
      <c r="O31" s="34" t="str">
        <f>'BIO DATA'!AF22</f>
        <v>Guru</v>
      </c>
      <c r="P31" s="34" t="str">
        <f>'BIO DATA'!AM22</f>
        <v>Guru</v>
      </c>
      <c r="Q31" s="159" t="str">
        <f>'BIO DATA'!I22</f>
        <v>MTs-25 120006392</v>
      </c>
    </row>
    <row r="32" spans="2:19" s="38" customFormat="1" ht="25.5">
      <c r="B32" s="32">
        <v>22</v>
      </c>
      <c r="C32" s="33">
        <f>'BIO DATA'!D23</f>
        <v>11439</v>
      </c>
      <c r="D32" s="138" t="str">
        <f>'BIO DATA'!E23</f>
        <v>0107306414</v>
      </c>
      <c r="E32" s="34" t="str">
        <f>'BIO DATA'!F23</f>
        <v>Muhammad Nafis Yakhsyallah</v>
      </c>
      <c r="F32" s="35" t="str">
        <f>'BIO DATA'!Z23</f>
        <v>MTs. Mu'allimin Muh. Yogyakarta</v>
      </c>
      <c r="G32" s="68">
        <f>'BIO DATA'!J23</f>
        <v>1</v>
      </c>
      <c r="H32" s="124" t="str">
        <f>'BIO DATA'!N23</f>
        <v>Cilacap</v>
      </c>
      <c r="I32" s="120" t="str">
        <f>'BIO DATA'!Q23</f>
        <v>27 Februari 2010</v>
      </c>
      <c r="J32" s="34" t="str">
        <f>'BIO DATA'!T23</f>
        <v>Jalan Laut 35 Rt 1/13 Cilacap,Cilacap Selatan,Cilacap,Jawa Tengah 53211</v>
      </c>
      <c r="K32" s="34" t="str">
        <f>'BIO DATA'!AC23</f>
        <v>Cahyono, A.Md.</v>
      </c>
      <c r="L32" s="123">
        <f>'BIO DATA'!AH23</f>
        <v>0</v>
      </c>
      <c r="M32" s="34" t="str">
        <f>'BIO DATA'!AJ23</f>
        <v>Ary Mardikasiwi</v>
      </c>
      <c r="N32" s="125" t="str">
        <f>'BIO DATA'!AO23</f>
        <v>082136536621</v>
      </c>
      <c r="O32" s="34" t="str">
        <f>'BIO DATA'!AF23</f>
        <v>Karyawan Swasta</v>
      </c>
      <c r="P32" s="34" t="str">
        <f>'BIO DATA'!AM23</f>
        <v>Lainnya</v>
      </c>
      <c r="Q32" s="159" t="str">
        <f>'BIO DATA'!I23</f>
        <v>MTs-25 120006333</v>
      </c>
    </row>
    <row r="33" spans="2:17" s="38" customFormat="1" ht="38.25">
      <c r="B33" s="32">
        <v>23</v>
      </c>
      <c r="C33" s="33">
        <f>'BIO DATA'!D24</f>
        <v>11442</v>
      </c>
      <c r="D33" s="138" t="str">
        <f>'BIO DATA'!E24</f>
        <v>3100196994</v>
      </c>
      <c r="E33" s="34" t="str">
        <f>'BIO DATA'!F24</f>
        <v>Muhammad  Nawaf Dzulfadli Fayyadh</v>
      </c>
      <c r="F33" s="35" t="str">
        <f>'BIO DATA'!Z24</f>
        <v>MTs. Mu'allimin Muh. Yogyakarta</v>
      </c>
      <c r="G33" s="68">
        <f>'BIO DATA'!J24</f>
        <v>1</v>
      </c>
      <c r="H33" s="124" t="str">
        <f>'BIO DATA'!N24</f>
        <v>Cikampek</v>
      </c>
      <c r="I33" s="120" t="str">
        <f>'BIO DATA'!Q24</f>
        <v>08 Mei 2010</v>
      </c>
      <c r="J33" s="34" t="str">
        <f>'BIO DATA'!T24</f>
        <v>Dusun Kali oyod, RT/RW. 04/03, Desa Wancimekar, Kec. Kota Baru, Kab. Karawang Jawa Barat 41374</v>
      </c>
      <c r="K33" s="34" t="str">
        <f>'BIO DATA'!AC24</f>
        <v>Eka Prihatna Saputra</v>
      </c>
      <c r="L33" s="123" t="str">
        <f>'BIO DATA'!AH24</f>
        <v>089609991602</v>
      </c>
      <c r="M33" s="34" t="str">
        <f>'BIO DATA'!AJ24</f>
        <v>Ika Rizkiana</v>
      </c>
      <c r="N33" s="125">
        <f>'BIO DATA'!AO24</f>
        <v>0</v>
      </c>
      <c r="O33" s="34" t="str">
        <f>'BIO DATA'!AF24</f>
        <v>Wiraswasta</v>
      </c>
      <c r="P33" s="34" t="str">
        <f>'BIO DATA'!AM24</f>
        <v>Ibu Rumah Tangga</v>
      </c>
      <c r="Q33" s="159" t="str">
        <f>'BIO DATA'!I24</f>
        <v>MTs-25 120006384</v>
      </c>
    </row>
    <row r="34" spans="2:17" s="38" customFormat="1" ht="51">
      <c r="B34" s="32">
        <v>24</v>
      </c>
      <c r="C34" s="33">
        <f>'BIO DATA'!D25</f>
        <v>11448</v>
      </c>
      <c r="D34" s="138" t="str">
        <f>'BIO DATA'!E25</f>
        <v>0098116088</v>
      </c>
      <c r="E34" s="34" t="str">
        <f>'BIO DATA'!F25</f>
        <v>Muhammad Rafif Farrel</v>
      </c>
      <c r="F34" s="35" t="str">
        <f>'BIO DATA'!Z25</f>
        <v>MTs. Mu'allimin Muh. Yogyakarta</v>
      </c>
      <c r="G34" s="68">
        <f>'BIO DATA'!J25</f>
        <v>2</v>
      </c>
      <c r="H34" s="124" t="str">
        <f>'BIO DATA'!N25</f>
        <v xml:space="preserve"> Banyumas</v>
      </c>
      <c r="I34" s="120" t="str">
        <f>'BIO DATA'!Q25</f>
        <v>21 Maret 2009</v>
      </c>
      <c r="J34" s="34" t="str">
        <f>'BIO DATA'!T25</f>
        <v>Puri Indah Blok C/41 RT 02 RW 11 Karangklesem, Kec. Purwokerto Selatan, Kab. Banyumas, Jawa Tengah , Jawa Tengah, 53144</v>
      </c>
      <c r="K34" s="34" t="str">
        <f>'BIO DATA'!AC25</f>
        <v>Didik Sachroni</v>
      </c>
      <c r="L34" s="123" t="str">
        <f>'BIO DATA'!AH25</f>
        <v>082226448436</v>
      </c>
      <c r="M34" s="34" t="str">
        <f>'BIO DATA'!AJ25</f>
        <v>Wilis Dwi Pangesti</v>
      </c>
      <c r="N34" s="125">
        <f>'BIO DATA'!AO25</f>
        <v>0</v>
      </c>
      <c r="O34" s="34" t="str">
        <f>'BIO DATA'!AF25</f>
        <v>TNI/Polri</v>
      </c>
      <c r="P34" s="34" t="str">
        <f>'BIO DATA'!AM25</f>
        <v>Bidan</v>
      </c>
      <c r="Q34" s="159" t="str">
        <f>'BIO DATA'!I25</f>
        <v>MTs-25 120006424</v>
      </c>
    </row>
    <row r="35" spans="2:17" s="38" customFormat="1" ht="25.5">
      <c r="B35" s="32">
        <v>25</v>
      </c>
      <c r="C35" s="33">
        <f>'BIO DATA'!D26</f>
        <v>11456</v>
      </c>
      <c r="D35" s="138" t="str">
        <f>'BIO DATA'!E26</f>
        <v>0107096330</v>
      </c>
      <c r="E35" s="34" t="str">
        <f>'BIO DATA'!F26</f>
        <v>Mujahid Zulafan Sabilussalam</v>
      </c>
      <c r="F35" s="35" t="str">
        <f>'BIO DATA'!Z26</f>
        <v>MTs. Mu'allimin Muh. Yogyakarta</v>
      </c>
      <c r="G35" s="68">
        <f>'BIO DATA'!J26</f>
        <v>1</v>
      </c>
      <c r="H35" s="124" t="str">
        <f>'BIO DATA'!N26</f>
        <v>Klaten</v>
      </c>
      <c r="I35" s="120" t="str">
        <f>'BIO DATA'!Q26</f>
        <v>01 April 2010</v>
      </c>
      <c r="J35" s="34" t="str">
        <f>'BIO DATA'!T26</f>
        <v>Jl. Pragak Semanu Kec. Semanu, DI Yogyakarta, 55893</v>
      </c>
      <c r="K35" s="34" t="str">
        <f>'BIO DATA'!AC26</f>
        <v>Budi Santosa</v>
      </c>
      <c r="L35" s="123" t="str">
        <f>'BIO DATA'!AH26</f>
        <v>08121570562</v>
      </c>
      <c r="M35" s="34" t="str">
        <f>'BIO DATA'!AJ26</f>
        <v>Nur Rokhani Tri Utami</v>
      </c>
      <c r="N35" s="125">
        <f>'BIO DATA'!AO26</f>
        <v>0</v>
      </c>
      <c r="O35" s="34" t="str">
        <f>'BIO DATA'!AF26</f>
        <v>Lainnya</v>
      </c>
      <c r="P35" s="34" t="str">
        <f>'BIO DATA'!AM26</f>
        <v>PNS</v>
      </c>
      <c r="Q35" s="159" t="str">
        <f>'BIO DATA'!I26</f>
        <v>MTs-25 120006453</v>
      </c>
    </row>
    <row r="36" spans="2:17" s="38" customFormat="1" ht="38.25">
      <c r="B36" s="32">
        <v>26</v>
      </c>
      <c r="C36" s="33">
        <f>'BIO DATA'!D27</f>
        <v>11476</v>
      </c>
      <c r="D36" s="138" t="str">
        <f>'BIO DATA'!E27</f>
        <v>0108709156</v>
      </c>
      <c r="E36" s="34" t="str">
        <f>'BIO DATA'!F27</f>
        <v>Padika Rausyanfikr El Mamun</v>
      </c>
      <c r="F36" s="35" t="str">
        <f>'BIO DATA'!Z27</f>
        <v>MTs. Mu'allimin Muh. Yogyakarta</v>
      </c>
      <c r="G36" s="68">
        <f>'BIO DATA'!J27</f>
        <v>2</v>
      </c>
      <c r="H36" s="124" t="str">
        <f>'BIO DATA'!N27</f>
        <v>Bandung</v>
      </c>
      <c r="I36" s="120" t="str">
        <f>'BIO DATA'!Q27</f>
        <v>22 Februari 2010</v>
      </c>
      <c r="J36" s="34" t="str">
        <f>'BIO DATA'!T27</f>
        <v>Kp. Kerenceng  RT 01/RW05 Desa Bojongmalaka Kec. Baleendah Kab. Bandung Jawa Barat 40375</v>
      </c>
      <c r="K36" s="34" t="str">
        <f>'BIO DATA'!AC27</f>
        <v xml:space="preserve">Yustiar Nurdiansyah </v>
      </c>
      <c r="L36" s="123" t="str">
        <f>'BIO DATA'!AH27</f>
        <v>081394733366</v>
      </c>
      <c r="M36" s="34" t="str">
        <f>'BIO DATA'!AJ27</f>
        <v>Ila Laela Agustini</v>
      </c>
      <c r="N36" s="125">
        <f>'BIO DATA'!AO27</f>
        <v>0</v>
      </c>
      <c r="O36" s="34" t="str">
        <f>'BIO DATA'!AF27</f>
        <v>Lainnya</v>
      </c>
      <c r="P36" s="34" t="str">
        <f>'BIO DATA'!AM27</f>
        <v>Ibu Rumah Tangga</v>
      </c>
      <c r="Q36" s="159" t="str">
        <f>'BIO DATA'!I27</f>
        <v>MTs-25 120006394</v>
      </c>
    </row>
    <row r="37" spans="2:17" s="38" customFormat="1" ht="12.75">
      <c r="B37" s="39"/>
      <c r="C37" s="40"/>
      <c r="D37" s="107"/>
      <c r="E37" s="41"/>
      <c r="F37" s="37"/>
      <c r="G37" s="108"/>
      <c r="H37" s="41"/>
      <c r="I37" s="121"/>
      <c r="J37" s="41"/>
      <c r="K37" s="41"/>
      <c r="L37" s="43"/>
      <c r="M37" s="41"/>
      <c r="N37" s="122"/>
      <c r="O37" s="41"/>
      <c r="P37" s="41"/>
      <c r="Q37" s="122"/>
    </row>
    <row r="38" spans="2:17" s="38" customFormat="1" ht="12.75">
      <c r="B38" s="39"/>
      <c r="C38" s="40"/>
      <c r="D38" s="107"/>
      <c r="E38" s="41"/>
      <c r="F38" s="37"/>
      <c r="G38" s="108"/>
      <c r="H38" s="41"/>
      <c r="I38" s="121"/>
      <c r="J38" s="41"/>
      <c r="K38" s="41"/>
      <c r="L38" s="43"/>
      <c r="M38" s="41"/>
      <c r="N38" s="122"/>
      <c r="O38" s="41"/>
      <c r="P38" s="41"/>
      <c r="Q38" s="122"/>
    </row>
    <row r="39" spans="2:17" s="38" customFormat="1" ht="12.75">
      <c r="B39" s="39"/>
      <c r="C39" s="40"/>
      <c r="D39" s="107"/>
      <c r="E39" s="41"/>
      <c r="F39" s="37"/>
      <c r="G39" s="108"/>
      <c r="H39" s="41"/>
      <c r="I39" s="121"/>
      <c r="J39" s="41"/>
      <c r="K39" s="41"/>
      <c r="L39" s="43"/>
      <c r="M39" s="41"/>
      <c r="N39" s="122"/>
      <c r="O39" s="41"/>
      <c r="P39" s="41"/>
      <c r="Q39" s="122"/>
    </row>
    <row r="40" spans="2:17" s="38" customFormat="1" ht="12.75">
      <c r="B40" s="39"/>
      <c r="C40" s="40"/>
      <c r="D40" s="107"/>
      <c r="E40" s="41"/>
      <c r="F40" s="37"/>
      <c r="G40" s="108"/>
      <c r="H40" s="41"/>
      <c r="I40" s="121"/>
      <c r="J40" s="41"/>
      <c r="K40" s="41"/>
      <c r="L40" s="43"/>
      <c r="M40" s="41"/>
      <c r="N40" s="122"/>
      <c r="O40" s="41"/>
      <c r="P40" s="41"/>
      <c r="Q40" s="122"/>
    </row>
    <row r="41" spans="2:17" s="38" customFormat="1" ht="12.75">
      <c r="B41" s="39"/>
      <c r="C41" s="40"/>
      <c r="D41" s="107"/>
      <c r="E41" s="41"/>
      <c r="F41" s="37"/>
      <c r="G41" s="108"/>
      <c r="H41" s="41"/>
      <c r="I41" s="121"/>
      <c r="J41" s="41"/>
      <c r="K41" s="41"/>
      <c r="L41" s="43"/>
      <c r="M41" s="41"/>
      <c r="N41" s="122"/>
      <c r="O41" s="41"/>
      <c r="P41" s="41"/>
      <c r="Q41" s="122"/>
    </row>
    <row r="42" spans="2:17" s="38" customFormat="1" ht="12.75">
      <c r="B42" s="39"/>
      <c r="C42" s="40"/>
      <c r="D42" s="107"/>
      <c r="E42" s="41"/>
      <c r="F42" s="37"/>
      <c r="G42" s="108"/>
      <c r="H42" s="41"/>
      <c r="I42" s="121"/>
      <c r="J42" s="41"/>
      <c r="K42" s="41"/>
      <c r="L42" s="43"/>
      <c r="M42" s="41"/>
      <c r="N42" s="122"/>
      <c r="O42" s="41"/>
      <c r="P42" s="41"/>
      <c r="Q42" s="122"/>
    </row>
    <row r="43" spans="2:17" s="38" customFormat="1" ht="12.75">
      <c r="B43" s="39"/>
      <c r="C43" s="40"/>
      <c r="D43" s="107"/>
      <c r="E43" s="41"/>
      <c r="F43" s="37"/>
      <c r="G43" s="108"/>
      <c r="H43" s="41"/>
      <c r="I43" s="121"/>
      <c r="J43" s="41"/>
      <c r="K43" s="41"/>
      <c r="L43" s="43"/>
      <c r="M43" s="41"/>
      <c r="N43" s="122"/>
      <c r="O43" s="41"/>
      <c r="P43" s="41"/>
      <c r="Q43" s="122"/>
    </row>
    <row r="44" spans="2:17" s="38" customFormat="1" ht="12.75">
      <c r="B44" s="39"/>
      <c r="C44" s="40"/>
      <c r="D44" s="107"/>
      <c r="E44" s="41"/>
      <c r="F44" s="37"/>
      <c r="G44" s="108"/>
      <c r="H44" s="41"/>
      <c r="I44" s="121"/>
      <c r="J44" s="41"/>
      <c r="K44" s="41"/>
      <c r="L44" s="43"/>
      <c r="M44" s="41"/>
      <c r="N44" s="122"/>
      <c r="O44" s="41"/>
      <c r="P44" s="41"/>
      <c r="Q44" s="122"/>
    </row>
    <row r="45" spans="2:17" s="38" customFormat="1" ht="12.75">
      <c r="B45" s="39"/>
      <c r="C45" s="40"/>
      <c r="D45" s="107"/>
      <c r="E45" s="41"/>
      <c r="F45" s="37"/>
      <c r="G45" s="108"/>
      <c r="H45" s="41"/>
      <c r="I45" s="121"/>
      <c r="J45" s="41"/>
      <c r="K45" s="41"/>
      <c r="L45" s="43"/>
      <c r="M45" s="41"/>
      <c r="N45" s="122"/>
      <c r="O45" s="41"/>
      <c r="P45" s="41"/>
      <c r="Q45" s="122"/>
    </row>
    <row r="46" spans="2:17" s="38" customFormat="1" ht="12.75">
      <c r="B46" s="39"/>
      <c r="C46" s="40"/>
      <c r="D46" s="107"/>
      <c r="E46" s="41"/>
      <c r="F46" s="37"/>
      <c r="G46" s="108"/>
      <c r="H46" s="41"/>
      <c r="I46" s="121"/>
      <c r="J46" s="41"/>
      <c r="K46" s="41"/>
      <c r="L46" s="43"/>
      <c r="M46" s="41"/>
      <c r="N46" s="122"/>
      <c r="O46" s="41"/>
      <c r="P46" s="41"/>
      <c r="Q46" s="122"/>
    </row>
    <row r="47" spans="2:17" s="38" customFormat="1" ht="12.75">
      <c r="B47" s="39"/>
      <c r="C47" s="40"/>
      <c r="D47" s="107"/>
      <c r="E47" s="41"/>
      <c r="F47" s="37"/>
      <c r="G47" s="108"/>
      <c r="H47" s="41"/>
      <c r="I47" s="121"/>
      <c r="J47" s="41"/>
      <c r="K47" s="41"/>
      <c r="L47" s="43"/>
      <c r="M47" s="41"/>
      <c r="N47" s="122"/>
      <c r="O47" s="41"/>
      <c r="P47" s="41"/>
      <c r="Q47" s="122"/>
    </row>
    <row r="48" spans="2:17" s="38" customFormat="1" ht="12.75">
      <c r="B48" s="39"/>
      <c r="C48" s="40"/>
      <c r="D48" s="107"/>
      <c r="E48" s="41"/>
      <c r="F48" s="37"/>
      <c r="G48" s="108"/>
      <c r="H48" s="41"/>
      <c r="I48" s="121"/>
      <c r="J48" s="41"/>
      <c r="K48" s="41"/>
      <c r="L48" s="43"/>
      <c r="M48" s="41"/>
      <c r="N48" s="122"/>
      <c r="O48" s="41"/>
      <c r="P48" s="41"/>
      <c r="Q48" s="122"/>
    </row>
    <row r="49" spans="2:17" s="38" customFormat="1" ht="12.75">
      <c r="B49" s="39"/>
      <c r="C49" s="40"/>
      <c r="D49" s="107"/>
      <c r="E49" s="41"/>
      <c r="F49" s="37"/>
      <c r="G49" s="108"/>
      <c r="H49" s="41"/>
      <c r="I49" s="121"/>
      <c r="J49" s="41"/>
      <c r="K49" s="41"/>
      <c r="L49" s="43"/>
      <c r="M49" s="41"/>
      <c r="N49" s="122"/>
      <c r="O49" s="41"/>
      <c r="P49" s="41"/>
      <c r="Q49" s="122"/>
    </row>
    <row r="50" spans="2:17" s="38" customFormat="1" ht="12.75">
      <c r="B50" s="39"/>
      <c r="C50" s="40"/>
      <c r="D50" s="107"/>
      <c r="E50" s="41"/>
      <c r="F50" s="37"/>
      <c r="G50" s="108"/>
      <c r="H50" s="41"/>
      <c r="I50" s="121"/>
      <c r="J50" s="41"/>
      <c r="K50" s="41"/>
      <c r="L50" s="43"/>
      <c r="M50" s="41"/>
      <c r="N50" s="122"/>
      <c r="O50" s="41"/>
      <c r="P50" s="41"/>
      <c r="Q50" s="122"/>
    </row>
    <row r="51" spans="2:17" s="38" customFormat="1" ht="12.75">
      <c r="B51" s="39"/>
      <c r="C51" s="40"/>
      <c r="D51" s="107"/>
      <c r="E51" s="41"/>
      <c r="F51" s="37"/>
      <c r="G51" s="108"/>
      <c r="H51" s="41"/>
      <c r="I51" s="121"/>
      <c r="J51" s="41"/>
      <c r="K51" s="41"/>
      <c r="L51" s="43"/>
      <c r="M51" s="41"/>
      <c r="N51" s="122"/>
      <c r="O51" s="41"/>
      <c r="P51" s="41"/>
      <c r="Q51" s="122"/>
    </row>
    <row r="52" spans="2:17" s="38" customFormat="1" ht="12.75">
      <c r="B52" s="39"/>
      <c r="C52" s="40"/>
      <c r="D52" s="107"/>
      <c r="E52" s="41"/>
      <c r="F52" s="37"/>
      <c r="G52" s="108"/>
      <c r="H52" s="41"/>
      <c r="I52" s="121"/>
      <c r="J52" s="41"/>
      <c r="K52" s="41"/>
      <c r="L52" s="43"/>
      <c r="M52" s="41"/>
      <c r="N52" s="122"/>
      <c r="O52" s="41"/>
      <c r="P52" s="41"/>
      <c r="Q52" s="122"/>
    </row>
    <row r="53" spans="2:17" s="38" customFormat="1" ht="12.75">
      <c r="B53" s="39"/>
      <c r="C53" s="40"/>
      <c r="D53" s="107"/>
      <c r="E53" s="41"/>
      <c r="F53" s="37"/>
      <c r="G53" s="108"/>
      <c r="H53" s="41"/>
      <c r="I53" s="121"/>
      <c r="J53" s="41"/>
      <c r="K53" s="41"/>
      <c r="L53" s="43"/>
      <c r="M53" s="41"/>
      <c r="N53" s="122"/>
      <c r="O53" s="41"/>
      <c r="P53" s="41"/>
      <c r="Q53" s="122"/>
    </row>
    <row r="54" spans="2:17" s="38" customFormat="1" ht="12.75">
      <c r="B54" s="39"/>
      <c r="C54" s="40"/>
      <c r="D54" s="107"/>
      <c r="E54" s="41"/>
      <c r="F54" s="37"/>
      <c r="G54" s="108"/>
      <c r="H54" s="41"/>
      <c r="I54" s="121"/>
      <c r="J54" s="41"/>
      <c r="K54" s="41"/>
      <c r="L54" s="43"/>
      <c r="M54" s="41"/>
      <c r="N54" s="122"/>
      <c r="O54" s="41"/>
      <c r="P54" s="41"/>
      <c r="Q54" s="122"/>
    </row>
    <row r="55" spans="2:17" s="38" customFormat="1" ht="12.75">
      <c r="B55" s="39"/>
      <c r="C55" s="40"/>
      <c r="D55" s="107"/>
      <c r="E55" s="41"/>
      <c r="F55" s="37"/>
      <c r="G55" s="108"/>
      <c r="H55" s="41"/>
      <c r="I55" s="121"/>
      <c r="J55" s="41"/>
      <c r="K55" s="41"/>
      <c r="L55" s="43"/>
      <c r="M55" s="41"/>
      <c r="N55" s="122"/>
      <c r="O55" s="41"/>
      <c r="P55" s="41"/>
      <c r="Q55" s="122"/>
    </row>
    <row r="56" spans="2:17" s="38" customFormat="1" ht="12.75">
      <c r="B56" s="39"/>
      <c r="C56" s="40"/>
      <c r="D56" s="107"/>
      <c r="E56" s="41"/>
      <c r="F56" s="37"/>
      <c r="G56" s="108"/>
      <c r="H56" s="41"/>
      <c r="I56" s="121"/>
      <c r="J56" s="41"/>
      <c r="K56" s="41"/>
      <c r="L56" s="43"/>
      <c r="M56" s="41"/>
      <c r="N56" s="122"/>
      <c r="O56" s="41"/>
      <c r="P56" s="41"/>
      <c r="Q56" s="122"/>
    </row>
    <row r="57" spans="2:17" s="38" customFormat="1" ht="12.75">
      <c r="B57" s="39"/>
      <c r="C57" s="40"/>
      <c r="D57" s="107"/>
      <c r="E57" s="41"/>
      <c r="F57" s="37"/>
      <c r="G57" s="108"/>
      <c r="H57" s="41"/>
      <c r="I57" s="121"/>
      <c r="J57" s="41"/>
      <c r="K57" s="41"/>
      <c r="L57" s="43"/>
      <c r="M57" s="41"/>
      <c r="N57" s="122"/>
      <c r="O57" s="41"/>
      <c r="P57" s="41"/>
      <c r="Q57" s="122"/>
    </row>
    <row r="58" spans="2:17" s="38" customFormat="1" ht="12.75">
      <c r="B58" s="39"/>
      <c r="C58" s="40"/>
      <c r="D58" s="107"/>
      <c r="E58" s="41"/>
      <c r="F58" s="37"/>
      <c r="G58" s="108"/>
      <c r="H58" s="41"/>
      <c r="I58" s="121"/>
      <c r="J58" s="41"/>
      <c r="K58" s="41"/>
      <c r="L58" s="43"/>
      <c r="M58" s="41"/>
      <c r="N58" s="122"/>
      <c r="O58" s="41"/>
      <c r="P58" s="41"/>
      <c r="Q58" s="122"/>
    </row>
    <row r="59" spans="2:17" s="38" customFormat="1" ht="12.75">
      <c r="B59" s="39"/>
      <c r="C59" s="40"/>
      <c r="D59" s="107"/>
      <c r="E59" s="41"/>
      <c r="F59" s="37"/>
      <c r="G59" s="108"/>
      <c r="H59" s="41"/>
      <c r="I59" s="121"/>
      <c r="J59" s="41"/>
      <c r="K59" s="41"/>
      <c r="L59" s="43"/>
      <c r="M59" s="41"/>
      <c r="N59" s="122"/>
      <c r="O59" s="41"/>
      <c r="P59" s="41"/>
      <c r="Q59" s="122"/>
    </row>
    <row r="60" spans="2:17" s="38" customFormat="1" ht="12.75">
      <c r="B60" s="39"/>
      <c r="C60" s="40"/>
      <c r="D60" s="107"/>
      <c r="E60" s="41"/>
      <c r="F60" s="37"/>
      <c r="G60" s="108"/>
      <c r="H60" s="41"/>
      <c r="I60" s="121"/>
      <c r="J60" s="41"/>
      <c r="K60" s="41"/>
      <c r="L60" s="43"/>
      <c r="M60" s="41"/>
      <c r="N60" s="122"/>
      <c r="O60" s="41"/>
      <c r="P60" s="41"/>
      <c r="Q60" s="122"/>
    </row>
    <row r="61" spans="2:17" s="38" customFormat="1" ht="12.75">
      <c r="B61" s="39"/>
      <c r="C61" s="40"/>
      <c r="D61" s="107"/>
      <c r="E61" s="41"/>
      <c r="F61" s="37"/>
      <c r="G61" s="108"/>
      <c r="H61" s="41"/>
      <c r="I61" s="121"/>
      <c r="J61" s="41"/>
      <c r="K61" s="41"/>
      <c r="L61" s="43"/>
      <c r="M61" s="41"/>
      <c r="N61" s="122"/>
      <c r="O61" s="41"/>
      <c r="P61" s="41"/>
      <c r="Q61" s="122"/>
    </row>
    <row r="62" spans="2:17" s="38" customFormat="1" ht="12.75">
      <c r="B62" s="39"/>
      <c r="C62" s="40"/>
      <c r="D62" s="107"/>
      <c r="E62" s="41"/>
      <c r="F62" s="37"/>
      <c r="G62" s="108"/>
      <c r="H62" s="41"/>
      <c r="I62" s="121"/>
      <c r="J62" s="41"/>
      <c r="K62" s="41"/>
      <c r="L62" s="43"/>
      <c r="M62" s="41"/>
      <c r="N62" s="122"/>
      <c r="O62" s="41"/>
      <c r="P62" s="41"/>
      <c r="Q62" s="122"/>
    </row>
    <row r="63" spans="2:17" s="38" customFormat="1" ht="12.75">
      <c r="B63" s="39"/>
      <c r="C63" s="40"/>
      <c r="D63" s="107"/>
      <c r="E63" s="41"/>
      <c r="F63" s="37"/>
      <c r="G63" s="108"/>
      <c r="H63" s="41"/>
      <c r="I63" s="121"/>
      <c r="J63" s="41"/>
      <c r="K63" s="41"/>
      <c r="L63" s="43"/>
      <c r="M63" s="41"/>
      <c r="N63" s="122"/>
      <c r="O63" s="41"/>
      <c r="P63" s="41"/>
      <c r="Q63" s="122"/>
    </row>
    <row r="64" spans="2:17" s="38" customFormat="1" ht="12.75">
      <c r="B64" s="39"/>
      <c r="C64" s="40"/>
      <c r="D64" s="107"/>
      <c r="E64" s="41"/>
      <c r="F64" s="37"/>
      <c r="G64" s="108"/>
      <c r="H64" s="41"/>
      <c r="I64" s="121"/>
      <c r="J64" s="41"/>
      <c r="K64" s="41"/>
      <c r="L64" s="43"/>
      <c r="M64" s="41"/>
      <c r="N64" s="122"/>
      <c r="O64" s="41"/>
      <c r="P64" s="41"/>
      <c r="Q64" s="122"/>
    </row>
    <row r="65" spans="2:19" s="38" customFormat="1" ht="12.75">
      <c r="B65" s="39"/>
      <c r="C65" s="40"/>
      <c r="D65" s="107"/>
      <c r="E65" s="41"/>
      <c r="F65" s="37"/>
      <c r="G65" s="108"/>
      <c r="H65" s="41"/>
      <c r="I65" s="121"/>
      <c r="J65" s="41"/>
      <c r="K65" s="41"/>
      <c r="L65" s="43"/>
      <c r="M65" s="41"/>
      <c r="N65" s="122"/>
      <c r="O65" s="41"/>
      <c r="P65" s="41"/>
      <c r="Q65" s="122"/>
    </row>
    <row r="66" spans="2:19" s="38" customFormat="1" ht="12.75">
      <c r="B66" s="39"/>
      <c r="C66" s="40"/>
      <c r="D66" s="107"/>
      <c r="E66" s="41"/>
      <c r="F66" s="37"/>
      <c r="G66" s="108"/>
      <c r="H66" s="41"/>
      <c r="I66" s="121"/>
      <c r="J66" s="41"/>
      <c r="K66" s="41"/>
      <c r="L66" s="43"/>
      <c r="M66" s="41"/>
      <c r="N66" s="122"/>
      <c r="O66" s="41"/>
      <c r="P66" s="41"/>
      <c r="Q66" s="122"/>
    </row>
    <row r="67" spans="2:19" s="38" customFormat="1" ht="12.75">
      <c r="B67" s="39"/>
      <c r="C67" s="40"/>
      <c r="D67" s="107"/>
      <c r="E67" s="41"/>
      <c r="F67" s="37"/>
      <c r="G67" s="108"/>
      <c r="H67" s="41"/>
      <c r="I67" s="121"/>
      <c r="J67" s="41"/>
      <c r="K67" s="41"/>
      <c r="L67" s="43"/>
      <c r="M67" s="41"/>
      <c r="N67" s="122"/>
      <c r="O67" s="41"/>
      <c r="P67" s="41"/>
      <c r="Q67" s="122"/>
    </row>
    <row r="68" spans="2:19" s="22" customFormat="1" ht="18.75">
      <c r="B68" s="263" t="s">
        <v>3287</v>
      </c>
      <c r="C68" s="263"/>
      <c r="D68" s="263"/>
      <c r="E68" s="263"/>
      <c r="F68" s="263"/>
      <c r="G68" s="263"/>
      <c r="H68" s="263"/>
      <c r="I68" s="263"/>
      <c r="J68" s="263"/>
      <c r="K68" s="263"/>
      <c r="L68" s="263"/>
      <c r="M68" s="263"/>
      <c r="N68" s="263"/>
      <c r="O68" s="263"/>
      <c r="P68" s="263"/>
      <c r="Q68" s="263"/>
    </row>
    <row r="69" spans="2:19" s="22" customFormat="1" ht="18.75">
      <c r="B69" s="263" t="s">
        <v>133</v>
      </c>
      <c r="C69" s="263"/>
      <c r="D69" s="263"/>
      <c r="E69" s="263"/>
      <c r="F69" s="263"/>
      <c r="G69" s="263"/>
      <c r="H69" s="263"/>
      <c r="I69" s="263"/>
      <c r="J69" s="263"/>
      <c r="K69" s="263"/>
      <c r="L69" s="263"/>
      <c r="M69" s="263"/>
      <c r="N69" s="263"/>
      <c r="O69" s="263"/>
      <c r="P69" s="263"/>
      <c r="Q69" s="263"/>
    </row>
    <row r="70" spans="2:19" s="22" customFormat="1" ht="18.75">
      <c r="B70" s="264" t="s">
        <v>3300</v>
      </c>
      <c r="C70" s="264"/>
      <c r="D70" s="264"/>
      <c r="E70" s="264"/>
      <c r="F70" s="264"/>
      <c r="G70" s="264"/>
      <c r="H70" s="264"/>
      <c r="I70" s="264"/>
      <c r="J70" s="264"/>
      <c r="K70" s="264"/>
      <c r="L70" s="264"/>
      <c r="M70" s="264"/>
      <c r="N70" s="264"/>
      <c r="O70" s="264"/>
      <c r="P70" s="264"/>
      <c r="Q70" s="264"/>
    </row>
    <row r="71" spans="2:19" s="28" customFormat="1" ht="15.75" customHeight="1">
      <c r="B71" s="261" t="s">
        <v>0</v>
      </c>
      <c r="C71" s="271" t="s">
        <v>134</v>
      </c>
      <c r="D71" s="272" t="s">
        <v>2</v>
      </c>
      <c r="E71" s="261" t="s">
        <v>3</v>
      </c>
      <c r="F71" s="261" t="s">
        <v>8</v>
      </c>
      <c r="G71" s="261" t="s">
        <v>135</v>
      </c>
      <c r="H71" s="261" t="s">
        <v>136</v>
      </c>
      <c r="I71" s="261"/>
      <c r="J71" s="261" t="s">
        <v>6</v>
      </c>
      <c r="K71" s="273" t="s">
        <v>137</v>
      </c>
      <c r="L71" s="273"/>
      <c r="M71" s="273"/>
      <c r="N71" s="273"/>
      <c r="O71" s="261" t="s">
        <v>138</v>
      </c>
      <c r="P71" s="261"/>
      <c r="Q71" s="261" t="s">
        <v>159</v>
      </c>
    </row>
    <row r="72" spans="2:19" s="28" customFormat="1" ht="24.75" customHeight="1">
      <c r="B72" s="261"/>
      <c r="C72" s="271"/>
      <c r="D72" s="272"/>
      <c r="E72" s="261"/>
      <c r="F72" s="261"/>
      <c r="G72" s="261"/>
      <c r="H72" s="29" t="s">
        <v>140</v>
      </c>
      <c r="I72" s="29" t="s">
        <v>141</v>
      </c>
      <c r="J72" s="261"/>
      <c r="K72" s="29" t="s">
        <v>142</v>
      </c>
      <c r="L72" s="30" t="s">
        <v>142</v>
      </c>
      <c r="M72" s="29" t="s">
        <v>143</v>
      </c>
      <c r="N72" s="30" t="s">
        <v>144</v>
      </c>
      <c r="O72" s="29" t="s">
        <v>145</v>
      </c>
      <c r="P72" s="29" t="s">
        <v>146</v>
      </c>
      <c r="Q72" s="261"/>
      <c r="R72" s="31"/>
      <c r="S72" s="31"/>
    </row>
    <row r="73" spans="2:19" s="38" customFormat="1" ht="38.25">
      <c r="B73" s="32">
        <v>1</v>
      </c>
      <c r="C73" s="33">
        <f>'BIO DATA'!D28</f>
        <v>11207</v>
      </c>
      <c r="D73" s="138" t="str">
        <f>'BIO DATA'!E28</f>
        <v>0105638864</v>
      </c>
      <c r="E73" s="34" t="str">
        <f>'BIO DATA'!F28</f>
        <v>Adhitama Rasya Anakin</v>
      </c>
      <c r="F73" s="35" t="str">
        <f>'BIO DATA'!Z28</f>
        <v>MTs. Mu'allimin Muh. Yogyakarta</v>
      </c>
      <c r="G73" s="68">
        <f>'BIO DATA'!J28</f>
        <v>1</v>
      </c>
      <c r="H73" s="106" t="str">
        <f>'BIO DATA'!N28</f>
        <v>Yogyakarta</v>
      </c>
      <c r="I73" s="120" t="str">
        <f>'BIO DATA'!Q28</f>
        <v>20 Juli 2010</v>
      </c>
      <c r="J73" s="34" t="str">
        <f>'BIO DATA'!T28</f>
        <v>Perumahan Wahana Mulia No.1D, Jongke, Sendangadi, Mlati, Sleman, DIY 5552</v>
      </c>
      <c r="K73" s="34" t="str">
        <f>'BIO DATA'!AC28</f>
        <v>Asyikin</v>
      </c>
      <c r="L73" s="123" t="str">
        <f>'BIO DATA'!AH28</f>
        <v>089671720421</v>
      </c>
      <c r="M73" s="34" t="str">
        <f>'BIO DATA'!AJ28</f>
        <v>Th Any Indar Kuswati</v>
      </c>
      <c r="N73" s="125">
        <f>'BIO DATA'!AO28</f>
        <v>0</v>
      </c>
      <c r="O73" s="34" t="str">
        <f>'BIO DATA'!AF28</f>
        <v>Wiraswasta</v>
      </c>
      <c r="P73" s="34" t="str">
        <f>'BIO DATA'!AM28</f>
        <v>Karyawan Swasta</v>
      </c>
      <c r="Q73" s="159" t="str">
        <f>'BIO DATA'!I28</f>
        <v>MTs-25
120006400</v>
      </c>
    </row>
    <row r="74" spans="2:19" s="38" customFormat="1" ht="38.25">
      <c r="B74" s="32">
        <v>2</v>
      </c>
      <c r="C74" s="33">
        <f>'BIO DATA'!D29</f>
        <v>11208</v>
      </c>
      <c r="D74" s="138" t="str">
        <f>'BIO DATA'!E29</f>
        <v>0103200993</v>
      </c>
      <c r="E74" s="34" t="str">
        <f>'BIO DATA'!F29</f>
        <v>Adib Jordi</v>
      </c>
      <c r="F74" s="35" t="str">
        <f>'BIO DATA'!Z29</f>
        <v>MTs. Mu'allimin Muh. Yogyakarta</v>
      </c>
      <c r="G74" s="68">
        <f>'BIO DATA'!J29</f>
        <v>2</v>
      </c>
      <c r="H74" s="106" t="str">
        <f>'BIO DATA'!N29</f>
        <v>Pontianak</v>
      </c>
      <c r="I74" s="120" t="str">
        <f>'BIO DATA'!Q29</f>
        <v>03 April 2010</v>
      </c>
      <c r="J74" s="34" t="str">
        <f>'BIO DATA'!T29</f>
        <v>Jl.Amsyar Ahmad RT.10 RW. III Kel. Mendawai , Kec.Sukamara, Kab. Sukamara Kalimantan Barat 74712</v>
      </c>
      <c r="K74" s="34" t="str">
        <f>'BIO DATA'!AC29</f>
        <v>Taufiq Ali</v>
      </c>
      <c r="L74" s="123">
        <f>'BIO DATA'!AH29</f>
        <v>0</v>
      </c>
      <c r="M74" s="34" t="str">
        <f>'BIO DATA'!AJ29</f>
        <v>Lestari</v>
      </c>
      <c r="N74" s="125" t="str">
        <f>'BIO DATA'!AO29</f>
        <v>085314120942</v>
      </c>
      <c r="O74" s="34" t="str">
        <f>'BIO DATA'!AF29</f>
        <v>Wiraswasta</v>
      </c>
      <c r="P74" s="34" t="str">
        <f>'BIO DATA'!AM29</f>
        <v>PNS</v>
      </c>
      <c r="Q74" s="159" t="str">
        <f>'BIO DATA'!I29</f>
        <v>MTs-25
120006401</v>
      </c>
    </row>
    <row r="75" spans="2:19" s="38" customFormat="1" ht="38.25">
      <c r="B75" s="32">
        <v>3</v>
      </c>
      <c r="C75" s="33">
        <f>'BIO DATA'!D30</f>
        <v>11212</v>
      </c>
      <c r="D75" s="138" t="str">
        <f>'BIO DATA'!E30</f>
        <v>3094677005</v>
      </c>
      <c r="E75" s="34" t="str">
        <f>'BIO DATA'!F30</f>
        <v>Afif Adli Firdaus</v>
      </c>
      <c r="F75" s="35" t="str">
        <f>'BIO DATA'!Z30</f>
        <v>MTs. Mu'allimin Muh. Yogyakarta</v>
      </c>
      <c r="G75" s="68">
        <f>'BIO DATA'!J30</f>
        <v>2</v>
      </c>
      <c r="H75" s="106" t="str">
        <f>'BIO DATA'!N30</f>
        <v>Bantul</v>
      </c>
      <c r="I75" s="120" t="str">
        <f>'BIO DATA'!Q30</f>
        <v>29 September 2009</v>
      </c>
      <c r="J75" s="34" t="str">
        <f>'BIO DATA'!T30</f>
        <v>Singosaren RT.01 RW.01 No.4 Wukirsari Imogiri Bantul, DI Yogyakarta, 55782</v>
      </c>
      <c r="K75" s="34" t="str">
        <f>'BIO DATA'!AC30</f>
        <v>Sugeng Mulyono</v>
      </c>
      <c r="L75" s="123" t="str">
        <f>'BIO DATA'!AH30</f>
        <v>0811338815</v>
      </c>
      <c r="M75" s="34" t="str">
        <f>'BIO DATA'!AJ30</f>
        <v>Inna Anzalna Noviasti</v>
      </c>
      <c r="N75" s="125">
        <f>'BIO DATA'!AO30</f>
        <v>0</v>
      </c>
      <c r="O75" s="34" t="str">
        <f>'BIO DATA'!AF30</f>
        <v>PNS</v>
      </c>
      <c r="P75" s="34" t="str">
        <f>'BIO DATA'!AM30</f>
        <v>Ibu Rumah Tangga</v>
      </c>
      <c r="Q75" s="159" t="str">
        <f>'BIO DATA'!I30</f>
        <v>MTs-25
120006461</v>
      </c>
    </row>
    <row r="76" spans="2:19" s="38" customFormat="1" ht="38.25">
      <c r="B76" s="32">
        <v>4</v>
      </c>
      <c r="C76" s="33">
        <f>'BIO DATA'!D31</f>
        <v>11216</v>
      </c>
      <c r="D76" s="138" t="str">
        <f>'BIO DATA'!E31</f>
        <v>0092085668</v>
      </c>
      <c r="E76" s="34" t="str">
        <f>'BIO DATA'!F31</f>
        <v>Ageng Narayana Wijaya Santosa</v>
      </c>
      <c r="F76" s="35" t="str">
        <f>'BIO DATA'!Z31</f>
        <v>MTs. Mu'allimin Muh. Yogyakarta</v>
      </c>
      <c r="G76" s="68">
        <f>'BIO DATA'!J31</f>
        <v>1</v>
      </c>
      <c r="H76" s="106" t="str">
        <f>'BIO DATA'!N31</f>
        <v>Yogyakarta</v>
      </c>
      <c r="I76" s="120" t="str">
        <f>'BIO DATA'!Q31</f>
        <v>05 Desember 2009</v>
      </c>
      <c r="J76" s="34" t="str">
        <f>'BIO DATA'!T31</f>
        <v>Graha Nuansa Citra B6, Pathukan, Ambarketawang, Gamping, Sleman, DI Yogyakarta, 90134</v>
      </c>
      <c r="K76" s="34">
        <f>'BIO DATA'!AC31</f>
        <v>0</v>
      </c>
      <c r="L76" s="123">
        <f>'BIO DATA'!AH31</f>
        <v>0</v>
      </c>
      <c r="M76" s="34" t="str">
        <f>'BIO DATA'!AJ31</f>
        <v>Wike Wijayanti</v>
      </c>
      <c r="N76" s="125" t="str">
        <f>'BIO DATA'!AO31</f>
        <v>081313919109</v>
      </c>
      <c r="O76" s="34">
        <f>'BIO DATA'!AF31</f>
        <v>0</v>
      </c>
      <c r="P76" s="34" t="str">
        <f>'BIO DATA'!AM31</f>
        <v>PNS</v>
      </c>
      <c r="Q76" s="159" t="str">
        <f>'BIO DATA'!I31</f>
        <v>MTs-25
120006402</v>
      </c>
    </row>
    <row r="77" spans="2:19" s="38" customFormat="1" ht="38.25">
      <c r="B77" s="32">
        <v>5</v>
      </c>
      <c r="C77" s="33">
        <f>'BIO DATA'!D32</f>
        <v>11239</v>
      </c>
      <c r="D77" s="138" t="str">
        <f>'BIO DATA'!E32</f>
        <v>0108401010</v>
      </c>
      <c r="E77" s="34" t="str">
        <f>'BIO DATA'!F32</f>
        <v>Akbar Dzulfikar</v>
      </c>
      <c r="F77" s="35" t="str">
        <f>'BIO DATA'!Z32</f>
        <v>MTs. Mu'allimin Muh. Yogyakarta</v>
      </c>
      <c r="G77" s="68">
        <f>'BIO DATA'!J32</f>
        <v>1</v>
      </c>
      <c r="H77" s="106" t="str">
        <f>'BIO DATA'!N32</f>
        <v>Sleman</v>
      </c>
      <c r="I77" s="120" t="str">
        <f>'BIO DATA'!Q32</f>
        <v>01 Januari 2010</v>
      </c>
      <c r="J77" s="34" t="str">
        <f>'BIO DATA'!T32</f>
        <v>Lungguhrejo RT 006 RW 029, Wonokerto, Turi, Sleman DI Yogyakarta 55551</v>
      </c>
      <c r="K77" s="34" t="str">
        <f>'BIO DATA'!AC32</f>
        <v>Tri Rahmad Subagyo, ST</v>
      </c>
      <c r="L77" s="123">
        <f>'BIO DATA'!AH32</f>
        <v>0</v>
      </c>
      <c r="M77" s="34" t="str">
        <f>'BIO DATA'!AJ32</f>
        <v>Leni Triastuti</v>
      </c>
      <c r="N77" s="125" t="str">
        <f>'BIO DATA'!AO32</f>
        <v>085329676034</v>
      </c>
      <c r="O77" s="34" t="str">
        <f>'BIO DATA'!AF32</f>
        <v>Karyawan Swasta</v>
      </c>
      <c r="P77" s="34" t="str">
        <f>'BIO DATA'!AM32</f>
        <v>Lainnya</v>
      </c>
      <c r="Q77" s="159" t="str">
        <f>'BIO DATA'!I32</f>
        <v>MTs-25
120006284</v>
      </c>
    </row>
    <row r="78" spans="2:19" s="38" customFormat="1" ht="38.25">
      <c r="B78" s="32">
        <v>6</v>
      </c>
      <c r="C78" s="33">
        <f>'BIO DATA'!D33</f>
        <v>11242</v>
      </c>
      <c r="D78" s="138" t="str">
        <f>'BIO DATA'!E33</f>
        <v>0093053516</v>
      </c>
      <c r="E78" s="34" t="str">
        <f>'BIO DATA'!F33</f>
        <v>Akbar Sigit Pramono</v>
      </c>
      <c r="F78" s="35" t="str">
        <f>'BIO DATA'!Z33</f>
        <v>MTs. Mu'allimin Muh. Yogyakarta</v>
      </c>
      <c r="G78" s="68">
        <f>'BIO DATA'!J33</f>
        <v>1</v>
      </c>
      <c r="H78" s="106" t="str">
        <f>'BIO DATA'!N33</f>
        <v>Tangerang</v>
      </c>
      <c r="I78" s="120" t="str">
        <f>'BIO DATA'!Q33</f>
        <v>28 Oktober 2009</v>
      </c>
      <c r="J78" s="34" t="str">
        <f>'BIO DATA'!T33</f>
        <v>Perumahan Bukit Gading Cisoka Blok A no.26,Selapajang,Cisoka,Tangerang , Banten, 15730</v>
      </c>
      <c r="K78" s="34">
        <f>'BIO DATA'!AC33</f>
        <v>0</v>
      </c>
      <c r="L78" s="123">
        <f>'BIO DATA'!AH33</f>
        <v>0</v>
      </c>
      <c r="M78" s="34" t="str">
        <f>'BIO DATA'!AJ33</f>
        <v>Warsini</v>
      </c>
      <c r="N78" s="125" t="str">
        <f>'BIO DATA'!AO33</f>
        <v>081808870545</v>
      </c>
      <c r="O78" s="34">
        <f>'BIO DATA'!AF33</f>
        <v>0</v>
      </c>
      <c r="P78" s="34" t="str">
        <f>'BIO DATA'!AM33</f>
        <v>Karywan Swasta</v>
      </c>
      <c r="Q78" s="159" t="str">
        <f>'BIO DATA'!I33</f>
        <v>MTs-25
120006492</v>
      </c>
    </row>
    <row r="79" spans="2:19" s="38" customFormat="1" ht="38.25">
      <c r="B79" s="32">
        <v>7</v>
      </c>
      <c r="C79" s="33">
        <f>'BIO DATA'!D34</f>
        <v>11258</v>
      </c>
      <c r="D79" s="138" t="str">
        <f>'BIO DATA'!E34</f>
        <v>0107332075</v>
      </c>
      <c r="E79" s="34" t="str">
        <f>'BIO DATA'!F34</f>
        <v>Arafat Krisnantaka Wildamar</v>
      </c>
      <c r="F79" s="35" t="str">
        <f>'BIO DATA'!Z34</f>
        <v>MTs. Mu'allimin Muh. Yogyakarta</v>
      </c>
      <c r="G79" s="68">
        <f>'BIO DATA'!J34</f>
        <v>3</v>
      </c>
      <c r="H79" s="106" t="str">
        <f>'BIO DATA'!N34</f>
        <v>Pati</v>
      </c>
      <c r="I79" s="120" t="str">
        <f>'BIO DATA'!Q34</f>
        <v>25 Juli 2010</v>
      </c>
      <c r="J79" s="34" t="str">
        <f>'BIO DATA'!T34</f>
        <v>Jl Sendang sewu , RT / RW 006/001, Desa Sidokerto, Kecamatan Pati, Kabupaten Pati, Jawa Tengah, 59111</v>
      </c>
      <c r="K79" s="34" t="str">
        <f>'BIO DATA'!AC34</f>
        <v>Wijanarko</v>
      </c>
      <c r="L79" s="123" t="str">
        <f>'BIO DATA'!AH34</f>
        <v>08156644448</v>
      </c>
      <c r="M79" s="34" t="str">
        <f>'BIO DATA'!AJ34</f>
        <v>Eni Tri Martutik</v>
      </c>
      <c r="N79" s="125">
        <f>'BIO DATA'!AO34</f>
        <v>0</v>
      </c>
      <c r="O79" s="34" t="str">
        <f>'BIO DATA'!AF34</f>
        <v>Guru</v>
      </c>
      <c r="P79" s="34" t="str">
        <f>'BIO DATA'!AM34</f>
        <v>Ibu Rumah Tangga</v>
      </c>
      <c r="Q79" s="159" t="str">
        <f>'BIO DATA'!I34</f>
        <v>MTs-25
120006408</v>
      </c>
    </row>
    <row r="80" spans="2:19" s="38" customFormat="1" ht="51">
      <c r="B80" s="32">
        <v>8</v>
      </c>
      <c r="C80" s="33">
        <f>'BIO DATA'!D35</f>
        <v>11261</v>
      </c>
      <c r="D80" s="138" t="str">
        <f>'BIO DATA'!E35</f>
        <v>0109513453</v>
      </c>
      <c r="E80" s="34" t="str">
        <f>'BIO DATA'!F35</f>
        <v>Arya Gerda Bhamakerti</v>
      </c>
      <c r="F80" s="35" t="str">
        <f>'BIO DATA'!Z35</f>
        <v>MTs. Mu'allimin Muh. Yogyakarta</v>
      </c>
      <c r="G80" s="68">
        <f>'BIO DATA'!J35</f>
        <v>1</v>
      </c>
      <c r="H80" s="106" t="str">
        <f>'BIO DATA'!N35</f>
        <v>Batang</v>
      </c>
      <c r="I80" s="120" t="str">
        <f>'BIO DATA'!Q35</f>
        <v>16 Juni 2010</v>
      </c>
      <c r="J80" s="34" t="str">
        <f>'BIO DATA'!T35</f>
        <v>Jl A Yani Desa Kauman No.243A RT.005 RW.002 Kel. Kauman Kec. Batang Kab. Batang, Jawa Tengah, 51215</v>
      </c>
      <c r="K80" s="34" t="str">
        <f>'BIO DATA'!AC35</f>
        <v>Arya Fany Yugatama, SH</v>
      </c>
      <c r="L80" s="123">
        <f>'BIO DATA'!AH35</f>
        <v>0</v>
      </c>
      <c r="M80" s="34" t="str">
        <f>'BIO DATA'!AJ35</f>
        <v>Ratna Fitriana</v>
      </c>
      <c r="N80" s="125" t="str">
        <f>'BIO DATA'!AO35</f>
        <v>081228638928</v>
      </c>
      <c r="O80" s="34" t="str">
        <f>'BIO DATA'!AF35</f>
        <v>Karyawan Swasta</v>
      </c>
      <c r="P80" s="34" t="str">
        <f>'BIO DATA'!AM35</f>
        <v>Karyawan Swasta</v>
      </c>
      <c r="Q80" s="159" t="str">
        <f>'BIO DATA'!I35</f>
        <v>MTs-25 120006409</v>
      </c>
    </row>
    <row r="81" spans="2:19" s="38" customFormat="1" ht="38.25">
      <c r="B81" s="32">
        <v>9</v>
      </c>
      <c r="C81" s="33">
        <f>'BIO DATA'!D36</f>
        <v>11272</v>
      </c>
      <c r="D81" s="138" t="str">
        <f>'BIO DATA'!E36</f>
        <v>0107718597</v>
      </c>
      <c r="E81" s="34" t="str">
        <f>'BIO DATA'!F36</f>
        <v>Azka Adiyatma Brahmantya</v>
      </c>
      <c r="F81" s="35" t="str">
        <f>'BIO DATA'!Z36</f>
        <v>MTs. Mu'allimin Muh. Yogyakarta</v>
      </c>
      <c r="G81" s="68">
        <f>'BIO DATA'!J36</f>
        <v>1</v>
      </c>
      <c r="H81" s="106" t="str">
        <f>'BIO DATA'!N36</f>
        <v>Malang</v>
      </c>
      <c r="I81" s="120" t="str">
        <f>'BIO DATA'!Q36</f>
        <v>11 Januari 2010</v>
      </c>
      <c r="J81" s="34" t="str">
        <f>'BIO DATA'!T36</f>
        <v>Jl. Inpres Gang Harmonis No 22 RT 007 RW 002 Kel. Tengah Kec. Kramat Jati Kota Jakarta Timur, DKI Jakarta, 13510</v>
      </c>
      <c r="K81" s="34" t="str">
        <f>'BIO DATA'!AC36</f>
        <v>Ida Bagus Widhyanthara</v>
      </c>
      <c r="L81" s="123" t="str">
        <f>'BIO DATA'!AH36</f>
        <v>0817532381</v>
      </c>
      <c r="M81" s="34" t="str">
        <f>'BIO DATA'!AJ36</f>
        <v>Kharisma Yustisi Eva</v>
      </c>
      <c r="N81" s="125">
        <f>'BIO DATA'!AO36</f>
        <v>0</v>
      </c>
      <c r="O81" s="34" t="str">
        <f>'BIO DATA'!AF36</f>
        <v>Lainnya</v>
      </c>
      <c r="P81" s="34">
        <f>'BIO DATA'!AM36</f>
        <v>0</v>
      </c>
      <c r="Q81" s="159" t="str">
        <f>'BIO DATA'!I36</f>
        <v>MTs-25
120006464</v>
      </c>
    </row>
    <row r="82" spans="2:19" s="38" customFormat="1" ht="63.75">
      <c r="B82" s="32">
        <v>10</v>
      </c>
      <c r="C82" s="33">
        <f>'BIO DATA'!D37</f>
        <v>11279</v>
      </c>
      <c r="D82" s="138" t="str">
        <f>'BIO DATA'!E37</f>
        <v>3101929089</v>
      </c>
      <c r="E82" s="34" t="str">
        <f>'BIO DATA'!F37</f>
        <v>Bima Nur Iskandar</v>
      </c>
      <c r="F82" s="35" t="str">
        <f>'BIO DATA'!Z37</f>
        <v>MTs. Mu'allimin Muh. Yogyakarta</v>
      </c>
      <c r="G82" s="68">
        <f>'BIO DATA'!J37</f>
        <v>2</v>
      </c>
      <c r="H82" s="106" t="str">
        <f>'BIO DATA'!N37</f>
        <v>Cirebon</v>
      </c>
      <c r="I82" s="120" t="str">
        <f>'BIO DATA'!Q37</f>
        <v>26 Maret 2010</v>
      </c>
      <c r="J82" s="34" t="str">
        <f>'BIO DATA'!T37</f>
        <v>Perumnas Permata Harjamukti Tahap 1, Jl. Akik 1 Blok C2 No.11 RT.001/RW.014, Kel. Kalijaga, Kec. Harjamukti Kota Cirebon, Jawa Barat 45144</v>
      </c>
      <c r="K82" s="34" t="str">
        <f>'BIO DATA'!AC37</f>
        <v>Suradal</v>
      </c>
      <c r="L82" s="123" t="str">
        <f>'BIO DATA'!AH37</f>
        <v>081320659144</v>
      </c>
      <c r="M82" s="34" t="str">
        <f>'BIO DATA'!AJ37</f>
        <v>Anna Susilowati</v>
      </c>
      <c r="N82" s="125">
        <f>'BIO DATA'!AO37</f>
        <v>0</v>
      </c>
      <c r="O82" s="34" t="str">
        <f>'BIO DATA'!AF37</f>
        <v>Wiraswasta</v>
      </c>
      <c r="P82" s="34" t="str">
        <f>'BIO DATA'!AM37</f>
        <v>Karyawan Swasta</v>
      </c>
      <c r="Q82" s="159" t="str">
        <f>'BIO DATA'!I37</f>
        <v>MTs-25
120006285</v>
      </c>
    </row>
    <row r="83" spans="2:19" s="38" customFormat="1" ht="38.25">
      <c r="B83" s="32">
        <v>11</v>
      </c>
      <c r="C83" s="33">
        <f>'BIO DATA'!D38</f>
        <v>11281</v>
      </c>
      <c r="D83" s="138" t="str">
        <f>'BIO DATA'!E38</f>
        <v>0101529422</v>
      </c>
      <c r="E83" s="34" t="str">
        <f>'BIO DATA'!F38</f>
        <v>Catur Andika Dermawan Putra</v>
      </c>
      <c r="F83" s="35" t="str">
        <f>'BIO DATA'!Z38</f>
        <v>MTs. Mu'allimin Muh. Yogyakarta</v>
      </c>
      <c r="G83" s="68">
        <f>'BIO DATA'!J38</f>
        <v>1</v>
      </c>
      <c r="H83" s="106" t="str">
        <f>'BIO DATA'!N38</f>
        <v>Bogor</v>
      </c>
      <c r="I83" s="120" t="str">
        <f>'BIO DATA'!Q38</f>
        <v>18 Februari 2010</v>
      </c>
      <c r="J83" s="34" t="str">
        <f>'BIO DATA'!T38</f>
        <v>Kebon RT 03 RW 01 Ke. Tamanmartani, Kec. Kalasan, Kab. Sleman, DI Yogyakarta, 55571</v>
      </c>
      <c r="K83" s="34" t="str">
        <f>'BIO DATA'!AC38</f>
        <v>Rochmadi</v>
      </c>
      <c r="L83" s="123" t="str">
        <f>'BIO DATA'!AH38</f>
        <v>087880990112</v>
      </c>
      <c r="M83" s="34" t="str">
        <f>'BIO DATA'!AJ38</f>
        <v>Lina Irawati</v>
      </c>
      <c r="N83" s="125">
        <f>'BIO DATA'!AO38</f>
        <v>0</v>
      </c>
      <c r="O83" s="34" t="str">
        <f>'BIO DATA'!AF38</f>
        <v>Lainnya</v>
      </c>
      <c r="P83" s="34" t="str">
        <f>'BIO DATA'!AM38</f>
        <v>Ibu Rumah Tangga</v>
      </c>
      <c r="Q83" s="159" t="str">
        <f>'BIO DATA'!I38</f>
        <v>MTs-25
120006465</v>
      </c>
    </row>
    <row r="84" spans="2:19" s="38" customFormat="1" ht="38.25">
      <c r="B84" s="32">
        <v>12</v>
      </c>
      <c r="C84" s="33">
        <f>'BIO DATA'!D39</f>
        <v>11288</v>
      </c>
      <c r="D84" s="138" t="str">
        <f>'BIO DATA'!E39</f>
        <v>0093040840</v>
      </c>
      <c r="E84" s="34" t="str">
        <f>'BIO DATA'!F39</f>
        <v>Daiyan Mahya Athallah</v>
      </c>
      <c r="F84" s="35" t="str">
        <f>'BIO DATA'!Z39</f>
        <v>MTs. Mu'allimin Muh. Yogyakarta</v>
      </c>
      <c r="G84" s="68">
        <f>'BIO DATA'!J39</f>
        <v>1</v>
      </c>
      <c r="H84" s="106" t="str">
        <f>'BIO DATA'!N39</f>
        <v>Gresik</v>
      </c>
      <c r="I84" s="120" t="str">
        <f>'BIO DATA'!Q39</f>
        <v>16 November 2009</v>
      </c>
      <c r="J84" s="34" t="str">
        <f>'BIO DATA'!T39</f>
        <v>JL. Dr. Wahidin Sudirohusodo Gang 24 No. 72 RT 01 RW 03 Randuagung Kebomas Gresik Jawa Timur 61121</v>
      </c>
      <c r="K84" s="34" t="str">
        <f>'BIO DATA'!AC39</f>
        <v>Kemal Abdi</v>
      </c>
      <c r="L84" s="123" t="str">
        <f>'BIO DATA'!AH39</f>
        <v>081330258061</v>
      </c>
      <c r="M84" s="34" t="str">
        <f>'BIO DATA'!AJ39</f>
        <v>Ririn Aprilianti Astuti</v>
      </c>
      <c r="N84" s="125">
        <f>'BIO DATA'!AO39</f>
        <v>0</v>
      </c>
      <c r="O84" s="34" t="str">
        <f>'BIO DATA'!AF39</f>
        <v>Wiraswasta</v>
      </c>
      <c r="P84" s="34" t="str">
        <f>'BIO DATA'!AM39</f>
        <v>Karyawan Swasta</v>
      </c>
      <c r="Q84" s="159" t="str">
        <f>'BIO DATA'!I39</f>
        <v>MTs-25
120006288</v>
      </c>
    </row>
    <row r="85" spans="2:19" s="38" customFormat="1" ht="25.5">
      <c r="B85" s="32">
        <v>13</v>
      </c>
      <c r="C85" s="33">
        <f>'BIO DATA'!D40</f>
        <v>11289</v>
      </c>
      <c r="D85" s="138" t="str">
        <f>'BIO DATA'!E40</f>
        <v>0095262572</v>
      </c>
      <c r="E85" s="34" t="str">
        <f>'BIO DATA'!F40</f>
        <v>Damario Pramata Rahagi</v>
      </c>
      <c r="F85" s="35" t="str">
        <f>'BIO DATA'!Z40</f>
        <v>MTs. Mu'allimin Muh. Yogyakarta</v>
      </c>
      <c r="G85" s="68">
        <f>'BIO DATA'!J40</f>
        <v>1</v>
      </c>
      <c r="H85" s="106" t="str">
        <f>'BIO DATA'!N40</f>
        <v>Kebumen</v>
      </c>
      <c r="I85" s="120" t="str">
        <f>'BIO DATA'!Q40</f>
        <v>26 November 2009</v>
      </c>
      <c r="J85" s="34" t="str">
        <f>'BIO DATA'!T40</f>
        <v>Tambaksari RT 02 RW 03 Kuwarasan Kebumen, Jawa Tengah, 54366</v>
      </c>
      <c r="K85" s="34" t="str">
        <f>'BIO DATA'!AC40</f>
        <v>Irfan Tugiman</v>
      </c>
      <c r="L85" s="123" t="str">
        <f>'BIO DATA'!AH40</f>
        <v>08118681983</v>
      </c>
      <c r="M85" s="34" t="str">
        <f>'BIO DATA'!AJ40</f>
        <v>Septianingsih Anggraeni</v>
      </c>
      <c r="N85" s="125">
        <f>'BIO DATA'!AO40</f>
        <v>0</v>
      </c>
      <c r="O85" s="34" t="str">
        <f>'BIO DATA'!AF40</f>
        <v>Wiraswasta</v>
      </c>
      <c r="P85" s="34" t="str">
        <f>'BIO DATA'!AM40</f>
        <v>Ibu Rumah Tangga</v>
      </c>
      <c r="Q85" s="159" t="str">
        <f>'BIO DATA'!I40</f>
        <v>MTs-25 120006466</v>
      </c>
    </row>
    <row r="86" spans="2:19" s="38" customFormat="1" ht="38.25">
      <c r="B86" s="32">
        <v>14</v>
      </c>
      <c r="C86" s="33">
        <f>'BIO DATA'!D41</f>
        <v>11293</v>
      </c>
      <c r="D86" s="138" t="str">
        <f>'BIO DATA'!E41</f>
        <v>0091505222</v>
      </c>
      <c r="E86" s="34" t="str">
        <f>'BIO DATA'!F41</f>
        <v>Dhi'a Kafka Radiansyach</v>
      </c>
      <c r="F86" s="35" t="str">
        <f>'BIO DATA'!Z41</f>
        <v>MTs. Mu'allimin Muh. Yogyakarta</v>
      </c>
      <c r="G86" s="68">
        <f>'BIO DATA'!J41</f>
        <v>2</v>
      </c>
      <c r="H86" s="106" t="str">
        <f>'BIO DATA'!N41</f>
        <v>Serui</v>
      </c>
      <c r="I86" s="120" t="str">
        <f>'BIO DATA'!Q41</f>
        <v>06 September 2009</v>
      </c>
      <c r="J86" s="34" t="str">
        <f>'BIO DATA'!T41</f>
        <v>Jalan. P. Diponegoro. RT.01/RW.04 Kel. Tarau, Kec. Yapen Selatan, Kab. Kep. Yapen Papua 98211</v>
      </c>
      <c r="K86" s="34" t="str">
        <f>'BIO DATA'!AC41</f>
        <v>Wahyudi Najamuddin</v>
      </c>
      <c r="L86" s="123">
        <f>'BIO DATA'!AH41</f>
        <v>0</v>
      </c>
      <c r="M86" s="34" t="str">
        <f>'BIO DATA'!AJ41</f>
        <v>Faradilla Iriani Tarwan</v>
      </c>
      <c r="N86" s="125">
        <f>'BIO DATA'!AO41</f>
        <v>0</v>
      </c>
      <c r="O86" s="34" t="str">
        <f>'BIO DATA'!AF41</f>
        <v>Wiraswasta</v>
      </c>
      <c r="P86" s="34" t="str">
        <f>'BIO DATA'!AM41</f>
        <v>Wiraswasta</v>
      </c>
      <c r="Q86" s="159" t="str">
        <f>'BIO DATA'!I41</f>
        <v>MTs-25
120006411</v>
      </c>
    </row>
    <row r="87" spans="2:19" s="38" customFormat="1" ht="39" customHeight="1">
      <c r="B87" s="32">
        <v>15</v>
      </c>
      <c r="C87" s="33">
        <f>'BIO DATA'!D42</f>
        <v>11294</v>
      </c>
      <c r="D87" s="138" t="str">
        <f>'BIO DATA'!E42</f>
        <v>0103726728</v>
      </c>
      <c r="E87" s="34" t="str">
        <f>'BIO DATA'!F42</f>
        <v>Dida Fazel Zhafranatha</v>
      </c>
      <c r="F87" s="35" t="str">
        <f>'BIO DATA'!Z42</f>
        <v>MTs. Mu'allimin Muh. Yogyakarta</v>
      </c>
      <c r="G87" s="68">
        <f>'BIO DATA'!J42</f>
        <v>1</v>
      </c>
      <c r="H87" s="106" t="str">
        <f>'BIO DATA'!N42</f>
        <v>Jepara</v>
      </c>
      <c r="I87" s="120" t="str">
        <f>'BIO DATA'!Q42</f>
        <v>23 Juli 2010</v>
      </c>
      <c r="J87" s="34" t="str">
        <f>'BIO DATA'!T42</f>
        <v>Purwogondo RT 04 RW 01 Kalinyamatan Jepara Jawa Tengah 59462</v>
      </c>
      <c r="K87" s="34">
        <f>'BIO DATA'!AC42</f>
        <v>0</v>
      </c>
      <c r="L87" s="123">
        <f>'BIO DATA'!AH42</f>
        <v>0</v>
      </c>
      <c r="M87" s="34" t="str">
        <f>'BIO DATA'!AJ42</f>
        <v>Diana Evi Erawati</v>
      </c>
      <c r="N87" s="125" t="str">
        <f>'BIO DATA'!AO42</f>
        <v>089636914248</v>
      </c>
      <c r="O87" s="34">
        <f>'BIO DATA'!AF42</f>
        <v>0</v>
      </c>
      <c r="P87" s="34" t="str">
        <f>'BIO DATA'!AM42</f>
        <v>Wiraswasta</v>
      </c>
      <c r="Q87" s="159" t="str">
        <f>'BIO DATA'!I42</f>
        <v>MTs-25
120006290</v>
      </c>
    </row>
    <row r="88" spans="2:19" s="38" customFormat="1" ht="51">
      <c r="B88" s="32">
        <v>16</v>
      </c>
      <c r="C88" s="33">
        <f>'BIO DATA'!D43</f>
        <v>11302</v>
      </c>
      <c r="D88" s="138" t="str">
        <f>'BIO DATA'!E43</f>
        <v>0101215352</v>
      </c>
      <c r="E88" s="34" t="str">
        <f>'BIO DATA'!F43</f>
        <v>Eprillio Iqbal Rasendria</v>
      </c>
      <c r="F88" s="35" t="str">
        <f>'BIO DATA'!Z43</f>
        <v>MTs. Mu'allimin Muh. Yogyakarta</v>
      </c>
      <c r="G88" s="68">
        <f>'BIO DATA'!J43</f>
        <v>1</v>
      </c>
      <c r="H88" s="106" t="str">
        <f>'BIO DATA'!N43</f>
        <v>Malang</v>
      </c>
      <c r="I88" s="120" t="str">
        <f>'BIO DATA'!Q43</f>
        <v>20 April 2010</v>
      </c>
      <c r="J88" s="34" t="str">
        <f>'BIO DATA'!T43</f>
        <v>Perum Surya Residence 2f no 38, RT. 02 RW. 05 Kel. Dukuh Tengah, Kec. Buduran, Kab. Sidoarjo, Jama Timur, 61252</v>
      </c>
      <c r="K88" s="34" t="str">
        <f>'BIO DATA'!AC43</f>
        <v>Yusdi Amrozi</v>
      </c>
      <c r="L88" s="123" t="str">
        <f>'BIO DATA'!AH43</f>
        <v>085232200809</v>
      </c>
      <c r="M88" s="34" t="str">
        <f>'BIO DATA'!AJ43</f>
        <v>Mitha Hapsari</v>
      </c>
      <c r="N88" s="125">
        <f>'BIO DATA'!AO43</f>
        <v>0</v>
      </c>
      <c r="O88" s="34" t="str">
        <f>'BIO DATA'!AF43</f>
        <v>Lainnya</v>
      </c>
      <c r="P88" s="34" t="str">
        <f>'BIO DATA'!AM43</f>
        <v>Karyawan Swasta</v>
      </c>
      <c r="Q88" s="159" t="str">
        <f>'BIO DATA'!I43</f>
        <v>MTs-25
120006413</v>
      </c>
    </row>
    <row r="89" spans="2:19" s="38" customFormat="1" ht="42" customHeight="1">
      <c r="B89" s="32">
        <v>17</v>
      </c>
      <c r="C89" s="33">
        <f>'BIO DATA'!D44</f>
        <v>11311</v>
      </c>
      <c r="D89" s="138" t="str">
        <f>'BIO DATA'!E44</f>
        <v>3108146201</v>
      </c>
      <c r="E89" s="34" t="str">
        <f>'BIO DATA'!F44</f>
        <v>Fairuz Dzaki Mulyadi</v>
      </c>
      <c r="F89" s="35" t="str">
        <f>'BIO DATA'!Z44</f>
        <v>MTs. Mu'allimin Muh. Yogyakarta</v>
      </c>
      <c r="G89" s="68">
        <f>'BIO DATA'!J44</f>
        <v>1</v>
      </c>
      <c r="H89" s="34" t="str">
        <f>'BIO DATA'!N44</f>
        <v>Pandeglang</v>
      </c>
      <c r="I89" s="120" t="str">
        <f>'BIO DATA'!Q44</f>
        <v>27 Maret 2010</v>
      </c>
      <c r="J89" s="34" t="str">
        <f>'BIO DATA'!T44</f>
        <v>Kp. Masjid RT 03 RW. 02 Desa Kondangjaya Kec. Cisata Kab. Pandeglang, Banten 42273</v>
      </c>
      <c r="K89" s="34" t="str">
        <f>'BIO DATA'!AC44</f>
        <v>Dedi Mulyadi</v>
      </c>
      <c r="L89" s="123" t="str">
        <f>'BIO DATA'!AH44</f>
        <v>087802017041</v>
      </c>
      <c r="M89" s="34" t="str">
        <f>'BIO DATA'!AJ44</f>
        <v>Romlah</v>
      </c>
      <c r="N89" s="125">
        <f>'BIO DATA'!AO44</f>
        <v>0</v>
      </c>
      <c r="O89" s="34" t="str">
        <f>'BIO DATA'!AF44</f>
        <v>PNS</v>
      </c>
      <c r="P89" s="34" t="str">
        <f>'BIO DATA'!AM44</f>
        <v>Guru</v>
      </c>
      <c r="Q89" s="159" t="str">
        <f>'BIO DATA'!I44</f>
        <v>MTs-25
120006319</v>
      </c>
    </row>
    <row r="90" spans="2:19" s="22" customFormat="1" ht="18.75">
      <c r="B90" s="60"/>
      <c r="C90" s="60"/>
      <c r="D90" s="60"/>
      <c r="E90" s="60"/>
      <c r="F90" s="60"/>
      <c r="G90" s="67"/>
      <c r="H90" s="60"/>
      <c r="I90" s="60"/>
      <c r="J90" s="60"/>
      <c r="K90" s="60"/>
      <c r="L90" s="60"/>
      <c r="M90" s="60" t="s">
        <v>3288</v>
      </c>
      <c r="N90" s="60"/>
      <c r="O90" s="60"/>
      <c r="P90" s="60"/>
      <c r="Q90" s="60"/>
    </row>
    <row r="91" spans="2:19" s="28" customFormat="1" ht="15.75" customHeight="1">
      <c r="B91" s="261" t="s">
        <v>0</v>
      </c>
      <c r="C91" s="271" t="s">
        <v>134</v>
      </c>
      <c r="D91" s="272" t="s">
        <v>2</v>
      </c>
      <c r="E91" s="261" t="s">
        <v>3</v>
      </c>
      <c r="F91" s="261" t="s">
        <v>8</v>
      </c>
      <c r="G91" s="261" t="s">
        <v>135</v>
      </c>
      <c r="H91" s="261" t="s">
        <v>136</v>
      </c>
      <c r="I91" s="261"/>
      <c r="J91" s="261" t="s">
        <v>6</v>
      </c>
      <c r="K91" s="273" t="s">
        <v>137</v>
      </c>
      <c r="L91" s="273"/>
      <c r="M91" s="273"/>
      <c r="N91" s="273"/>
      <c r="O91" s="261" t="s">
        <v>138</v>
      </c>
      <c r="P91" s="261"/>
      <c r="Q91" s="261" t="s">
        <v>159</v>
      </c>
    </row>
    <row r="92" spans="2:19" s="28" customFormat="1" ht="24.75" customHeight="1">
      <c r="B92" s="261"/>
      <c r="C92" s="271"/>
      <c r="D92" s="272"/>
      <c r="E92" s="261"/>
      <c r="F92" s="261"/>
      <c r="G92" s="261"/>
      <c r="H92" s="29" t="s">
        <v>140</v>
      </c>
      <c r="I92" s="29" t="s">
        <v>141</v>
      </c>
      <c r="J92" s="261"/>
      <c r="K92" s="29" t="s">
        <v>142</v>
      </c>
      <c r="L92" s="30" t="s">
        <v>142</v>
      </c>
      <c r="M92" s="29" t="s">
        <v>143</v>
      </c>
      <c r="N92" s="30" t="s">
        <v>144</v>
      </c>
      <c r="O92" s="29" t="s">
        <v>145</v>
      </c>
      <c r="P92" s="29" t="s">
        <v>146</v>
      </c>
      <c r="Q92" s="261"/>
      <c r="R92" s="31"/>
      <c r="S92" s="31"/>
    </row>
    <row r="93" spans="2:19" s="38" customFormat="1" ht="38.25" customHeight="1">
      <c r="B93" s="32">
        <v>18</v>
      </c>
      <c r="C93" s="33">
        <f>'BIO DATA'!D45</f>
        <v>11345</v>
      </c>
      <c r="D93" s="138" t="str">
        <f>'BIO DATA'!E45</f>
        <v>0105723225</v>
      </c>
      <c r="E93" s="34" t="str">
        <f>'BIO DATA'!F45</f>
        <v>Hammam Naufa Mabrur</v>
      </c>
      <c r="F93" s="35" t="str">
        <f>'BIO DATA'!Z45</f>
        <v>MTs. Mu'allimin Muh. Yogyakarta</v>
      </c>
      <c r="G93" s="68">
        <f>'BIO DATA'!J45</f>
        <v>1</v>
      </c>
      <c r="H93" s="34" t="str">
        <f>'BIO DATA'!N45</f>
        <v>Pekalongan</v>
      </c>
      <c r="I93" s="120" t="str">
        <f>'BIO DATA'!Q45</f>
        <v>23 Februari 2010</v>
      </c>
      <c r="J93" s="34" t="str">
        <f>'BIO DATA'!T45</f>
        <v>Griya Tirta Indah Gg 12 no 1 Rt 04 Rw 06 Tirta Kecamatan Pekalongan Barat kota Pekalongan Jawa Tengah 51119</v>
      </c>
      <c r="K93" s="34" t="str">
        <f>'BIO DATA'!AC45</f>
        <v>Titis Amin Mabrur</v>
      </c>
      <c r="L93" s="123" t="str">
        <f>'BIO DATA'!AH45</f>
        <v>08156939956</v>
      </c>
      <c r="M93" s="34" t="str">
        <f>'BIO DATA'!AJ45</f>
        <v>Nur Laelah</v>
      </c>
      <c r="N93" s="125">
        <f>'BIO DATA'!AO45</f>
        <v>0</v>
      </c>
      <c r="O93" s="34" t="str">
        <f>'BIO DATA'!AF45</f>
        <v>Lainnya</v>
      </c>
      <c r="P93" s="34" t="str">
        <f>'BIO DATA'!AM45</f>
        <v>Perawat</v>
      </c>
      <c r="Q93" s="159" t="str">
        <f>'BIO DATA'!I45</f>
        <v>MTs-25
120006323</v>
      </c>
    </row>
    <row r="94" spans="2:19" s="38" customFormat="1" ht="51">
      <c r="B94" s="32">
        <v>19</v>
      </c>
      <c r="C94" s="33">
        <f>'BIO DATA'!D46</f>
        <v>11361</v>
      </c>
      <c r="D94" s="138" t="str">
        <f>'BIO DATA'!E46</f>
        <v>0096634815</v>
      </c>
      <c r="E94" s="34" t="str">
        <f>'BIO DATA'!F46</f>
        <v>Kenzie Muhammad Zahidan Ardhie</v>
      </c>
      <c r="F94" s="35" t="str">
        <f>'BIO DATA'!Z46</f>
        <v>MTs. Mu'allimin Muh. Yogyakarta</v>
      </c>
      <c r="G94" s="68">
        <f>'BIO DATA'!J46</f>
        <v>1</v>
      </c>
      <c r="H94" s="34" t="str">
        <f>'BIO DATA'!N46</f>
        <v>Kebumen</v>
      </c>
      <c r="I94" s="120" t="str">
        <f>'BIO DATA'!Q46</f>
        <v>05 Juni 2009</v>
      </c>
      <c r="J94" s="34" t="str">
        <f>'BIO DATA'!T46</f>
        <v>Jl. Tjilik Riwut Rt. 13 Rw. 04, Kelurahan Mendawai, Kecamatan Sukamara, Kabupaten Sukamara Kalimantan Tengah 74712</v>
      </c>
      <c r="K94" s="34" t="str">
        <f>'BIO DATA'!AC46</f>
        <v>Sunardi</v>
      </c>
      <c r="L94" s="123" t="str">
        <f>'BIO DATA'!AH46</f>
        <v>081393980816</v>
      </c>
      <c r="M94" s="34" t="str">
        <f>'BIO DATA'!AJ46</f>
        <v>Susi Rohmawati</v>
      </c>
      <c r="N94" s="125">
        <f>'BIO DATA'!AO46</f>
        <v>0</v>
      </c>
      <c r="O94" s="34" t="str">
        <f>'BIO DATA'!AF46</f>
        <v>PNS</v>
      </c>
      <c r="P94" s="34" t="str">
        <f>'BIO DATA'!AM46</f>
        <v>Ibu Rumah Tangga</v>
      </c>
      <c r="Q94" s="159" t="str">
        <f>'BIO DATA'!I46</f>
        <v>MTs-25
120006324</v>
      </c>
    </row>
    <row r="95" spans="2:19" s="38" customFormat="1" ht="38.25">
      <c r="B95" s="32">
        <v>20</v>
      </c>
      <c r="C95" s="33">
        <f>'BIO DATA'!D47</f>
        <v>11362</v>
      </c>
      <c r="D95" s="138" t="str">
        <f>'BIO DATA'!E47</f>
        <v>0093843649</v>
      </c>
      <c r="E95" s="34" t="str">
        <f>'BIO DATA'!F47</f>
        <v>Khalaf Kanza Utomo</v>
      </c>
      <c r="F95" s="35" t="str">
        <f>'BIO DATA'!Z47</f>
        <v>MTs. Mu'allimin Muh. Yogyakarta</v>
      </c>
      <c r="G95" s="68">
        <f>'BIO DATA'!J47</f>
        <v>3</v>
      </c>
      <c r="H95" s="34" t="str">
        <f>'BIO DATA'!N47</f>
        <v>Surakarta</v>
      </c>
      <c r="I95" s="120" t="str">
        <f>'BIO DATA'!Q47</f>
        <v>03 November 2009</v>
      </c>
      <c r="J95" s="34" t="str">
        <f>'BIO DATA'!T47</f>
        <v>Perum Kopassus RT 001 RW 014 Jl. Melati 4 No. M-3 Bolon Colomadu Karanganyar Jawa Tengah 57178</v>
      </c>
      <c r="K95" s="34" t="str">
        <f>'BIO DATA'!AC47</f>
        <v>Sugiarto</v>
      </c>
      <c r="L95" s="123" t="str">
        <f>'BIO DATA'!AH47</f>
        <v>081382166309</v>
      </c>
      <c r="M95" s="34" t="str">
        <f>'BIO DATA'!AJ47</f>
        <v>Dwi Yunianti Taurisia</v>
      </c>
      <c r="N95" s="125">
        <f>'BIO DATA'!AO47</f>
        <v>0</v>
      </c>
      <c r="O95" s="34" t="str">
        <f>'BIO DATA'!AF47</f>
        <v>Lainnya</v>
      </c>
      <c r="P95" s="34" t="str">
        <f>'BIO DATA'!AM47</f>
        <v>Perawat</v>
      </c>
      <c r="Q95" s="159" t="str">
        <f>'BIO DATA'!I47</f>
        <v>MTs-25
120006325</v>
      </c>
    </row>
    <row r="96" spans="2:19" s="38" customFormat="1" ht="51">
      <c r="B96" s="32">
        <v>21</v>
      </c>
      <c r="C96" s="33">
        <f>'BIO DATA'!D48</f>
        <v>11372</v>
      </c>
      <c r="D96" s="138" t="str">
        <f>'BIO DATA'!E48</f>
        <v>0107261429</v>
      </c>
      <c r="E96" s="34" t="str">
        <f>'BIO DATA'!F48</f>
        <v>M. Rois Achsanul Huda</v>
      </c>
      <c r="F96" s="35" t="str">
        <f>'BIO DATA'!Z48</f>
        <v>MTs. Mu'allimin Muh. Yogyakarta</v>
      </c>
      <c r="G96" s="68">
        <f>'BIO DATA'!J48</f>
        <v>1</v>
      </c>
      <c r="H96" s="34" t="str">
        <f>'BIO DATA'!N48</f>
        <v>Ogan Komering Ulu</v>
      </c>
      <c r="I96" s="120" t="str">
        <f>'BIO DATA'!Q48</f>
        <v>06 April 2010</v>
      </c>
      <c r="J96" s="34" t="str">
        <f>'BIO DATA'!T48</f>
        <v>DS. Baturaja No.0020 RT.006 RW.002 Kelurahan Baturaja Lama, Kecamatan Baturaja Timur, Kabupaten Ogan Komering Ulu, Sumatera Selatan, 31114</v>
      </c>
      <c r="K96" s="34" t="str">
        <f>'BIO DATA'!AC48</f>
        <v>Ahmad Sugeng Santoso</v>
      </c>
      <c r="L96" s="123" t="str">
        <f>'BIO DATA'!AH48</f>
        <v>089604000965</v>
      </c>
      <c r="M96" s="34" t="str">
        <f>'BIO DATA'!AJ48</f>
        <v>Sri Rahayu</v>
      </c>
      <c r="N96" s="125">
        <f>'BIO DATA'!AO48</f>
        <v>0</v>
      </c>
      <c r="O96" s="34" t="str">
        <f>'BIO DATA'!AF48</f>
        <v>Wiraswasta</v>
      </c>
      <c r="P96" s="34" t="str">
        <f>'BIO DATA'!AM48</f>
        <v>Dosen</v>
      </c>
      <c r="Q96" s="159" t="str">
        <f>'BIO DATA'!I48</f>
        <v>MTs-25
120006476</v>
      </c>
    </row>
    <row r="97" spans="2:17" s="38" customFormat="1" ht="38.25">
      <c r="B97" s="32">
        <v>22</v>
      </c>
      <c r="C97" s="33">
        <f>'BIO DATA'!D49</f>
        <v>11414</v>
      </c>
      <c r="D97" s="138" t="str">
        <f>'BIO DATA'!E49</f>
        <v>0091062545</v>
      </c>
      <c r="E97" s="34" t="str">
        <f>'BIO DATA'!F49</f>
        <v>Muh Farrel Rakha Rajendra M</v>
      </c>
      <c r="F97" s="35" t="str">
        <f>'BIO DATA'!Z49</f>
        <v>MTs. Mu'allimin Muh. Yogyakarta</v>
      </c>
      <c r="G97" s="68">
        <f>'BIO DATA'!J49</f>
        <v>1</v>
      </c>
      <c r="H97" s="34" t="str">
        <f>'BIO DATA'!N49</f>
        <v>Magelang</v>
      </c>
      <c r="I97" s="120" t="str">
        <f>'BIO DATA'!Q49</f>
        <v>30 Mei 2009</v>
      </c>
      <c r="J97" s="34" t="str">
        <f>'BIO DATA'!T49</f>
        <v>Botton 1 No.489 RT 02 RW 05 Kel. Magelang Kec. Magelang Tengah Kota Magelang Jawa Tengah 56111</v>
      </c>
      <c r="K97" s="34" t="str">
        <f>'BIO DATA'!AC49</f>
        <v>Nanang Yudo Cahyono</v>
      </c>
      <c r="L97" s="123" t="str">
        <f>'BIO DATA'!AH49</f>
        <v>081548828911</v>
      </c>
      <c r="M97" s="34" t="str">
        <f>'BIO DATA'!AJ49</f>
        <v>Maftuhah</v>
      </c>
      <c r="N97" s="125">
        <f>'BIO DATA'!AO49</f>
        <v>0</v>
      </c>
      <c r="O97" s="34" t="str">
        <f>'BIO DATA'!AF49</f>
        <v>PNS</v>
      </c>
      <c r="P97" s="34" t="str">
        <f>'BIO DATA'!AM49</f>
        <v>Ibu Rumah Tangga</v>
      </c>
      <c r="Q97" s="159" t="str">
        <f>'BIO DATA'!I49</f>
        <v>MTs-25
120006326</v>
      </c>
    </row>
    <row r="98" spans="2:17" s="38" customFormat="1" ht="25.5">
      <c r="B98" s="32">
        <v>23</v>
      </c>
      <c r="C98" s="33">
        <f>'BIO DATA'!D50</f>
        <v>11397</v>
      </c>
      <c r="D98" s="138" t="str">
        <f>'BIO DATA'!E50</f>
        <v>3094859829</v>
      </c>
      <c r="E98" s="34" t="str">
        <f>'BIO DATA'!F50</f>
        <v>Muhammad Afkar Raziq</v>
      </c>
      <c r="F98" s="35" t="str">
        <f>'BIO DATA'!Z50</f>
        <v>MTs. Mu'allimin Muh. Yogyakarta</v>
      </c>
      <c r="G98" s="68">
        <f>'BIO DATA'!J50</f>
        <v>1</v>
      </c>
      <c r="H98" s="34" t="str">
        <f>'BIO DATA'!N50</f>
        <v>Yogyakarta</v>
      </c>
      <c r="I98" s="120" t="str">
        <f>'BIO DATA'!Q50</f>
        <v>10 Desember 2009</v>
      </c>
      <c r="J98" s="34" t="str">
        <f>'BIO DATA'!T50</f>
        <v>Selokraman, KG.III/1034 RT 48 RW 11 Purbayan Kotagede Yogyakarta 55173</v>
      </c>
      <c r="K98" s="34" t="str">
        <f>'BIO DATA'!AC50</f>
        <v>Heru Suparna</v>
      </c>
      <c r="L98" s="123" t="str">
        <f>'BIO DATA'!AH50</f>
        <v>081243504970</v>
      </c>
      <c r="M98" s="34" t="str">
        <f>'BIO DATA'!AJ50</f>
        <v>Nurhayati, S.Ag.</v>
      </c>
      <c r="N98" s="125">
        <f>'BIO DATA'!AO50</f>
        <v>0</v>
      </c>
      <c r="O98" s="34" t="str">
        <f>'BIO DATA'!AF50</f>
        <v>Wiraswasta</v>
      </c>
      <c r="P98" s="34" t="str">
        <f>'BIO DATA'!AM50</f>
        <v>Wiraswasta</v>
      </c>
      <c r="Q98" s="159" t="str">
        <f>'BIO DATA'!I50</f>
        <v>MTs-25 120006352</v>
      </c>
    </row>
    <row r="99" spans="2:17" s="38" customFormat="1" ht="25.5">
      <c r="B99" s="32">
        <v>24</v>
      </c>
      <c r="C99" s="33">
        <f>'BIO DATA'!D51</f>
        <v>11391</v>
      </c>
      <c r="D99" s="138" t="str">
        <f>'BIO DATA'!E51</f>
        <v>0097864718</v>
      </c>
      <c r="E99" s="34" t="str">
        <f>'BIO DATA'!F51</f>
        <v>Muhammad Archard Abbasy</v>
      </c>
      <c r="F99" s="35" t="str">
        <f>'BIO DATA'!Z51</f>
        <v>MTs. Mu'allimin Muh. Yogyakarta</v>
      </c>
      <c r="G99" s="68">
        <f>'BIO DATA'!J51</f>
        <v>2</v>
      </c>
      <c r="H99" s="34" t="str">
        <f>'BIO DATA'!N51</f>
        <v>Yogyakarta</v>
      </c>
      <c r="I99" s="120" t="str">
        <f>'BIO DATA'!Q51</f>
        <v>18 Juni 2009</v>
      </c>
      <c r="J99" s="34" t="str">
        <f>'BIO DATA'!T51</f>
        <v>Jalan Retnodumilah 52 c KG Yogyakarta 55171</v>
      </c>
      <c r="K99" s="34" t="str">
        <f>'BIO DATA'!AC51</f>
        <v>Zaki Himawan</v>
      </c>
      <c r="L99" s="123" t="str">
        <f>'BIO DATA'!AH51</f>
        <v>yraf</v>
      </c>
      <c r="M99" s="34" t="str">
        <f>'BIO DATA'!AJ51</f>
        <v>Lenny Yanuaningrum</v>
      </c>
      <c r="N99" s="125">
        <f>'BIO DATA'!AO51</f>
        <v>0</v>
      </c>
      <c r="O99" s="34" t="str">
        <f>'BIO DATA'!AF51</f>
        <v>Karyawan Swasta</v>
      </c>
      <c r="P99" s="34" t="str">
        <f>'BIO DATA'!AM51</f>
        <v>Ibu Rumah Tangga</v>
      </c>
      <c r="Q99" s="159" t="str">
        <f>'BIO DATA'!I51</f>
        <v>MTs-25
120006327</v>
      </c>
    </row>
    <row r="100" spans="2:17" s="38" customFormat="1" ht="38.25">
      <c r="B100" s="32">
        <v>25</v>
      </c>
      <c r="C100" s="33">
        <f>'BIO DATA'!D52</f>
        <v>11408</v>
      </c>
      <c r="D100" s="138" t="str">
        <f>'BIO DATA'!E52</f>
        <v>0109618634</v>
      </c>
      <c r="E100" s="34" t="str">
        <f>'BIO DATA'!F52</f>
        <v>Muhammad Faisal Akbar</v>
      </c>
      <c r="F100" s="35" t="str">
        <f>'BIO DATA'!Z52</f>
        <v>MTs. Mu'allimin Muh. Yogyakarta</v>
      </c>
      <c r="G100" s="68">
        <f>'BIO DATA'!J52</f>
        <v>3</v>
      </c>
      <c r="H100" s="34" t="str">
        <f>'BIO DATA'!N52</f>
        <v>Jakarta</v>
      </c>
      <c r="I100" s="120" t="str">
        <f>'BIO DATA'!Q52</f>
        <v>25 Juni 2010</v>
      </c>
      <c r="J100" s="34" t="str">
        <f>'BIO DATA'!T52</f>
        <v>Jalan Pemuda 3 No. 8 RT 013 RW 002 kel. Rawamangun Kec. Pulogadung Jakarta Timur, DKI Jakarta, 13220</v>
      </c>
      <c r="K100" s="34" t="str">
        <f>'BIO DATA'!AC52</f>
        <v>Nurul Haq</v>
      </c>
      <c r="L100" s="123" t="str">
        <f>'BIO DATA'!AH52</f>
        <v>081381706001</v>
      </c>
      <c r="M100" s="34" t="str">
        <f>'BIO DATA'!AJ52</f>
        <v>Noer Hikmah</v>
      </c>
      <c r="N100" s="125">
        <f>'BIO DATA'!AO52</f>
        <v>0</v>
      </c>
      <c r="O100" s="34" t="str">
        <f>'BIO DATA'!AF52</f>
        <v>Wiraswasta</v>
      </c>
      <c r="P100" s="34" t="str">
        <f>'BIO DATA'!AM52</f>
        <v>Ibu Rumah Tangga</v>
      </c>
      <c r="Q100" s="159" t="str">
        <f>'BIO DATA'!I52</f>
        <v>MTs-25
120006448</v>
      </c>
    </row>
    <row r="101" spans="2:17" s="38" customFormat="1" ht="38.25">
      <c r="B101" s="32">
        <v>26</v>
      </c>
      <c r="C101" s="33">
        <f>'BIO DATA'!D53</f>
        <v>11412</v>
      </c>
      <c r="D101" s="138" t="str">
        <f>'BIO DATA'!E53</f>
        <v>0094745239</v>
      </c>
      <c r="E101" s="34" t="str">
        <f>'BIO DATA'!F53</f>
        <v>Muhammad Faiz Sholehuddin</v>
      </c>
      <c r="F101" s="35" t="str">
        <f>'BIO DATA'!Z53</f>
        <v>MTs. Mu'allimin Muh. Yogyakarta</v>
      </c>
      <c r="G101" s="68">
        <f>'BIO DATA'!J53</f>
        <v>1</v>
      </c>
      <c r="H101" s="34" t="str">
        <f>'BIO DATA'!N53</f>
        <v>Sidoarjo</v>
      </c>
      <c r="I101" s="120" t="str">
        <f>'BIO DATA'!Q53</f>
        <v>16 Desember 2009</v>
      </c>
      <c r="J101" s="34" t="str">
        <f>'BIO DATA'!T53</f>
        <v>Perum Puri Mojobaru Blok Aa22, Canggu, Jetis, Mojokerto Jawa Timur 61352</v>
      </c>
      <c r="K101" s="34" t="str">
        <f>'BIO DATA'!AC53</f>
        <v>Tommy Andhik Wibowo</v>
      </c>
      <c r="L101" s="123">
        <f>'BIO DATA'!AH53</f>
        <v>0</v>
      </c>
      <c r="M101" s="34" t="str">
        <f>'BIO DATA'!AJ53</f>
        <v>Maria Ulfa</v>
      </c>
      <c r="N101" s="125" t="str">
        <f>'BIO DATA'!AO53</f>
        <v>08814308301</v>
      </c>
      <c r="O101" s="34">
        <f>'BIO DATA'!AF53</f>
        <v>0</v>
      </c>
      <c r="P101" s="34" t="str">
        <f>'BIO DATA'!AM53</f>
        <v>Lainnya</v>
      </c>
      <c r="Q101" s="159" t="str">
        <f>'BIO DATA'!I53</f>
        <v>MTs-25
120006329</v>
      </c>
    </row>
    <row r="102" spans="2:17" s="38" customFormat="1" ht="25.5">
      <c r="B102" s="32">
        <v>27</v>
      </c>
      <c r="C102" s="33">
        <f>'BIO DATA'!D54</f>
        <v>11419</v>
      </c>
      <c r="D102" s="138" t="str">
        <f>'BIO DATA'!E54</f>
        <v>0115041337</v>
      </c>
      <c r="E102" s="34" t="str">
        <f>'BIO DATA'!F54</f>
        <v>Muhammad Fikri Adnan</v>
      </c>
      <c r="F102" s="35" t="str">
        <f>'BIO DATA'!Z54</f>
        <v>MTs. Mu'allimin Muh. Yogyakarta</v>
      </c>
      <c r="G102" s="68">
        <f>'BIO DATA'!J54</f>
        <v>1</v>
      </c>
      <c r="H102" s="34" t="str">
        <f>'BIO DATA'!N54</f>
        <v>Sleman</v>
      </c>
      <c r="I102" s="120" t="str">
        <f>'BIO DATA'!Q54</f>
        <v>06 Juni 2009</v>
      </c>
      <c r="J102" s="34" t="str">
        <f>'BIO DATA'!T54</f>
        <v>Wirobrajan WB II/ 335, Wirobrajan, Yogyakarta 55252</v>
      </c>
      <c r="K102" s="34" t="str">
        <f>'BIO DATA'!AC54</f>
        <v>Samsyul Bukhari</v>
      </c>
      <c r="L102" s="123" t="str">
        <f>'BIO DATA'!AH54</f>
        <v>081326599370</v>
      </c>
      <c r="M102" s="34" t="str">
        <f>'BIO DATA'!AJ54</f>
        <v>Yunika Sapta Savanty</v>
      </c>
      <c r="N102" s="125">
        <f>'BIO DATA'!AO54</f>
        <v>0</v>
      </c>
      <c r="O102" s="34" t="str">
        <f>'BIO DATA'!AF54</f>
        <v>Wiraswasta</v>
      </c>
      <c r="P102" s="34" t="str">
        <f>'BIO DATA'!AM54</f>
        <v>Wiraswasta</v>
      </c>
      <c r="Q102" s="159" t="str">
        <f>'BIO DATA'!I54</f>
        <v>MTs-25
120006389</v>
      </c>
    </row>
    <row r="103" spans="2:17" s="38" customFormat="1" ht="38.25">
      <c r="B103" s="32">
        <v>28</v>
      </c>
      <c r="C103" s="33">
        <f>'BIO DATA'!D55</f>
        <v>11437</v>
      </c>
      <c r="D103" s="138" t="str">
        <f>'BIO DATA'!E55</f>
        <v>0101853554</v>
      </c>
      <c r="E103" s="34" t="str">
        <f>'BIO DATA'!F55</f>
        <v>Muhammad Nabil Hakim Nugroho</v>
      </c>
      <c r="F103" s="35" t="str">
        <f>'BIO DATA'!Z55</f>
        <v>MTs. Mu'allimin Muh. Yogyakarta</v>
      </c>
      <c r="G103" s="68">
        <f>'BIO DATA'!J55</f>
        <v>2</v>
      </c>
      <c r="H103" s="34" t="str">
        <f>'BIO DATA'!N55</f>
        <v>Pasuruan</v>
      </c>
      <c r="I103" s="120" t="str">
        <f>'BIO DATA'!Q55</f>
        <v>01 Februari 2010</v>
      </c>
      <c r="J103" s="34" t="str">
        <f>'BIO DATA'!T55</f>
        <v>Perum Bintang Alam Blok E 2 No. 31 RT. 45 RW. 11 Telukjambe Timur Karawang, Jawa Barat, 41361</v>
      </c>
      <c r="K103" s="34" t="str">
        <f>'BIO DATA'!AC55</f>
        <v>Teguh Nugroho</v>
      </c>
      <c r="L103" s="123" t="str">
        <f>'BIO DATA'!AH55</f>
        <v>081252593747</v>
      </c>
      <c r="M103" s="34" t="str">
        <f>'BIO DATA'!AJ55</f>
        <v>Novi Amalia</v>
      </c>
      <c r="N103" s="125">
        <f>'BIO DATA'!AO55</f>
        <v>0</v>
      </c>
      <c r="O103" s="34" t="str">
        <f>'BIO DATA'!AF55</f>
        <v>Lainnya</v>
      </c>
      <c r="P103" s="34" t="str">
        <f>'BIO DATA'!AM55</f>
        <v>Ibu Rumah Tangga</v>
      </c>
      <c r="Q103" s="159" t="str">
        <f>'BIO DATA'!I55</f>
        <v>MTs-25
120006452</v>
      </c>
    </row>
    <row r="104" spans="2:17" s="38" customFormat="1" ht="38.25">
      <c r="B104" s="32">
        <v>29</v>
      </c>
      <c r="C104" s="33">
        <f>'BIO DATA'!D56</f>
        <v>11463</v>
      </c>
      <c r="D104" s="138" t="str">
        <f>'BIO DATA'!E56</f>
        <v>0093749124</v>
      </c>
      <c r="E104" s="34" t="str">
        <f>'BIO DATA'!F56</f>
        <v>Muhammad Sabiq Alhafidz</v>
      </c>
      <c r="F104" s="35" t="str">
        <f>'BIO DATA'!Z56</f>
        <v>MTs. Mu'allimin Muh. Yogyakarta</v>
      </c>
      <c r="G104" s="68">
        <f>'BIO DATA'!J56</f>
        <v>2</v>
      </c>
      <c r="H104" s="34" t="str">
        <f>'BIO DATA'!N56</f>
        <v>Palembang</v>
      </c>
      <c r="I104" s="120" t="str">
        <f>'BIO DATA'!Q56</f>
        <v>19 November 2009</v>
      </c>
      <c r="J104" s="34" t="str">
        <f>'BIO DATA'!T56</f>
        <v>Jl Soekarno Hatta No.31 RT.005 RW.002, Anggut Atas, Ratu Samban, Kota Bengkulu, Bengkulu 38222</v>
      </c>
      <c r="K104" s="34" t="str">
        <f>'BIO DATA'!AC56</f>
        <v>Fakhruddin</v>
      </c>
      <c r="L104" s="123" t="str">
        <f>'BIO DATA'!AH56</f>
        <v>081367028248</v>
      </c>
      <c r="M104" s="34" t="str">
        <f>'BIO DATA'!AJ56</f>
        <v>Mey Ida Magdalena</v>
      </c>
      <c r="N104" s="125">
        <f>'BIO DATA'!AO56</f>
        <v>0</v>
      </c>
      <c r="O104" s="34" t="str">
        <f>'BIO DATA'!AF56</f>
        <v>PNS</v>
      </c>
      <c r="P104" s="34" t="str">
        <f>'BIO DATA'!AM56</f>
        <v>PNS</v>
      </c>
      <c r="Q104" s="159" t="str">
        <f>'BIO DATA'!I56</f>
        <v>MTs-25
120006360</v>
      </c>
    </row>
    <row r="105" spans="2:17" s="38" customFormat="1" ht="51">
      <c r="B105" s="32">
        <v>30</v>
      </c>
      <c r="C105" s="33">
        <f>'BIO DATA'!D57</f>
        <v>11474</v>
      </c>
      <c r="D105" s="138" t="str">
        <f>'BIO DATA'!E57</f>
        <v>0099313678</v>
      </c>
      <c r="E105" s="34" t="str">
        <f>'BIO DATA'!F57</f>
        <v>Nala Naylan Najahi</v>
      </c>
      <c r="F105" s="35" t="str">
        <f>'BIO DATA'!Z57</f>
        <v>MTs. Mu'allimin Muh. Yogyakarta</v>
      </c>
      <c r="G105" s="68">
        <f>'BIO DATA'!J57</f>
        <v>1</v>
      </c>
      <c r="H105" s="34" t="str">
        <f>'BIO DATA'!N57</f>
        <v>Jember</v>
      </c>
      <c r="I105" s="120" t="str">
        <f>'BIO DATA'!Q57</f>
        <v>04 September 2009</v>
      </c>
      <c r="J105" s="34" t="str">
        <f>'BIO DATA'!T57</f>
        <v>Perumahan Griya Mangli Indah Blok EE No 35 RT. 02 RW. 05, Desa Mangli, Kec. Kaliwates, Kab. Jember Jawa Timur 68136</v>
      </c>
      <c r="K105" s="34" t="str">
        <f>'BIO DATA'!AC57</f>
        <v>Kasman</v>
      </c>
      <c r="L105" s="123" t="str">
        <f>'BIO DATA'!AH57</f>
        <v>08124984044</v>
      </c>
      <c r="M105" s="34" t="str">
        <f>'BIO DATA'!AJ57</f>
        <v>Lilik Umu Hanik</v>
      </c>
      <c r="N105" s="125">
        <f>'BIO DATA'!AO57</f>
        <v>0</v>
      </c>
      <c r="O105" s="34" t="str">
        <f>'BIO DATA'!AF57</f>
        <v>Dosen</v>
      </c>
      <c r="P105" s="34" t="str">
        <f>'BIO DATA'!AM57</f>
        <v>PNS</v>
      </c>
      <c r="Q105" s="159" t="str">
        <f>'BIO DATA'!I57</f>
        <v>MTs-25
120006361</v>
      </c>
    </row>
    <row r="106" spans="2:17" s="38" customFormat="1" ht="38.25">
      <c r="B106" s="32">
        <v>31</v>
      </c>
      <c r="C106" s="33">
        <f>'BIO DATA'!D58</f>
        <v>11490</v>
      </c>
      <c r="D106" s="138" t="str">
        <f>'BIO DATA'!E58</f>
        <v>0102589279</v>
      </c>
      <c r="E106" s="34" t="str">
        <f>'BIO DATA'!F58</f>
        <v>Rayi Pamungkas Yahwidhi</v>
      </c>
      <c r="F106" s="35" t="str">
        <f>'BIO DATA'!Z58</f>
        <v>MTs. Mu'allimin Muh. Yogyakarta</v>
      </c>
      <c r="G106" s="68">
        <f>'BIO DATA'!J58</f>
        <v>3</v>
      </c>
      <c r="H106" s="34" t="str">
        <f>'BIO DATA'!N58</f>
        <v>Tanah Grogot</v>
      </c>
      <c r="I106" s="120" t="str">
        <f>'BIO DATA'!Q58</f>
        <v>22 Maret 2010</v>
      </c>
      <c r="J106" s="34" t="str">
        <f>'BIO DATA'!T58</f>
        <v>BTN Jone Indah jalan langsat no.52, Tanah Grogot, Kab. Paser Kalimantan Timur 76211</v>
      </c>
      <c r="K106" s="34" t="str">
        <f>'BIO DATA'!AC58</f>
        <v>Subiyanto</v>
      </c>
      <c r="L106" s="123" t="str">
        <f>'BIO DATA'!AH58</f>
        <v>08125821199</v>
      </c>
      <c r="M106" s="34" t="str">
        <f>'BIO DATA'!AJ58</f>
        <v>Supriyani</v>
      </c>
      <c r="N106" s="125">
        <f>'BIO DATA'!AO58</f>
        <v>0</v>
      </c>
      <c r="O106" s="34" t="str">
        <f>'BIO DATA'!AF58</f>
        <v>Lainnya</v>
      </c>
      <c r="P106" s="34" t="str">
        <f>'BIO DATA'!AM58</f>
        <v>Ibu Rumah Tangga</v>
      </c>
      <c r="Q106" s="159" t="str">
        <f>'BIO DATA'!I58</f>
        <v>MTs-25
120006396</v>
      </c>
    </row>
    <row r="107" spans="2:17" s="38" customFormat="1" ht="50.25" customHeight="1">
      <c r="B107" s="32">
        <v>32</v>
      </c>
      <c r="C107" s="33">
        <f>'BIO DATA'!D59</f>
        <v>11502</v>
      </c>
      <c r="D107" s="138" t="str">
        <f>'BIO DATA'!E59</f>
        <v>0102892618</v>
      </c>
      <c r="E107" s="34" t="str">
        <f>'BIO DATA'!F59</f>
        <v>Syafiq Shalahuddin</v>
      </c>
      <c r="F107" s="35" t="str">
        <f>'BIO DATA'!Z59</f>
        <v>MTs. Mu'allimin Muh. Yogyakarta</v>
      </c>
      <c r="G107" s="68">
        <f>'BIO DATA'!J59</f>
        <v>6</v>
      </c>
      <c r="H107" s="34" t="str">
        <f>'BIO DATA'!N59</f>
        <v>Temanggung</v>
      </c>
      <c r="I107" s="120" t="str">
        <f>'BIO DATA'!Q59</f>
        <v>10 Mei 2009</v>
      </c>
      <c r="J107" s="34" t="str">
        <f>'BIO DATA'!T59</f>
        <v xml:space="preserve">Griya Manding Asri, No. F-2, RT 06/RW 01 Kel. Manding, Kec. Temanggung, Kab. Temanggung Jawa Tengah 56224 </v>
      </c>
      <c r="K107" s="34" t="str">
        <f>'BIO DATA'!AC59</f>
        <v>Muhammad Bani Sukron</v>
      </c>
      <c r="L107" s="123" t="str">
        <f>'BIO DATA'!AH59</f>
        <v>081328071650</v>
      </c>
      <c r="M107" s="34" t="str">
        <f>'BIO DATA'!AJ59</f>
        <v>Herny Juniasri</v>
      </c>
      <c r="N107" s="125">
        <f>'BIO DATA'!AO59</f>
        <v>0</v>
      </c>
      <c r="O107" s="34" t="str">
        <f>'BIO DATA'!AF59</f>
        <v>PNS</v>
      </c>
      <c r="P107" s="34" t="str">
        <f>'BIO DATA'!AM59</f>
        <v>PNS</v>
      </c>
      <c r="Q107" s="159" t="str">
        <f>'BIO DATA'!I59</f>
        <v>MTs-25
120006397</v>
      </c>
    </row>
    <row r="108" spans="2:17" s="38" customFormat="1" ht="25.5">
      <c r="B108" s="32">
        <v>33</v>
      </c>
      <c r="C108" s="33">
        <f>'BIO DATA'!D60</f>
        <v>11510</v>
      </c>
      <c r="D108" s="138" t="str">
        <f>'BIO DATA'!E60</f>
        <v>0097111864</v>
      </c>
      <c r="E108" s="34" t="str">
        <f>'BIO DATA'!F60</f>
        <v>Zaidan Ahsanu 'Amala</v>
      </c>
      <c r="F108" s="35" t="str">
        <f>'BIO DATA'!Z60</f>
        <v>MTs. Mu'allimin Muh. Yogyakarta</v>
      </c>
      <c r="G108" s="68">
        <f>'BIO DATA'!J60</f>
        <v>3</v>
      </c>
      <c r="H108" s="34" t="str">
        <f>'BIO DATA'!N60</f>
        <v>Bantul</v>
      </c>
      <c r="I108" s="120" t="str">
        <f>'BIO DATA'!Q60</f>
        <v>24 Desember 2009</v>
      </c>
      <c r="J108" s="34" t="str">
        <f>'BIO DATA'!T60</f>
        <v>Sanden DK XV, Murtigading Sanden Bantul, DI Yogyakarta, 55763</v>
      </c>
      <c r="K108" s="34" t="str">
        <f>'BIO DATA'!AC60</f>
        <v>Arba Riksawan Qomaru</v>
      </c>
      <c r="L108" s="123" t="str">
        <f>'BIO DATA'!AH60</f>
        <v>082138319093</v>
      </c>
      <c r="M108" s="34" t="str">
        <f>'BIO DATA'!AJ60</f>
        <v>Anni Mutmainah</v>
      </c>
      <c r="N108" s="125">
        <f>'BIO DATA'!AO60</f>
        <v>0</v>
      </c>
      <c r="O108" s="34" t="str">
        <f>'BIO DATA'!AF60</f>
        <v>Lainnya</v>
      </c>
      <c r="P108" s="34" t="str">
        <f>'BIO DATA'!AM60</f>
        <v>Karyawan Swasta</v>
      </c>
      <c r="Q108" s="159" t="str">
        <f>'BIO DATA'!I60</f>
        <v>MTs-25
120006459</v>
      </c>
    </row>
    <row r="109" spans="2:17" s="38" customFormat="1" ht="12.75">
      <c r="B109" s="39"/>
      <c r="C109" s="40"/>
      <c r="D109" s="144"/>
      <c r="E109" s="41"/>
      <c r="F109" s="37"/>
      <c r="G109" s="108"/>
      <c r="H109" s="41"/>
      <c r="I109" s="121"/>
      <c r="J109" s="41"/>
      <c r="K109" s="41"/>
      <c r="L109" s="136"/>
      <c r="M109" s="41"/>
      <c r="N109" s="137"/>
      <c r="O109" s="41"/>
      <c r="P109" s="41"/>
      <c r="Q109" s="244"/>
    </row>
    <row r="110" spans="2:17" s="38" customFormat="1" ht="12.75">
      <c r="B110" s="39"/>
      <c r="C110" s="40"/>
      <c r="D110" s="144"/>
      <c r="E110" s="41"/>
      <c r="F110" s="37"/>
      <c r="G110" s="108"/>
      <c r="H110" s="41"/>
      <c r="I110" s="121"/>
      <c r="J110" s="41"/>
      <c r="K110" s="41"/>
      <c r="L110" s="136"/>
      <c r="M110" s="41"/>
      <c r="N110" s="137"/>
      <c r="O110" s="41"/>
      <c r="P110" s="41"/>
      <c r="Q110" s="244"/>
    </row>
    <row r="111" spans="2:17" s="38" customFormat="1" ht="12.75">
      <c r="B111" s="39"/>
      <c r="C111" s="40"/>
      <c r="D111" s="144"/>
      <c r="E111" s="41"/>
      <c r="F111" s="37"/>
      <c r="G111" s="108"/>
      <c r="H111" s="41"/>
      <c r="I111" s="121"/>
      <c r="J111" s="41"/>
      <c r="K111" s="41"/>
      <c r="L111" s="136"/>
      <c r="M111" s="41"/>
      <c r="N111" s="137"/>
      <c r="O111" s="41"/>
      <c r="P111" s="41"/>
      <c r="Q111" s="244"/>
    </row>
    <row r="112" spans="2:17" s="38" customFormat="1" ht="12.75">
      <c r="B112" s="39"/>
      <c r="C112" s="40"/>
      <c r="D112" s="144"/>
      <c r="E112" s="41"/>
      <c r="F112" s="37"/>
      <c r="G112" s="108"/>
      <c r="H112" s="41"/>
      <c r="I112" s="121"/>
      <c r="J112" s="41"/>
      <c r="K112" s="41"/>
      <c r="L112" s="136"/>
      <c r="M112" s="41"/>
      <c r="N112" s="137"/>
      <c r="O112" s="41"/>
      <c r="P112" s="41"/>
      <c r="Q112" s="244"/>
    </row>
    <row r="113" spans="2:19" s="38" customFormat="1" ht="12.75">
      <c r="B113" s="39"/>
      <c r="C113" s="40"/>
      <c r="D113" s="144"/>
      <c r="E113" s="41"/>
      <c r="F113" s="37"/>
      <c r="G113" s="108"/>
      <c r="H113" s="41"/>
      <c r="I113" s="121"/>
      <c r="J113" s="41"/>
      <c r="K113" s="41"/>
      <c r="L113" s="136"/>
      <c r="M113" s="41"/>
      <c r="N113" s="137"/>
      <c r="O113" s="41"/>
      <c r="P113" s="41"/>
      <c r="Q113" s="244"/>
    </row>
    <row r="114" spans="2:19" s="38" customFormat="1" ht="12.75">
      <c r="B114" s="39"/>
      <c r="C114" s="40"/>
      <c r="D114" s="144"/>
      <c r="E114" s="41"/>
      <c r="F114" s="37"/>
      <c r="G114" s="108"/>
      <c r="H114" s="41"/>
      <c r="I114" s="121"/>
      <c r="J114" s="41"/>
      <c r="K114" s="41"/>
      <c r="L114" s="136"/>
      <c r="M114" s="41"/>
      <c r="N114" s="137"/>
      <c r="O114" s="41"/>
      <c r="P114" s="41"/>
      <c r="Q114" s="244"/>
    </row>
    <row r="115" spans="2:19" s="38" customFormat="1" ht="12.75">
      <c r="B115" s="39"/>
      <c r="C115" s="40"/>
      <c r="D115" s="144"/>
      <c r="E115" s="41"/>
      <c r="F115" s="37"/>
      <c r="G115" s="108"/>
      <c r="H115" s="41"/>
      <c r="I115" s="121"/>
      <c r="J115" s="41"/>
      <c r="K115" s="41"/>
      <c r="L115" s="136"/>
      <c r="M115" s="41"/>
      <c r="N115" s="137"/>
      <c r="O115" s="41"/>
      <c r="P115" s="41"/>
      <c r="Q115" s="244"/>
    </row>
    <row r="116" spans="2:19" s="38" customFormat="1" ht="12.75">
      <c r="B116" s="39"/>
      <c r="C116" s="40"/>
      <c r="D116" s="144"/>
      <c r="E116" s="41"/>
      <c r="F116" s="37"/>
      <c r="G116" s="108"/>
      <c r="H116" s="41"/>
      <c r="I116" s="121"/>
      <c r="J116" s="41"/>
      <c r="K116" s="41"/>
      <c r="L116" s="136"/>
      <c r="M116" s="41"/>
      <c r="N116" s="137"/>
      <c r="O116" s="41"/>
      <c r="P116" s="41"/>
      <c r="Q116" s="244"/>
    </row>
    <row r="117" spans="2:19" s="38" customFormat="1" ht="12.75">
      <c r="B117" s="39"/>
      <c r="C117" s="40"/>
      <c r="D117" s="144"/>
      <c r="E117" s="41"/>
      <c r="F117" s="37"/>
      <c r="G117" s="108"/>
      <c r="H117" s="41"/>
      <c r="I117" s="121"/>
      <c r="J117" s="41"/>
      <c r="K117" s="41"/>
      <c r="L117" s="136"/>
      <c r="M117" s="41"/>
      <c r="N117" s="137"/>
      <c r="O117" s="41"/>
      <c r="P117" s="41"/>
      <c r="Q117" s="244"/>
    </row>
    <row r="118" spans="2:19" s="22" customFormat="1" ht="18.75">
      <c r="B118" s="263" t="s">
        <v>3289</v>
      </c>
      <c r="C118" s="263"/>
      <c r="D118" s="263"/>
      <c r="E118" s="263"/>
      <c r="F118" s="263"/>
      <c r="G118" s="263"/>
      <c r="H118" s="263"/>
      <c r="I118" s="263"/>
      <c r="J118" s="263"/>
      <c r="K118" s="263"/>
      <c r="L118" s="263"/>
      <c r="M118" s="263"/>
      <c r="N118" s="263"/>
      <c r="O118" s="263"/>
      <c r="P118" s="263"/>
      <c r="Q118" s="263"/>
    </row>
    <row r="119" spans="2:19" s="22" customFormat="1" ht="18.75">
      <c r="B119" s="263" t="s">
        <v>133</v>
      </c>
      <c r="C119" s="263"/>
      <c r="D119" s="263"/>
      <c r="E119" s="263"/>
      <c r="F119" s="263"/>
      <c r="G119" s="263"/>
      <c r="H119" s="263"/>
      <c r="I119" s="263"/>
      <c r="J119" s="263"/>
      <c r="K119" s="263"/>
      <c r="L119" s="263"/>
      <c r="M119" s="263"/>
      <c r="N119" s="263"/>
      <c r="O119" s="263"/>
      <c r="P119" s="263"/>
      <c r="Q119" s="263"/>
    </row>
    <row r="120" spans="2:19" s="22" customFormat="1" ht="18.75">
      <c r="B120" s="264" t="s">
        <v>3300</v>
      </c>
      <c r="C120" s="264"/>
      <c r="D120" s="264"/>
      <c r="E120" s="264"/>
      <c r="F120" s="264"/>
      <c r="G120" s="264"/>
      <c r="H120" s="264"/>
      <c r="I120" s="264"/>
      <c r="J120" s="264"/>
      <c r="K120" s="264"/>
      <c r="L120" s="264"/>
      <c r="M120" s="264"/>
      <c r="N120" s="264"/>
      <c r="O120" s="264"/>
      <c r="P120" s="264"/>
      <c r="Q120" s="264"/>
    </row>
    <row r="121" spans="2:19" s="23" customFormat="1" ht="12.75">
      <c r="B121" s="262" t="s">
        <v>0</v>
      </c>
      <c r="C121" s="265" t="s">
        <v>134</v>
      </c>
      <c r="D121" s="266" t="s">
        <v>2</v>
      </c>
      <c r="E121" s="267" t="s">
        <v>3</v>
      </c>
      <c r="F121" s="267" t="s">
        <v>8</v>
      </c>
      <c r="G121" s="262" t="s">
        <v>135</v>
      </c>
      <c r="H121" s="262" t="s">
        <v>136</v>
      </c>
      <c r="I121" s="262"/>
      <c r="J121" s="269" t="s">
        <v>6</v>
      </c>
      <c r="K121" s="268" t="s">
        <v>137</v>
      </c>
      <c r="L121" s="268"/>
      <c r="M121" s="268"/>
      <c r="N121" s="268"/>
      <c r="O121" s="270" t="s">
        <v>138</v>
      </c>
      <c r="P121" s="270"/>
      <c r="Q121" s="262" t="s">
        <v>139</v>
      </c>
    </row>
    <row r="122" spans="2:19" s="23" customFormat="1">
      <c r="B122" s="262"/>
      <c r="C122" s="265"/>
      <c r="D122" s="266"/>
      <c r="E122" s="267"/>
      <c r="F122" s="267"/>
      <c r="G122" s="262"/>
      <c r="H122" s="24" t="s">
        <v>140</v>
      </c>
      <c r="I122" s="24" t="s">
        <v>141</v>
      </c>
      <c r="J122" s="269"/>
      <c r="K122" s="26" t="s">
        <v>142</v>
      </c>
      <c r="L122" s="25" t="s">
        <v>142</v>
      </c>
      <c r="M122" s="26" t="s">
        <v>143</v>
      </c>
      <c r="N122" s="25" t="s">
        <v>144</v>
      </c>
      <c r="O122" s="24" t="s">
        <v>145</v>
      </c>
      <c r="P122" s="24" t="s">
        <v>146</v>
      </c>
      <c r="Q122" s="262"/>
      <c r="R122" s="7"/>
      <c r="S122" s="7"/>
    </row>
    <row r="123" spans="2:19" s="38" customFormat="1" ht="38.25">
      <c r="B123" s="32">
        <v>1</v>
      </c>
      <c r="C123" s="33">
        <f>'BIO DATA'!D61</f>
        <v>11515</v>
      </c>
      <c r="D123" s="138" t="str">
        <f>'BIO DATA'!E61</f>
        <v>0096995722</v>
      </c>
      <c r="E123" s="34" t="str">
        <f>'BIO DATA'!F61</f>
        <v>Abdilla Rousan Fikri Akbar</v>
      </c>
      <c r="F123" s="35" t="str">
        <f>'BIO DATA'!Z61</f>
        <v>MTs. Mu'allimin Muh. Yogyakarta</v>
      </c>
      <c r="G123" s="68">
        <f>'BIO DATA'!J61</f>
        <v>2</v>
      </c>
      <c r="H123" s="34" t="str">
        <f>'BIO DATA'!N61</f>
        <v>Tulungagung</v>
      </c>
      <c r="I123" s="120" t="str">
        <f>'BIO DATA'!Q61</f>
        <v>28 Mei 2009</v>
      </c>
      <c r="J123" s="34" t="str">
        <f>'BIO DATA'!T61</f>
        <v>RT. 002 RW. 002 Lingkungan 3 Ngunut, Kec. Ngunut, Kab. Tulungagung, Jawa Timur 66292</v>
      </c>
      <c r="K123" s="34" t="str">
        <f>'BIO DATA'!AC61</f>
        <v>Mohyidi Akbar</v>
      </c>
      <c r="L123" s="123" t="str">
        <f>'BIO DATA'!AH61</f>
        <v>08123261617</v>
      </c>
      <c r="M123" s="34" t="str">
        <f>'BIO DATA'!AJ61</f>
        <v>Ulfah Khoiriyah</v>
      </c>
      <c r="N123" s="125">
        <f>'BIO DATA'!AO61</f>
        <v>0</v>
      </c>
      <c r="O123" s="34" t="str">
        <f>'BIO DATA'!AF61</f>
        <v>Pedagang</v>
      </c>
      <c r="P123" s="34" t="str">
        <f>'BIO DATA'!AM61</f>
        <v>Pedagang</v>
      </c>
      <c r="Q123" s="159" t="str">
        <f>'BIO DATA'!I61</f>
        <v>MTs-25
120006280</v>
      </c>
    </row>
    <row r="124" spans="2:19" s="38" customFormat="1" ht="38.25">
      <c r="B124" s="32">
        <v>2</v>
      </c>
      <c r="C124" s="33">
        <f>'BIO DATA'!D62</f>
        <v>11219</v>
      </c>
      <c r="D124" s="138" t="str">
        <f>'BIO DATA'!E62</f>
        <v>0103370253</v>
      </c>
      <c r="E124" s="34" t="str">
        <f>'BIO DATA'!F62</f>
        <v>Ahmad Badir Hamam Zadisa</v>
      </c>
      <c r="F124" s="35" t="str">
        <f>'BIO DATA'!Z62</f>
        <v>MTs. Mu'allimin Muh. Yogyakarta</v>
      </c>
      <c r="G124" s="68">
        <f>'BIO DATA'!J62</f>
        <v>4</v>
      </c>
      <c r="H124" s="34" t="str">
        <f>'BIO DATA'!N62</f>
        <v>Palangkaraya</v>
      </c>
      <c r="I124" s="120" t="str">
        <f>'BIO DATA'!Q62</f>
        <v>01 April 2010</v>
      </c>
      <c r="J124" s="34" t="str">
        <f>'BIO DATA'!T62</f>
        <v>Jl. Nusantara 2 No.15 Kel. Langkai Kec. Pahandut Kota Palangka Raya, Kalimantan Tengah, 73111</v>
      </c>
      <c r="K124" s="34" t="str">
        <f>'BIO DATA'!AC62</f>
        <v>M. Zuhri</v>
      </c>
      <c r="L124" s="123" t="str">
        <f>'BIO DATA'!AH62</f>
        <v>085249241044</v>
      </c>
      <c r="M124" s="34" t="str">
        <f>'BIO DATA'!AJ62</f>
        <v>Lilik Kholisatin, S.PD.I.,M.Pd.I.</v>
      </c>
      <c r="N124" s="125">
        <f>'BIO DATA'!AO62</f>
        <v>0</v>
      </c>
      <c r="O124" s="34" t="str">
        <f>'BIO DATA'!AF62</f>
        <v>Guru</v>
      </c>
      <c r="P124" s="34" t="str">
        <f>'BIO DATA'!AM62</f>
        <v>Dosen</v>
      </c>
      <c r="Q124" s="159" t="str">
        <f>'BIO DATA'!I62</f>
        <v>MTs-25
120006311</v>
      </c>
    </row>
    <row r="125" spans="2:19" s="38" customFormat="1" ht="51">
      <c r="B125" s="32">
        <v>3</v>
      </c>
      <c r="C125" s="33">
        <f>'BIO DATA'!D63</f>
        <v>11226</v>
      </c>
      <c r="D125" s="138" t="str">
        <f>'BIO DATA'!E63</f>
        <v>3103846380</v>
      </c>
      <c r="E125" s="34" t="str">
        <f>'BIO DATA'!F63</f>
        <v>Ahmad Maududi Faqih</v>
      </c>
      <c r="F125" s="35" t="str">
        <f>'BIO DATA'!Z63</f>
        <v>MTs. Mu'allimin Muh. Yogyakarta</v>
      </c>
      <c r="G125" s="68">
        <f>'BIO DATA'!J63</f>
        <v>2</v>
      </c>
      <c r="H125" s="34" t="str">
        <f>'BIO DATA'!N63</f>
        <v>Lebak</v>
      </c>
      <c r="I125" s="120" t="str">
        <f>'BIO DATA'!Q63</f>
        <v>23 April 2010</v>
      </c>
      <c r="J125" s="34" t="str">
        <f>'BIO DATA'!T63</f>
        <v>BTN Ona Blok E1 no 6 RT 004 RW 006 Desa Rangkasbitung Timur Kec. Rangkasbitung Kab. Lebak Banten 42313</v>
      </c>
      <c r="K125" s="34" t="str">
        <f>'BIO DATA'!AC63</f>
        <v>Septty Prasetya</v>
      </c>
      <c r="L125" s="123" t="str">
        <f>'BIO DATA'!AH63</f>
        <v>087773960004</v>
      </c>
      <c r="M125" s="34" t="str">
        <f>'BIO DATA'!AJ63</f>
        <v>Septty Prasetya</v>
      </c>
      <c r="N125" s="125">
        <f>'BIO DATA'!AO63</f>
        <v>0</v>
      </c>
      <c r="O125" s="34" t="str">
        <f>'BIO DATA'!AF63</f>
        <v>PNS</v>
      </c>
      <c r="P125" s="34" t="str">
        <f>'BIO DATA'!AM63</f>
        <v>PNS</v>
      </c>
      <c r="Q125" s="159" t="str">
        <f>'BIO DATA'!I63</f>
        <v>MTs-25
120006312</v>
      </c>
    </row>
    <row r="126" spans="2:19" s="38" customFormat="1" ht="38.25">
      <c r="B126" s="32">
        <v>4</v>
      </c>
      <c r="C126" s="33">
        <f>'BIO DATA'!D64</f>
        <v>11231</v>
      </c>
      <c r="D126" s="138" t="str">
        <f>'BIO DATA'!E64</f>
        <v>0101875277</v>
      </c>
      <c r="E126" s="34" t="str">
        <f>'BIO DATA'!F64</f>
        <v>Ahmad Shiddiq Al Kariem</v>
      </c>
      <c r="F126" s="35" t="str">
        <f>'BIO DATA'!Z64</f>
        <v>MTs. Mu'allimin Muh. Yogyakarta</v>
      </c>
      <c r="G126" s="68">
        <f>'BIO DATA'!J64</f>
        <v>2</v>
      </c>
      <c r="H126" s="34" t="str">
        <f>'BIO DATA'!N64</f>
        <v>Sukamara</v>
      </c>
      <c r="I126" s="120" t="str">
        <f>'BIO DATA'!Q64</f>
        <v>10 Maret 2010</v>
      </c>
      <c r="J126" s="34" t="str">
        <f>'BIO DATA'!T64</f>
        <v>Jalan Amsyar Ahmad Nomor 163 RT. 10 RW III Kelurahan Mendawai Sukamara Kalimantan Tengah 74712</v>
      </c>
      <c r="K126" s="34" t="str">
        <f>'BIO DATA'!AC64</f>
        <v>Achmad Faizin, S.Hut., M.P.</v>
      </c>
      <c r="L126" s="123" t="str">
        <f>'BIO DATA'!AH64</f>
        <v>081349070707</v>
      </c>
      <c r="M126" s="34" t="str">
        <f>'BIO DATA'!AJ64</f>
        <v>Tri Anggrayani</v>
      </c>
      <c r="N126" s="125">
        <f>'BIO DATA'!AO64</f>
        <v>0</v>
      </c>
      <c r="O126" s="34" t="str">
        <f>'BIO DATA'!AF64</f>
        <v>PNS</v>
      </c>
      <c r="P126" s="34" t="str">
        <f>'BIO DATA'!AM64</f>
        <v>PNS</v>
      </c>
      <c r="Q126" s="159" t="str">
        <f>'BIO DATA'!I64</f>
        <v>MTs-25
120006313</v>
      </c>
    </row>
    <row r="127" spans="2:19" s="38" customFormat="1" ht="25.5">
      <c r="B127" s="32">
        <v>5</v>
      </c>
      <c r="C127" s="33">
        <f>'BIO DATA'!D65</f>
        <v>11233</v>
      </c>
      <c r="D127" s="138" t="str">
        <f>'BIO DATA'!E65</f>
        <v>0095127392</v>
      </c>
      <c r="E127" s="34" t="str">
        <f>'BIO DATA'!F65</f>
        <v>Arroyan Ulya Anwar</v>
      </c>
      <c r="F127" s="35" t="str">
        <f>'BIO DATA'!Z65</f>
        <v>MTs. Mu'allimin Muh. Yogyakarta</v>
      </c>
      <c r="G127" s="68">
        <f>'BIO DATA'!J65</f>
        <v>1</v>
      </c>
      <c r="H127" s="34" t="str">
        <f>'BIO DATA'!N65</f>
        <v>Bantul</v>
      </c>
      <c r="I127" s="120" t="str">
        <f>'BIO DATA'!Q65</f>
        <v>20 September 2009</v>
      </c>
      <c r="J127" s="34" t="str">
        <f>'BIO DATA'!T65</f>
        <v>RT 07 Karang Mandingan Ringinharjo Bantul Yogyakarta 55712</v>
      </c>
      <c r="K127" s="34" t="str">
        <f>'BIO DATA'!AC65</f>
        <v>Anwar Siswanto</v>
      </c>
      <c r="L127" s="123" t="str">
        <f>'BIO DATA'!AH65</f>
        <v>085200170691</v>
      </c>
      <c r="M127" s="34" t="str">
        <f>'BIO DATA'!AJ65</f>
        <v>Suprih Hidayati</v>
      </c>
      <c r="N127" s="125">
        <f>'BIO DATA'!AO65</f>
        <v>0</v>
      </c>
      <c r="O127" s="34" t="str">
        <f>'BIO DATA'!AF65</f>
        <v>Lainnya</v>
      </c>
      <c r="P127" s="34" t="str">
        <f>'BIO DATA'!AM65</f>
        <v>PNS</v>
      </c>
      <c r="Q127" s="159" t="str">
        <f>'BIO DATA'!I65</f>
        <v>MTs-25
120006317</v>
      </c>
    </row>
    <row r="128" spans="2:19" s="38" customFormat="1" ht="38.25">
      <c r="B128" s="32">
        <v>6</v>
      </c>
      <c r="C128" s="33">
        <f>'BIO DATA'!D66</f>
        <v>11285</v>
      </c>
      <c r="D128" s="138" t="str">
        <f>'BIO DATA'!E66</f>
        <v>0091454908</v>
      </c>
      <c r="E128" s="34" t="str">
        <f>'BIO DATA'!F66</f>
        <v>Chalis Zabadi Putra</v>
      </c>
      <c r="F128" s="35" t="str">
        <f>'BIO DATA'!Z66</f>
        <v>MTs. Mu'allimin Muh. Yogyakarta</v>
      </c>
      <c r="G128" s="68">
        <f>'BIO DATA'!J66</f>
        <v>1</v>
      </c>
      <c r="H128" s="34" t="str">
        <f>'BIO DATA'!N66</f>
        <v>Pangkalpinang</v>
      </c>
      <c r="I128" s="120" t="str">
        <f>'BIO DATA'!Q66</f>
        <v>23 September 2009</v>
      </c>
      <c r="J128" s="34" t="str">
        <f>'BIO DATA'!T66</f>
        <v>Jalan Cempedak RT 008 RW 003 Kelurahan Keramat, Pangkalpinang, Kep. Bangka Belitung, 33134</v>
      </c>
      <c r="K128" s="34" t="str">
        <f>'BIO DATA'!AC66</f>
        <v>Akhmad Sumarwan</v>
      </c>
      <c r="L128" s="123" t="str">
        <f>'BIO DATA'!AH66</f>
        <v>085273134766</v>
      </c>
      <c r="M128" s="34" t="str">
        <f>'BIO DATA'!AJ66</f>
        <v>Bulyani Sari</v>
      </c>
      <c r="N128" s="125">
        <f>'BIO DATA'!AO66</f>
        <v>0</v>
      </c>
      <c r="O128" s="34" t="str">
        <f>'BIO DATA'!AF66</f>
        <v>PNS</v>
      </c>
      <c r="P128" s="34" t="str">
        <f>'BIO DATA'!AM66</f>
        <v>PNS</v>
      </c>
      <c r="Q128" s="159" t="str">
        <f>'BIO DATA'!I66</f>
        <v>MTs-25
120006495</v>
      </c>
    </row>
    <row r="129" spans="2:17" s="38" customFormat="1" ht="51">
      <c r="B129" s="32">
        <v>7</v>
      </c>
      <c r="C129" s="33">
        <f>'BIO DATA'!D67</f>
        <v>11310</v>
      </c>
      <c r="D129" s="138" t="str">
        <f>'BIO DATA'!E67</f>
        <v>0109861416</v>
      </c>
      <c r="E129" s="34" t="str">
        <f>'BIO DATA'!F67</f>
        <v>Fahri Mirza Hanafi</v>
      </c>
      <c r="F129" s="35" t="str">
        <f>'BIO DATA'!Z67</f>
        <v>MTs. Mu'allimin Muh. Yogyakarta</v>
      </c>
      <c r="G129" s="68">
        <f>'BIO DATA'!J67</f>
        <v>3</v>
      </c>
      <c r="H129" s="34" t="str">
        <f>'BIO DATA'!N67</f>
        <v>Kediri</v>
      </c>
      <c r="I129" s="120" t="str">
        <f>'BIO DATA'!Q67</f>
        <v>20 Maret 2010</v>
      </c>
      <c r="J129" s="34" t="str">
        <f>'BIO DATA'!T67</f>
        <v>JL. Seruji, Dusun Tegal Pakis RT 002 RW 001 Desa Kalibaruwetan Kecamatan Kalibaru Kabupaten Banyuwangi 68467</v>
      </c>
      <c r="K129" s="34" t="str">
        <f>'BIO DATA'!AC67</f>
        <v>Sardiyanto</v>
      </c>
      <c r="L129" s="123" t="str">
        <f>'BIO DATA'!AH67</f>
        <v>08113523710</v>
      </c>
      <c r="M129" s="34" t="str">
        <f>'BIO DATA'!AJ67</f>
        <v>Endang Sri Wahyuni</v>
      </c>
      <c r="N129" s="125">
        <f>'BIO DATA'!AO67</f>
        <v>0</v>
      </c>
      <c r="O129" s="34" t="str">
        <f>'BIO DATA'!AF67</f>
        <v>Guru</v>
      </c>
      <c r="P129" s="34" t="str">
        <f>'BIO DATA'!AM67</f>
        <v>PNS</v>
      </c>
      <c r="Q129" s="159" t="str">
        <f>'BIO DATA'!I67</f>
        <v>MTs-25
120006381</v>
      </c>
    </row>
    <row r="130" spans="2:17" s="38" customFormat="1" ht="38.25">
      <c r="B130" s="32">
        <v>8</v>
      </c>
      <c r="C130" s="33">
        <f>'BIO DATA'!D68</f>
        <v>11319</v>
      </c>
      <c r="D130" s="138" t="str">
        <f>'BIO DATA'!E68</f>
        <v>0109488648</v>
      </c>
      <c r="E130" s="34" t="str">
        <f>'BIO DATA'!F68</f>
        <v>Faqih Najwan Madani</v>
      </c>
      <c r="F130" s="35" t="str">
        <f>'BIO DATA'!Z68</f>
        <v>MTs. Mu'allimin Muh. Yogyakarta</v>
      </c>
      <c r="G130" s="68">
        <f>'BIO DATA'!J68</f>
        <v>3</v>
      </c>
      <c r="H130" s="34" t="str">
        <f>'BIO DATA'!N68</f>
        <v>Yogyakarta</v>
      </c>
      <c r="I130" s="120" t="str">
        <f>'BIO DATA'!Q68</f>
        <v>06 Februari 2010</v>
      </c>
      <c r="J130" s="34" t="str">
        <f>'BIO DATA'!T68</f>
        <v>Gancahan VII RT 02/15 Sidomulyo Godean Sleman DIY , DI Yogyakarta, 55264</v>
      </c>
      <c r="K130" s="34" t="str">
        <f>'BIO DATA'!AC68</f>
        <v>Seno Pitoyo, S. Kep., Ns</v>
      </c>
      <c r="L130" s="123" t="str">
        <f>'BIO DATA'!AH68</f>
        <v>085701709710</v>
      </c>
      <c r="M130" s="34" t="str">
        <f>'BIO DATA'!AJ68</f>
        <v>Nur Hidayati</v>
      </c>
      <c r="N130" s="125">
        <f>'BIO DATA'!AO68</f>
        <v>0</v>
      </c>
      <c r="O130" s="34" t="str">
        <f>'BIO DATA'!AF68</f>
        <v>Lainnya</v>
      </c>
      <c r="P130" s="34" t="str">
        <f>'BIO DATA'!AM68</f>
        <v>PNS</v>
      </c>
      <c r="Q130" s="159" t="str">
        <f>'BIO DATA'!I68</f>
        <v>MTs-25
120006439</v>
      </c>
    </row>
    <row r="131" spans="2:17" s="38" customFormat="1" ht="25.5">
      <c r="B131" s="32">
        <v>9</v>
      </c>
      <c r="C131" s="33">
        <f>'BIO DATA'!D69</f>
        <v>11349</v>
      </c>
      <c r="D131" s="138" t="str">
        <f>'BIO DATA'!E69</f>
        <v>0094680485</v>
      </c>
      <c r="E131" s="34" t="str">
        <f>'BIO DATA'!F69</f>
        <v>Ibad Naufal Uthman</v>
      </c>
      <c r="F131" s="35" t="str">
        <f>'BIO DATA'!Z69</f>
        <v>MTs. Mu'allimin Muh. Yogyakarta</v>
      </c>
      <c r="G131" s="68">
        <f>'BIO DATA'!J69</f>
        <v>2</v>
      </c>
      <c r="H131" s="34" t="str">
        <f>'BIO DATA'!N69</f>
        <v>Kulon Progo</v>
      </c>
      <c r="I131" s="120" t="str">
        <f>'BIO DATA'!Q69</f>
        <v>25 Maret 2009</v>
      </c>
      <c r="J131" s="34" t="str">
        <f>'BIO DATA'!T69</f>
        <v>Sanggrahan Lor Rt 11/05 Bendungan Wates Kulon Progo DIY 55651</v>
      </c>
      <c r="K131" s="34" t="str">
        <f>'BIO DATA'!AC69</f>
        <v>Mujiyana</v>
      </c>
      <c r="L131" s="123">
        <f>'BIO DATA'!AH69</f>
        <v>0</v>
      </c>
      <c r="M131" s="34" t="str">
        <f>'BIO DATA'!AJ69</f>
        <v>Sri Sugiyarti</v>
      </c>
      <c r="N131" s="125" t="str">
        <f>'BIO DATA'!AO69</f>
        <v>082221349984</v>
      </c>
      <c r="O131" s="34" t="str">
        <f>'BIO DATA'!AF69</f>
        <v>PNS</v>
      </c>
      <c r="P131" s="34" t="str">
        <f>'BIO DATA'!AM69</f>
        <v>PNS</v>
      </c>
      <c r="Q131" s="159" t="str">
        <f>'BIO DATA'!I69</f>
        <v>MTs-25
120006417</v>
      </c>
    </row>
    <row r="132" spans="2:17" s="38" customFormat="1" ht="32.25" customHeight="1">
      <c r="B132" s="32">
        <v>10</v>
      </c>
      <c r="C132" s="33">
        <f>'BIO DATA'!D70</f>
        <v>11356</v>
      </c>
      <c r="D132" s="138" t="str">
        <f>'BIO DATA'!E70</f>
        <v>0092933365</v>
      </c>
      <c r="E132" s="34" t="str">
        <f>'BIO DATA'!F70</f>
        <v>Isa Azatta Fadhlan Faiq</v>
      </c>
      <c r="F132" s="35" t="str">
        <f>'BIO DATA'!Z70</f>
        <v>MTs. Mu'allimin Muh. Yogyakarta</v>
      </c>
      <c r="G132" s="68">
        <f>'BIO DATA'!J70</f>
        <v>1</v>
      </c>
      <c r="H132" s="34" t="str">
        <f>'BIO DATA'!N70</f>
        <v>Kulon Progo</v>
      </c>
      <c r="I132" s="120" t="str">
        <f>'BIO DATA'!Q70</f>
        <v>16 April 2009</v>
      </c>
      <c r="J132" s="34" t="str">
        <f>'BIO DATA'!T70</f>
        <v>Durungan RT 02 RW 09 Wates Kulon Progo, DI Yogyakarta, 55651</v>
      </c>
      <c r="K132" s="34" t="str">
        <f>'BIO DATA'!AC70</f>
        <v>Zain Arrifa'i</v>
      </c>
      <c r="L132" s="123" t="str">
        <f>'BIO DATA'!AH70</f>
        <v>081228393927</v>
      </c>
      <c r="M132" s="34" t="str">
        <f>'BIO DATA'!AJ70</f>
        <v>Tri Amin Lestari</v>
      </c>
      <c r="N132" s="125">
        <f>'BIO DATA'!AO70</f>
        <v>0</v>
      </c>
      <c r="O132" s="34" t="str">
        <f>'BIO DATA'!AF70</f>
        <v>PNS</v>
      </c>
      <c r="P132" s="34" t="str">
        <f>'BIO DATA'!AM70</f>
        <v>Perawat</v>
      </c>
      <c r="Q132" s="159" t="str">
        <f>'BIO DATA'!I70</f>
        <v>MTs-25
120006418</v>
      </c>
    </row>
    <row r="133" spans="2:17" s="38" customFormat="1" ht="38.25">
      <c r="B133" s="32">
        <v>11</v>
      </c>
      <c r="C133" s="33">
        <f>'BIO DATA'!D71</f>
        <v>11359</v>
      </c>
      <c r="D133" s="138" t="str">
        <f>'BIO DATA'!E71</f>
        <v>0098404173</v>
      </c>
      <c r="E133" s="34" t="str">
        <f>'BIO DATA'!F71</f>
        <v>Juanda Pranata Ritonga</v>
      </c>
      <c r="F133" s="35" t="str">
        <f>'BIO DATA'!Z71</f>
        <v>MTs. Mu'allimin Muh. Yogyakarta</v>
      </c>
      <c r="G133" s="68">
        <f>'BIO DATA'!J71</f>
        <v>2</v>
      </c>
      <c r="H133" s="34" t="str">
        <f>'BIO DATA'!N71</f>
        <v>Padangsidempuan</v>
      </c>
      <c r="I133" s="120" t="str">
        <f>'BIO DATA'!Q71</f>
        <v>19 Juni 2009</v>
      </c>
      <c r="J133" s="34" t="str">
        <f>'BIO DATA'!T71</f>
        <v>Jl. Patehan Lor No. 24 RT 17 RW 04 Kelurahan Patehan Kecamatan Kraton Kota Yogyakarta, DI Yogyakarta, 55133</v>
      </c>
      <c r="K133" s="34" t="str">
        <f>'BIO DATA'!AC71</f>
        <v>Faisal Ritonga</v>
      </c>
      <c r="L133" s="123">
        <f>'BIO DATA'!AH71</f>
        <v>0</v>
      </c>
      <c r="M133" s="34" t="str">
        <f>'BIO DATA'!AJ71</f>
        <v>Sri Yuriko</v>
      </c>
      <c r="N133" s="125" t="str">
        <f>'BIO DATA'!AO71</f>
        <v>081370235076</v>
      </c>
      <c r="O133" s="34" t="str">
        <f>'BIO DATA'!AF71</f>
        <v>TNI/Polri</v>
      </c>
      <c r="P133" s="34" t="str">
        <f>'BIO DATA'!AM71</f>
        <v>PNS</v>
      </c>
      <c r="Q133" s="159" t="str">
        <f>'BIO DATA'!I71</f>
        <v>MTs-25
120006472</v>
      </c>
    </row>
    <row r="134" spans="2:17" s="38" customFormat="1" ht="51">
      <c r="B134" s="32">
        <v>12</v>
      </c>
      <c r="C134" s="33">
        <f>'BIO DATA'!D72</f>
        <v>11360</v>
      </c>
      <c r="D134" s="138" t="str">
        <f>'BIO DATA'!E72</f>
        <v>0094648866</v>
      </c>
      <c r="E134" s="34" t="str">
        <f>'BIO DATA'!F72</f>
        <v>Juhdan Lintang Fahmi Habibi</v>
      </c>
      <c r="F134" s="35" t="str">
        <f>'BIO DATA'!Z72</f>
        <v>MTs. Mu'allimin Muh. Yogyakarta</v>
      </c>
      <c r="G134" s="68">
        <f>'BIO DATA'!J72</f>
        <v>2</v>
      </c>
      <c r="H134" s="34" t="str">
        <f>'BIO DATA'!N72</f>
        <v>Banjarnegara</v>
      </c>
      <c r="I134" s="120" t="str">
        <f>'BIO DATA'!Q72</f>
        <v>14 Juli 2009</v>
      </c>
      <c r="J134" s="34" t="str">
        <f>'BIO DATA'!T72</f>
        <v>Jl. Baturgede RT 005 RW 001 Desa Petambakan 53462 Kec. Madukara, Kab. Banjarnegara, Prov. Jawa Tengah, Jawa Tengah, 53462</v>
      </c>
      <c r="K134" s="34" t="str">
        <f>'BIO DATA'!AC72</f>
        <v>Eko Budi Rahardjo</v>
      </c>
      <c r="L134" s="123" t="str">
        <f>'BIO DATA'!AH72</f>
        <v>082136218557</v>
      </c>
      <c r="M134" s="34" t="str">
        <f>'BIO DATA'!AJ72</f>
        <v>Ratih Rahmawati</v>
      </c>
      <c r="N134" s="125">
        <f>'BIO DATA'!AO72</f>
        <v>0</v>
      </c>
      <c r="O134" s="34" t="str">
        <f>'BIO DATA'!AF72</f>
        <v>PNS</v>
      </c>
      <c r="P134" s="34" t="str">
        <f>'BIO DATA'!AM72</f>
        <v>Bidan</v>
      </c>
      <c r="Q134" s="159" t="str">
        <f>'BIO DATA'!I72</f>
        <v>MTs-25
120006473</v>
      </c>
    </row>
    <row r="135" spans="2:17" s="38" customFormat="1" ht="38.25">
      <c r="B135" s="32">
        <v>13</v>
      </c>
      <c r="C135" s="33">
        <f>'BIO DATA'!D73</f>
        <v>11373</v>
      </c>
      <c r="D135" s="138" t="str">
        <f>'BIO DATA'!E73</f>
        <v>0097578694</v>
      </c>
      <c r="E135" s="34" t="str">
        <f>'BIO DATA'!F73</f>
        <v>M. Muttaqin Ar Rasyiid</v>
      </c>
      <c r="F135" s="35" t="str">
        <f>'BIO DATA'!Z73</f>
        <v>MTs. Mu'allimin Muh. Yogyakarta</v>
      </c>
      <c r="G135" s="68">
        <f>'BIO DATA'!J73</f>
        <v>1</v>
      </c>
      <c r="H135" s="34" t="str">
        <f>'BIO DATA'!N73</f>
        <v>Tangerang</v>
      </c>
      <c r="I135" s="120" t="str">
        <f>'BIO DATA'!Q73</f>
        <v>16 Oktober 2009</v>
      </c>
      <c r="J135" s="34" t="str">
        <f>'BIO DATA'!T73</f>
        <v>Jl. KH. Mustofa No. 117  RT/RW. 003/004 Kel. Poris Jaya Kec. Batu Ceper Kota Tangerang Banten 15122</v>
      </c>
      <c r="K135" s="34" t="str">
        <f>'BIO DATA'!AC73</f>
        <v>Muljadi</v>
      </c>
      <c r="L135" s="123" t="str">
        <f>'BIO DATA'!AH73</f>
        <v>08111260226</v>
      </c>
      <c r="M135" s="34" t="str">
        <f>'BIO DATA'!AJ73</f>
        <v>Fitria Santi</v>
      </c>
      <c r="N135" s="125">
        <f>'BIO DATA'!AO73</f>
        <v>0</v>
      </c>
      <c r="O135" s="34" t="str">
        <f>'BIO DATA'!AF73</f>
        <v>Dosen</v>
      </c>
      <c r="P135" s="34" t="str">
        <f>'BIO DATA'!AM73</f>
        <v>Karyawan Swasta</v>
      </c>
      <c r="Q135" s="159" t="str">
        <f>'BIO DATA'!I73</f>
        <v>MTs-25
120006383</v>
      </c>
    </row>
    <row r="136" spans="2:17" s="38" customFormat="1" ht="38.25">
      <c r="B136" s="32">
        <v>14</v>
      </c>
      <c r="C136" s="33">
        <f>'BIO DATA'!D74</f>
        <v>11416</v>
      </c>
      <c r="D136" s="138" t="str">
        <f>'BIO DATA'!E74</f>
        <v>0108390286</v>
      </c>
      <c r="E136" s="34" t="str">
        <f>'BIO DATA'!F74</f>
        <v>Muh. Rifat Zehavi Yasmin</v>
      </c>
      <c r="F136" s="35" t="str">
        <f>'BIO DATA'!Z74</f>
        <v>MTs. Mu'allimin Muh. Yogyakarta</v>
      </c>
      <c r="G136" s="68">
        <f>'BIO DATA'!J74</f>
        <v>1</v>
      </c>
      <c r="H136" s="34" t="str">
        <f>'BIO DATA'!N74</f>
        <v>Makassar</v>
      </c>
      <c r="I136" s="120" t="str">
        <f>'BIO DATA'!Q74</f>
        <v>03 Januari 2010</v>
      </c>
      <c r="J136" s="34" t="str">
        <f>'BIO DATA'!T74</f>
        <v>Jl. Wolter Monginsidi No. 33, Sengkang, Kabupaten Wajo, Sulawesi Selatan, 90915</v>
      </c>
      <c r="K136" s="34" t="str">
        <f>'BIO DATA'!AC74</f>
        <v>Muh. Yasmin Maulana</v>
      </c>
      <c r="L136" s="123" t="str">
        <f>'BIO DATA'!AH74</f>
        <v>081355003003</v>
      </c>
      <c r="M136" s="34" t="str">
        <f>'BIO DATA'!AJ74</f>
        <v>Hartina Dahlan</v>
      </c>
      <c r="N136" s="125">
        <f>'BIO DATA'!AO74</f>
        <v>0</v>
      </c>
      <c r="O136" s="34" t="str">
        <f>'BIO DATA'!AF74</f>
        <v>Lainnya</v>
      </c>
      <c r="P136" s="34" t="str">
        <f>'BIO DATA'!AM74</f>
        <v>Karyawan BUMN</v>
      </c>
      <c r="Q136" s="159" t="str">
        <f>'BIO DATA'!I74</f>
        <v>MTs-25
120006502</v>
      </c>
    </row>
    <row r="137" spans="2:17" s="38" customFormat="1" ht="38.25">
      <c r="B137" s="32">
        <v>15</v>
      </c>
      <c r="C137" s="33">
        <f>'BIO DATA'!D75</f>
        <v>11440</v>
      </c>
      <c r="D137" s="138" t="str">
        <f>'BIO DATA'!E75</f>
        <v>0081876092</v>
      </c>
      <c r="E137" s="34" t="str">
        <f>'BIO DATA'!F75</f>
        <v>Muhamad Naufal Farisqi</v>
      </c>
      <c r="F137" s="35" t="str">
        <f>'BIO DATA'!Z75</f>
        <v>MTs. Mu'allimin Muh. Yogyakarta</v>
      </c>
      <c r="G137" s="68">
        <f>'BIO DATA'!J75</f>
        <v>1</v>
      </c>
      <c r="H137" s="34" t="str">
        <f>'BIO DATA'!N75</f>
        <v>Sukamara</v>
      </c>
      <c r="I137" s="120" t="str">
        <f>'BIO DATA'!Q75</f>
        <v>27 November 2009</v>
      </c>
      <c r="J137" s="34" t="str">
        <f>'BIO DATA'!T75</f>
        <v>Jl. Mangga RT 011/004 Kelurahan Mendawai Kecamatan Sukamara Kabupaten Sukamara Kalteng 74712</v>
      </c>
      <c r="K137" s="34" t="str">
        <f>'BIO DATA'!AC75</f>
        <v>Sumaji</v>
      </c>
      <c r="L137" s="123">
        <f>'BIO DATA'!AH75</f>
        <v>0</v>
      </c>
      <c r="M137" s="34" t="str">
        <f>'BIO DATA'!AJ75</f>
        <v>Aning Eka Widiarsih</v>
      </c>
      <c r="N137" s="125" t="str">
        <f>'BIO DATA'!AO75</f>
        <v>085787520650</v>
      </c>
      <c r="O137" s="34" t="str">
        <f>'BIO DATA'!AF75</f>
        <v>Karyawan Swasta</v>
      </c>
      <c r="P137" s="34" t="str">
        <f>'BIO DATA'!AM75</f>
        <v>PNS</v>
      </c>
      <c r="Q137" s="159" t="str">
        <f>'BIO DATA'!I75</f>
        <v>MTs-25
120006477</v>
      </c>
    </row>
    <row r="138" spans="2:17" s="38" customFormat="1" ht="25.5">
      <c r="B138" s="32">
        <v>16</v>
      </c>
      <c r="C138" s="33">
        <f>'BIO DATA'!D76</f>
        <v>11385</v>
      </c>
      <c r="D138" s="138" t="str">
        <f>'BIO DATA'!E76</f>
        <v>0104796123</v>
      </c>
      <c r="E138" s="34" t="str">
        <f>'BIO DATA'!F76</f>
        <v>Muhammad Al Fatih</v>
      </c>
      <c r="F138" s="35" t="str">
        <f>'BIO DATA'!Z76</f>
        <v>MTs. Mu'allimin Muh. Yogyakarta</v>
      </c>
      <c r="G138" s="68">
        <f>'BIO DATA'!J76</f>
        <v>1</v>
      </c>
      <c r="H138" s="34" t="str">
        <f>'BIO DATA'!N76</f>
        <v>Sleman</v>
      </c>
      <c r="I138" s="120" t="str">
        <f>'BIO DATA'!Q76</f>
        <v>27 Maret 2010</v>
      </c>
      <c r="J138" s="34" t="str">
        <f>'BIO DATA'!T76</f>
        <v>Ngijon, Rt. 01 /Rw. 15, Sendangarum, Minggir, Sleman, DI Yogyakarta 55562</v>
      </c>
      <c r="K138" s="34" t="str">
        <f>'BIO DATA'!AC76</f>
        <v xml:space="preserve">Barid Setiawan </v>
      </c>
      <c r="L138" s="123" t="str">
        <f>'BIO DATA'!AH76</f>
        <v>081578545789</v>
      </c>
      <c r="M138" s="34" t="str">
        <f>'BIO DATA'!AJ76</f>
        <v>Laila Saidah</v>
      </c>
      <c r="N138" s="125">
        <f>'BIO DATA'!AO76</f>
        <v>0</v>
      </c>
      <c r="O138" s="34" t="str">
        <f>'BIO DATA'!AF76</f>
        <v>PNS</v>
      </c>
      <c r="P138" s="34" t="str">
        <f>'BIO DATA'!AM76</f>
        <v>Karyawan Honorer</v>
      </c>
      <c r="Q138" s="159" t="str">
        <f>'BIO DATA'!I76</f>
        <v>MTs-25
120006385</v>
      </c>
    </row>
    <row r="139" spans="2:17" s="38" customFormat="1" ht="25.5">
      <c r="B139" s="32">
        <v>17</v>
      </c>
      <c r="C139" s="33">
        <f>'BIO DATA'!D77</f>
        <v>11394</v>
      </c>
      <c r="D139" s="138" t="str">
        <f>'BIO DATA'!E77</f>
        <v>0099862281</v>
      </c>
      <c r="E139" s="34" t="str">
        <f>'BIO DATA'!F77</f>
        <v>Muhammad Azam Tawakkal</v>
      </c>
      <c r="F139" s="35" t="str">
        <f>'BIO DATA'!Z77</f>
        <v>MTs. Mu'allimin Muh. Yogyakarta</v>
      </c>
      <c r="G139" s="68">
        <f>'BIO DATA'!J77</f>
        <v>1</v>
      </c>
      <c r="H139" s="34" t="str">
        <f>'BIO DATA'!N77</f>
        <v>Klaten</v>
      </c>
      <c r="I139" s="120" t="str">
        <f>'BIO DATA'!Q77</f>
        <v>24 November 2009</v>
      </c>
      <c r="J139" s="34" t="str">
        <f>'BIO DATA'!T77</f>
        <v>Krapyak RT 16 RW 09 Pakahan Jogonalan Klaten, Jawa Tengah, 57452</v>
      </c>
      <c r="K139" s="34" t="str">
        <f>'BIO DATA'!AC77</f>
        <v>Frida Agung Rakhmadi</v>
      </c>
      <c r="L139" s="123">
        <f>'BIO DATA'!AH77</f>
        <v>0</v>
      </c>
      <c r="M139" s="34" t="str">
        <f>'BIO DATA'!AJ77</f>
        <v>Dian Alimatus Sholikha HS</v>
      </c>
      <c r="N139" s="125">
        <f>'BIO DATA'!AO77</f>
        <v>0</v>
      </c>
      <c r="O139" s="34" t="str">
        <f>'BIO DATA'!AF77</f>
        <v>PNS</v>
      </c>
      <c r="P139" s="34" t="str">
        <f>'BIO DATA'!AM77</f>
        <v>Ibu Rumah Tangga</v>
      </c>
      <c r="Q139" s="159" t="str">
        <f>'BIO DATA'!I77</f>
        <v>MTs-25
120006420</v>
      </c>
    </row>
    <row r="140" spans="2:17" s="38" customFormat="1" ht="38.25">
      <c r="B140" s="32">
        <v>18</v>
      </c>
      <c r="C140" s="33">
        <f>'BIO DATA'!D78</f>
        <v>11401</v>
      </c>
      <c r="D140" s="138" t="str">
        <f>'BIO DATA'!E78</f>
        <v>0084963079</v>
      </c>
      <c r="E140" s="34" t="str">
        <f>'BIO DATA'!F78</f>
        <v>Muhammad Difa Ahnaf</v>
      </c>
      <c r="F140" s="35" t="str">
        <f>'BIO DATA'!Z78</f>
        <v>MTs. Mu'allimin Muh. Yogyakarta</v>
      </c>
      <c r="G140" s="68">
        <f>'BIO DATA'!J78</f>
        <v>1</v>
      </c>
      <c r="H140" s="106" t="str">
        <f>'BIO DATA'!N78</f>
        <v>Kulon Progo</v>
      </c>
      <c r="I140" s="120" t="str">
        <f>'BIO DATA'!Q78</f>
        <v>28 Desember 2008</v>
      </c>
      <c r="J140" s="34" t="str">
        <f>'BIO DATA'!T78</f>
        <v>Jl. Jambu I Wonosidi Lor RT: 07 RW: 12 Wates, Wates, Kulon Progo, Yogyakarta, DI Yogyakarta, 55651</v>
      </c>
      <c r="K140" s="34" t="str">
        <f>'BIO DATA'!AC78</f>
        <v>Swastono Sapto Bintoro</v>
      </c>
      <c r="L140" s="123">
        <f>'BIO DATA'!AH78</f>
        <v>0</v>
      </c>
      <c r="M140" s="34" t="str">
        <f>'BIO DATA'!AJ78</f>
        <v>Dwi Astutiningsih</v>
      </c>
      <c r="N140" s="125" t="str">
        <f>'BIO DATA'!AO78</f>
        <v>081802797910</v>
      </c>
      <c r="O140" s="34" t="str">
        <f>'BIO DATA'!AF78</f>
        <v>PNS</v>
      </c>
      <c r="P140" s="34" t="str">
        <f>'BIO DATA'!AM78</f>
        <v>PNS</v>
      </c>
      <c r="Q140" s="159" t="str">
        <f>'BIO DATA'!I78</f>
        <v>MTs-25
120006478</v>
      </c>
    </row>
    <row r="141" spans="2:17" s="38" customFormat="1" ht="25.5">
      <c r="B141" s="32">
        <v>19</v>
      </c>
      <c r="C141" s="33">
        <f>'BIO DATA'!D79</f>
        <v>11407</v>
      </c>
      <c r="D141" s="138" t="str">
        <f>'BIO DATA'!E79</f>
        <v>0099605819</v>
      </c>
      <c r="E141" s="34" t="str">
        <f>'BIO DATA'!F79</f>
        <v>Muhammad Fairuz Nafis Azzahir</v>
      </c>
      <c r="F141" s="35" t="str">
        <f>'BIO DATA'!Z79</f>
        <v>MTs. Mu'allimin Muh. Yogyakarta</v>
      </c>
      <c r="G141" s="68">
        <f>'BIO DATA'!J79</f>
        <v>4</v>
      </c>
      <c r="H141" s="106" t="str">
        <f>'BIO DATA'!N79</f>
        <v>Bekasi</v>
      </c>
      <c r="I141" s="120" t="str">
        <f>'BIO DATA'!Q79</f>
        <v>02 November 2009</v>
      </c>
      <c r="J141" s="34" t="str">
        <f>'BIO DATA'!T79</f>
        <v>Jl Makom Raya no 33 Rt 06 Rt 04 Jatikramat Jatiasih Bekasi 17421</v>
      </c>
      <c r="K141" s="34" t="str">
        <f>'BIO DATA'!AC79</f>
        <v>Sabrul Jamil, S.Si</v>
      </c>
      <c r="L141" s="123" t="str">
        <f>'BIO DATA'!AH79</f>
        <v>0811815084</v>
      </c>
      <c r="M141" s="34" t="str">
        <f>'BIO DATA'!AJ79</f>
        <v>Yudhanti Dwi Lestari</v>
      </c>
      <c r="N141" s="125">
        <f>'BIO DATA'!AO79</f>
        <v>0</v>
      </c>
      <c r="O141" s="34" t="str">
        <f>'BIO DATA'!AF79</f>
        <v>Lainnya</v>
      </c>
      <c r="P141" s="34" t="str">
        <f>'BIO DATA'!AM79</f>
        <v>Ibu Rumah Tangga</v>
      </c>
      <c r="Q141" s="159" t="str">
        <f>'BIO DATA'!I79</f>
        <v>MTs-25
120006386</v>
      </c>
    </row>
    <row r="142" spans="2:17" s="38" customFormat="1" ht="12.75">
      <c r="B142" s="39"/>
      <c r="C142" s="40"/>
      <c r="D142" s="144"/>
      <c r="E142" s="41"/>
      <c r="F142" s="37"/>
      <c r="G142" s="108"/>
      <c r="H142" s="111"/>
      <c r="I142" s="121"/>
      <c r="J142" s="41"/>
      <c r="K142" s="41"/>
      <c r="L142" s="136"/>
      <c r="M142" s="41"/>
      <c r="N142" s="137"/>
      <c r="O142" s="41"/>
      <c r="P142" s="41"/>
      <c r="Q142" s="122"/>
    </row>
    <row r="143" spans="2:17" s="22" customFormat="1" ht="18.75">
      <c r="B143" s="60"/>
      <c r="C143" s="60"/>
      <c r="D143" s="60"/>
      <c r="E143" s="60"/>
      <c r="F143" s="60"/>
      <c r="G143" s="67"/>
      <c r="H143" s="60"/>
      <c r="I143" s="60"/>
      <c r="J143" s="60"/>
      <c r="K143" s="60"/>
      <c r="L143" s="60"/>
      <c r="M143" s="60" t="s">
        <v>3290</v>
      </c>
      <c r="N143" s="60"/>
      <c r="O143" s="60"/>
      <c r="P143" s="60"/>
      <c r="Q143" s="60"/>
    </row>
    <row r="144" spans="2:17" s="28" customFormat="1" ht="14.25">
      <c r="B144" s="276" t="s">
        <v>0</v>
      </c>
      <c r="C144" s="274" t="s">
        <v>134</v>
      </c>
      <c r="D144" s="280" t="s">
        <v>2</v>
      </c>
      <c r="E144" s="276" t="s">
        <v>3</v>
      </c>
      <c r="F144" s="276" t="s">
        <v>8</v>
      </c>
      <c r="G144" s="276" t="s">
        <v>135</v>
      </c>
      <c r="H144" s="278" t="s">
        <v>136</v>
      </c>
      <c r="I144" s="279"/>
      <c r="J144" s="276" t="s">
        <v>6</v>
      </c>
      <c r="K144" s="283" t="s">
        <v>137</v>
      </c>
      <c r="L144" s="284"/>
      <c r="M144" s="284"/>
      <c r="N144" s="285"/>
      <c r="O144" s="278" t="s">
        <v>138</v>
      </c>
      <c r="P144" s="279"/>
      <c r="Q144" s="276" t="s">
        <v>159</v>
      </c>
    </row>
    <row r="145" spans="2:19" s="28" customFormat="1" ht="15.75" customHeight="1">
      <c r="B145" s="277"/>
      <c r="C145" s="275"/>
      <c r="D145" s="281"/>
      <c r="E145" s="277"/>
      <c r="F145" s="282"/>
      <c r="G145" s="277"/>
      <c r="H145" s="29" t="s">
        <v>140</v>
      </c>
      <c r="I145" s="29" t="s">
        <v>141</v>
      </c>
      <c r="J145" s="277"/>
      <c r="K145" s="29" t="s">
        <v>142</v>
      </c>
      <c r="L145" s="30" t="s">
        <v>142</v>
      </c>
      <c r="M145" s="29" t="s">
        <v>143</v>
      </c>
      <c r="N145" s="30" t="s">
        <v>144</v>
      </c>
      <c r="O145" s="29" t="s">
        <v>145</v>
      </c>
      <c r="P145" s="29" t="s">
        <v>146</v>
      </c>
      <c r="Q145" s="277"/>
      <c r="R145" s="31"/>
      <c r="S145" s="31"/>
    </row>
    <row r="146" spans="2:19" s="38" customFormat="1" ht="25.5">
      <c r="B146" s="32">
        <v>20</v>
      </c>
      <c r="C146" s="33">
        <f>'BIO DATA'!D80</f>
        <v>11418</v>
      </c>
      <c r="D146" s="138" t="str">
        <f>'BIO DATA'!E80</f>
        <v>0095045610</v>
      </c>
      <c r="E146" s="34" t="str">
        <f>'BIO DATA'!F80</f>
        <v>Muhammad Fayyadh Irsyad</v>
      </c>
      <c r="F146" s="35" t="str">
        <f>'BIO DATA'!Z80</f>
        <v>MTs. Mu'allimin Muh. Yogyakarta</v>
      </c>
      <c r="G146" s="68">
        <f>'BIO DATA'!J80</f>
        <v>2</v>
      </c>
      <c r="H146" s="106" t="str">
        <f>'BIO DATA'!N80</f>
        <v>Sleman</v>
      </c>
      <c r="I146" s="120" t="str">
        <f>'BIO DATA'!Q80</f>
        <v>06 Juni 2010</v>
      </c>
      <c r="J146" s="34" t="str">
        <f>'BIO DATA'!T80</f>
        <v>Wirobrajan WB II/ 335, Wirobrajan, Yogyakarta 55252</v>
      </c>
      <c r="K146" s="34" t="str">
        <f>'BIO DATA'!AC80</f>
        <v>Syamsul Bukhari</v>
      </c>
      <c r="L146" s="123" t="str">
        <f>'BIO DATA'!AH80</f>
        <v>087839924040</v>
      </c>
      <c r="M146" s="34" t="str">
        <f>'BIO DATA'!AJ80</f>
        <v>Yunika Sapta Savanty</v>
      </c>
      <c r="N146" s="125">
        <f>'BIO DATA'!AO80</f>
        <v>0</v>
      </c>
      <c r="O146" s="34" t="str">
        <f>'BIO DATA'!AF80</f>
        <v>Wiraswasta</v>
      </c>
      <c r="P146" s="34" t="str">
        <f>'BIO DATA'!AM80</f>
        <v>Wiraswasta</v>
      </c>
      <c r="Q146" s="159" t="str">
        <f>'BIO DATA'!I80</f>
        <v>MTs-25
120006354</v>
      </c>
    </row>
    <row r="147" spans="2:19" s="38" customFormat="1" ht="38.25">
      <c r="B147" s="32">
        <v>21</v>
      </c>
      <c r="C147" s="33">
        <f>'BIO DATA'!D81</f>
        <v>11421</v>
      </c>
      <c r="D147" s="138" t="str">
        <f>'BIO DATA'!E81</f>
        <v>0106342851</v>
      </c>
      <c r="E147" s="34" t="str">
        <f>'BIO DATA'!F81</f>
        <v>Muhammad Hilmi Rabbani Abdullah</v>
      </c>
      <c r="F147" s="35" t="str">
        <f>'BIO DATA'!Z81</f>
        <v>MTs. Mu'allimin Muh. Yogyakarta</v>
      </c>
      <c r="G147" s="68">
        <f>'BIO DATA'!J81</f>
        <v>4</v>
      </c>
      <c r="H147" s="106" t="str">
        <f>'BIO DATA'!N81</f>
        <v>Kab. Semarang</v>
      </c>
      <c r="I147" s="120" t="str">
        <f>'BIO DATA'!Q81</f>
        <v>15 Januari 2010</v>
      </c>
      <c r="J147" s="34" t="str">
        <f>'BIO DATA'!T81</f>
        <v>Graha Permata Selabaya Blok A No.3, Kalimanah, Purbalingga Jawa Tengah 53371</v>
      </c>
      <c r="K147" s="34" t="str">
        <f>'BIO DATA'!AC81</f>
        <v>Nurhaji</v>
      </c>
      <c r="L147" s="123" t="str">
        <f>'BIO DATA'!AH81</f>
        <v>081953103362</v>
      </c>
      <c r="M147" s="34" t="str">
        <f>'BIO DATA'!AJ81</f>
        <v>Rika Mulyani</v>
      </c>
      <c r="N147" s="125">
        <f>'BIO DATA'!AO81</f>
        <v>0</v>
      </c>
      <c r="O147" s="34" t="str">
        <f>'BIO DATA'!AF81</f>
        <v>Lainnya</v>
      </c>
      <c r="P147" s="34" t="str">
        <f>'BIO DATA'!AM81</f>
        <v>Ibu Rumah Tangga</v>
      </c>
      <c r="Q147" s="159" t="str">
        <f>'BIO DATA'!I81</f>
        <v>MTs-25
120006506</v>
      </c>
    </row>
    <row r="148" spans="2:19" s="38" customFormat="1" ht="25.5">
      <c r="B148" s="32">
        <v>22</v>
      </c>
      <c r="C148" s="33">
        <f>'BIO DATA'!D82</f>
        <v>11435</v>
      </c>
      <c r="D148" s="138" t="str">
        <f>'BIO DATA'!E82</f>
        <v>0106558326</v>
      </c>
      <c r="E148" s="34" t="str">
        <f>'BIO DATA'!F82</f>
        <v>Muhammad Kimi As Shidiqi</v>
      </c>
      <c r="F148" s="35" t="str">
        <f>'BIO DATA'!Z82</f>
        <v>MTs. Mu'allimin Muh. Yogyakarta</v>
      </c>
      <c r="G148" s="68">
        <f>'BIO DATA'!J82</f>
        <v>1</v>
      </c>
      <c r="H148" s="106" t="str">
        <f>'BIO DATA'!N82</f>
        <v>Sidoarjo</v>
      </c>
      <c r="I148" s="120" t="str">
        <f>'BIO DATA'!Q82</f>
        <v>17 Februari 2010</v>
      </c>
      <c r="J148" s="34" t="str">
        <f>'BIO DATA'!T82</f>
        <v>JL Ngambar Bambe RT 14 RW 05 No 208 Driyorejo Gresik Jawa Timur 61177</v>
      </c>
      <c r="K148" s="34" t="str">
        <f>'BIO DATA'!AC82</f>
        <v>Sugeng Trimawan</v>
      </c>
      <c r="L148" s="123" t="str">
        <f>'BIO DATA'!AH82</f>
        <v>085230237391</v>
      </c>
      <c r="M148" s="34" t="str">
        <f>'BIO DATA'!AJ82</f>
        <v>Amelia Rachman</v>
      </c>
      <c r="N148" s="125">
        <f>'BIO DATA'!AO82</f>
        <v>0</v>
      </c>
      <c r="O148" s="34" t="str">
        <f>'BIO DATA'!AF82</f>
        <v>Guru</v>
      </c>
      <c r="P148" s="34" t="str">
        <f>'BIO DATA'!AM82</f>
        <v>Ibu Rumah Tangga</v>
      </c>
      <c r="Q148" s="159" t="str">
        <f>'BIO DATA'!I82</f>
        <v>MTs-25
120006355</v>
      </c>
    </row>
    <row r="149" spans="2:19" s="38" customFormat="1" ht="51">
      <c r="B149" s="32">
        <v>23</v>
      </c>
      <c r="C149" s="33">
        <f>'BIO DATA'!D83</f>
        <v>11447</v>
      </c>
      <c r="D149" s="138" t="str">
        <f>'BIO DATA'!E83</f>
        <v>3089655093</v>
      </c>
      <c r="E149" s="34" t="str">
        <f>'BIO DATA'!F83</f>
        <v>Muhammad Noval</v>
      </c>
      <c r="F149" s="35" t="str">
        <f>'BIO DATA'!Z83</f>
        <v>MTs. Mu'allimin Muh. Yogyakarta</v>
      </c>
      <c r="G149" s="68">
        <f>'BIO DATA'!J83</f>
        <v>1</v>
      </c>
      <c r="H149" s="106" t="str">
        <f>'BIO DATA'!N83</f>
        <v>Sleman</v>
      </c>
      <c r="I149" s="120" t="str">
        <f>'BIO DATA'!Q83</f>
        <v>24 November 2008</v>
      </c>
      <c r="J149" s="34" t="str">
        <f>'BIO DATA'!T83</f>
        <v>Perumahan Grand Intan Regency 1 Jl. Imogiri Timur KM 9 blok C8, Wonokromo, RT07/RW07, Pleret, Bantul, DIY 55791</v>
      </c>
      <c r="K149" s="34" t="str">
        <f>'BIO DATA'!AC83</f>
        <v>Ardhika Kurniawan</v>
      </c>
      <c r="L149" s="123" t="str">
        <f>'BIO DATA'!AH83</f>
        <v>082225354448</v>
      </c>
      <c r="M149" s="34" t="str">
        <f>'BIO DATA'!AJ83</f>
        <v>Fajar Dwi Wahyuni</v>
      </c>
      <c r="N149" s="125">
        <f>'BIO DATA'!AO83</f>
        <v>0</v>
      </c>
      <c r="O149" s="34" t="str">
        <f>'BIO DATA'!AF83</f>
        <v>Lainnya</v>
      </c>
      <c r="P149" s="34" t="str">
        <f>'BIO DATA'!AM83</f>
        <v>Ibu Rumah Tangga</v>
      </c>
      <c r="Q149" s="159" t="str">
        <f>'BIO DATA'!I83</f>
        <v>MTs-25
120006357</v>
      </c>
    </row>
    <row r="150" spans="2:19" s="38" customFormat="1" ht="38.25">
      <c r="B150" s="32">
        <v>24</v>
      </c>
      <c r="C150" s="33">
        <f>'BIO DATA'!D84</f>
        <v>11451</v>
      </c>
      <c r="D150" s="138" t="str">
        <f>'BIO DATA'!E84</f>
        <v>0108911535</v>
      </c>
      <c r="E150" s="34" t="str">
        <f>'BIO DATA'!F84</f>
        <v>Muhammad Rafha Noorzakki</v>
      </c>
      <c r="F150" s="35" t="str">
        <f>'BIO DATA'!Z84</f>
        <v>MTs. Mu'allimin Muh. Yogyakarta</v>
      </c>
      <c r="G150" s="68">
        <f>'BIO DATA'!J84</f>
        <v>1</v>
      </c>
      <c r="H150" s="106" t="str">
        <f>'BIO DATA'!N84</f>
        <v>Mojokerto</v>
      </c>
      <c r="I150" s="120" t="str">
        <f>'BIO DATA'!Q84</f>
        <v>03 April 2010</v>
      </c>
      <c r="J150" s="34" t="str">
        <f>'BIO DATA'!T84</f>
        <v>RT:09 RW:03 Desa Kedung Sukodani, Kec. Balongbendo, Kab. Sidoarjo Jawa Timur 61263</v>
      </c>
      <c r="K150" s="34" t="str">
        <f>'BIO DATA'!AC84</f>
        <v>Anggoro Eko Purwanto</v>
      </c>
      <c r="L150" s="123">
        <f>'BIO DATA'!AH84</f>
        <v>0</v>
      </c>
      <c r="M150" s="34" t="str">
        <f>'BIO DATA'!AJ84</f>
        <v>Happy Febriana</v>
      </c>
      <c r="N150" s="125" t="str">
        <f>'BIO DATA'!AO84</f>
        <v>081252897300</v>
      </c>
      <c r="O150" s="34" t="str">
        <f>'BIO DATA'!AF84</f>
        <v>Karyawan Swasta</v>
      </c>
      <c r="P150" s="34" t="str">
        <f>'BIO DATA'!AM84</f>
        <v>PNS</v>
      </c>
      <c r="Q150" s="159" t="str">
        <f>'BIO DATA'!I84</f>
        <v>MTs-25
120006358</v>
      </c>
    </row>
    <row r="151" spans="2:19" s="38" customFormat="1" ht="38.25">
      <c r="B151" s="32">
        <v>25</v>
      </c>
      <c r="C151" s="33">
        <f>'BIO DATA'!D85</f>
        <v>11453</v>
      </c>
      <c r="D151" s="138" t="str">
        <f>'BIO DATA'!E85</f>
        <v>0091813956</v>
      </c>
      <c r="E151" s="34" t="str">
        <f>'BIO DATA'!F85</f>
        <v>Muhammad Rusyda Aiqona</v>
      </c>
      <c r="F151" s="35" t="str">
        <f>'BIO DATA'!Z85</f>
        <v>MTs. Mu'allimin Muh. Yogyakarta</v>
      </c>
      <c r="G151" s="68">
        <f>'BIO DATA'!J85</f>
        <v>3</v>
      </c>
      <c r="H151" s="106" t="str">
        <f>'BIO DATA'!N85</f>
        <v>Magelang</v>
      </c>
      <c r="I151" s="120" t="str">
        <f>'BIO DATA'!Q85</f>
        <v>22 Desember 2009</v>
      </c>
      <c r="J151" s="34" t="str">
        <f>'BIO DATA'!T85</f>
        <v>Ds Beseran 1 RT 01 RW 01 Beseran, Kaliangkrik, Magelang, Jawa Tengah 56153</v>
      </c>
      <c r="K151" s="34" t="str">
        <f>'BIO DATA'!AC85</f>
        <v xml:space="preserve">Sekti Wibowo </v>
      </c>
      <c r="L151" s="123" t="str">
        <f>'BIO DATA'!AH85</f>
        <v>081328094970</v>
      </c>
      <c r="M151" s="34" t="str">
        <f>'BIO DATA'!AJ85</f>
        <v>Etik Susanti</v>
      </c>
      <c r="N151" s="125">
        <f>'BIO DATA'!AO85</f>
        <v>0</v>
      </c>
      <c r="O151" s="34" t="str">
        <f>'BIO DATA'!AF85</f>
        <v>Wiraswasta</v>
      </c>
      <c r="P151" s="34" t="str">
        <f>'BIO DATA'!AM85</f>
        <v>Pedagang</v>
      </c>
      <c r="Q151" s="159" t="str">
        <f>'BIO DATA'!I85</f>
        <v>MTs-25
120006359</v>
      </c>
    </row>
    <row r="152" spans="2:19" s="38" customFormat="1" ht="38.25">
      <c r="B152" s="32">
        <v>26</v>
      </c>
      <c r="C152" s="33">
        <f>'BIO DATA'!D86</f>
        <v>11455</v>
      </c>
      <c r="D152" s="138" t="str">
        <f>'BIO DATA'!E86</f>
        <v>0104178458</v>
      </c>
      <c r="E152" s="34" t="str">
        <f>'BIO DATA'!F86</f>
        <v>Muhammad Tsaqib Arsalan Zain</v>
      </c>
      <c r="F152" s="35" t="str">
        <f>'BIO DATA'!Z86</f>
        <v>MTs. Mu'allimin Muh. Yogyakarta</v>
      </c>
      <c r="G152" s="68">
        <f>'BIO DATA'!J86</f>
        <v>1</v>
      </c>
      <c r="H152" s="106" t="str">
        <f>'BIO DATA'!N86</f>
        <v>Tegal</v>
      </c>
      <c r="I152" s="120" t="str">
        <f>'BIO DATA'!Q86</f>
        <v>10 Februari 2010</v>
      </c>
      <c r="J152" s="34" t="str">
        <f>'BIO DATA'!T86</f>
        <v>Jalan Raya Adiwerna 774 RT 21 RW 05 Kecamatan Adiwerna Tegal , Jawa Tengah, 52194</v>
      </c>
      <c r="K152" s="34" t="str">
        <f>'BIO DATA'!AC86</f>
        <v>Muhammad Wildan Zain</v>
      </c>
      <c r="L152" s="123" t="str">
        <f>'BIO DATA'!AH86</f>
        <v>082224124418</v>
      </c>
      <c r="M152" s="34" t="str">
        <f>'BIO DATA'!AJ86</f>
        <v>Khasna Adkhalina</v>
      </c>
      <c r="N152" s="125">
        <f>'BIO DATA'!AO86</f>
        <v>0</v>
      </c>
      <c r="O152" s="34" t="str">
        <f>'BIO DATA'!AF86</f>
        <v>Dokter</v>
      </c>
      <c r="P152" s="34" t="str">
        <f>'BIO DATA'!AM86</f>
        <v>Ibu Rumah Tangga</v>
      </c>
      <c r="Q152" s="159" t="str">
        <f>'BIO DATA'!I86</f>
        <v>MTs-25
120006425</v>
      </c>
    </row>
    <row r="153" spans="2:19" s="38" customFormat="1" ht="38.25">
      <c r="B153" s="32">
        <v>27</v>
      </c>
      <c r="C153" s="33">
        <f>'BIO DATA'!D87</f>
        <v>11465</v>
      </c>
      <c r="D153" s="138" t="str">
        <f>'BIO DATA'!E87</f>
        <v>0095183441</v>
      </c>
      <c r="E153" s="34" t="str">
        <f>'BIO DATA'!F87</f>
        <v>Nasywa Tifatur Rasyid</v>
      </c>
      <c r="F153" s="35" t="str">
        <f>'BIO DATA'!Z87</f>
        <v>MTs. Mu'allimin Muh. Yogyakarta</v>
      </c>
      <c r="G153" s="68">
        <f>'BIO DATA'!J87</f>
        <v>2</v>
      </c>
      <c r="H153" s="106" t="str">
        <f>'BIO DATA'!N87</f>
        <v>Yogyakarta</v>
      </c>
      <c r="I153" s="120" t="str">
        <f>'BIO DATA'!Q87</f>
        <v>13 April 2009</v>
      </c>
      <c r="J153" s="34" t="str">
        <f>'BIO DATA'!T87</f>
        <v>Tawarsari, RT 13, RW 19, Wonosari, Wonosari, Gunungkidul, Daerah Istimewa Yogyakarta 55812</v>
      </c>
      <c r="K153" s="34" t="str">
        <f>'BIO DATA'!AC87</f>
        <v>Setyo Prapto, S.Pd.T.</v>
      </c>
      <c r="L153" s="123" t="str">
        <f>'BIO DATA'!AH87</f>
        <v>081227923006</v>
      </c>
      <c r="M153" s="34" t="str">
        <f>'BIO DATA'!AJ87</f>
        <v>Sri Winartini</v>
      </c>
      <c r="N153" s="125">
        <f>'BIO DATA'!AO87</f>
        <v>0</v>
      </c>
      <c r="O153" s="34" t="str">
        <f>'BIO DATA'!AF87</f>
        <v>PNS</v>
      </c>
      <c r="P153" s="34" t="str">
        <f>'BIO DATA'!AM87</f>
        <v>PNS</v>
      </c>
      <c r="Q153" s="159" t="str">
        <f>'BIO DATA'!I87</f>
        <v>MTs-25
120006305</v>
      </c>
    </row>
    <row r="154" spans="2:19" s="38" customFormat="1" ht="38.25">
      <c r="B154" s="32">
        <v>28</v>
      </c>
      <c r="C154" s="33">
        <f>'BIO DATA'!D88</f>
        <v>11470</v>
      </c>
      <c r="D154" s="138" t="str">
        <f>'BIO DATA'!E88</f>
        <v>0106317380</v>
      </c>
      <c r="E154" s="34" t="str">
        <f>'BIO DATA'!F88</f>
        <v>Nico Ghulam Mustaqim</v>
      </c>
      <c r="F154" s="35" t="str">
        <f>'BIO DATA'!Z88</f>
        <v>MTs. Mu'allimin Muh. Yogyakarta</v>
      </c>
      <c r="G154" s="68">
        <f>'BIO DATA'!J88</f>
        <v>1</v>
      </c>
      <c r="H154" s="106" t="str">
        <f>'BIO DATA'!N88</f>
        <v>Pekalongan</v>
      </c>
      <c r="I154" s="120" t="str">
        <f>'BIO DATA'!Q88</f>
        <v>24 Januari 2010</v>
      </c>
      <c r="J154" s="34" t="str">
        <f>'BIO DATA'!T88</f>
        <v>Desa Langkap RT 01 RW 05 Kecamatan Kedungwuni Kab Pekalongan Jawa Tengah 51173</v>
      </c>
      <c r="K154" s="34" t="str">
        <f>'BIO DATA'!AC88</f>
        <v>Mustakim</v>
      </c>
      <c r="L154" s="123" t="str">
        <f>'BIO DATA'!AH88</f>
        <v>082225293755</v>
      </c>
      <c r="M154" s="34" t="str">
        <f>'BIO DATA'!AJ88</f>
        <v>Tri Agustina</v>
      </c>
      <c r="N154" s="125">
        <f>'BIO DATA'!AO88</f>
        <v>0</v>
      </c>
      <c r="O154" s="34" t="str">
        <f>'BIO DATA'!AF88</f>
        <v>TNI / POLRI</v>
      </c>
      <c r="P154" s="34" t="str">
        <f>'BIO DATA'!AM88</f>
        <v>Bidan</v>
      </c>
      <c r="Q154" s="159" t="str">
        <f>'BIO DATA'!I88</f>
        <v>MTs-25
120006306</v>
      </c>
    </row>
    <row r="155" spans="2:19" s="38" customFormat="1" ht="38.25" customHeight="1">
      <c r="B155" s="32">
        <v>29</v>
      </c>
      <c r="C155" s="33">
        <f>'BIO DATA'!D89</f>
        <v>11486</v>
      </c>
      <c r="D155" s="138" t="str">
        <f>'BIO DATA'!E89</f>
        <v>0098221404</v>
      </c>
      <c r="E155" s="34" t="str">
        <f>'BIO DATA'!F89</f>
        <v>Raka Haidar Altaf</v>
      </c>
      <c r="F155" s="35" t="str">
        <f>'BIO DATA'!Z89</f>
        <v>MTs. Mu'allimin Muh. Yogyakarta</v>
      </c>
      <c r="G155" s="68">
        <f>'BIO DATA'!J89</f>
        <v>1</v>
      </c>
      <c r="H155" s="106" t="str">
        <f>'BIO DATA'!N89</f>
        <v>Tegal</v>
      </c>
      <c r="I155" s="120" t="str">
        <f>'BIO DATA'!Q89</f>
        <v>20 Desember 2009</v>
      </c>
      <c r="J155" s="34" t="str">
        <f>'BIO DATA'!T89</f>
        <v>Jl. Lapangan ds. Jatinegara RT 03/03 Kec. Jatinegara Kab. Tegal Jawa Tengah 52473</v>
      </c>
      <c r="K155" s="34" t="str">
        <f>'BIO DATA'!AC89</f>
        <v>Andri Koesworo</v>
      </c>
      <c r="L155" s="123" t="str">
        <f>'BIO DATA'!AH89</f>
        <v>087830108068</v>
      </c>
      <c r="M155" s="34" t="str">
        <f>'BIO DATA'!AJ89</f>
        <v>Musalamah</v>
      </c>
      <c r="N155" s="125">
        <f>'BIO DATA'!AO89</f>
        <v>0</v>
      </c>
      <c r="O155" s="34" t="str">
        <f>'BIO DATA'!AF89</f>
        <v>Lainnya</v>
      </c>
      <c r="P155" s="34" t="str">
        <f>'BIO DATA'!AM89</f>
        <v>Bidan</v>
      </c>
      <c r="Q155" s="159" t="str">
        <f>'BIO DATA'!I89</f>
        <v>MTs-25
120006308</v>
      </c>
    </row>
    <row r="156" spans="2:19" s="38" customFormat="1" ht="51">
      <c r="B156" s="32">
        <v>30</v>
      </c>
      <c r="C156" s="33">
        <f>'BIO DATA'!D90</f>
        <v>11498</v>
      </c>
      <c r="D156" s="138" t="str">
        <f>'BIO DATA'!E90</f>
        <v>3105066485</v>
      </c>
      <c r="E156" s="34" t="str">
        <f>'BIO DATA'!F90</f>
        <v>Shidiq Dwi Nur Rahman</v>
      </c>
      <c r="F156" s="35" t="str">
        <f>'BIO DATA'!Z90</f>
        <v>MTs. Mu'allimin Muh. Yogyakarta</v>
      </c>
      <c r="G156" s="68">
        <f>'BIO DATA'!J90</f>
        <v>1</v>
      </c>
      <c r="H156" s="106" t="str">
        <f>'BIO DATA'!N90</f>
        <v>Kotawaringin Barat</v>
      </c>
      <c r="I156" s="120" t="str">
        <f>'BIO DATA'!Q90</f>
        <v>31 Januari 2010</v>
      </c>
      <c r="J156" s="34" t="str">
        <f>'BIO DATA'!T90</f>
        <v>Jl. Salak, RT 003, RW 001, Desa Karang Mulya, Kec. Pangkalan Banteng, Kab. Kotawaringin Barat. Kalimantan Tengah 74183</v>
      </c>
      <c r="K156" s="34" t="str">
        <f>'BIO DATA'!AC90</f>
        <v>Juanis</v>
      </c>
      <c r="L156" s="123" t="str">
        <f>'BIO DATA'!AH90</f>
        <v>085849259760</v>
      </c>
      <c r="M156" s="34" t="str">
        <f>'BIO DATA'!AJ90</f>
        <v>Sumarni</v>
      </c>
      <c r="N156" s="125">
        <f>'BIO DATA'!AO90</f>
        <v>0</v>
      </c>
      <c r="O156" s="34" t="str">
        <f>'BIO DATA'!AF90</f>
        <v>Guru</v>
      </c>
      <c r="P156" s="34" t="str">
        <f>'BIO DATA'!AM90</f>
        <v>PNS</v>
      </c>
      <c r="Q156" s="159" t="str">
        <f>'BIO DATA'!I90</f>
        <v>MTs-25
120006309</v>
      </c>
    </row>
    <row r="157" spans="2:19" s="38" customFormat="1" ht="38.25">
      <c r="B157" s="32">
        <v>31</v>
      </c>
      <c r="C157" s="33">
        <f>'BIO DATA'!D91</f>
        <v>11499</v>
      </c>
      <c r="D157" s="138" t="str">
        <f>'BIO DATA'!E91</f>
        <v>0097315345</v>
      </c>
      <c r="E157" s="34" t="str">
        <f>'BIO DATA'!F91</f>
        <v>Sholih Muhammad Faiq Ali Syahada</v>
      </c>
      <c r="F157" s="35" t="str">
        <f>'BIO DATA'!Z91</f>
        <v>MTs. Mu'allimin Muh. Yogyakarta</v>
      </c>
      <c r="G157" s="68">
        <f>'BIO DATA'!J91</f>
        <v>4</v>
      </c>
      <c r="H157" s="106" t="str">
        <f>'BIO DATA'!N91</f>
        <v>Bantul</v>
      </c>
      <c r="I157" s="120" t="str">
        <f>'BIO DATA'!Q91</f>
        <v>12 Agustus 2009</v>
      </c>
      <c r="J157" s="34" t="str">
        <f>'BIO DATA'!T91</f>
        <v>Karangturi RT 07, Baturetno, Banguntapan, Bantul, DIY, DI Yogyakarta, 55197</v>
      </c>
      <c r="K157" s="34" t="str">
        <f>'BIO DATA'!AC91</f>
        <v>Setiya</v>
      </c>
      <c r="L157" s="123" t="str">
        <f>'BIO DATA'!AH91</f>
        <v>08122797105</v>
      </c>
      <c r="M157" s="34" t="str">
        <f>'BIO DATA'!AJ91</f>
        <v>Emma Kusumawati</v>
      </c>
      <c r="N157" s="125">
        <f>'BIO DATA'!AO91</f>
        <v>0</v>
      </c>
      <c r="O157" s="34" t="str">
        <f>'BIO DATA'!AF91</f>
        <v>Wiraswasta</v>
      </c>
      <c r="P157" s="34" t="str">
        <f>'BIO DATA'!AM91</f>
        <v>PNS</v>
      </c>
      <c r="Q157" s="159" t="str">
        <f>'BIO DATA'!I91</f>
        <v>MTs-25
120006512</v>
      </c>
    </row>
    <row r="158" spans="2:19" s="38" customFormat="1" ht="38.25">
      <c r="B158" s="32">
        <v>32</v>
      </c>
      <c r="C158" s="33">
        <f>'BIO DATA'!D92</f>
        <v>11514</v>
      </c>
      <c r="D158" s="138" t="str">
        <f>'BIO DATA'!E92</f>
        <v>0102663397</v>
      </c>
      <c r="E158" s="34" t="str">
        <f>'BIO DATA'!F92</f>
        <v>Zhafir Abhinaya Diera Riyadie</v>
      </c>
      <c r="F158" s="35" t="str">
        <f>'BIO DATA'!Z92</f>
        <v>MTs. Mu'allimin Muh. Yogyakarta</v>
      </c>
      <c r="G158" s="68">
        <f>'BIO DATA'!J92</f>
        <v>3</v>
      </c>
      <c r="H158" s="106" t="str">
        <f>'BIO DATA'!N92</f>
        <v>Purbalingga</v>
      </c>
      <c r="I158" s="120" t="str">
        <f>'BIO DATA'!Q92</f>
        <v>20 Agustus 2010</v>
      </c>
      <c r="J158" s="34" t="str">
        <f>'BIO DATA'!T92</f>
        <v xml:space="preserve">Jl. Nangka 1 RT 12 Kampung Empat, Tarakan Timur, Kota Tarakan, Kalimantan Utara </v>
      </c>
      <c r="K158" s="34" t="str">
        <f>'BIO DATA'!AC92</f>
        <v>Ir. Aris Ma'mun Riyadie</v>
      </c>
      <c r="L158" s="123" t="str">
        <f>'BIO DATA'!AH92</f>
        <v>08115373456</v>
      </c>
      <c r="M158" s="34" t="str">
        <f>'BIO DATA'!AJ92</f>
        <v>Dian Ning Utami</v>
      </c>
      <c r="N158" s="125">
        <f>'BIO DATA'!AO92</f>
        <v>0</v>
      </c>
      <c r="O158" s="34" t="str">
        <f>'BIO DATA'!AF92</f>
        <v>Lainnya</v>
      </c>
      <c r="P158" s="34">
        <f>'BIO DATA'!AM92</f>
        <v>0</v>
      </c>
      <c r="Q158" s="159" t="str">
        <f>'BIO DATA'!I92</f>
        <v>MTs-25
120006367</v>
      </c>
    </row>
    <row r="159" spans="2:19" s="38" customFormat="1" ht="12.75">
      <c r="B159" s="39"/>
      <c r="C159" s="40"/>
      <c r="D159" s="107"/>
      <c r="E159" s="41"/>
      <c r="F159" s="37"/>
      <c r="G159" s="108"/>
      <c r="H159" s="41"/>
      <c r="I159" s="121"/>
      <c r="J159" s="41"/>
      <c r="K159" s="41"/>
      <c r="L159" s="43"/>
      <c r="M159" s="41"/>
      <c r="N159" s="122"/>
      <c r="O159" s="41"/>
      <c r="P159" s="41"/>
      <c r="Q159" s="122"/>
    </row>
    <row r="160" spans="2:19" s="38" customFormat="1" ht="12.75">
      <c r="B160" s="39"/>
      <c r="C160" s="40"/>
      <c r="D160" s="107"/>
      <c r="E160" s="41"/>
      <c r="F160" s="37"/>
      <c r="G160" s="108"/>
      <c r="H160" s="41"/>
      <c r="I160" s="121"/>
      <c r="J160" s="41"/>
      <c r="K160" s="41"/>
      <c r="L160" s="43"/>
      <c r="M160" s="41"/>
      <c r="N160" s="122"/>
      <c r="O160" s="41"/>
      <c r="P160" s="41"/>
      <c r="Q160" s="122"/>
    </row>
    <row r="161" spans="2:17" s="38" customFormat="1" ht="12.75">
      <c r="B161" s="39"/>
      <c r="C161" s="40"/>
      <c r="D161" s="107"/>
      <c r="E161" s="41"/>
      <c r="F161" s="37"/>
      <c r="G161" s="108"/>
      <c r="H161" s="41"/>
      <c r="I161" s="121"/>
      <c r="J161" s="41"/>
      <c r="K161" s="41"/>
      <c r="L161" s="43"/>
      <c r="M161" s="41"/>
      <c r="N161" s="122"/>
      <c r="O161" s="41"/>
      <c r="P161" s="41"/>
      <c r="Q161" s="122"/>
    </row>
    <row r="162" spans="2:17" s="38" customFormat="1" ht="12.75">
      <c r="B162" s="39"/>
      <c r="C162" s="40"/>
      <c r="D162" s="107"/>
      <c r="E162" s="41"/>
      <c r="F162" s="37"/>
      <c r="G162" s="108"/>
      <c r="H162" s="41"/>
      <c r="I162" s="121"/>
      <c r="J162" s="41"/>
      <c r="K162" s="41"/>
      <c r="L162" s="43"/>
      <c r="M162" s="41"/>
      <c r="N162" s="122"/>
      <c r="O162" s="41"/>
      <c r="P162" s="41"/>
      <c r="Q162" s="122"/>
    </row>
    <row r="163" spans="2:17" s="38" customFormat="1" ht="12.75">
      <c r="B163" s="39"/>
      <c r="C163" s="40"/>
      <c r="D163" s="107"/>
      <c r="E163" s="41"/>
      <c r="F163" s="37"/>
      <c r="G163" s="108"/>
      <c r="H163" s="41"/>
      <c r="I163" s="121"/>
      <c r="J163" s="41"/>
      <c r="K163" s="41"/>
      <c r="L163" s="43"/>
      <c r="M163" s="41"/>
      <c r="N163" s="122"/>
      <c r="O163" s="41"/>
      <c r="P163" s="41"/>
      <c r="Q163" s="122"/>
    </row>
    <row r="164" spans="2:17" s="38" customFormat="1" ht="12.75">
      <c r="B164" s="39"/>
      <c r="C164" s="40"/>
      <c r="D164" s="107"/>
      <c r="E164" s="41"/>
      <c r="F164" s="37"/>
      <c r="G164" s="108"/>
      <c r="H164" s="41"/>
      <c r="I164" s="121"/>
      <c r="J164" s="41"/>
      <c r="K164" s="41"/>
      <c r="L164" s="43"/>
      <c r="M164" s="41"/>
      <c r="N164" s="122"/>
      <c r="O164" s="41"/>
      <c r="P164" s="41"/>
      <c r="Q164" s="122"/>
    </row>
    <row r="165" spans="2:17" s="38" customFormat="1" ht="12.75">
      <c r="B165" s="39"/>
      <c r="C165" s="40"/>
      <c r="D165" s="107"/>
      <c r="E165" s="41"/>
      <c r="F165" s="37"/>
      <c r="G165" s="108"/>
      <c r="H165" s="41"/>
      <c r="I165" s="121"/>
      <c r="J165" s="41"/>
      <c r="K165" s="41"/>
      <c r="L165" s="43"/>
      <c r="M165" s="41"/>
      <c r="N165" s="122"/>
      <c r="O165" s="41"/>
      <c r="P165" s="41"/>
      <c r="Q165" s="122"/>
    </row>
    <row r="166" spans="2:17" s="38" customFormat="1" ht="12.75">
      <c r="B166" s="39"/>
      <c r="C166" s="40"/>
      <c r="D166" s="107"/>
      <c r="E166" s="41"/>
      <c r="F166" s="37"/>
      <c r="G166" s="108"/>
      <c r="H166" s="41"/>
      <c r="I166" s="121"/>
      <c r="J166" s="41"/>
      <c r="K166" s="41"/>
      <c r="L166" s="43"/>
      <c r="M166" s="41"/>
      <c r="N166" s="122"/>
      <c r="O166" s="41"/>
      <c r="P166" s="41"/>
      <c r="Q166" s="122"/>
    </row>
    <row r="167" spans="2:17" s="38" customFormat="1" ht="12.75">
      <c r="B167" s="39"/>
      <c r="C167" s="40"/>
      <c r="D167" s="107"/>
      <c r="E167" s="41"/>
      <c r="F167" s="37"/>
      <c r="G167" s="108"/>
      <c r="H167" s="41"/>
      <c r="I167" s="121"/>
      <c r="J167" s="41"/>
      <c r="K167" s="41"/>
      <c r="L167" s="43"/>
      <c r="M167" s="41"/>
      <c r="N167" s="122"/>
      <c r="O167" s="41"/>
      <c r="P167" s="41"/>
      <c r="Q167" s="122"/>
    </row>
    <row r="168" spans="2:17" s="38" customFormat="1" ht="12.75">
      <c r="B168" s="39"/>
      <c r="C168" s="40"/>
      <c r="D168" s="107"/>
      <c r="E168" s="41"/>
      <c r="F168" s="37"/>
      <c r="G168" s="108"/>
      <c r="H168" s="41"/>
      <c r="I168" s="121"/>
      <c r="J168" s="41"/>
      <c r="K168" s="41"/>
      <c r="L168" s="43"/>
      <c r="M168" s="41"/>
      <c r="N168" s="122"/>
      <c r="O168" s="41"/>
      <c r="P168" s="41"/>
      <c r="Q168" s="122"/>
    </row>
    <row r="169" spans="2:17" s="38" customFormat="1" ht="12.75">
      <c r="B169" s="39"/>
      <c r="C169" s="40"/>
      <c r="D169" s="107"/>
      <c r="E169" s="41"/>
      <c r="F169" s="37"/>
      <c r="G169" s="108"/>
      <c r="H169" s="41"/>
      <c r="I169" s="121"/>
      <c r="J169" s="41"/>
      <c r="K169" s="41"/>
      <c r="L169" s="43"/>
      <c r="M169" s="41"/>
      <c r="N169" s="122"/>
      <c r="O169" s="41"/>
      <c r="P169" s="41"/>
      <c r="Q169" s="122"/>
    </row>
    <row r="170" spans="2:17" s="38" customFormat="1" ht="12.75">
      <c r="B170" s="39"/>
      <c r="C170" s="40"/>
      <c r="D170" s="107"/>
      <c r="E170" s="41"/>
      <c r="F170" s="37"/>
      <c r="G170" s="108"/>
      <c r="H170" s="41"/>
      <c r="I170" s="121"/>
      <c r="J170" s="41"/>
      <c r="K170" s="41"/>
      <c r="L170" s="43"/>
      <c r="M170" s="41"/>
      <c r="N170" s="122"/>
      <c r="O170" s="41"/>
      <c r="P170" s="41"/>
      <c r="Q170" s="122"/>
    </row>
    <row r="171" spans="2:17" s="38" customFormat="1" ht="12.75">
      <c r="B171" s="39"/>
      <c r="C171" s="40"/>
      <c r="D171" s="107"/>
      <c r="E171" s="41"/>
      <c r="F171" s="37"/>
      <c r="G171" s="108"/>
      <c r="H171" s="41"/>
      <c r="I171" s="121"/>
      <c r="J171" s="41"/>
      <c r="K171" s="41"/>
      <c r="L171" s="43"/>
      <c r="M171" s="41"/>
      <c r="N171" s="122"/>
      <c r="O171" s="41"/>
      <c r="P171" s="41"/>
      <c r="Q171" s="122"/>
    </row>
    <row r="172" spans="2:17" s="38" customFormat="1" ht="12.75">
      <c r="B172" s="39"/>
      <c r="C172" s="40"/>
      <c r="D172" s="107"/>
      <c r="E172" s="41"/>
      <c r="F172" s="37"/>
      <c r="G172" s="108"/>
      <c r="H172" s="41"/>
      <c r="I172" s="121"/>
      <c r="J172" s="41"/>
      <c r="K172" s="41"/>
      <c r="L172" s="43"/>
      <c r="M172" s="41"/>
      <c r="N172" s="122"/>
      <c r="O172" s="41"/>
      <c r="P172" s="41"/>
      <c r="Q172" s="122"/>
    </row>
    <row r="173" spans="2:17" s="38" customFormat="1" ht="12.75">
      <c r="B173" s="39"/>
      <c r="C173" s="40"/>
      <c r="D173" s="107"/>
      <c r="E173" s="41"/>
      <c r="F173" s="37"/>
      <c r="G173" s="108"/>
      <c r="H173" s="41"/>
      <c r="I173" s="121"/>
      <c r="J173" s="41"/>
      <c r="K173" s="41"/>
      <c r="L173" s="43"/>
      <c r="M173" s="41"/>
      <c r="N173" s="122"/>
      <c r="O173" s="41"/>
      <c r="P173" s="41"/>
      <c r="Q173" s="122"/>
    </row>
    <row r="174" spans="2:17" s="38" customFormat="1" ht="12.75">
      <c r="B174" s="39"/>
      <c r="C174" s="40"/>
      <c r="D174" s="107"/>
      <c r="E174" s="41"/>
      <c r="F174" s="37"/>
      <c r="G174" s="108"/>
      <c r="H174" s="41"/>
      <c r="I174" s="121"/>
      <c r="J174" s="41"/>
      <c r="K174" s="41"/>
      <c r="L174" s="43"/>
      <c r="M174" s="41"/>
      <c r="N174" s="122"/>
      <c r="O174" s="41"/>
      <c r="P174" s="41"/>
      <c r="Q174" s="122"/>
    </row>
    <row r="175" spans="2:17" s="38" customFormat="1" ht="12.75">
      <c r="B175" s="39"/>
      <c r="C175" s="40"/>
      <c r="D175" s="107"/>
      <c r="E175" s="41"/>
      <c r="F175" s="37"/>
      <c r="G175" s="108"/>
      <c r="H175" s="41"/>
      <c r="I175" s="121"/>
      <c r="J175" s="41"/>
      <c r="K175" s="41"/>
      <c r="L175" s="43"/>
      <c r="M175" s="41"/>
      <c r="N175" s="122"/>
      <c r="O175" s="41"/>
      <c r="P175" s="41"/>
      <c r="Q175" s="122"/>
    </row>
    <row r="176" spans="2:17" s="38" customFormat="1" ht="12.75">
      <c r="B176" s="39"/>
      <c r="C176" s="40"/>
      <c r="D176" s="107"/>
      <c r="E176" s="41"/>
      <c r="F176" s="37"/>
      <c r="G176" s="108"/>
      <c r="H176" s="41"/>
      <c r="I176" s="121"/>
      <c r="J176" s="41"/>
      <c r="K176" s="41"/>
      <c r="L176" s="43"/>
      <c r="M176" s="41"/>
      <c r="N176" s="122"/>
      <c r="O176" s="41"/>
      <c r="P176" s="41"/>
      <c r="Q176" s="122"/>
    </row>
    <row r="177" spans="2:19" s="38" customFormat="1" ht="12.75">
      <c r="B177" s="39"/>
      <c r="C177" s="40"/>
      <c r="D177" s="107"/>
      <c r="E177" s="41"/>
      <c r="F177" s="37"/>
      <c r="G177" s="108"/>
      <c r="H177" s="41"/>
      <c r="I177" s="121"/>
      <c r="J177" s="41"/>
      <c r="K177" s="41"/>
      <c r="L177" s="43"/>
      <c r="M177" s="41"/>
      <c r="N177" s="122"/>
      <c r="O177" s="41"/>
      <c r="P177" s="41"/>
      <c r="Q177" s="122"/>
    </row>
    <row r="178" spans="2:19" s="22" customFormat="1" ht="18.75" customHeight="1">
      <c r="B178" s="263" t="s">
        <v>3291</v>
      </c>
      <c r="C178" s="263"/>
      <c r="D178" s="263"/>
      <c r="E178" s="263"/>
      <c r="F178" s="263"/>
      <c r="G178" s="263"/>
      <c r="H178" s="263"/>
      <c r="I178" s="263"/>
      <c r="J178" s="263"/>
      <c r="K178" s="263"/>
      <c r="L178" s="263"/>
      <c r="M178" s="263"/>
      <c r="N178" s="263"/>
      <c r="O178" s="263"/>
      <c r="P178" s="263"/>
      <c r="Q178" s="263"/>
    </row>
    <row r="179" spans="2:19" s="22" customFormat="1" ht="18.75" customHeight="1">
      <c r="B179" s="263" t="s">
        <v>133</v>
      </c>
      <c r="C179" s="263"/>
      <c r="D179" s="263"/>
      <c r="E179" s="263"/>
      <c r="F179" s="263"/>
      <c r="G179" s="263"/>
      <c r="H179" s="263"/>
      <c r="I179" s="263"/>
      <c r="J179" s="263"/>
      <c r="K179" s="263"/>
      <c r="L179" s="263"/>
      <c r="M179" s="263"/>
      <c r="N179" s="263"/>
      <c r="O179" s="263"/>
      <c r="P179" s="263"/>
      <c r="Q179" s="263"/>
    </row>
    <row r="180" spans="2:19" s="22" customFormat="1" ht="18.75" customHeight="1">
      <c r="B180" s="264" t="s">
        <v>3300</v>
      </c>
      <c r="C180" s="264"/>
      <c r="D180" s="264"/>
      <c r="E180" s="264"/>
      <c r="F180" s="264"/>
      <c r="G180" s="264"/>
      <c r="H180" s="264"/>
      <c r="I180" s="264"/>
      <c r="J180" s="264"/>
      <c r="K180" s="264"/>
      <c r="L180" s="264"/>
      <c r="M180" s="264"/>
      <c r="N180" s="264"/>
      <c r="O180" s="264"/>
      <c r="P180" s="264"/>
      <c r="Q180" s="264"/>
    </row>
    <row r="181" spans="2:19" s="23" customFormat="1" ht="15" customHeight="1">
      <c r="B181" s="262" t="s">
        <v>0</v>
      </c>
      <c r="C181" s="265" t="s">
        <v>134</v>
      </c>
      <c r="D181" s="266" t="s">
        <v>2</v>
      </c>
      <c r="E181" s="267" t="s">
        <v>3</v>
      </c>
      <c r="F181" s="267" t="s">
        <v>8</v>
      </c>
      <c r="G181" s="262" t="s">
        <v>135</v>
      </c>
      <c r="H181" s="262" t="s">
        <v>136</v>
      </c>
      <c r="I181" s="262"/>
      <c r="J181" s="269" t="s">
        <v>6</v>
      </c>
      <c r="K181" s="268" t="s">
        <v>137</v>
      </c>
      <c r="L181" s="268"/>
      <c r="M181" s="268"/>
      <c r="N181" s="268"/>
      <c r="O181" s="270" t="s">
        <v>138</v>
      </c>
      <c r="P181" s="270"/>
      <c r="Q181" s="262" t="s">
        <v>139</v>
      </c>
    </row>
    <row r="182" spans="2:19" s="23" customFormat="1" ht="15.75" customHeight="1">
      <c r="B182" s="262"/>
      <c r="C182" s="265"/>
      <c r="D182" s="266"/>
      <c r="E182" s="267"/>
      <c r="F182" s="267"/>
      <c r="G182" s="262"/>
      <c r="H182" s="24" t="s">
        <v>140</v>
      </c>
      <c r="I182" s="24" t="s">
        <v>141</v>
      </c>
      <c r="J182" s="269"/>
      <c r="K182" s="26" t="s">
        <v>142</v>
      </c>
      <c r="L182" s="25" t="s">
        <v>142</v>
      </c>
      <c r="M182" s="26" t="s">
        <v>143</v>
      </c>
      <c r="N182" s="25" t="s">
        <v>144</v>
      </c>
      <c r="O182" s="24" t="s">
        <v>145</v>
      </c>
      <c r="P182" s="24" t="s">
        <v>146</v>
      </c>
      <c r="Q182" s="262"/>
      <c r="R182" s="7"/>
      <c r="S182" s="7"/>
    </row>
    <row r="183" spans="2:19" s="38" customFormat="1" ht="40.5" customHeight="1">
      <c r="B183" s="32">
        <v>1</v>
      </c>
      <c r="C183" s="33">
        <f>'BIO DATA'!D93</f>
        <v>11204</v>
      </c>
      <c r="D183" s="138" t="str">
        <f>'BIO DATA'!E93</f>
        <v>0093875377</v>
      </c>
      <c r="E183" s="34" t="str">
        <f>'BIO DATA'!F93</f>
        <v>Abrisam Ahza Saladin Arsyad</v>
      </c>
      <c r="F183" s="35" t="str">
        <f>'BIO DATA'!Z93</f>
        <v>MTs. Mu'allimin Muh. Yogyakarta</v>
      </c>
      <c r="G183" s="68">
        <f>'BIO DATA'!J93</f>
        <v>1</v>
      </c>
      <c r="H183" s="106" t="str">
        <f>'BIO DATA'!N93</f>
        <v>Sukoharjo</v>
      </c>
      <c r="I183" s="120" t="str">
        <f>'BIO DATA'!Q93</f>
        <v>24 Desember 2009</v>
      </c>
      <c r="J183" s="34" t="str">
        <f>'BIO DATA'!T93</f>
        <v>Jalan Matoa 2 Nmr 6 Karangasem RT 1 RW 7 Laweyan Surakarta Jawa Tengah, 57145</v>
      </c>
      <c r="K183" s="34" t="str">
        <f>'BIO DATA'!AC93</f>
        <v>Muhammad Lutfi Arsyad</v>
      </c>
      <c r="L183" s="123" t="str">
        <f>'BIO DATA'!AH93</f>
        <v>085647117220</v>
      </c>
      <c r="M183" s="34" t="str">
        <f>'BIO DATA'!AJ93</f>
        <v>Ela Fitria Rahma</v>
      </c>
      <c r="N183" s="125">
        <f>'BIO DATA'!AO93</f>
        <v>0</v>
      </c>
      <c r="O183" s="34" t="str">
        <f>'BIO DATA'!AF93</f>
        <v>Lainnya</v>
      </c>
      <c r="P183" s="34" t="str">
        <f>'BIO DATA'!AM93</f>
        <v>Ibu Rumah Tangga</v>
      </c>
      <c r="Q183" s="159" t="str">
        <f>'BIO DATA'!I93</f>
        <v>MTs-25
120006430</v>
      </c>
    </row>
    <row r="184" spans="2:19" s="38" customFormat="1" ht="51">
      <c r="B184" s="32">
        <v>2</v>
      </c>
      <c r="C184" s="33">
        <f>'BIO DATA'!D94</f>
        <v>11247</v>
      </c>
      <c r="D184" s="138" t="str">
        <f>'BIO DATA'!E94</f>
        <v>0104594944</v>
      </c>
      <c r="E184" s="34" t="str">
        <f>'BIO DATA'!F94</f>
        <v>Alfael Rumi</v>
      </c>
      <c r="F184" s="35" t="str">
        <f>'BIO DATA'!Z94</f>
        <v>MTs. Mu'allimin Muh. Yogyakarta</v>
      </c>
      <c r="G184" s="68">
        <f>'BIO DATA'!J94</f>
        <v>1</v>
      </c>
      <c r="H184" s="106" t="str">
        <f>'BIO DATA'!N94</f>
        <v>Malang</v>
      </c>
      <c r="I184" s="120" t="str">
        <f>'BIO DATA'!Q94</f>
        <v>26 Januari 2010</v>
      </c>
      <c r="J184" s="34" t="str">
        <f>'BIO DATA'!T94</f>
        <v>Perum Sawojajar Jl Danau Rawa Pening Dalam H5 E/23 Madyopuro, Kedungkandang, Kota Malang Jawa Timur 65138</v>
      </c>
      <c r="K184" s="34" t="str">
        <f>'BIO DATA'!AC94</f>
        <v>Ikuk Herry Kurniawan</v>
      </c>
      <c r="L184" s="123">
        <f>'BIO DATA'!AH94</f>
        <v>0</v>
      </c>
      <c r="M184" s="34" t="str">
        <f>'BIO DATA'!AJ94</f>
        <v>Dhina Chahyantiningsih</v>
      </c>
      <c r="N184" s="125" t="str">
        <f>'BIO DATA'!AO94</f>
        <v>085815948000</v>
      </c>
      <c r="O184" s="34" t="str">
        <f>'BIO DATA'!AF94</f>
        <v>Wiraswasta</v>
      </c>
      <c r="P184" s="34" t="str">
        <f>'BIO DATA'!AM94</f>
        <v>Lainnya</v>
      </c>
      <c r="Q184" s="159" t="str">
        <f>'BIO DATA'!I94</f>
        <v>MTs-25
120006341</v>
      </c>
    </row>
    <row r="185" spans="2:19" s="38" customFormat="1" ht="38.25" customHeight="1">
      <c r="B185" s="32">
        <v>3</v>
      </c>
      <c r="C185" s="33">
        <f>'BIO DATA'!D95</f>
        <v>11263</v>
      </c>
      <c r="D185" s="138" t="str">
        <f>'BIO DATA'!E95</f>
        <v>0106069625</v>
      </c>
      <c r="E185" s="34" t="str">
        <f>'BIO DATA'!F95</f>
        <v>Aryanur Tegar Pribadi</v>
      </c>
      <c r="F185" s="35" t="str">
        <f>'BIO DATA'!Z95</f>
        <v>MTs. Mu'allimin Muh. Yogyakarta</v>
      </c>
      <c r="G185" s="68">
        <f>'BIO DATA'!J95</f>
        <v>2</v>
      </c>
      <c r="H185" s="106" t="str">
        <f>'BIO DATA'!N95</f>
        <v>Makartitama</v>
      </c>
      <c r="I185" s="120" t="str">
        <f>'BIO DATA'!Q95</f>
        <v>27 Oktober 2010</v>
      </c>
      <c r="J185" s="34" t="str">
        <f>'BIO DATA'!T95</f>
        <v>Dusun Polaman Rt 2 Rw 5 Kecamatan Kangkung Kabupaten Kendal, Jawa Tengah, 51353</v>
      </c>
      <c r="K185" s="34" t="str">
        <f>'BIO DATA'!AC95</f>
        <v>Nur Wakhid</v>
      </c>
      <c r="L185" s="123">
        <f>'BIO DATA'!AH95</f>
        <v>0</v>
      </c>
      <c r="M185" s="34" t="str">
        <f>'BIO DATA'!AJ95</f>
        <v>Yeni Sri Aryani</v>
      </c>
      <c r="N185" s="125" t="str">
        <f>'BIO DATA'!AO95</f>
        <v>081227625610</v>
      </c>
      <c r="O185" s="34" t="str">
        <f>'BIO DATA'!AF95</f>
        <v>Wiraswasta</v>
      </c>
      <c r="P185" s="34" t="str">
        <f>'BIO DATA'!AM95</f>
        <v>Ibu Rumah Tangga</v>
      </c>
      <c r="Q185" s="159" t="str">
        <f>'BIO DATA'!I95</f>
        <v>MTs-25
120006433</v>
      </c>
    </row>
    <row r="186" spans="2:19" s="38" customFormat="1" ht="38.25">
      <c r="B186" s="32">
        <v>4</v>
      </c>
      <c r="C186" s="33">
        <f>'BIO DATA'!D96</f>
        <v>11268</v>
      </c>
      <c r="D186" s="138" t="str">
        <f>'BIO DATA'!E96</f>
        <v>0104685099</v>
      </c>
      <c r="E186" s="34" t="str">
        <f>'BIO DATA'!F96</f>
        <v>Auditya Ahmad Madani</v>
      </c>
      <c r="F186" s="35" t="str">
        <f>'BIO DATA'!Z96</f>
        <v>MTs. Mu'allimin Muh. Yogyakarta</v>
      </c>
      <c r="G186" s="68">
        <f>'BIO DATA'!J96</f>
        <v>1</v>
      </c>
      <c r="H186" s="106" t="str">
        <f>'BIO DATA'!N96</f>
        <v>Surabaya</v>
      </c>
      <c r="I186" s="120" t="str">
        <f>'BIO DATA'!Q96</f>
        <v>20 Maret 2010</v>
      </c>
      <c r="J186" s="34" t="str">
        <f>'BIO DATA'!T96</f>
        <v>Perum. Pondok Tanjung Permai I B6 Medokan Semampir, Sukolilo, Surabaya, Jawa Timur, 60119</v>
      </c>
      <c r="K186" s="34" t="str">
        <f>'BIO DATA'!AC96</f>
        <v>Dr. Tumirin, S.E., M.Si.</v>
      </c>
      <c r="L186" s="123" t="str">
        <f>'BIO DATA'!AH96</f>
        <v>081331383505</v>
      </c>
      <c r="M186" s="34" t="str">
        <f>'BIO DATA'!AJ96</f>
        <v>Siti Muntowiyah</v>
      </c>
      <c r="N186" s="125">
        <f>'BIO DATA'!AO96</f>
        <v>0</v>
      </c>
      <c r="O186" s="34" t="str">
        <f>'BIO DATA'!AF96</f>
        <v>Dosen</v>
      </c>
      <c r="P186" s="34" t="str">
        <f>'BIO DATA'!AM96</f>
        <v>Bidan</v>
      </c>
      <c r="Q186" s="159" t="str">
        <f>'BIO DATA'!I96</f>
        <v>MTs-25
120006318</v>
      </c>
    </row>
    <row r="187" spans="2:19" s="38" customFormat="1" ht="51">
      <c r="B187" s="32">
        <v>5</v>
      </c>
      <c r="C187" s="33">
        <f>'BIO DATA'!D97</f>
        <v>11287</v>
      </c>
      <c r="D187" s="138" t="str">
        <f>'BIO DATA'!E97</f>
        <v>0105446619</v>
      </c>
      <c r="E187" s="34" t="str">
        <f>'BIO DATA'!F97</f>
        <v>Daffa Rasendriya Firdaus</v>
      </c>
      <c r="F187" s="35" t="str">
        <f>'BIO DATA'!Z97</f>
        <v>MTs. Mu'allimin Muh. Yogyakarta</v>
      </c>
      <c r="G187" s="68">
        <f>'BIO DATA'!J97</f>
        <v>2</v>
      </c>
      <c r="H187" s="106" t="str">
        <f>'BIO DATA'!N97</f>
        <v>Pekanbaru</v>
      </c>
      <c r="I187" s="120" t="str">
        <f>'BIO DATA'!Q97</f>
        <v>09 April 2010</v>
      </c>
      <c r="J187" s="34" t="str">
        <f>'BIO DATA'!T97</f>
        <v>Jl. Patin Raya No. 21 Perumnas Rumbai RT/RW 011/010 Kelurahan LImbungan Baru Kecamatan Rumbai Pesisisr Kota Pekanbaru, Riau, 28269</v>
      </c>
      <c r="K187" s="34" t="str">
        <f>'BIO DATA'!AC97</f>
        <v>Dian Wahyudi Firdaus</v>
      </c>
      <c r="L187" s="123">
        <f>'BIO DATA'!AH97</f>
        <v>0</v>
      </c>
      <c r="M187" s="34" t="str">
        <f>'BIO DATA'!AJ97</f>
        <v>Fitrawati Azwar</v>
      </c>
      <c r="N187" s="125" t="str">
        <f>'BIO DATA'!AO97</f>
        <v>081382660069</v>
      </c>
      <c r="O187" s="34" t="str">
        <f>'BIO DATA'!AF97</f>
        <v>Karyawan Swasta</v>
      </c>
      <c r="P187" s="34" t="str">
        <f>'BIO DATA'!AM97</f>
        <v>PNS</v>
      </c>
      <c r="Q187" s="159" t="str">
        <f>'BIO DATA'!I97</f>
        <v>MTs-25
120006377</v>
      </c>
    </row>
    <row r="188" spans="2:19" s="38" customFormat="1" ht="37.5" customHeight="1">
      <c r="B188" s="32">
        <v>6</v>
      </c>
      <c r="C188" s="33">
        <f>'BIO DATA'!D98</f>
        <v>11303</v>
      </c>
      <c r="D188" s="138" t="str">
        <f>'BIO DATA'!E98</f>
        <v>0105132312</v>
      </c>
      <c r="E188" s="34" t="str">
        <f>'BIO DATA'!F98</f>
        <v>Evan Febrian Wahyuriski</v>
      </c>
      <c r="F188" s="35" t="str">
        <f>'BIO DATA'!Z98</f>
        <v>MTs. Mu'allimin Muh. Yogyakarta</v>
      </c>
      <c r="G188" s="68">
        <f>'BIO DATA'!J98</f>
        <v>2</v>
      </c>
      <c r="H188" s="106" t="str">
        <f>'BIO DATA'!N98</f>
        <v>Kendal</v>
      </c>
      <c r="I188" s="120" t="str">
        <f>'BIO DATA'!Q98</f>
        <v>01 Februari 2010</v>
      </c>
      <c r="J188" s="34" t="str">
        <f>'BIO DATA'!T98</f>
        <v>Dusun Krajan RT01/RW01 Desa Campurejo Kec. Boja Kab. Kendal, Jawa Tengah, 51381</v>
      </c>
      <c r="K188" s="34" t="str">
        <f>'BIO DATA'!AC98</f>
        <v>Ismu Wahyudi</v>
      </c>
      <c r="L188" s="123" t="str">
        <f>'BIO DATA'!AH98</f>
        <v>085328942836</v>
      </c>
      <c r="M188" s="34" t="str">
        <f>'BIO DATA'!AJ98</f>
        <v>Catur Widiastuti</v>
      </c>
      <c r="N188" s="125">
        <f>'BIO DATA'!AO98</f>
        <v>0</v>
      </c>
      <c r="O188" s="34" t="str">
        <f>'BIO DATA'!AF98</f>
        <v>PNS</v>
      </c>
      <c r="P188" s="34" t="str">
        <f>'BIO DATA'!AM98</f>
        <v>Ibu Rumah Tangga</v>
      </c>
      <c r="Q188" s="159" t="str">
        <f>'BIO DATA'!I98</f>
        <v>MTs-25
120006378</v>
      </c>
    </row>
    <row r="189" spans="2:19" s="38" customFormat="1" ht="25.5">
      <c r="B189" s="32">
        <v>7</v>
      </c>
      <c r="C189" s="33">
        <f>'BIO DATA'!D99</f>
        <v>11307</v>
      </c>
      <c r="D189" s="138" t="str">
        <f>'BIO DATA'!E99</f>
        <v>0097650066</v>
      </c>
      <c r="E189" s="34" t="str">
        <f>'BIO DATA'!F99</f>
        <v>Fadhil Muhammad Taqiyulloh</v>
      </c>
      <c r="F189" s="35" t="str">
        <f>'BIO DATA'!Z99</f>
        <v>MTs. Mu'allimin Muh. Yogyakarta</v>
      </c>
      <c r="G189" s="68">
        <f>'BIO DATA'!J99</f>
        <v>1</v>
      </c>
      <c r="H189" s="106" t="str">
        <f>'BIO DATA'!N99</f>
        <v>Yogyakarta</v>
      </c>
      <c r="I189" s="120" t="str">
        <f>'BIO DATA'!Q99</f>
        <v>11 Maret 2009</v>
      </c>
      <c r="J189" s="34" t="str">
        <f>'BIO DATA'!T99</f>
        <v>Jl. Masjid Besar 905-C RT.45/10 Dalem Purbayan Kotagede Yogyakarta 55173</v>
      </c>
      <c r="K189" s="34" t="str">
        <f>'BIO DATA'!AC99</f>
        <v>Rasikh Robbani Sigit</v>
      </c>
      <c r="L189" s="123" t="str">
        <f>'BIO DATA'!AH99</f>
        <v>081229515444</v>
      </c>
      <c r="M189" s="34" t="str">
        <f>'BIO DATA'!AJ99</f>
        <v>Sukidah</v>
      </c>
      <c r="N189" s="125">
        <f>'BIO DATA'!AO99</f>
        <v>0</v>
      </c>
      <c r="O189" s="34" t="str">
        <f>'BIO DATA'!AF99</f>
        <v>Wiraswasta</v>
      </c>
      <c r="P189" s="34" t="str">
        <f>'BIO DATA'!AM99</f>
        <v>Ibu Rumah Tangga</v>
      </c>
      <c r="Q189" s="159" t="str">
        <f>'BIO DATA'!I99</f>
        <v>MTs-25
120006380</v>
      </c>
    </row>
    <row r="190" spans="2:19" s="28" customFormat="1" ht="37.5" customHeight="1">
      <c r="B190" s="32">
        <v>8</v>
      </c>
      <c r="C190" s="33">
        <f>'BIO DATA'!D100</f>
        <v>11323</v>
      </c>
      <c r="D190" s="138" t="str">
        <f>'BIO DATA'!E100</f>
        <v>0094342740</v>
      </c>
      <c r="E190" s="34" t="str">
        <f>'BIO DATA'!F100</f>
        <v>Fakhri Raditya Affandi</v>
      </c>
      <c r="F190" s="35" t="str">
        <f>'BIO DATA'!Z100</f>
        <v>MTs. Mu'allimin Muh. Yogyakarta</v>
      </c>
      <c r="G190" s="68">
        <f>'BIO DATA'!J100</f>
        <v>1</v>
      </c>
      <c r="H190" s="106" t="str">
        <f>'BIO DATA'!N100</f>
        <v>Kebumen</v>
      </c>
      <c r="I190" s="120" t="str">
        <f>'BIO DATA'!Q100</f>
        <v>14 Maret 2009</v>
      </c>
      <c r="J190" s="34" t="str">
        <f>'BIO DATA'!T100</f>
        <v>Jalan Yos Sudarso No. 90 RT 03 RW 03 Desa Wero Kec. Gombong Kab. Kebumen Jawa Tengah 54416</v>
      </c>
      <c r="K190" s="34" t="str">
        <f>'BIO DATA'!AC100</f>
        <v>Samhudi, SE</v>
      </c>
      <c r="L190" s="123" t="str">
        <f>'BIO DATA'!AH100</f>
        <v>085227076888</v>
      </c>
      <c r="M190" s="34" t="str">
        <f>'BIO DATA'!AJ100</f>
        <v>Anita Kurnianti, SE</v>
      </c>
      <c r="N190" s="125" t="str">
        <f>'BIO DATA'!AO100</f>
        <v>085228056868</v>
      </c>
      <c r="O190" s="34" t="str">
        <f>'BIO DATA'!AF100</f>
        <v>Wiraswasta</v>
      </c>
      <c r="P190" s="34" t="str">
        <f>'BIO DATA'!AM100</f>
        <v>Ibu Rumah Tangga</v>
      </c>
      <c r="Q190" s="159" t="str">
        <f>'BIO DATA'!I100</f>
        <v>MTs-25
120006344</v>
      </c>
      <c r="R190" s="31"/>
      <c r="S190" s="31"/>
    </row>
    <row r="191" spans="2:19" s="38" customFormat="1" ht="40.5" customHeight="1">
      <c r="B191" s="32">
        <v>9</v>
      </c>
      <c r="C191" s="33">
        <f>'BIO DATA'!D101</f>
        <v>11331</v>
      </c>
      <c r="D191" s="138" t="str">
        <f>'BIO DATA'!E101</f>
        <v>0096595719</v>
      </c>
      <c r="E191" s="34" t="str">
        <f>'BIO DATA'!F101</f>
        <v>Fathan Abqo Sidiq</v>
      </c>
      <c r="F191" s="35" t="str">
        <f>'BIO DATA'!Z101</f>
        <v>MTs. Mu'allimin Muh. Yogyakarta</v>
      </c>
      <c r="G191" s="68">
        <f>'BIO DATA'!J101</f>
        <v>1</v>
      </c>
      <c r="H191" s="106" t="str">
        <f>'BIO DATA'!N101</f>
        <v>Semarang</v>
      </c>
      <c r="I191" s="120" t="str">
        <f>'BIO DATA'!Q101</f>
        <v>04 Oktober 2009</v>
      </c>
      <c r="J191" s="34" t="str">
        <f>'BIO DATA'!T101</f>
        <v>Jln. Thamrin-Gg H.Rain No.63, RT03/05, Ketapang, Cipondoh, Kota Tangerang Banten 15148</v>
      </c>
      <c r="K191" s="34" t="str">
        <f>'BIO DATA'!AC101</f>
        <v>Mubaher Sidiq</v>
      </c>
      <c r="L191" s="123" t="str">
        <f>'BIO DATA'!AH101</f>
        <v>081325692177</v>
      </c>
      <c r="M191" s="34" t="str">
        <f>'BIO DATA'!AJ101</f>
        <v>Susy'ana Iriani</v>
      </c>
      <c r="N191" s="125">
        <f>'BIO DATA'!AO101</f>
        <v>0</v>
      </c>
      <c r="O191" s="34" t="str">
        <f>'BIO DATA'!AF101</f>
        <v>PNS</v>
      </c>
      <c r="P191" s="34" t="str">
        <f>'BIO DATA'!AM101</f>
        <v>PNS</v>
      </c>
      <c r="Q191" s="159" t="str">
        <f>'BIO DATA'!I101</f>
        <v>MTs-25
120006345</v>
      </c>
    </row>
    <row r="192" spans="2:19" s="38" customFormat="1" ht="38.25">
      <c r="B192" s="32">
        <v>10</v>
      </c>
      <c r="C192" s="33">
        <f>'BIO DATA'!D102</f>
        <v>11326</v>
      </c>
      <c r="D192" s="138" t="str">
        <f>'BIO DATA'!E102</f>
        <v>0098125156</v>
      </c>
      <c r="E192" s="34" t="str">
        <f>'BIO DATA'!F102</f>
        <v>Fathullah Qamarul Adzami Samal</v>
      </c>
      <c r="F192" s="35" t="str">
        <f>'BIO DATA'!Z102</f>
        <v>MTs. Mu'allimin Muh. Yogyakarta</v>
      </c>
      <c r="G192" s="68">
        <f>'BIO DATA'!J102</f>
        <v>1</v>
      </c>
      <c r="H192" s="106" t="str">
        <f>'BIO DATA'!N102</f>
        <v>Ambon</v>
      </c>
      <c r="I192" s="120" t="str">
        <f>'BIO DATA'!Q102</f>
        <v>09 Mei 2010</v>
      </c>
      <c r="J192" s="34" t="str">
        <f>'BIO DATA'!T102</f>
        <v>Hatiwe Kecil Depan Kantor Agraria Lorong 5 Nomor 2 Kec. Sirimau Kota Ambon 97128</v>
      </c>
      <c r="K192" s="34" t="str">
        <f>'BIO DATA'!AC102</f>
        <v>Rizal Ardiansyah samal</v>
      </c>
      <c r="L192" s="123" t="str">
        <f>'BIO DATA'!AH102</f>
        <v>082197539168</v>
      </c>
      <c r="M192" s="34" t="str">
        <f>'BIO DATA'!AJ102</f>
        <v>Haryati Mundjid</v>
      </c>
      <c r="N192" s="125">
        <f>'BIO DATA'!AO102</f>
        <v>0</v>
      </c>
      <c r="O192" s="34" t="str">
        <f>'BIO DATA'!AF102</f>
        <v>PNS</v>
      </c>
      <c r="P192" s="34" t="str">
        <f>'BIO DATA'!AM102</f>
        <v>PNS</v>
      </c>
      <c r="Q192" s="159" t="str">
        <f>'BIO DATA'!I102</f>
        <v>MTs-25
120006293</v>
      </c>
    </row>
    <row r="193" spans="2:17" s="38" customFormat="1" ht="38.25">
      <c r="B193" s="32">
        <v>11</v>
      </c>
      <c r="C193" s="33">
        <f>'BIO DATA'!D103</f>
        <v>11328</v>
      </c>
      <c r="D193" s="138" t="str">
        <f>'BIO DATA'!E103</f>
        <v>0103219593</v>
      </c>
      <c r="E193" s="34" t="str">
        <f>'BIO DATA'!F103</f>
        <v>Fausta Dharu Reginald</v>
      </c>
      <c r="F193" s="35" t="str">
        <f>'BIO DATA'!Z103</f>
        <v>MTs. Mu'allimin Muh. Yogyakarta</v>
      </c>
      <c r="G193" s="68">
        <f>'BIO DATA'!J103</f>
        <v>1</v>
      </c>
      <c r="H193" s="106" t="str">
        <f>'BIO DATA'!N103</f>
        <v>Brebes</v>
      </c>
      <c r="I193" s="120" t="str">
        <f>'BIO DATA'!Q103</f>
        <v>27 Mei 2010</v>
      </c>
      <c r="J193" s="34" t="str">
        <f>'BIO DATA'!T103</f>
        <v>Jl. Pisang No. 39 RT 04/12 Susiloharjo Siswodipuran Boyolali Jawa Tengah 57311</v>
      </c>
      <c r="K193" s="34">
        <f>'BIO DATA'!AC103</f>
        <v>0</v>
      </c>
      <c r="L193" s="123">
        <f>'BIO DATA'!AH103</f>
        <v>0</v>
      </c>
      <c r="M193" s="34" t="str">
        <f>'BIO DATA'!AJ103</f>
        <v>Ruly Astuti Hestiningrum</v>
      </c>
      <c r="N193" s="125" t="str">
        <f>'BIO DATA'!AO103</f>
        <v>085643932939</v>
      </c>
      <c r="O193" s="34">
        <f>'BIO DATA'!AF103</f>
        <v>0</v>
      </c>
      <c r="P193" s="34" t="str">
        <f>'BIO DATA'!AM103</f>
        <v>Wiraswasta</v>
      </c>
      <c r="Q193" s="159" t="str">
        <f>'BIO DATA'!I103</f>
        <v>MTs-25
120006294</v>
      </c>
    </row>
    <row r="194" spans="2:17" s="38" customFormat="1" ht="35.25" customHeight="1">
      <c r="B194" s="32">
        <v>12</v>
      </c>
      <c r="C194" s="33">
        <f>'BIO DATA'!D104</f>
        <v>11339</v>
      </c>
      <c r="D194" s="138" t="str">
        <f>'BIO DATA'!E104</f>
        <v>0097956722</v>
      </c>
      <c r="E194" s="34" t="str">
        <f>'BIO DATA'!F104</f>
        <v>Gunawan Agung Christianto</v>
      </c>
      <c r="F194" s="35" t="str">
        <f>'BIO DATA'!Z104</f>
        <v>MTs. Mu'allimin Muh. Yogyakarta</v>
      </c>
      <c r="G194" s="68">
        <f>'BIO DATA'!J104</f>
        <v>1</v>
      </c>
      <c r="H194" s="106" t="str">
        <f>'BIO DATA'!N104</f>
        <v>Cilacap</v>
      </c>
      <c r="I194" s="120" t="str">
        <f>'BIO DATA'!Q104</f>
        <v>16 Desember 2009</v>
      </c>
      <c r="J194" s="34" t="str">
        <f>'BIO DATA'!T104</f>
        <v>Jl. Kauman RT 002 RW 011 Jenang, Majenang - Cilacap, Jawa Tengah, 53257</v>
      </c>
      <c r="K194" s="34" t="str">
        <f>'BIO DATA'!AC104</f>
        <v>Eko Budi Prasetyo</v>
      </c>
      <c r="L194" s="123">
        <f>'BIO DATA'!AH104</f>
        <v>0</v>
      </c>
      <c r="M194" s="34" t="str">
        <f>'BIO DATA'!AJ104</f>
        <v>Indriyati</v>
      </c>
      <c r="N194" s="125" t="str">
        <f>'BIO DATA'!AO104</f>
        <v>087833367810</v>
      </c>
      <c r="O194" s="34">
        <f>'BIO DATA'!AF104</f>
        <v>0</v>
      </c>
      <c r="P194" s="34" t="str">
        <f>'BIO DATA'!AM104</f>
        <v>Lainnya</v>
      </c>
      <c r="Q194" s="159" t="str">
        <f>'BIO DATA'!I104</f>
        <v>MTs-25 120006295</v>
      </c>
    </row>
    <row r="195" spans="2:17" s="38" customFormat="1" ht="38.25">
      <c r="B195" s="32">
        <v>13</v>
      </c>
      <c r="C195" s="33">
        <f>'BIO DATA'!D105</f>
        <v>11363</v>
      </c>
      <c r="D195" s="138" t="str">
        <f>'BIO DATA'!E105</f>
        <v>0097901144</v>
      </c>
      <c r="E195" s="34" t="str">
        <f>'BIO DATA'!F105</f>
        <v>Ilham Risky Saputra</v>
      </c>
      <c r="F195" s="35" t="str">
        <f>'BIO DATA'!Z105</f>
        <v>MTs. Mu'allimin Muh. Yogyakarta</v>
      </c>
      <c r="G195" s="68">
        <f>'BIO DATA'!J105</f>
        <v>1</v>
      </c>
      <c r="H195" s="106" t="str">
        <f>'BIO DATA'!N105</f>
        <v>Sanggau</v>
      </c>
      <c r="I195" s="120" t="str">
        <f>'BIO DATA'!Q105</f>
        <v>02 Juni 2009</v>
      </c>
      <c r="J195" s="34" t="str">
        <f>'BIO DATA'!T105</f>
        <v>Salam Wetan RT 01/RW 02, Desa Purwosari, Kec. Purwodadi, Kab. Purworejo Jawa Tengah 541763</v>
      </c>
      <c r="K195" s="34" t="str">
        <f>'BIO DATA'!AC105</f>
        <v>Budi Riyantoko, S.Pd</v>
      </c>
      <c r="L195" s="123" t="str">
        <f>'BIO DATA'!AH105</f>
        <v>085228379639</v>
      </c>
      <c r="M195" s="34" t="str">
        <f>'BIO DATA'!AJ105</f>
        <v>Sri Sukarsih</v>
      </c>
      <c r="N195" s="125">
        <f>'BIO DATA'!AO105</f>
        <v>0</v>
      </c>
      <c r="O195" s="34" t="str">
        <f>'BIO DATA'!AF105</f>
        <v>Guru</v>
      </c>
      <c r="P195" s="34" t="str">
        <f>'BIO DATA'!AM105</f>
        <v>Ibu Rumah Tangga</v>
      </c>
      <c r="Q195" s="159" t="str">
        <f>'BIO DATA'!I105</f>
        <v>MTs-25
120006349</v>
      </c>
    </row>
    <row r="196" spans="2:17" s="38" customFormat="1" ht="51.75" customHeight="1">
      <c r="B196" s="32">
        <v>14</v>
      </c>
      <c r="C196" s="33">
        <f>'BIO DATA'!D106</f>
        <v>11355</v>
      </c>
      <c r="D196" s="138" t="str">
        <f>'BIO DATA'!E106</f>
        <v>0093486745</v>
      </c>
      <c r="E196" s="34" t="str">
        <f>'BIO DATA'!F106</f>
        <v>Irvin Kalevi El Zurafa</v>
      </c>
      <c r="F196" s="35" t="str">
        <f>'BIO DATA'!Z106</f>
        <v>MTs. Mu'allimin Muh. Yogyakarta</v>
      </c>
      <c r="G196" s="68">
        <f>'BIO DATA'!J106</f>
        <v>1</v>
      </c>
      <c r="H196" s="106" t="str">
        <f>'BIO DATA'!N106</f>
        <v>Pekalongan</v>
      </c>
      <c r="I196" s="120" t="str">
        <f>'BIO DATA'!Q106</f>
        <v>17 September 2009</v>
      </c>
      <c r="J196" s="34" t="str">
        <f>'BIO DATA'!T106</f>
        <v>Dk Kelinggihan Perum GPI Blok E2 No. 1 RT./RW. : 003/001 Desa Banjarejo Kec. Karanganyar Kab. Pekalongan Jawa Tengah 51182</v>
      </c>
      <c r="K196" s="34" t="str">
        <f>'BIO DATA'!AC106</f>
        <v>Irwan Susanto</v>
      </c>
      <c r="L196" s="123" t="str">
        <f>'BIO DATA'!AH106</f>
        <v>08157727540</v>
      </c>
      <c r="M196" s="34" t="str">
        <f>'BIO DATA'!AJ106</f>
        <v>Dwi Yuliana</v>
      </c>
      <c r="N196" s="125">
        <f>'BIO DATA'!AO106</f>
        <v>0</v>
      </c>
      <c r="O196" s="34" t="str">
        <f>'BIO DATA'!AF106</f>
        <v>PNS</v>
      </c>
      <c r="P196" s="34" t="str">
        <f>'BIO DATA'!AM106</f>
        <v>PNS</v>
      </c>
      <c r="Q196" s="159" t="str">
        <f>'BIO DATA'!I106</f>
        <v>MTs-25
120006296</v>
      </c>
    </row>
    <row r="197" spans="2:17" s="38" customFormat="1" ht="44.25" customHeight="1">
      <c r="B197" s="32">
        <v>15</v>
      </c>
      <c r="C197" s="33">
        <f>'BIO DATA'!D107</f>
        <v>11368</v>
      </c>
      <c r="D197" s="138" t="str">
        <f>'BIO DATA'!E107</f>
        <v>0106648959</v>
      </c>
      <c r="E197" s="34" t="str">
        <f>'BIO DATA'!F107</f>
        <v>M. Adnan Kamil Syairozi</v>
      </c>
      <c r="F197" s="35" t="str">
        <f>'BIO DATA'!Z107</f>
        <v>MTs. Mu'allimin Muh. Yogyakarta</v>
      </c>
      <c r="G197" s="68">
        <f>'BIO DATA'!J107</f>
        <v>1</v>
      </c>
      <c r="H197" s="106" t="str">
        <f>'BIO DATA'!N107</f>
        <v>Musi Banyuasin</v>
      </c>
      <c r="I197" s="120" t="str">
        <f>'BIO DATA'!Q107</f>
        <v>25 Juli 2010</v>
      </c>
      <c r="J197" s="34" t="str">
        <f>'BIO DATA'!T107</f>
        <v>Simpang Hindoli RT:04 RW:03 Kec. Sungai Lilin Kab. Musi Banyuasin Sumatera Selatan 37055</v>
      </c>
      <c r="K197" s="34" t="str">
        <f>'BIO DATA'!AC107</f>
        <v>M syairozi sobrun jamil</v>
      </c>
      <c r="L197" s="123" t="str">
        <f>'BIO DATA'!AH107</f>
        <v>085840319781</v>
      </c>
      <c r="M197" s="34" t="str">
        <f>'BIO DATA'!AJ107</f>
        <v>Karmila</v>
      </c>
      <c r="N197" s="125">
        <f>'BIO DATA'!AO107</f>
        <v>0</v>
      </c>
      <c r="O197" s="34" t="str">
        <f>'BIO DATA'!AF107</f>
        <v>Wiraswasta</v>
      </c>
      <c r="P197" s="34" t="str">
        <f>'BIO DATA'!AM107</f>
        <v>Ibu Rumah Tangga</v>
      </c>
      <c r="Q197" s="159" t="str">
        <f>'BIO DATA'!I107</f>
        <v>MTs-25
120006501</v>
      </c>
    </row>
    <row r="198" spans="2:17" s="38" customFormat="1" ht="51">
      <c r="B198" s="32">
        <v>16</v>
      </c>
      <c r="C198" s="33">
        <f>'BIO DATA'!D108</f>
        <v>11369</v>
      </c>
      <c r="D198" s="138" t="str">
        <f>'BIO DATA'!E108</f>
        <v>0094701302</v>
      </c>
      <c r="E198" s="34" t="str">
        <f>'BIO DATA'!F108</f>
        <v>M. Afuww Galih Jati</v>
      </c>
      <c r="F198" s="35" t="str">
        <f>'BIO DATA'!Z108</f>
        <v>MTs. Mu'allimin Muh. Yogyakarta</v>
      </c>
      <c r="G198" s="68">
        <f>'BIO DATA'!J108</f>
        <v>1</v>
      </c>
      <c r="H198" s="106" t="str">
        <f>'BIO DATA'!N108</f>
        <v>Kotawaringin Timur</v>
      </c>
      <c r="I198" s="120" t="str">
        <f>'BIO DATA'!Q108</f>
        <v>02 Oktober 2009</v>
      </c>
      <c r="J198" s="34" t="str">
        <f>'BIO DATA'!T108</f>
        <v>JL. Kaca Piring 3, RT. 017 RW. 004, Kel. Ketapang , Kec. Mentawa Baru Ketapang, Kab. Kotawaringin Timur, Kalimantan Tengah 74325</v>
      </c>
      <c r="K198" s="34" t="str">
        <f>'BIO DATA'!AC108</f>
        <v>Nanang Sri Haryono</v>
      </c>
      <c r="L198" s="123">
        <f>'BIO DATA'!AH108</f>
        <v>0</v>
      </c>
      <c r="M198" s="34" t="str">
        <f>'BIO DATA'!AJ108</f>
        <v>Suminah, S.Pd</v>
      </c>
      <c r="N198" s="125" t="str">
        <f>'BIO DATA'!AO108</f>
        <v>085394506792</v>
      </c>
      <c r="O198" s="34" t="str">
        <f>'BIO DATA'!AF108</f>
        <v>Karyawan Swasta</v>
      </c>
      <c r="P198" s="34" t="str">
        <f>'BIO DATA'!AM108</f>
        <v>PNS</v>
      </c>
      <c r="Q198" s="159" t="str">
        <f>'BIO DATA'!I108</f>
        <v>MTs-25
120006298</v>
      </c>
    </row>
    <row r="199" spans="2:17" s="38" customFormat="1" ht="39" customHeight="1">
      <c r="B199" s="32">
        <v>17</v>
      </c>
      <c r="C199" s="33">
        <f>'BIO DATA'!D109</f>
        <v>11380</v>
      </c>
      <c r="D199" s="138" t="str">
        <f>'BIO DATA'!E109</f>
        <v>3101522194</v>
      </c>
      <c r="E199" s="34" t="str">
        <f>'BIO DATA'!F109</f>
        <v>Muhammad Abqari Zakwannur</v>
      </c>
      <c r="F199" s="35" t="str">
        <f>'BIO DATA'!Z109</f>
        <v>MTs. Mu'allimin Muh. Yogyakarta</v>
      </c>
      <c r="G199" s="68">
        <f>'BIO DATA'!J109</f>
        <v>3</v>
      </c>
      <c r="H199" s="106" t="str">
        <f>'BIO DATA'!N109</f>
        <v>Palangkaraya</v>
      </c>
      <c r="I199" s="120" t="str">
        <f>'BIO DATA'!Q109</f>
        <v>08 September 2010</v>
      </c>
      <c r="J199" s="34" t="str">
        <f>'BIO DATA'!T109</f>
        <v>G.obos IX. Kel. Menteng. Kec. Jekan Raya. Kota Palangka Raya, Kalimantan Tengah, 73112</v>
      </c>
      <c r="K199" s="34" t="str">
        <f>'BIO DATA'!AC109</f>
        <v>Rus'ansyah, S. Ag, M. Pd</v>
      </c>
      <c r="L199" s="123" t="str">
        <f>'BIO DATA'!AH109</f>
        <v>081349775319</v>
      </c>
      <c r="M199" s="34" t="str">
        <f>'BIO DATA'!AJ109</f>
        <v>Rus Sugianti</v>
      </c>
      <c r="N199" s="125">
        <f>'BIO DATA'!AO109</f>
        <v>0</v>
      </c>
      <c r="O199" s="34" t="str">
        <f>'BIO DATA'!AF109</f>
        <v>PNS</v>
      </c>
      <c r="P199" s="34" t="str">
        <f>'BIO DATA'!AM109</f>
        <v>Guru</v>
      </c>
      <c r="Q199" s="159" t="str">
        <f>'BIO DATA'!I109</f>
        <v>MTs-25
120006442</v>
      </c>
    </row>
    <row r="200" spans="2:17" s="38" customFormat="1" ht="12.75">
      <c r="B200" s="39"/>
      <c r="C200" s="40"/>
      <c r="D200" s="144"/>
      <c r="E200" s="41"/>
      <c r="F200" s="37"/>
      <c r="G200" s="108"/>
      <c r="H200" s="111"/>
      <c r="I200" s="121"/>
      <c r="J200" s="41"/>
      <c r="K200" s="41"/>
      <c r="L200" s="136"/>
      <c r="M200" s="41"/>
      <c r="N200" s="137"/>
      <c r="O200" s="41"/>
      <c r="P200" s="41"/>
      <c r="Q200" s="122"/>
    </row>
    <row r="201" spans="2:17" s="38" customFormat="1" ht="19.5" customHeight="1">
      <c r="B201" s="60"/>
      <c r="C201" s="60"/>
      <c r="D201" s="60"/>
      <c r="E201" s="60"/>
      <c r="F201" s="60"/>
      <c r="G201" s="67"/>
      <c r="H201" s="60"/>
      <c r="I201" s="60"/>
      <c r="J201" s="60"/>
      <c r="K201" s="60"/>
      <c r="L201" s="60"/>
      <c r="M201" s="60" t="s">
        <v>3292</v>
      </c>
      <c r="N201" s="60"/>
      <c r="O201" s="60"/>
      <c r="P201" s="60"/>
      <c r="Q201" s="60"/>
    </row>
    <row r="202" spans="2:17" s="22" customFormat="1" ht="15">
      <c r="B202" s="276" t="s">
        <v>0</v>
      </c>
      <c r="C202" s="274" t="s">
        <v>134</v>
      </c>
      <c r="D202" s="280" t="s">
        <v>2</v>
      </c>
      <c r="E202" s="276" t="s">
        <v>3</v>
      </c>
      <c r="F202" s="276" t="s">
        <v>8</v>
      </c>
      <c r="G202" s="276" t="s">
        <v>135</v>
      </c>
      <c r="H202" s="278" t="s">
        <v>136</v>
      </c>
      <c r="I202" s="279"/>
      <c r="J202" s="276" t="s">
        <v>6</v>
      </c>
      <c r="K202" s="283" t="s">
        <v>137</v>
      </c>
      <c r="L202" s="284"/>
      <c r="M202" s="284"/>
      <c r="N202" s="285"/>
      <c r="O202" s="278" t="s">
        <v>138</v>
      </c>
      <c r="P202" s="279"/>
      <c r="Q202" s="276" t="s">
        <v>159</v>
      </c>
    </row>
    <row r="203" spans="2:17" s="28" customFormat="1" ht="15.75" customHeight="1">
      <c r="B203" s="277"/>
      <c r="C203" s="275"/>
      <c r="D203" s="281"/>
      <c r="E203" s="277"/>
      <c r="F203" s="282"/>
      <c r="G203" s="277"/>
      <c r="H203" s="29" t="s">
        <v>140</v>
      </c>
      <c r="I203" s="29" t="s">
        <v>141</v>
      </c>
      <c r="J203" s="277"/>
      <c r="K203" s="29" t="s">
        <v>142</v>
      </c>
      <c r="L203" s="30" t="s">
        <v>142</v>
      </c>
      <c r="M203" s="29" t="s">
        <v>143</v>
      </c>
      <c r="N203" s="30" t="s">
        <v>144</v>
      </c>
      <c r="O203" s="29" t="s">
        <v>145</v>
      </c>
      <c r="P203" s="29" t="s">
        <v>146</v>
      </c>
      <c r="Q203" s="277"/>
    </row>
    <row r="204" spans="2:17" s="38" customFormat="1" ht="38.25">
      <c r="B204" s="32">
        <v>18</v>
      </c>
      <c r="C204" s="33">
        <f>'BIO DATA'!D110</f>
        <v>11390</v>
      </c>
      <c r="D204" s="138" t="str">
        <f>'BIO DATA'!E110</f>
        <v>0168884626</v>
      </c>
      <c r="E204" s="34" t="str">
        <f>'BIO DATA'!F110</f>
        <v>Muhammad Alzam Pradana</v>
      </c>
      <c r="F204" s="35" t="str">
        <f>'BIO DATA'!Z110</f>
        <v>MTs. Mu'allimin Muh. Yogyakarta</v>
      </c>
      <c r="G204" s="68">
        <f>'BIO DATA'!J110</f>
        <v>1</v>
      </c>
      <c r="H204" s="106" t="str">
        <f>'BIO DATA'!N110</f>
        <v>Banyumas</v>
      </c>
      <c r="I204" s="120" t="str">
        <f>'BIO DATA'!Q110</f>
        <v>16 Januari 2010</v>
      </c>
      <c r="J204" s="34" t="str">
        <f>'BIO DATA'!T110</f>
        <v>Jl. Nyimeleng no.1, RT. 05/03, Arcawinangun, Kec. Purwokerto Timur, Kab. Banyumas, Jawa Tengah 53146</v>
      </c>
      <c r="K204" s="34" t="str">
        <f>'BIO DATA'!AC110</f>
        <v>Guntur Setiawan</v>
      </c>
      <c r="L204" s="123" t="str">
        <f>'BIO DATA'!AH110</f>
        <v>081542958024</v>
      </c>
      <c r="M204" s="34" t="str">
        <f>'BIO DATA'!AJ110</f>
        <v>Endang Ekasari</v>
      </c>
      <c r="N204" s="125">
        <f>'BIO DATA'!AO110</f>
        <v>0</v>
      </c>
      <c r="O204" s="34" t="str">
        <f>'BIO DATA'!AF110</f>
        <v>Lainnya</v>
      </c>
      <c r="P204" s="34" t="str">
        <f>'BIO DATA'!AM110</f>
        <v>Dosen</v>
      </c>
      <c r="Q204" s="159" t="str">
        <f>'BIO DATA'!I110</f>
        <v>MTs-25
120006300</v>
      </c>
    </row>
    <row r="205" spans="2:17" s="38" customFormat="1" ht="38.25">
      <c r="B205" s="32">
        <v>19</v>
      </c>
      <c r="C205" s="33">
        <f>'BIO DATA'!D111</f>
        <v>11398</v>
      </c>
      <c r="D205" s="138" t="str">
        <f>'BIO DATA'!E111</f>
        <v>0107539414</v>
      </c>
      <c r="E205" s="34" t="str">
        <f>'BIO DATA'!F111</f>
        <v>Muhammad Dafi Abqory</v>
      </c>
      <c r="F205" s="35" t="str">
        <f>'BIO DATA'!Z111</f>
        <v>MTs. Mu'allimin Muh. Yogyakarta</v>
      </c>
      <c r="G205" s="68">
        <f>'BIO DATA'!J111</f>
        <v>1</v>
      </c>
      <c r="H205" s="106" t="str">
        <f>'BIO DATA'!N111</f>
        <v>Magelang</v>
      </c>
      <c r="I205" s="120" t="str">
        <f>'BIO DATA'!Q111</f>
        <v>18 Februari 2010</v>
      </c>
      <c r="J205" s="34" t="str">
        <f>'BIO DATA'!T111</f>
        <v>Pandansari 31 RT.03 RW.07 Pucungrejo, Muntilan, Magelang, Jawa Tengah, 56414</v>
      </c>
      <c r="K205" s="34" t="str">
        <f>'BIO DATA'!AC111</f>
        <v>Doni Setiawan</v>
      </c>
      <c r="L205" s="123" t="str">
        <f>'BIO DATA'!AH111</f>
        <v>087838605662</v>
      </c>
      <c r="M205" s="34" t="str">
        <f>'BIO DATA'!AJ111</f>
        <v>Is Nur Beiti</v>
      </c>
      <c r="N205" s="125">
        <f>'BIO DATA'!AO111</f>
        <v>0</v>
      </c>
      <c r="O205" s="34" t="str">
        <f>'BIO DATA'!AF111</f>
        <v>Wiraswasta</v>
      </c>
      <c r="P205" s="34" t="str">
        <f>'BIO DATA'!AM111</f>
        <v>Ibu Rumah Tangga</v>
      </c>
      <c r="Q205" s="159" t="str">
        <f>'BIO DATA'!I111</f>
        <v>MTs-25
120006446</v>
      </c>
    </row>
    <row r="206" spans="2:17" s="38" customFormat="1" ht="38.25">
      <c r="B206" s="32">
        <v>20</v>
      </c>
      <c r="C206" s="33">
        <f>'BIO DATA'!D112</f>
        <v>11403</v>
      </c>
      <c r="D206" s="138" t="str">
        <f>'BIO DATA'!E112</f>
        <v>0105652380</v>
      </c>
      <c r="E206" s="34" t="str">
        <f>'BIO DATA'!F112</f>
        <v>Muhammad Fadlan Nadhif</v>
      </c>
      <c r="F206" s="35" t="str">
        <f>'BIO DATA'!Z112</f>
        <v>MTs. Mu'allimin Muh. Yogyakarta</v>
      </c>
      <c r="G206" s="68">
        <f>'BIO DATA'!J112</f>
        <v>2</v>
      </c>
      <c r="H206" s="106" t="str">
        <f>'BIO DATA'!N112</f>
        <v>Metro</v>
      </c>
      <c r="I206" s="120" t="str">
        <f>'BIO DATA'!Q112</f>
        <v>05 Januari 2010</v>
      </c>
      <c r="J206" s="34" t="str">
        <f>'BIO DATA'!T112</f>
        <v>Jalan Betet, RT 024 RW 009 Kel. Hadimulyo Timur Kec. Metro Pusat Kota Metro, Lampung, 34114</v>
      </c>
      <c r="K206" s="34" t="str">
        <f>'BIO DATA'!AC112</f>
        <v>Suhono</v>
      </c>
      <c r="L206" s="123" t="str">
        <f>'BIO DATA'!AH112</f>
        <v>081379634364</v>
      </c>
      <c r="M206" s="34" t="str">
        <f>'BIO DATA'!AJ112</f>
        <v>Robikhah</v>
      </c>
      <c r="N206" s="125">
        <f>'BIO DATA'!AO112</f>
        <v>0</v>
      </c>
      <c r="O206" s="34" t="str">
        <f>'BIO DATA'!AF112</f>
        <v>Wiraswasta</v>
      </c>
      <c r="P206" s="34" t="str">
        <f>'BIO DATA'!AM112</f>
        <v>PNS</v>
      </c>
      <c r="Q206" s="159" t="str">
        <f>'BIO DATA'!I112</f>
        <v>MTs-25
120006504</v>
      </c>
    </row>
    <row r="207" spans="2:17" s="38" customFormat="1" ht="38.25">
      <c r="B207" s="32">
        <v>21</v>
      </c>
      <c r="C207" s="33">
        <f>'BIO DATA'!D113</f>
        <v>11409</v>
      </c>
      <c r="D207" s="138" t="str">
        <f>'BIO DATA'!E113</f>
        <v>0093225178</v>
      </c>
      <c r="E207" s="34" t="str">
        <f>'BIO DATA'!F113</f>
        <v>Muhammad Fa'iz</v>
      </c>
      <c r="F207" s="35" t="str">
        <f>'BIO DATA'!Z113</f>
        <v>MTs. Mu'allimin Muh. Yogyakarta</v>
      </c>
      <c r="G207" s="68">
        <f>'BIO DATA'!J113</f>
        <v>2</v>
      </c>
      <c r="H207" s="106" t="str">
        <f>'BIO DATA'!N113</f>
        <v>Banjarmasin</v>
      </c>
      <c r="I207" s="120" t="str">
        <f>'BIO DATA'!Q113</f>
        <v>11 Agustus 2009</v>
      </c>
      <c r="J207" s="34" t="str">
        <f>'BIO DATA'!T113</f>
        <v>Belitung Darat Simp Rahmat Rt. 18 No. 65 Banjarmasin Kalimantan Selatan 70129</v>
      </c>
      <c r="K207" s="34" t="str">
        <f>'BIO DATA'!AC113</f>
        <v>Subchan Noor S.Sos ; M.AP</v>
      </c>
      <c r="L207" s="123" t="str">
        <f>'BIO DATA'!AH113</f>
        <v>081349757172</v>
      </c>
      <c r="M207" s="34" t="str">
        <f>'BIO DATA'!AJ113</f>
        <v>Nurul Latifah</v>
      </c>
      <c r="N207" s="125">
        <f>'BIO DATA'!AO113</f>
        <v>0</v>
      </c>
      <c r="O207" s="34" t="str">
        <f>'BIO DATA'!AF113</f>
        <v>Lainnya</v>
      </c>
      <c r="P207" s="34">
        <f>'BIO DATA'!AM113</f>
        <v>0</v>
      </c>
      <c r="Q207" s="159" t="str">
        <f>'BIO DATA'!I113</f>
        <v>MTs-25
120006302</v>
      </c>
    </row>
    <row r="208" spans="2:17" s="38" customFormat="1" ht="38.25">
      <c r="B208" s="32">
        <v>22</v>
      </c>
      <c r="C208" s="33">
        <f>'BIO DATA'!D114</f>
        <v>11415</v>
      </c>
      <c r="D208" s="138" t="str">
        <f>'BIO DATA'!E114</f>
        <v>0168955856</v>
      </c>
      <c r="E208" s="34" t="str">
        <f>'BIO DATA'!F114</f>
        <v>Muhammad Fathin Ar Rosyid</v>
      </c>
      <c r="F208" s="35" t="str">
        <f>'BIO DATA'!Z114</f>
        <v>MTs. Mu'allimin Muh. Yogyakarta</v>
      </c>
      <c r="G208" s="68">
        <f>'BIO DATA'!J114</f>
        <v>1</v>
      </c>
      <c r="H208" s="106" t="str">
        <f>'BIO DATA'!N114</f>
        <v>Brebes</v>
      </c>
      <c r="I208" s="120" t="str">
        <f>'BIO DATA'!Q114</f>
        <v>01 April 2010</v>
      </c>
      <c r="J208" s="34" t="str">
        <f>'BIO DATA'!T114</f>
        <v>D'OASIS Residence Blok A.26 Pulosari, Brebes, Jawa Tengah, Jawa Tengah, 52212</v>
      </c>
      <c r="K208" s="34" t="str">
        <f>'BIO DATA'!AC114</f>
        <v>Eko Prasetyo</v>
      </c>
      <c r="L208" s="123" t="str">
        <f>'BIO DATA'!AH114</f>
        <v>085641632838</v>
      </c>
      <c r="M208" s="34" t="str">
        <f>'BIO DATA'!AJ114</f>
        <v>Mar'ah Hidayati</v>
      </c>
      <c r="N208" s="125">
        <f>'BIO DATA'!AO114</f>
        <v>0</v>
      </c>
      <c r="O208" s="34" t="str">
        <f>'BIO DATA'!AF114</f>
        <v>Guru</v>
      </c>
      <c r="P208" s="34">
        <f>'BIO DATA'!AM114</f>
        <v>0</v>
      </c>
      <c r="Q208" s="159" t="str">
        <f>'BIO DATA'!I114</f>
        <v>MTs-25
120006480</v>
      </c>
    </row>
    <row r="209" spans="2:17" s="38" customFormat="1" ht="25.5">
      <c r="B209" s="32">
        <v>23</v>
      </c>
      <c r="C209" s="33">
        <f>'BIO DATA'!D115</f>
        <v>11425</v>
      </c>
      <c r="D209" s="138" t="str">
        <f>'BIO DATA'!E115</f>
        <v>3098485813</v>
      </c>
      <c r="E209" s="34" t="str">
        <f>'BIO DATA'!F115</f>
        <v>Muhammad Ilham Khoirullah</v>
      </c>
      <c r="F209" s="35" t="str">
        <f>'BIO DATA'!Z115</f>
        <v>MTs. Mu'allimin Muh. Yogyakarta</v>
      </c>
      <c r="G209" s="68">
        <f>'BIO DATA'!J115</f>
        <v>3</v>
      </c>
      <c r="H209" s="106" t="str">
        <f>'BIO DATA'!N115</f>
        <v>Sorong</v>
      </c>
      <c r="I209" s="120" t="str">
        <f>'BIO DATA'!Q115</f>
        <v>20 Desember 2009</v>
      </c>
      <c r="J209" s="34" t="str">
        <f>'BIO DATA'!T115</f>
        <v>Jl.woret RT/RW 001/007 Kel. Malasom Kec. Aimas Sorong Papua Barat 98444</v>
      </c>
      <c r="K209" s="34" t="str">
        <f>'BIO DATA'!AC115</f>
        <v>Sutrisna</v>
      </c>
      <c r="L209" s="123" t="str">
        <f>'BIO DATA'!AH115</f>
        <v>08565586394</v>
      </c>
      <c r="M209" s="34" t="str">
        <f>'BIO DATA'!AJ115</f>
        <v>Choiriyah</v>
      </c>
      <c r="N209" s="125">
        <f>'BIO DATA'!AO115</f>
        <v>0</v>
      </c>
      <c r="O209" s="34" t="str">
        <f>'BIO DATA'!AF115</f>
        <v>Wiraswasta</v>
      </c>
      <c r="P209" s="34" t="str">
        <f>'BIO DATA'!AM115</f>
        <v>Wiraswasta</v>
      </c>
      <c r="Q209" s="159" t="str">
        <f>'BIO DATA'!I115</f>
        <v>MTs-25
120006303</v>
      </c>
    </row>
    <row r="210" spans="2:17" s="38" customFormat="1" ht="38.25">
      <c r="B210" s="32">
        <v>24</v>
      </c>
      <c r="C210" s="33">
        <f>'BIO DATA'!D116</f>
        <v>11436</v>
      </c>
      <c r="D210" s="138" t="str">
        <f>'BIO DATA'!E116</f>
        <v>0099269909</v>
      </c>
      <c r="E210" s="34" t="str">
        <f>'BIO DATA'!F116</f>
        <v>Muhammad Miqdad Nur Al Haqqi</v>
      </c>
      <c r="F210" s="35" t="str">
        <f>'BIO DATA'!Z116</f>
        <v>MTs. Mu'allimin Muh. Yogyakarta</v>
      </c>
      <c r="G210" s="68">
        <f>'BIO DATA'!J116</f>
        <v>3</v>
      </c>
      <c r="H210" s="106" t="str">
        <f>'BIO DATA'!N116</f>
        <v>Sleman</v>
      </c>
      <c r="I210" s="120" t="str">
        <f>'BIO DATA'!Q116</f>
        <v>27 April 2009</v>
      </c>
      <c r="J210" s="34" t="str">
        <f>'BIO DATA'!T116</f>
        <v>Barak 1, RT 04 / RW 15, Margoluwih, Seyegan, Sleman, DIY 5561, DI Yogyakarta, 55561</v>
      </c>
      <c r="K210" s="34" t="str">
        <f>'BIO DATA'!AC116</f>
        <v>Agus Joko Pitoyo</v>
      </c>
      <c r="L210" s="123" t="str">
        <f>'BIO DATA'!AH116</f>
        <v>08122780949</v>
      </c>
      <c r="M210" s="34" t="str">
        <f>'BIO DATA'!AJ116</f>
        <v>Titi Subekti</v>
      </c>
      <c r="N210" s="125">
        <f>'BIO DATA'!AO116</f>
        <v>0</v>
      </c>
      <c r="O210" s="34" t="str">
        <f>'BIO DATA'!AF116</f>
        <v>Dosen</v>
      </c>
      <c r="P210" s="34" t="str">
        <f>'BIO DATA'!AM116</f>
        <v>Karyawan Swasta</v>
      </c>
      <c r="Q210" s="159" t="str">
        <f>'BIO DATA'!I116</f>
        <v>MTs-25
120006482</v>
      </c>
    </row>
    <row r="211" spans="2:17" s="38" customFormat="1" ht="63.75">
      <c r="B211" s="32">
        <v>25</v>
      </c>
      <c r="C211" s="33">
        <f>'BIO DATA'!D117</f>
        <v>11449</v>
      </c>
      <c r="D211" s="138" t="str">
        <f>'BIO DATA'!E117</f>
        <v>0095835944</v>
      </c>
      <c r="E211" s="34" t="str">
        <f>'BIO DATA'!F117</f>
        <v>Muhammad Raziq Niswardi Azhar</v>
      </c>
      <c r="F211" s="35" t="str">
        <f>'BIO DATA'!Z117</f>
        <v>MTs. Mu'allimin Muh. Yogyakarta</v>
      </c>
      <c r="G211" s="68">
        <f>'BIO DATA'!J117</f>
        <v>3</v>
      </c>
      <c r="H211" s="106" t="str">
        <f>'BIO DATA'!N117</f>
        <v>Samarinda</v>
      </c>
      <c r="I211" s="120" t="str">
        <f>'BIO DATA'!Q117</f>
        <v>28 Desember 2009</v>
      </c>
      <c r="J211" s="34" t="str">
        <f>'BIO DATA'!T117</f>
        <v>Jalan Juanda 2 Komplek Wijaya Kusuma VI, No. 73, Rt. 19, Kel. Air Putih, Kec. Samarinda Ulu, Kota Samarinda, Kalimantan Timur, Kalimantan Timur, 75124</v>
      </c>
      <c r="K211" s="34" t="str">
        <f>'BIO DATA'!AC117</f>
        <v>Ismawardi</v>
      </c>
      <c r="L211" s="123" t="str">
        <f>'BIO DATA'!AH117</f>
        <v>0816206486</v>
      </c>
      <c r="M211" s="34" t="str">
        <f>'BIO DATA'!AJ117</f>
        <v>Nisha Jamilah</v>
      </c>
      <c r="N211" s="125">
        <f>'BIO DATA'!AO117</f>
        <v>0</v>
      </c>
      <c r="O211" s="34" t="str">
        <f>'BIO DATA'!AF117</f>
        <v>PNS</v>
      </c>
      <c r="P211" s="34" t="str">
        <f>'BIO DATA'!AM117</f>
        <v>Ibu Rumah Tangga</v>
      </c>
      <c r="Q211" s="159" t="str">
        <f>'BIO DATA'!I117</f>
        <v>MTs-25
120006483</v>
      </c>
    </row>
    <row r="212" spans="2:17" s="38" customFormat="1" ht="51">
      <c r="B212" s="32">
        <v>26</v>
      </c>
      <c r="C212" s="33">
        <f>'BIO DATA'!D118</f>
        <v>11459</v>
      </c>
      <c r="D212" s="138" t="str">
        <f>'BIO DATA'!E118</f>
        <v>0102418685</v>
      </c>
      <c r="E212" s="34" t="str">
        <f>'BIO DATA'!F118</f>
        <v>Nabil Abrar</v>
      </c>
      <c r="F212" s="35" t="str">
        <f>'BIO DATA'!Z118</f>
        <v>MTs. Mu'allimin Muh. Yogyakarta</v>
      </c>
      <c r="G212" s="68">
        <f>'BIO DATA'!J118</f>
        <v>2</v>
      </c>
      <c r="H212" s="106" t="str">
        <f>'BIO DATA'!N118</f>
        <v>Tangerang</v>
      </c>
      <c r="I212" s="120" t="str">
        <f>'BIO DATA'!Q118</f>
        <v>03 September 2010</v>
      </c>
      <c r="J212" s="34" t="str">
        <f>'BIO DATA'!T118</f>
        <v>Bukit Gading Balaraja Blok K2/32 Desa Cangkudu Kecamatan Balaraja Kabupaten Tangerang Propinsi Banten, 15610</v>
      </c>
      <c r="K212" s="34" t="str">
        <f>'BIO DATA'!AC118</f>
        <v>Suparmanto</v>
      </c>
      <c r="L212" s="123" t="str">
        <f>'BIO DATA'!AH118</f>
        <v>0895322757413</v>
      </c>
      <c r="M212" s="34" t="str">
        <f>'BIO DATA'!AJ118</f>
        <v>Delta Ucu Yuliana</v>
      </c>
      <c r="N212" s="125">
        <f>'BIO DATA'!AO118</f>
        <v>0</v>
      </c>
      <c r="O212" s="34" t="str">
        <f>'BIO DATA'!AF118</f>
        <v>Lainnya</v>
      </c>
      <c r="P212" s="34" t="str">
        <f>'BIO DATA'!AM118</f>
        <v>Ibu Rumah Tangga</v>
      </c>
      <c r="Q212" s="159" t="str">
        <f>'BIO DATA'!I118</f>
        <v>MTs-25 120006485</v>
      </c>
    </row>
    <row r="213" spans="2:17" s="38" customFormat="1" ht="38.25">
      <c r="B213" s="32">
        <v>27</v>
      </c>
      <c r="C213" s="33">
        <f>'BIO DATA'!D119</f>
        <v>11467</v>
      </c>
      <c r="D213" s="138" t="str">
        <f>'BIO DATA'!E119</f>
        <v>0104075497</v>
      </c>
      <c r="E213" s="34" t="str">
        <f>'BIO DATA'!F119</f>
        <v>Naufal Ramadhan Putra Wibowo</v>
      </c>
      <c r="F213" s="35" t="str">
        <f>'BIO DATA'!Z119</f>
        <v>MTs. Mu'allimin Muh. Yogyakarta</v>
      </c>
      <c r="G213" s="68">
        <f>'BIO DATA'!J119</f>
        <v>2</v>
      </c>
      <c r="H213" s="106" t="str">
        <f>'BIO DATA'!N119</f>
        <v>Sendawar</v>
      </c>
      <c r="I213" s="120" t="str">
        <f>'BIO DATA'!Q119</f>
        <v>17 Agustus 2010</v>
      </c>
      <c r="J213" s="34" t="str">
        <f>'BIO DATA'!T119</f>
        <v>Perumahan Bukit Asri Ringin Agung No C-4 Kec. Magetan Kab. Magetan Jawa Timur 63319</v>
      </c>
      <c r="K213" s="34" t="str">
        <f>'BIO DATA'!AC119</f>
        <v>Didik Wibowo</v>
      </c>
      <c r="L213" s="123" t="str">
        <f>'BIO DATA'!AH119</f>
        <v>082339061226</v>
      </c>
      <c r="M213" s="34" t="str">
        <f>'BIO DATA'!AJ119</f>
        <v>Yantini</v>
      </c>
      <c r="N213" s="125">
        <f>'BIO DATA'!AO119</f>
        <v>0</v>
      </c>
      <c r="O213" s="34" t="str">
        <f>'BIO DATA'!AF119</f>
        <v>TNI/Polri</v>
      </c>
      <c r="P213" s="34" t="str">
        <f>'BIO DATA'!AM119</f>
        <v>PNS</v>
      </c>
      <c r="Q213" s="159" t="str">
        <f>'BIO DATA'!I119</f>
        <v>MTs-25
120006334</v>
      </c>
    </row>
    <row r="214" spans="2:17" s="38" customFormat="1" ht="25.5">
      <c r="B214" s="32">
        <v>28</v>
      </c>
      <c r="C214" s="33">
        <f>'BIO DATA'!D120</f>
        <v>11468</v>
      </c>
      <c r="D214" s="138" t="str">
        <f>'BIO DATA'!E120</f>
        <v>0093964413</v>
      </c>
      <c r="E214" s="34" t="str">
        <f>'BIO DATA'!F120</f>
        <v>Naufal Yatha Nugroho</v>
      </c>
      <c r="F214" s="35" t="str">
        <f>'BIO DATA'!Z120</f>
        <v>MTs. Mu'allimin Muh. Yogyakarta</v>
      </c>
      <c r="G214" s="68">
        <f>'BIO DATA'!J120</f>
        <v>1</v>
      </c>
      <c r="H214" s="106" t="str">
        <f>'BIO DATA'!N120</f>
        <v>Wonosobo</v>
      </c>
      <c r="I214" s="120" t="str">
        <f>'BIO DATA'!Q120</f>
        <v>16 Mei 2010</v>
      </c>
      <c r="J214" s="34" t="str">
        <f>'BIO DATA'!T120</f>
        <v>Mlipak RT 002/RW 002 Wonosobo , Jawa Tengah, 56312</v>
      </c>
      <c r="K214" s="34" t="str">
        <f>'BIO DATA'!AC120</f>
        <v>Eko Prasetyo Nugroho</v>
      </c>
      <c r="L214" s="123" t="str">
        <f>'BIO DATA'!AH120</f>
        <v>081328067695</v>
      </c>
      <c r="M214" s="34" t="str">
        <f>'BIO DATA'!AJ120</f>
        <v>Tutik Handayani</v>
      </c>
      <c r="N214" s="125">
        <f>'BIO DATA'!AO120</f>
        <v>0</v>
      </c>
      <c r="O214" s="34" t="str">
        <f>'BIO DATA'!AF120</f>
        <v>Wiraswasta</v>
      </c>
      <c r="P214" s="34" t="str">
        <f>'BIO DATA'!AM120</f>
        <v>Ibu Rumah Tangga</v>
      </c>
      <c r="Q214" s="159" t="str">
        <f>'BIO DATA'!I120</f>
        <v>MTs-25
120006427</v>
      </c>
    </row>
    <row r="215" spans="2:17" s="38" customFormat="1" ht="38.25">
      <c r="B215" s="32">
        <v>29</v>
      </c>
      <c r="C215" s="33">
        <f>'BIO DATA'!D121</f>
        <v>11480</v>
      </c>
      <c r="D215" s="138" t="str">
        <f>'BIO DATA'!E121</f>
        <v>3104966719</v>
      </c>
      <c r="E215" s="34" t="str">
        <f>'BIO DATA'!F121</f>
        <v>Raafi Annas Majid</v>
      </c>
      <c r="F215" s="35" t="str">
        <f>'BIO DATA'!Z121</f>
        <v>MTs. Mu'allimin Muh. Yogyakarta</v>
      </c>
      <c r="G215" s="68">
        <f>'BIO DATA'!J121</f>
        <v>1</v>
      </c>
      <c r="H215" s="106" t="str">
        <f>'BIO DATA'!N121</f>
        <v>Tangerang</v>
      </c>
      <c r="I215" s="120" t="str">
        <f>'BIO DATA'!Q121</f>
        <v>26 Mei 2010</v>
      </c>
      <c r="J215" s="34" t="str">
        <f>'BIO DATA'!T121</f>
        <v>Perum Bukit Gading Cisoka Blok C4 no.12A,Selaparang,Cisoka,Tangerang Jawa Barat 15370</v>
      </c>
      <c r="K215" s="34" t="str">
        <f>'BIO DATA'!AC121</f>
        <v>Mulyadi</v>
      </c>
      <c r="L215" s="123">
        <f>'BIO DATA'!AH121</f>
        <v>0</v>
      </c>
      <c r="M215" s="34" t="str">
        <f>'BIO DATA'!AJ121</f>
        <v>Agustina</v>
      </c>
      <c r="N215" s="125" t="str">
        <f>'BIO DATA'!AO121</f>
        <v>081807787897</v>
      </c>
      <c r="O215" s="34" t="str">
        <f>'BIO DATA'!AF121</f>
        <v>Karyawan Swasta</v>
      </c>
      <c r="P215" s="34" t="str">
        <f>'BIO DATA'!AM121</f>
        <v>Lainnya</v>
      </c>
      <c r="Q215" s="159" t="str">
        <f>'BIO DATA'!I121</f>
        <v>MTs-25
120006335</v>
      </c>
    </row>
    <row r="216" spans="2:17" s="38" customFormat="1" ht="51">
      <c r="B216" s="32">
        <v>30</v>
      </c>
      <c r="C216" s="33">
        <f>'BIO DATA'!D122</f>
        <v>11496</v>
      </c>
      <c r="D216" s="138" t="str">
        <f>'BIO DATA'!E122</f>
        <v>0107909427</v>
      </c>
      <c r="E216" s="34" t="str">
        <f>'BIO DATA'!F122</f>
        <v>Satria Bamakerti Adz-Dzaki</v>
      </c>
      <c r="F216" s="35" t="str">
        <f>'BIO DATA'!Z122</f>
        <v>MTs. Mu'allimin Muh. Yogyakarta</v>
      </c>
      <c r="G216" s="68">
        <f>'BIO DATA'!J122</f>
        <v>2</v>
      </c>
      <c r="H216" s="106" t="str">
        <f>'BIO DATA'!N122</f>
        <v>Pekalongan</v>
      </c>
      <c r="I216" s="120" t="str">
        <f>'BIO DATA'!Q122</f>
        <v>23 April 2010</v>
      </c>
      <c r="J216" s="34" t="str">
        <f>'BIO DATA'!T122</f>
        <v>Gading Mediterania Residences (Tower B 5BK) Jl. Boulevard Bukit Gading Raya, Kelapa Gading  Jakarta Utara DKI Jakarta 14240</v>
      </c>
      <c r="K216" s="34" t="str">
        <f>'BIO DATA'!AC122</f>
        <v>Muhammad Ardiansyah</v>
      </c>
      <c r="L216" s="123" t="str">
        <f>'BIO DATA'!AH122</f>
        <v>08122672380</v>
      </c>
      <c r="M216" s="34" t="str">
        <f>'BIO DATA'!AJ122</f>
        <v>Indah Setiawati</v>
      </c>
      <c r="N216" s="125">
        <f>'BIO DATA'!AO122</f>
        <v>0</v>
      </c>
      <c r="O216" s="34" t="str">
        <f>'BIO DATA'!AF122</f>
        <v>Wiraswasta</v>
      </c>
      <c r="P216" s="34" t="str">
        <f>'BIO DATA'!AM122</f>
        <v>Ibu Rumah Tangga</v>
      </c>
      <c r="Q216" s="159" t="str">
        <f>'BIO DATA'!I122</f>
        <v>MTs-25
120006338</v>
      </c>
    </row>
    <row r="217" spans="2:17" s="38" customFormat="1" ht="25.5">
      <c r="B217" s="32">
        <v>31</v>
      </c>
      <c r="C217" s="33">
        <f>'BIO DATA'!D123</f>
        <v>11511</v>
      </c>
      <c r="D217" s="138" t="str">
        <f>'BIO DATA'!E123</f>
        <v>0098463515</v>
      </c>
      <c r="E217" s="34" t="str">
        <f>'BIO DATA'!F123</f>
        <v>Syafatullah Ismail Pamungkas</v>
      </c>
      <c r="F217" s="35" t="str">
        <f>'BIO DATA'!Z123</f>
        <v>MTs. Mu'allimin Muh. Yogyakarta</v>
      </c>
      <c r="G217" s="68">
        <f>'BIO DATA'!J123</f>
        <v>2</v>
      </c>
      <c r="H217" s="106" t="str">
        <f>'BIO DATA'!N123</f>
        <v>Klaten</v>
      </c>
      <c r="I217" s="120" t="str">
        <f>'BIO DATA'!Q123</f>
        <v>26 November 2009</v>
      </c>
      <c r="J217" s="34" t="str">
        <f>'BIO DATA'!T123</f>
        <v>Kagokan 001/002 Kemudo Prambanan Klaten Jawa Tengah 54754</v>
      </c>
      <c r="K217" s="34" t="str">
        <f>'BIO DATA'!AC123</f>
        <v>Supriyadi</v>
      </c>
      <c r="L217" s="123" t="str">
        <f>'BIO DATA'!AH123</f>
        <v>081329563885</v>
      </c>
      <c r="M217" s="34" t="str">
        <f>'BIO DATA'!AJ123</f>
        <v>Suminten</v>
      </c>
      <c r="N217" s="125">
        <f>'BIO DATA'!AO123</f>
        <v>0</v>
      </c>
      <c r="O217" s="34" t="str">
        <f>'BIO DATA'!AF123</f>
        <v>Wiraswasta</v>
      </c>
      <c r="P217" s="34" t="str">
        <f>'BIO DATA'!AM123</f>
        <v>Ibu Rumah Tangga</v>
      </c>
      <c r="Q217" s="159" t="str">
        <f>'BIO DATA'!I123</f>
        <v>MTs-25
120006365</v>
      </c>
    </row>
    <row r="218" spans="2:17" s="38" customFormat="1" ht="38.25">
      <c r="B218" s="32">
        <v>32</v>
      </c>
      <c r="C218" s="33">
        <f>'BIO DATA'!D124</f>
        <v>11513</v>
      </c>
      <c r="D218" s="138" t="str">
        <f>'BIO DATA'!E124</f>
        <v>0093184505</v>
      </c>
      <c r="E218" s="34" t="str">
        <f>'BIO DATA'!F124</f>
        <v>Zaidan Mumtaz</v>
      </c>
      <c r="F218" s="35" t="str">
        <f>'BIO DATA'!Z124</f>
        <v>MTs. Mu'allimin Muh. Yogyakarta</v>
      </c>
      <c r="G218" s="68">
        <f>'BIO DATA'!J124</f>
        <v>2</v>
      </c>
      <c r="H218" s="106" t="str">
        <f>'BIO DATA'!N124</f>
        <v>Yogyakarta</v>
      </c>
      <c r="I218" s="120" t="str">
        <f>'BIO DATA'!Q124</f>
        <v>20 November 2011</v>
      </c>
      <c r="J218" s="34" t="str">
        <f>'BIO DATA'!T124</f>
        <v>Sangubanyu RT 04 RW 34 Sumberrahayu Moyudan Sleman Yogyakarta 77124</v>
      </c>
      <c r="K218" s="34" t="str">
        <f>'BIO DATA'!AC124</f>
        <v>Ihsan Effendi, A.Md.</v>
      </c>
      <c r="L218" s="123" t="str">
        <f>'BIO DATA'!AH124</f>
        <v>083840509930</v>
      </c>
      <c r="M218" s="34" t="str">
        <f>'BIO DATA'!AJ124</f>
        <v>Siti Marwati, M.Si.</v>
      </c>
      <c r="N218" s="125">
        <f>'BIO DATA'!AO124</f>
        <v>0</v>
      </c>
      <c r="O218" s="34" t="str">
        <f>'BIO DATA'!AF124</f>
        <v>Wiraswasta</v>
      </c>
      <c r="P218" s="34" t="str">
        <f>'BIO DATA'!AM124</f>
        <v>PNS</v>
      </c>
      <c r="Q218" s="159" t="str">
        <f>'BIO DATA'!I124</f>
        <v>MTs-25
120006366</v>
      </c>
    </row>
    <row r="219" spans="2:17" s="38" customFormat="1" ht="12.75">
      <c r="B219" s="39"/>
      <c r="C219" s="40"/>
      <c r="D219" s="107"/>
      <c r="E219" s="41"/>
      <c r="F219" s="37"/>
      <c r="G219" s="108"/>
      <c r="H219" s="41"/>
      <c r="I219" s="121"/>
      <c r="J219" s="41"/>
      <c r="K219" s="41"/>
      <c r="L219" s="43"/>
      <c r="M219" s="41"/>
      <c r="N219" s="137"/>
      <c r="O219" s="41"/>
      <c r="P219" s="41"/>
      <c r="Q219" s="122"/>
    </row>
    <row r="220" spans="2:17" s="38" customFormat="1" ht="12.75">
      <c r="B220" s="39"/>
      <c r="C220" s="40"/>
      <c r="D220" s="107"/>
      <c r="E220" s="41"/>
      <c r="F220" s="37"/>
      <c r="G220" s="108"/>
      <c r="H220" s="41"/>
      <c r="I220" s="121"/>
      <c r="J220" s="41"/>
      <c r="K220" s="41"/>
      <c r="L220" s="43"/>
      <c r="M220" s="41"/>
      <c r="N220" s="137"/>
      <c r="O220" s="41"/>
      <c r="P220" s="41"/>
      <c r="Q220" s="122"/>
    </row>
    <row r="221" spans="2:17" s="38" customFormat="1" ht="12.75">
      <c r="B221" s="39"/>
      <c r="C221" s="40"/>
      <c r="D221" s="107"/>
      <c r="E221" s="41"/>
      <c r="F221" s="37"/>
      <c r="G221" s="108"/>
      <c r="H221" s="41"/>
      <c r="I221" s="121"/>
      <c r="J221" s="41"/>
      <c r="K221" s="41"/>
      <c r="L221" s="43"/>
      <c r="M221" s="41"/>
      <c r="N221" s="137"/>
      <c r="O221" s="41"/>
      <c r="P221" s="41"/>
      <c r="Q221" s="122"/>
    </row>
    <row r="222" spans="2:17" s="38" customFormat="1" ht="12.75">
      <c r="B222" s="39"/>
      <c r="C222" s="40"/>
      <c r="D222" s="107"/>
      <c r="E222" s="41"/>
      <c r="F222" s="37"/>
      <c r="G222" s="108"/>
      <c r="H222" s="41"/>
      <c r="I222" s="121"/>
      <c r="J222" s="41"/>
      <c r="K222" s="41"/>
      <c r="L222" s="43"/>
      <c r="M222" s="41"/>
      <c r="N222" s="137"/>
      <c r="O222" s="41"/>
      <c r="P222" s="41"/>
      <c r="Q222" s="122"/>
    </row>
    <row r="223" spans="2:17" s="38" customFormat="1" ht="12.75">
      <c r="B223" s="39"/>
      <c r="C223" s="40"/>
      <c r="D223" s="107"/>
      <c r="E223" s="41"/>
      <c r="F223" s="37"/>
      <c r="G223" s="108"/>
      <c r="H223" s="41"/>
      <c r="I223" s="121"/>
      <c r="J223" s="41"/>
      <c r="K223" s="41"/>
      <c r="L223" s="43"/>
      <c r="M223" s="41"/>
      <c r="N223" s="137"/>
      <c r="O223" s="41"/>
      <c r="P223" s="41"/>
      <c r="Q223" s="122"/>
    </row>
    <row r="224" spans="2:17" s="38" customFormat="1" ht="12.75">
      <c r="B224" s="39"/>
      <c r="C224" s="40"/>
      <c r="D224" s="107"/>
      <c r="E224" s="41"/>
      <c r="F224" s="37"/>
      <c r="G224" s="108"/>
      <c r="H224" s="41"/>
      <c r="I224" s="121"/>
      <c r="J224" s="41"/>
      <c r="K224" s="41"/>
      <c r="L224" s="43"/>
      <c r="M224" s="41"/>
      <c r="N224" s="137"/>
      <c r="O224" s="41"/>
      <c r="P224" s="41"/>
      <c r="Q224" s="122"/>
    </row>
    <row r="225" spans="2:19" s="38" customFormat="1" ht="12.75">
      <c r="B225" s="39"/>
      <c r="C225" s="40"/>
      <c r="D225" s="107"/>
      <c r="E225" s="41"/>
      <c r="F225" s="37"/>
      <c r="G225" s="108"/>
      <c r="H225" s="41"/>
      <c r="I225" s="121"/>
      <c r="J225" s="41"/>
      <c r="K225" s="41"/>
      <c r="L225" s="43"/>
      <c r="M225" s="41"/>
      <c r="N225" s="137"/>
      <c r="O225" s="41"/>
      <c r="P225" s="41"/>
      <c r="Q225" s="122"/>
    </row>
    <row r="226" spans="2:19" s="38" customFormat="1" ht="12.75">
      <c r="B226" s="39"/>
      <c r="C226" s="40"/>
      <c r="D226" s="107"/>
      <c r="E226" s="41"/>
      <c r="F226" s="37"/>
      <c r="G226" s="108"/>
      <c r="H226" s="41"/>
      <c r="I226" s="121"/>
      <c r="J226" s="41"/>
      <c r="K226" s="41"/>
      <c r="L226" s="43"/>
      <c r="M226" s="41"/>
      <c r="N226" s="137"/>
      <c r="O226" s="41"/>
      <c r="P226" s="41"/>
      <c r="Q226" s="122"/>
    </row>
    <row r="227" spans="2:19" s="38" customFormat="1" ht="12.75">
      <c r="B227" s="39"/>
      <c r="C227" s="40"/>
      <c r="D227" s="107"/>
      <c r="E227" s="41"/>
      <c r="F227" s="37"/>
      <c r="G227" s="108"/>
      <c r="H227" s="41"/>
      <c r="I227" s="121"/>
      <c r="J227" s="41"/>
      <c r="K227" s="41"/>
      <c r="L227" s="43"/>
      <c r="M227" s="41"/>
      <c r="N227" s="137"/>
      <c r="O227" s="41"/>
      <c r="P227" s="41"/>
      <c r="Q227" s="122"/>
    </row>
    <row r="228" spans="2:19" s="38" customFormat="1" ht="12.75">
      <c r="B228" s="39"/>
      <c r="C228" s="40"/>
      <c r="D228" s="107"/>
      <c r="E228" s="41"/>
      <c r="F228" s="37"/>
      <c r="G228" s="108"/>
      <c r="H228" s="41"/>
      <c r="I228" s="121"/>
      <c r="J228" s="41"/>
      <c r="K228" s="41"/>
      <c r="L228" s="43"/>
      <c r="M228" s="41"/>
      <c r="N228" s="137"/>
      <c r="O228" s="41"/>
      <c r="P228" s="41"/>
      <c r="Q228" s="122"/>
    </row>
    <row r="229" spans="2:19" s="38" customFormat="1" ht="12.75">
      <c r="B229" s="39"/>
      <c r="C229" s="40"/>
      <c r="D229" s="107"/>
      <c r="E229" s="41"/>
      <c r="F229" s="37"/>
      <c r="G229" s="108"/>
      <c r="H229" s="41"/>
      <c r="I229" s="121"/>
      <c r="J229" s="41"/>
      <c r="K229" s="41"/>
      <c r="L229" s="43"/>
      <c r="M229" s="41"/>
      <c r="N229" s="137"/>
      <c r="O229" s="41"/>
      <c r="P229" s="41"/>
      <c r="Q229" s="122"/>
    </row>
    <row r="230" spans="2:19" s="38" customFormat="1" ht="12.75">
      <c r="B230" s="39"/>
      <c r="C230" s="40"/>
      <c r="D230" s="107"/>
      <c r="E230" s="41"/>
      <c r="F230" s="37"/>
      <c r="G230" s="108"/>
      <c r="H230" s="41"/>
      <c r="I230" s="121"/>
      <c r="J230" s="41"/>
      <c r="K230" s="41"/>
      <c r="L230" s="43"/>
      <c r="M230" s="41"/>
      <c r="N230" s="137"/>
      <c r="O230" s="41"/>
      <c r="P230" s="41"/>
      <c r="Q230" s="122"/>
    </row>
    <row r="231" spans="2:19" s="22" customFormat="1" ht="18.75">
      <c r="B231" s="263" t="s">
        <v>3293</v>
      </c>
      <c r="C231" s="263"/>
      <c r="D231" s="263"/>
      <c r="E231" s="263"/>
      <c r="F231" s="263"/>
      <c r="G231" s="263"/>
      <c r="H231" s="263"/>
      <c r="I231" s="263"/>
      <c r="J231" s="263"/>
      <c r="K231" s="263"/>
      <c r="L231" s="263"/>
      <c r="M231" s="263"/>
      <c r="N231" s="263"/>
      <c r="O231" s="263"/>
      <c r="P231" s="263"/>
      <c r="Q231" s="263"/>
    </row>
    <row r="232" spans="2:19" s="22" customFormat="1" ht="18.75">
      <c r="B232" s="263" t="s">
        <v>133</v>
      </c>
      <c r="C232" s="263"/>
      <c r="D232" s="263"/>
      <c r="E232" s="263"/>
      <c r="F232" s="263"/>
      <c r="G232" s="263"/>
      <c r="H232" s="263"/>
      <c r="I232" s="263"/>
      <c r="J232" s="263"/>
      <c r="K232" s="263"/>
      <c r="L232" s="263"/>
      <c r="M232" s="263"/>
      <c r="N232" s="263"/>
      <c r="O232" s="263"/>
      <c r="P232" s="263"/>
      <c r="Q232" s="263"/>
    </row>
    <row r="233" spans="2:19" s="22" customFormat="1" ht="18.75">
      <c r="B233" s="264" t="s">
        <v>3300</v>
      </c>
      <c r="C233" s="264"/>
      <c r="D233" s="264"/>
      <c r="E233" s="264"/>
      <c r="F233" s="264"/>
      <c r="G233" s="264"/>
      <c r="H233" s="264"/>
      <c r="I233" s="264"/>
      <c r="J233" s="264"/>
      <c r="K233" s="264"/>
      <c r="L233" s="264"/>
      <c r="M233" s="264"/>
      <c r="N233" s="264"/>
      <c r="O233" s="264"/>
      <c r="P233" s="264"/>
      <c r="Q233" s="264"/>
    </row>
    <row r="234" spans="2:19" s="23" customFormat="1" ht="15.75" customHeight="1">
      <c r="B234" s="262" t="s">
        <v>0</v>
      </c>
      <c r="C234" s="265" t="s">
        <v>134</v>
      </c>
      <c r="D234" s="266" t="s">
        <v>2</v>
      </c>
      <c r="E234" s="267" t="s">
        <v>3</v>
      </c>
      <c r="F234" s="267" t="s">
        <v>8</v>
      </c>
      <c r="G234" s="262" t="s">
        <v>135</v>
      </c>
      <c r="H234" s="262" t="s">
        <v>136</v>
      </c>
      <c r="I234" s="262"/>
      <c r="J234" s="269" t="s">
        <v>6</v>
      </c>
      <c r="K234" s="268" t="s">
        <v>137</v>
      </c>
      <c r="L234" s="268"/>
      <c r="M234" s="268"/>
      <c r="N234" s="268"/>
      <c r="O234" s="270" t="s">
        <v>138</v>
      </c>
      <c r="P234" s="270"/>
      <c r="Q234" s="262" t="s">
        <v>139</v>
      </c>
    </row>
    <row r="235" spans="2:19" s="23" customFormat="1" ht="15.75" customHeight="1">
      <c r="B235" s="262"/>
      <c r="C235" s="265"/>
      <c r="D235" s="266"/>
      <c r="E235" s="267"/>
      <c r="F235" s="267"/>
      <c r="G235" s="262"/>
      <c r="H235" s="24" t="s">
        <v>140</v>
      </c>
      <c r="I235" s="24" t="s">
        <v>141</v>
      </c>
      <c r="J235" s="269"/>
      <c r="K235" s="26" t="s">
        <v>142</v>
      </c>
      <c r="L235" s="25" t="s">
        <v>142</v>
      </c>
      <c r="M235" s="26" t="s">
        <v>143</v>
      </c>
      <c r="N235" s="25" t="s">
        <v>144</v>
      </c>
      <c r="O235" s="24" t="s">
        <v>145</v>
      </c>
      <c r="P235" s="24" t="s">
        <v>146</v>
      </c>
      <c r="Q235" s="262"/>
      <c r="R235" s="7"/>
      <c r="S235" s="7"/>
    </row>
    <row r="236" spans="2:19" s="38" customFormat="1" ht="41.25" customHeight="1">
      <c r="B236" s="32">
        <v>1</v>
      </c>
      <c r="C236" s="33">
        <f>'BIO DATA'!D125</f>
        <v>11203</v>
      </c>
      <c r="D236" s="138" t="str">
        <f>'BIO DATA'!E125</f>
        <v>0109105515</v>
      </c>
      <c r="E236" s="34" t="str">
        <f>'BIO DATA'!F125</f>
        <v>Abiyyu Fikri</v>
      </c>
      <c r="F236" s="35" t="str">
        <f>'BIO DATA'!Z125</f>
        <v>MTs. Mu'allimin Muh. Yogyakarta</v>
      </c>
      <c r="G236" s="68">
        <f>'BIO DATA'!J125</f>
        <v>3</v>
      </c>
      <c r="H236" s="34" t="str">
        <f>'BIO DATA'!N125</f>
        <v>Bekasi</v>
      </c>
      <c r="I236" s="120" t="str">
        <f>'BIO DATA'!Q125</f>
        <v>01 November 2010</v>
      </c>
      <c r="J236" s="34" t="str">
        <f>'BIO DATA'!T125</f>
        <v>JL. Telaga Mas XV Blok G4/20 RT015 RW014 Kel. Harapan Baru Kec. Bekasi Utara Bekasi Jawa Barat 17123</v>
      </c>
      <c r="K236" s="34" t="str">
        <f>'BIO DATA'!AC125</f>
        <v>Aspuri</v>
      </c>
      <c r="L236" s="123" t="str">
        <f>'BIO DATA'!AH125</f>
        <v>087876215434</v>
      </c>
      <c r="M236" s="34" t="str">
        <f>'BIO DATA'!AJ125</f>
        <v>Febriyani</v>
      </c>
      <c r="N236" s="125">
        <f>'BIO DATA'!AO125</f>
        <v>0</v>
      </c>
      <c r="O236" s="34" t="str">
        <f>'BIO DATA'!AF125</f>
        <v>Lainnya</v>
      </c>
      <c r="P236" s="34" t="str">
        <f>'BIO DATA'!AM125</f>
        <v>Karyawan Swasta</v>
      </c>
      <c r="Q236" s="159" t="str">
        <f>'BIO DATA'!I125</f>
        <v>MTs-25
120006399</v>
      </c>
    </row>
    <row r="237" spans="2:19" s="38" customFormat="1" ht="38.25">
      <c r="B237" s="32">
        <v>2</v>
      </c>
      <c r="C237" s="33">
        <f>'BIO DATA'!D126</f>
        <v>11210</v>
      </c>
      <c r="D237" s="138" t="str">
        <f>'BIO DATA'!E126</f>
        <v>0098659090</v>
      </c>
      <c r="E237" s="34" t="str">
        <f>'BIO DATA'!F126</f>
        <v>Adnan Azukhri</v>
      </c>
      <c r="F237" s="35" t="str">
        <f>'BIO DATA'!Z126</f>
        <v>MTs. Mu'allimin Muh. Yogyakarta</v>
      </c>
      <c r="G237" s="68">
        <f>'BIO DATA'!J126</f>
        <v>2</v>
      </c>
      <c r="H237" s="34" t="str">
        <f>'BIO DATA'!N126</f>
        <v>Magelang</v>
      </c>
      <c r="I237" s="120" t="str">
        <f>'BIO DATA'!Q126</f>
        <v>06 September 2009</v>
      </c>
      <c r="J237" s="34" t="str">
        <f>'BIO DATA'!T126</f>
        <v>RT/ RW. 019/ 009, Dusun Demangan, Desa Congkrang, Kec. Muntilan, Kab. Magelang, Jawa Tengah 56451</v>
      </c>
      <c r="K237" s="34" t="str">
        <f>'BIO DATA'!AC126</f>
        <v>Sukadi</v>
      </c>
      <c r="L237" s="123" t="str">
        <f>'BIO DATA'!AH126</f>
        <v>08816740343</v>
      </c>
      <c r="M237" s="34" t="str">
        <f>'BIO DATA'!AJ126</f>
        <v>Hartiningsih</v>
      </c>
      <c r="N237" s="125">
        <f>'BIO DATA'!AO126</f>
        <v>0</v>
      </c>
      <c r="O237" s="34" t="str">
        <f>'BIO DATA'!AF126</f>
        <v>Lainnya</v>
      </c>
      <c r="P237" s="34" t="str">
        <f>'BIO DATA'!AM126</f>
        <v>Pedagang</v>
      </c>
      <c r="Q237" s="159" t="str">
        <f>'BIO DATA'!I126</f>
        <v>MTs-25
120006281</v>
      </c>
    </row>
    <row r="238" spans="2:19" s="38" customFormat="1" ht="51">
      <c r="B238" s="32">
        <v>3</v>
      </c>
      <c r="C238" s="33">
        <f>'BIO DATA'!D127</f>
        <v>11213</v>
      </c>
      <c r="D238" s="138" t="str">
        <f>'BIO DATA'!E127</f>
        <v xml:space="preserve">0094860620	</v>
      </c>
      <c r="E238" s="34" t="str">
        <f>'BIO DATA'!F127</f>
        <v>Afif Daegal</v>
      </c>
      <c r="F238" s="35" t="str">
        <f>'BIO DATA'!Z127</f>
        <v>MTs. Mu'allimin Muh. Yogyakarta</v>
      </c>
      <c r="G238" s="68">
        <f>'BIO DATA'!J127</f>
        <v>2</v>
      </c>
      <c r="H238" s="34" t="str">
        <f>'BIO DATA'!N127</f>
        <v>Sukamara</v>
      </c>
      <c r="I238" s="120" t="str">
        <f>'BIO DATA'!Q127</f>
        <v>15 Juni 2009</v>
      </c>
      <c r="J238" s="34" t="str">
        <f>'BIO DATA'!T127</f>
        <v>Jl. Ali Ahmad RT.09 RW.03 Kelurahan Mendawai Kecamatan Sukamara Kabupaten Sukamara Kalimantan Tengah 74712</v>
      </c>
      <c r="K238" s="34" t="str">
        <f>'BIO DATA'!AC127</f>
        <v>Kusno, S.Ag.</v>
      </c>
      <c r="L238" s="123">
        <f>'BIO DATA'!AH127</f>
        <v>0</v>
      </c>
      <c r="M238" s="34" t="str">
        <f>'BIO DATA'!AJ127</f>
        <v>Muslimah</v>
      </c>
      <c r="N238" s="125" t="str">
        <f>'BIO DATA'!AO127</f>
        <v>085249022807</v>
      </c>
      <c r="O238" s="34" t="str">
        <f>'BIO DATA'!AF127</f>
        <v>PNS</v>
      </c>
      <c r="P238" s="34" t="str">
        <f>'BIO DATA'!AM127</f>
        <v>PNS</v>
      </c>
      <c r="Q238" s="159" t="str">
        <f>'BIO DATA'!I127</f>
        <v>MTs-25
120006282</v>
      </c>
    </row>
    <row r="239" spans="2:19" s="38" customFormat="1" ht="38.25">
      <c r="B239" s="32">
        <v>4</v>
      </c>
      <c r="C239" s="33">
        <f>'BIO DATA'!D128</f>
        <v>11220</v>
      </c>
      <c r="D239" s="138" t="str">
        <f>'BIO DATA'!E128</f>
        <v>3106774949</v>
      </c>
      <c r="E239" s="34" t="str">
        <f>'BIO DATA'!F128</f>
        <v>Ahmad Darwis Al Kahfi</v>
      </c>
      <c r="F239" s="35" t="str">
        <f>'BIO DATA'!Z128</f>
        <v>MTs. Mu'allimin Muh. Yogyakarta</v>
      </c>
      <c r="G239" s="68">
        <f>'BIO DATA'!J128</f>
        <v>1</v>
      </c>
      <c r="H239" s="34" t="str">
        <f>'BIO DATA'!N128</f>
        <v>Lamongan</v>
      </c>
      <c r="I239" s="120" t="str">
        <f>'BIO DATA'!Q128</f>
        <v>19 September 2010</v>
      </c>
      <c r="J239" s="34" t="str">
        <f>'BIO DATA'!T128</f>
        <v>Dusun Keduwul Desa Menongo RT. 003 RW. 002 Kec. Sukodadi Kab. Lamongan, Jawa Timur, 62253</v>
      </c>
      <c r="K239" s="34" t="str">
        <f>'BIO DATA'!AC128</f>
        <v>Wahyuddin Ahmadi</v>
      </c>
      <c r="L239" s="123" t="str">
        <f>'BIO DATA'!AH128</f>
        <v>081232454688</v>
      </c>
      <c r="M239" s="34" t="str">
        <f>'BIO DATA'!AJ128</f>
        <v>Yayuk Handayani</v>
      </c>
      <c r="N239" s="125">
        <f>'BIO DATA'!AO128</f>
        <v>0</v>
      </c>
      <c r="O239" s="34" t="str">
        <f>'BIO DATA'!AF128</f>
        <v>Petani</v>
      </c>
      <c r="P239" s="34" t="str">
        <f>'BIO DATA'!AM128</f>
        <v>Ibu Rumah Tangga</v>
      </c>
      <c r="Q239" s="159" t="str">
        <f>'BIO DATA'!I128</f>
        <v>MTs-25
120006339</v>
      </c>
    </row>
    <row r="240" spans="2:19" s="38" customFormat="1" ht="38.25">
      <c r="B240" s="32">
        <v>5</v>
      </c>
      <c r="C240" s="33">
        <f>'BIO DATA'!D129</f>
        <v>11230</v>
      </c>
      <c r="D240" s="138" t="str">
        <f>'BIO DATA'!E129</f>
        <v>0094459999</v>
      </c>
      <c r="E240" s="34" t="str">
        <f>'BIO DATA'!F129</f>
        <v>Ahmad Royyan Al Maqdis</v>
      </c>
      <c r="F240" s="35" t="str">
        <f>'BIO DATA'!Z129</f>
        <v>MTs. Mu'allimin Muh. Yogyakarta</v>
      </c>
      <c r="G240" s="68">
        <f>'BIO DATA'!J129</f>
        <v>1</v>
      </c>
      <c r="H240" s="34" t="str">
        <f>'BIO DATA'!N129</f>
        <v>Pangkalan Bun</v>
      </c>
      <c r="I240" s="120" t="str">
        <f>'BIO DATA'!Q129</f>
        <v>18 Oktober 2009</v>
      </c>
      <c r="J240" s="34" t="str">
        <f>'BIO DATA'!T129</f>
        <v>Jln Sudirman SH No 10 RT 03 Sidorejo Arut Selatan, Kalimantan Tengah, 74111</v>
      </c>
      <c r="K240" s="34" t="str">
        <f>'BIO DATA'!AC129</f>
        <v>Muhaammad Rhopidha Ardiani</v>
      </c>
      <c r="L240" s="123" t="str">
        <f>'BIO DATA'!AH129</f>
        <v>085228077753</v>
      </c>
      <c r="M240" s="34" t="str">
        <f>'BIO DATA'!AJ129</f>
        <v>Devi Virgoastiwi</v>
      </c>
      <c r="N240" s="125">
        <f>'BIO DATA'!AO129</f>
        <v>0</v>
      </c>
      <c r="O240" s="34" t="str">
        <f>'BIO DATA'!AF129</f>
        <v>PNS</v>
      </c>
      <c r="P240" s="34" t="str">
        <f>'BIO DATA'!AM129</f>
        <v>PNS</v>
      </c>
      <c r="Q240" s="159" t="str">
        <f>'BIO DATA'!I129</f>
        <v>MTs-25
120006489</v>
      </c>
    </row>
    <row r="241" spans="2:17" s="38" customFormat="1" ht="25.5">
      <c r="B241" s="32">
        <v>6</v>
      </c>
      <c r="C241" s="33">
        <f>'BIO DATA'!D130</f>
        <v>11233</v>
      </c>
      <c r="D241" s="138" t="str">
        <f>'BIO DATA'!E130</f>
        <v>0096562579</v>
      </c>
      <c r="E241" s="34" t="str">
        <f>'BIO DATA'!F130</f>
        <v>Ahmad Syarif Rajendra Nata</v>
      </c>
      <c r="F241" s="35" t="str">
        <f>'BIO DATA'!Z130</f>
        <v>MTs. Mu'allimin Muh. Yogyakarta</v>
      </c>
      <c r="G241" s="68">
        <f>'BIO DATA'!J130</f>
        <v>3</v>
      </c>
      <c r="H241" s="34" t="str">
        <f>'BIO DATA'!N130</f>
        <v>Klaten</v>
      </c>
      <c r="I241" s="120" t="str">
        <f>'BIO DATA'!Q130</f>
        <v>14 September 2009</v>
      </c>
      <c r="J241" s="34" t="str">
        <f>'BIO DATA'!T130</f>
        <v>Dukuh RT 02 RW 05 Manjung Ngawen Klaten Jawa Tengah 57466</v>
      </c>
      <c r="K241" s="34" t="str">
        <f>'BIO DATA'!AC130</f>
        <v>Budi Santoso</v>
      </c>
      <c r="L241" s="123" t="str">
        <f>'BIO DATA'!AH130</f>
        <v>085643988222</v>
      </c>
      <c r="M241" s="34" t="str">
        <f>'BIO DATA'!AJ130</f>
        <v>Wahyutiningsih</v>
      </c>
      <c r="N241" s="125">
        <f>'BIO DATA'!AO130</f>
        <v>0</v>
      </c>
      <c r="O241" s="34" t="str">
        <f>'BIO DATA'!AF130</f>
        <v>Lainnya</v>
      </c>
      <c r="P241" s="34" t="str">
        <f>'BIO DATA'!AM130</f>
        <v>Wiraswasta</v>
      </c>
      <c r="Q241" s="159" t="str">
        <f>'BIO DATA'!I130</f>
        <v>MTs-25 120006314</v>
      </c>
    </row>
    <row r="242" spans="2:17" s="38" customFormat="1" ht="38.25">
      <c r="B242" s="32">
        <v>7</v>
      </c>
      <c r="C242" s="33">
        <f>'BIO DATA'!D131</f>
        <v>11237</v>
      </c>
      <c r="D242" s="138" t="str">
        <f>'BIO DATA'!E131</f>
        <v>0091692757</v>
      </c>
      <c r="E242" s="34" t="str">
        <f>'BIO DATA'!F131</f>
        <v>Ajda Satria Wistara</v>
      </c>
      <c r="F242" s="35" t="str">
        <f>'BIO DATA'!Z131</f>
        <v>MTs. Mu'allimin Muh. Yogyakarta</v>
      </c>
      <c r="G242" s="68">
        <f>'BIO DATA'!J131</f>
        <v>1</v>
      </c>
      <c r="H242" s="34" t="str">
        <f>'BIO DATA'!N131</f>
        <v>Jakarta</v>
      </c>
      <c r="I242" s="120" t="str">
        <f>'BIO DATA'!Q131</f>
        <v>06 Maret 2009</v>
      </c>
      <c r="J242" s="34" t="str">
        <f>'BIO DATA'!T131</f>
        <v>Perum Bojonggede Asri Blok C.5/25 001/015 Kedungwaringin Bojong Gede Bogor Jawa Barat 16923</v>
      </c>
      <c r="K242" s="34" t="str">
        <f>'BIO DATA'!AC131</f>
        <v>Arif Ridho</v>
      </c>
      <c r="L242" s="123" t="str">
        <f>'BIO DATA'!AH131</f>
        <v>089636914248</v>
      </c>
      <c r="M242" s="34" t="str">
        <f>'BIO DATA'!AJ131</f>
        <v>Dwi Suci Lestari</v>
      </c>
      <c r="N242" s="125">
        <f>'BIO DATA'!AO131</f>
        <v>0</v>
      </c>
      <c r="O242" s="34" t="str">
        <f>'BIO DATA'!AF131</f>
        <v>Lainnya</v>
      </c>
      <c r="P242" s="34" t="str">
        <f>'BIO DATA'!AM131</f>
        <v>Guru</v>
      </c>
      <c r="Q242" s="159" t="str">
        <f>'BIO DATA'!I131</f>
        <v>MTs-25
120006283</v>
      </c>
    </row>
    <row r="243" spans="2:17" s="38" customFormat="1" ht="39.75" customHeight="1">
      <c r="B243" s="32">
        <v>8</v>
      </c>
      <c r="C243" s="33">
        <f>'BIO DATA'!D132</f>
        <v>11241</v>
      </c>
      <c r="D243" s="138" t="str">
        <f>'BIO DATA'!E132</f>
        <v>3100014362</v>
      </c>
      <c r="E243" s="34" t="str">
        <f>'BIO DATA'!F132</f>
        <v>Akbar Shidqi Al Karim</v>
      </c>
      <c r="F243" s="35" t="str">
        <f>'BIO DATA'!Z132</f>
        <v>MTs. Mu'allimin Muh. Yogyakarta</v>
      </c>
      <c r="G243" s="68">
        <f>'BIO DATA'!J132</f>
        <v>1</v>
      </c>
      <c r="H243" s="34" t="str">
        <f>'BIO DATA'!N132</f>
        <v>Tangerang</v>
      </c>
      <c r="I243" s="120" t="str">
        <f>'BIO DATA'!Q132</f>
        <v>05 Oktober 2010</v>
      </c>
      <c r="J243" s="34" t="str">
        <f>'BIO DATA'!T132</f>
        <v>Jl. Mawar No. 61 Pisangan Ciputat Timur, Ciputat Timur, Tangsel, Banten, 15446</v>
      </c>
      <c r="K243" s="34" t="str">
        <f>'BIO DATA'!AC132</f>
        <v>Kusno</v>
      </c>
      <c r="L243" s="123">
        <f>'BIO DATA'!AH132</f>
        <v>0</v>
      </c>
      <c r="M243" s="34" t="str">
        <f>'BIO DATA'!AJ132</f>
        <v>Nurkhayati</v>
      </c>
      <c r="N243" s="125" t="str">
        <f>'BIO DATA'!AO132</f>
        <v>08159336503</v>
      </c>
      <c r="O243" s="34" t="str">
        <f>'BIO DATA'!AF132</f>
        <v>Wiraswasta</v>
      </c>
      <c r="P243" s="34" t="str">
        <f>'BIO DATA'!AM132</f>
        <v>PNS</v>
      </c>
      <c r="Q243" s="159" t="str">
        <f>'BIO DATA'!I132</f>
        <v>MTs-25
120006491</v>
      </c>
    </row>
    <row r="244" spans="2:17" s="38" customFormat="1" ht="42" customHeight="1">
      <c r="B244" s="32">
        <v>9</v>
      </c>
      <c r="C244" s="33">
        <f>'BIO DATA'!D133</f>
        <v>11248</v>
      </c>
      <c r="D244" s="138" t="str">
        <f>'BIO DATA'!E133</f>
        <v>0108107632</v>
      </c>
      <c r="E244" s="34" t="str">
        <f>'BIO DATA'!F133</f>
        <v>Al Fath Malik Sidik</v>
      </c>
      <c r="F244" s="35" t="str">
        <f>'BIO DATA'!Z133</f>
        <v>MTs. Mu'allimin Muh. Yogyakarta</v>
      </c>
      <c r="G244" s="68">
        <f>'BIO DATA'!J133</f>
        <v>1</v>
      </c>
      <c r="H244" s="34" t="str">
        <f>'BIO DATA'!N133</f>
        <v>Bogor</v>
      </c>
      <c r="I244" s="120" t="str">
        <f>'BIO DATA'!Q133</f>
        <v>01 Juli 2010</v>
      </c>
      <c r="J244" s="34" t="str">
        <f>'BIO DATA'!T133</f>
        <v>Dramaga Cantik Residence Blok M No.3 RT 02 RW 07, Desa Dramaga, Kec. Dramaga Kab. Bogor, Jawa Barat, 16680</v>
      </c>
      <c r="K244" s="34" t="str">
        <f>'BIO DATA'!AC133</f>
        <v>Arief Sidik</v>
      </c>
      <c r="L244" s="123" t="str">
        <f>'BIO DATA'!AH133</f>
        <v>085267222660</v>
      </c>
      <c r="M244" s="34" t="str">
        <f>'BIO DATA'!AJ133</f>
        <v>Nur Habibah Yuliastuti</v>
      </c>
      <c r="N244" s="125">
        <f>'BIO DATA'!AO133</f>
        <v>0</v>
      </c>
      <c r="O244" s="34" t="str">
        <f>'BIO DATA'!AF133</f>
        <v>Lainnya</v>
      </c>
      <c r="P244" s="34" t="str">
        <f>'BIO DATA'!AM133</f>
        <v>Ibu Rumah Tangga</v>
      </c>
      <c r="Q244" s="159" t="str">
        <f>'BIO DATA'!I133</f>
        <v>MTs-25
120006493</v>
      </c>
    </row>
    <row r="245" spans="2:17" s="38" customFormat="1" ht="25.5">
      <c r="B245" s="32">
        <v>10</v>
      </c>
      <c r="C245" s="33">
        <f>'BIO DATA'!D134</f>
        <v>11252</v>
      </c>
      <c r="D245" s="138" t="str">
        <f>'BIO DATA'!E134</f>
        <v>0082594855</v>
      </c>
      <c r="E245" s="34" t="str">
        <f>'BIO DATA'!F134</f>
        <v>Alvino Arkan</v>
      </c>
      <c r="F245" s="35" t="str">
        <f>'BIO DATA'!Z134</f>
        <v>MTs. Mu'allimin Muh. Yogyakarta</v>
      </c>
      <c r="G245" s="68">
        <f>'BIO DATA'!J134</f>
        <v>1</v>
      </c>
      <c r="H245" s="34" t="str">
        <f>'BIO DATA'!N134</f>
        <v>Temanggung</v>
      </c>
      <c r="I245" s="120" t="str">
        <f>'BIO DATA'!Q134</f>
        <v>22 Desember 2008</v>
      </c>
      <c r="J245" s="34" t="str">
        <f>'BIO DATA'!T134</f>
        <v>Jl Tegal Gendu gang Merapi No 1123A Prenggan Kotagede DIY 55172</v>
      </c>
      <c r="K245" s="34" t="str">
        <f>'BIO DATA'!AC134</f>
        <v>Parjiyanto</v>
      </c>
      <c r="L245" s="123">
        <f>'BIO DATA'!AH134</f>
        <v>0</v>
      </c>
      <c r="M245" s="34" t="str">
        <f>'BIO DATA'!AJ134</f>
        <v>Dian Megawati</v>
      </c>
      <c r="N245" s="125" t="str">
        <f>'BIO DATA'!AO134</f>
        <v>08179969040</v>
      </c>
      <c r="O245" s="34" t="str">
        <f>'BIO DATA'!AF134</f>
        <v>PNS</v>
      </c>
      <c r="P245" s="34" t="str">
        <f>'BIO DATA'!AM134</f>
        <v>Lainnya</v>
      </c>
      <c r="Q245" s="159" t="str">
        <f>'BIO DATA'!I134</f>
        <v>MTs-25
120006373</v>
      </c>
    </row>
    <row r="246" spans="2:17" s="38" customFormat="1" ht="25.5">
      <c r="B246" s="32">
        <v>11</v>
      </c>
      <c r="C246" s="33">
        <f>'BIO DATA'!D135</f>
        <v>11282</v>
      </c>
      <c r="D246" s="138" t="str">
        <f>'BIO DATA'!E135</f>
        <v>0091212716</v>
      </c>
      <c r="E246" s="34" t="str">
        <f>'BIO DATA'!F135</f>
        <v>Chairul Farand Dhiaulhaq</v>
      </c>
      <c r="F246" s="35" t="str">
        <f>'BIO DATA'!Z135</f>
        <v>MTs. Mu'allimin Muh. Yogyakarta</v>
      </c>
      <c r="G246" s="68">
        <f>'BIO DATA'!J135</f>
        <v>2</v>
      </c>
      <c r="H246" s="34" t="str">
        <f>'BIO DATA'!N135</f>
        <v>Yogyakarta</v>
      </c>
      <c r="I246" s="120" t="str">
        <f>'BIO DATA'!Q135</f>
        <v>11 Februari 2009</v>
      </c>
      <c r="J246" s="34" t="str">
        <f>'BIO DATA'!T135</f>
        <v>Mejing rt.02, Kalirandu, Bangunjiwo, Kasihan, Bantul, Yogyakarta 55184</v>
      </c>
      <c r="K246" s="34" t="str">
        <f>'BIO DATA'!AC135</f>
        <v>Agus Mulyono</v>
      </c>
      <c r="L246" s="123" t="str">
        <f>'BIO DATA'!AH135</f>
        <v>0811255392</v>
      </c>
      <c r="M246" s="34" t="str">
        <f>'BIO DATA'!AJ135</f>
        <v>Eni Martiningsih</v>
      </c>
      <c r="N246" s="125">
        <f>'BIO DATA'!AO135</f>
        <v>0</v>
      </c>
      <c r="O246" s="34" t="str">
        <f>'BIO DATA'!AF135</f>
        <v>Lainnya</v>
      </c>
      <c r="P246" s="34" t="str">
        <f>'BIO DATA'!AM135</f>
        <v>Karyawan Swasta</v>
      </c>
      <c r="Q246" s="159" t="str">
        <f>'BIO DATA'!I135</f>
        <v>MTs-25
120006376</v>
      </c>
    </row>
    <row r="247" spans="2:17" s="38" customFormat="1" ht="38.25">
      <c r="B247" s="32">
        <v>12</v>
      </c>
      <c r="C247" s="33">
        <f>'BIO DATA'!D136</f>
        <v>11286</v>
      </c>
      <c r="D247" s="138" t="str">
        <f>'BIO DATA'!E136</f>
        <v>0098038482</v>
      </c>
      <c r="E247" s="34" t="str">
        <f>'BIO DATA'!F136</f>
        <v>Cleon Ivander Xavier</v>
      </c>
      <c r="F247" s="35" t="str">
        <f>'BIO DATA'!Z136</f>
        <v>MTs. Mu'allimin Muh. Yogyakarta</v>
      </c>
      <c r="G247" s="68">
        <f>'BIO DATA'!J136</f>
        <v>1</v>
      </c>
      <c r="H247" s="34" t="str">
        <f>'BIO DATA'!N136</f>
        <v>Palembang</v>
      </c>
      <c r="I247" s="120" t="str">
        <f>'BIO DATA'!Q136</f>
        <v>10 Oktober 2009</v>
      </c>
      <c r="J247" s="34" t="str">
        <f>'BIO DATA'!T136</f>
        <v>Jl Pattimura, RT.4 Kelurahan Kenali Besar Kecamatan Alam Barajo Kota Jambi Prop. Jambi 36129</v>
      </c>
      <c r="K247" s="34" t="str">
        <f>'BIO DATA'!AC136</f>
        <v>Lilik Nova Putra</v>
      </c>
      <c r="L247" s="123">
        <f>'BIO DATA'!AH136</f>
        <v>0</v>
      </c>
      <c r="M247" s="34" t="str">
        <f>'BIO DATA'!AJ136</f>
        <v>Sri Rizki Dwi Putri</v>
      </c>
      <c r="N247" s="125" t="str">
        <f>'BIO DATA'!AO136</f>
        <v>081373529653</v>
      </c>
      <c r="O247" s="34" t="str">
        <f>'BIO DATA'!AF136</f>
        <v>Wiraswasta</v>
      </c>
      <c r="P247" s="34" t="str">
        <f>'BIO DATA'!AM136</f>
        <v>PNS</v>
      </c>
      <c r="Q247" s="159" t="str">
        <f>'BIO DATA'!I136</f>
        <v>MTs-25
120006287</v>
      </c>
    </row>
    <row r="248" spans="2:17" s="38" customFormat="1" ht="51">
      <c r="B248" s="32">
        <v>13</v>
      </c>
      <c r="C248" s="33">
        <f>'BIO DATA'!D137</f>
        <v>11291</v>
      </c>
      <c r="D248" s="138" t="str">
        <f>'BIO DATA'!E137</f>
        <v>0109180870</v>
      </c>
      <c r="E248" s="34" t="str">
        <f>'BIO DATA'!F137</f>
        <v>Davito Al Kindi</v>
      </c>
      <c r="F248" s="35" t="str">
        <f>'BIO DATA'!Z137</f>
        <v>MTs. Mu'allimin Muh. Yogyakarta</v>
      </c>
      <c r="G248" s="68">
        <f>'BIO DATA'!J137</f>
        <v>2</v>
      </c>
      <c r="H248" s="34" t="str">
        <f>'BIO DATA'!N137</f>
        <v>Wonosobo</v>
      </c>
      <c r="I248" s="120" t="str">
        <f>'BIO DATA'!Q137</f>
        <v>29 Maret 2010</v>
      </c>
      <c r="J248" s="34" t="str">
        <f>'BIO DATA'!T137</f>
        <v>Jalan Pasukan Ronggolawe Sirandu, Pagerkukuh, Kec. Wonosobo, Kabupaten Wonosobo, Jawa Tengah 56311</v>
      </c>
      <c r="K248" s="34" t="str">
        <f>'BIO DATA'!AC137</f>
        <v>Nur Hidayat</v>
      </c>
      <c r="L248" s="123" t="str">
        <f>'BIO DATA'!AH137</f>
        <v>08122935492</v>
      </c>
      <c r="M248" s="34" t="str">
        <f>'BIO DATA'!AJ137</f>
        <v>Evy Sus Mahfitaningrum</v>
      </c>
      <c r="N248" s="125">
        <f>'BIO DATA'!AO137</f>
        <v>0</v>
      </c>
      <c r="O248" s="34" t="str">
        <f>'BIO DATA'!AF137</f>
        <v>Lainnya</v>
      </c>
      <c r="P248" s="34" t="str">
        <f>'BIO DATA'!AM137</f>
        <v>Ibu Rumah Tangga</v>
      </c>
      <c r="Q248" s="159" t="str">
        <f>'BIO DATA'!I137</f>
        <v>MTs-25
120006289</v>
      </c>
    </row>
    <row r="249" spans="2:17" s="38" customFormat="1" ht="41.25" customHeight="1">
      <c r="B249" s="32">
        <v>14</v>
      </c>
      <c r="C249" s="33">
        <f>'BIO DATA'!D138</f>
        <v>11312</v>
      </c>
      <c r="D249" s="138" t="str">
        <f>'BIO DATA'!E138</f>
        <v>0105076162</v>
      </c>
      <c r="E249" s="34" t="str">
        <f>'BIO DATA'!F138</f>
        <v>Fairuz Husni Firmansyah</v>
      </c>
      <c r="F249" s="35" t="str">
        <f>'BIO DATA'!Z138</f>
        <v>MTs. Mu'allimin Muh. Yogyakarta</v>
      </c>
      <c r="G249" s="68">
        <f>'BIO DATA'!J138</f>
        <v>1</v>
      </c>
      <c r="H249" s="34" t="str">
        <f>'BIO DATA'!N138</f>
        <v>Bantul</v>
      </c>
      <c r="I249" s="120" t="str">
        <f>'BIO DATA'!Q138</f>
        <v>04 April 2010</v>
      </c>
      <c r="J249" s="34" t="str">
        <f>'BIO DATA'!T138</f>
        <v>Victoria Park Residence No. A 17 RT 005/006 Gedangan Grogol Sukoharjo, Jawa Tengah 57552</v>
      </c>
      <c r="K249" s="34" t="str">
        <f>'BIO DATA'!AC138</f>
        <v>Bambang Priyono</v>
      </c>
      <c r="L249" s="123" t="str">
        <f>'BIO DATA'!AH138</f>
        <v>081329666677</v>
      </c>
      <c r="M249" s="34" t="str">
        <f>'BIO DATA'!AJ138</f>
        <v>Dwi Yani Yuniarti, SEI</v>
      </c>
      <c r="N249" s="125">
        <f>'BIO DATA'!AO138</f>
        <v>0</v>
      </c>
      <c r="O249" s="34" t="str">
        <f>'BIO DATA'!AF138</f>
        <v>Wiraswasta</v>
      </c>
      <c r="P249" s="34" t="str">
        <f>'BIO DATA'!AM138</f>
        <v>Ibu Rumah Tangga</v>
      </c>
      <c r="Q249" s="159" t="str">
        <f>'BIO DATA'!I138</f>
        <v>MTs-25
120006320</v>
      </c>
    </row>
    <row r="250" spans="2:17" s="38" customFormat="1" ht="41.25" customHeight="1">
      <c r="B250" s="32">
        <v>15</v>
      </c>
      <c r="C250" s="33">
        <f>'BIO DATA'!D139</f>
        <v>11340</v>
      </c>
      <c r="D250" s="138" t="str">
        <f>'BIO DATA'!E139</f>
        <v>0104425009</v>
      </c>
      <c r="E250" s="34" t="str">
        <f>'BIO DATA'!F139</f>
        <v>Fawwaz Maulana Divian</v>
      </c>
      <c r="F250" s="35" t="str">
        <f>'BIO DATA'!Z139</f>
        <v>MTs. Mu'allimin Muh. Yogyakarta</v>
      </c>
      <c r="G250" s="68">
        <f>'BIO DATA'!J139</f>
        <v>2</v>
      </c>
      <c r="H250" s="34" t="str">
        <f>'BIO DATA'!N139</f>
        <v>Wonosobo</v>
      </c>
      <c r="I250" s="120" t="str">
        <f>'BIO DATA'!Q139</f>
        <v>02 Maret 2010</v>
      </c>
      <c r="J250" s="34" t="str">
        <f>'BIO DATA'!T139</f>
        <v>Sariagung No.19 RT 01/RW10 Kel. Jaraksari Kec. Wonosobo Kab. Wonosobo Jawa Tengah 56314</v>
      </c>
      <c r="K250" s="34" t="str">
        <f>'BIO DATA'!AC139</f>
        <v>Budiyono</v>
      </c>
      <c r="L250" s="123" t="str">
        <f>'BIO DATA'!AH139</f>
        <v>08122782314</v>
      </c>
      <c r="M250" s="34" t="str">
        <f>'BIO DATA'!AJ139</f>
        <v>Vitri Widya Lestari</v>
      </c>
      <c r="N250" s="125">
        <f>'BIO DATA'!AO139</f>
        <v>0</v>
      </c>
      <c r="O250" s="34" t="str">
        <f>'BIO DATA'!AF139</f>
        <v>Lainnya</v>
      </c>
      <c r="P250" s="34" t="str">
        <f>'BIO DATA'!AM139</f>
        <v>PNS</v>
      </c>
      <c r="Q250" s="159" t="str">
        <f>'BIO DATA'!I139</f>
        <v>MTs-25
120006346</v>
      </c>
    </row>
    <row r="251" spans="2:17" s="38" customFormat="1" ht="39" customHeight="1">
      <c r="B251" s="32">
        <v>16</v>
      </c>
      <c r="C251" s="33">
        <f>'BIO DATA'!D140</f>
        <v>11334</v>
      </c>
      <c r="D251" s="138" t="str">
        <f>'BIO DATA'!E140</f>
        <v>0092638882</v>
      </c>
      <c r="E251" s="34" t="str">
        <f>'BIO DATA'!F140</f>
        <v>Genta Hasyarafi</v>
      </c>
      <c r="F251" s="35" t="str">
        <f>'BIO DATA'!Z140</f>
        <v>MTs. Mu'allimin Muh. Yogyakarta</v>
      </c>
      <c r="G251" s="68">
        <f>'BIO DATA'!J140</f>
        <v>1</v>
      </c>
      <c r="H251" s="34" t="str">
        <f>'BIO DATA'!N140</f>
        <v>Magelang</v>
      </c>
      <c r="I251" s="120" t="str">
        <f>'BIO DATA'!Q140</f>
        <v>24 Juli 2009</v>
      </c>
      <c r="J251" s="34" t="str">
        <f>'BIO DATA'!T140</f>
        <v>Kamal Rt 02 Rw 04 Pagersari Mungkid Kabupaten Magelang, Jawa Tengah, 56512</v>
      </c>
      <c r="K251" s="34" t="str">
        <f>'BIO DATA'!AC140</f>
        <v>Taufiq Kurniawan</v>
      </c>
      <c r="L251" s="123" t="str">
        <f>'BIO DATA'!AH140</f>
        <v>08818779235</v>
      </c>
      <c r="M251" s="34" t="str">
        <f>'BIO DATA'!AJ140</f>
        <v>Sebti Wulandari</v>
      </c>
      <c r="N251" s="125">
        <f>'BIO DATA'!AO140</f>
        <v>0</v>
      </c>
      <c r="O251" s="34" t="str">
        <f>'BIO DATA'!AF140</f>
        <v>PNS</v>
      </c>
      <c r="P251" s="34" t="str">
        <f>'BIO DATA'!AM140</f>
        <v>Guru</v>
      </c>
      <c r="Q251" s="159" t="str">
        <f>'BIO DATA'!I140</f>
        <v>MTs-25
120006470</v>
      </c>
    </row>
    <row r="252" spans="2:17" s="38" customFormat="1" ht="40.5" customHeight="1">
      <c r="B252" s="32">
        <v>17</v>
      </c>
      <c r="C252" s="33">
        <f>'BIO DATA'!D141</f>
        <v>11344</v>
      </c>
      <c r="D252" s="138" t="str">
        <f>'BIO DATA'!E141</f>
        <v>0107097919</v>
      </c>
      <c r="E252" s="34" t="str">
        <f>'BIO DATA'!F141</f>
        <v>Halid Tsaqib Fawwas F.</v>
      </c>
      <c r="F252" s="35" t="str">
        <f>'BIO DATA'!Z141</f>
        <v>MTs. Mu'allimin Muh. Yogyakarta</v>
      </c>
      <c r="G252" s="68">
        <f>'BIO DATA'!J141</f>
        <v>7</v>
      </c>
      <c r="H252" s="34" t="str">
        <f>'BIO DATA'!N141</f>
        <v>Yogyakarta</v>
      </c>
      <c r="I252" s="120" t="str">
        <f>'BIO DATA'!Q141</f>
        <v>25 Januari 2010</v>
      </c>
      <c r="J252" s="34" t="str">
        <f>'BIO DATA'!T141</f>
        <v>Jln. Suronatan 51-53, Suronatan, Notoprajan, Ngampilan Yogyakarta, DI Yogyakarta, 55262</v>
      </c>
      <c r="K252" s="34" t="str">
        <f>'BIO DATA'!AC141</f>
        <v>Sumarwoko</v>
      </c>
      <c r="L252" s="123" t="str">
        <f>'BIO DATA'!AH141</f>
        <v>085643300743</v>
      </c>
      <c r="M252" s="34" t="str">
        <f>'BIO DATA'!AJ141</f>
        <v>Sri Purwaningsih</v>
      </c>
      <c r="N252" s="125">
        <f>'BIO DATA'!AO141</f>
        <v>0</v>
      </c>
      <c r="O252" s="34" t="str">
        <f>'BIO DATA'!AF141</f>
        <v>Guru</v>
      </c>
      <c r="P252" s="34" t="str">
        <f>'BIO DATA'!AM141</f>
        <v>Ibu Rumah Tangga</v>
      </c>
      <c r="Q252" s="159" t="str">
        <f>'BIO DATA'!I141</f>
        <v>MTs-25
120006498</v>
      </c>
    </row>
    <row r="253" spans="2:17" s="38" customFormat="1" ht="38.25">
      <c r="B253" s="32">
        <v>18</v>
      </c>
      <c r="C253" s="33">
        <f>'BIO DATA'!D142</f>
        <v>11358</v>
      </c>
      <c r="D253" s="138" t="str">
        <f>'BIO DATA'!E142</f>
        <v>0094476302</v>
      </c>
      <c r="E253" s="34" t="str">
        <f>'BIO DATA'!F142</f>
        <v>Jesen Mahardika</v>
      </c>
      <c r="F253" s="35" t="str">
        <f>'BIO DATA'!Z142</f>
        <v>MTs. Mu'allimin Muh. Yogyakarta</v>
      </c>
      <c r="G253" s="68">
        <f>'BIO DATA'!J142</f>
        <v>1</v>
      </c>
      <c r="H253" s="34" t="str">
        <f>'BIO DATA'!N142</f>
        <v>Wonosobo</v>
      </c>
      <c r="I253" s="120" t="str">
        <f>'BIO DATA'!Q142</f>
        <v>31 Oktober 2009</v>
      </c>
      <c r="J253" s="34" t="str">
        <f>'BIO DATA'!T142</f>
        <v>Jl. Telaga Warna RT 4 RW 1 Dieng Wetan Kejajar Wonosobo, Jawa Tengah, 56354</v>
      </c>
      <c r="K253" s="34" t="str">
        <f>'BIO DATA'!AC142</f>
        <v>Slamet waluyo</v>
      </c>
      <c r="L253" s="123" t="str">
        <f>'BIO DATA'!AH142</f>
        <v>081328769882</v>
      </c>
      <c r="M253" s="34" t="str">
        <f>'BIO DATA'!AJ142</f>
        <v>Marfina</v>
      </c>
      <c r="N253" s="125" t="str">
        <f>'BIO DATA'!AO142</f>
        <v>085800637846</v>
      </c>
      <c r="O253" s="34" t="str">
        <f>'BIO DATA'!AF142</f>
        <v>Petani</v>
      </c>
      <c r="P253" s="34">
        <f>'BIO DATA'!AM142</f>
        <v>0</v>
      </c>
      <c r="Q253" s="159" t="str">
        <f>'BIO DATA'!I142</f>
        <v>MTs-25
120006419</v>
      </c>
    </row>
    <row r="254" spans="2:17" s="38" customFormat="1" ht="12.75"/>
    <row r="255" spans="2:17" s="38" customFormat="1" ht="19.5" customHeight="1">
      <c r="B255" s="60"/>
      <c r="C255" s="60"/>
      <c r="D255" s="60"/>
      <c r="E255" s="60"/>
      <c r="F255" s="60"/>
      <c r="G255" s="67"/>
      <c r="H255" s="60"/>
      <c r="I255" s="60"/>
      <c r="J255" s="60"/>
      <c r="K255" s="60"/>
      <c r="L255" s="60"/>
      <c r="M255" s="60" t="s">
        <v>3294</v>
      </c>
      <c r="N255" s="60"/>
      <c r="O255" s="60"/>
      <c r="P255" s="60"/>
      <c r="Q255" s="60"/>
    </row>
    <row r="256" spans="2:17" s="22" customFormat="1" ht="15">
      <c r="B256" s="276" t="s">
        <v>0</v>
      </c>
      <c r="C256" s="274" t="s">
        <v>134</v>
      </c>
      <c r="D256" s="280" t="s">
        <v>2</v>
      </c>
      <c r="E256" s="276" t="s">
        <v>3</v>
      </c>
      <c r="F256" s="276" t="s">
        <v>8</v>
      </c>
      <c r="G256" s="276" t="s">
        <v>135</v>
      </c>
      <c r="H256" s="278" t="s">
        <v>136</v>
      </c>
      <c r="I256" s="279"/>
      <c r="J256" s="276" t="s">
        <v>6</v>
      </c>
      <c r="K256" s="283" t="s">
        <v>137</v>
      </c>
      <c r="L256" s="284"/>
      <c r="M256" s="284"/>
      <c r="N256" s="285"/>
      <c r="O256" s="278" t="s">
        <v>138</v>
      </c>
      <c r="P256" s="279"/>
      <c r="Q256" s="276" t="s">
        <v>159</v>
      </c>
    </row>
    <row r="257" spans="2:17" s="28" customFormat="1" ht="15.75" customHeight="1">
      <c r="B257" s="277"/>
      <c r="C257" s="275"/>
      <c r="D257" s="281"/>
      <c r="E257" s="277"/>
      <c r="F257" s="282"/>
      <c r="G257" s="277"/>
      <c r="H257" s="29" t="s">
        <v>140</v>
      </c>
      <c r="I257" s="29" t="s">
        <v>141</v>
      </c>
      <c r="J257" s="277"/>
      <c r="K257" s="29" t="s">
        <v>142</v>
      </c>
      <c r="L257" s="30" t="s">
        <v>142</v>
      </c>
      <c r="M257" s="29" t="s">
        <v>143</v>
      </c>
      <c r="N257" s="30" t="s">
        <v>144</v>
      </c>
      <c r="O257" s="29" t="s">
        <v>145</v>
      </c>
      <c r="P257" s="29" t="s">
        <v>146</v>
      </c>
      <c r="Q257" s="277"/>
    </row>
    <row r="258" spans="2:17" s="38" customFormat="1" ht="38.25">
      <c r="B258" s="32">
        <v>19</v>
      </c>
      <c r="C258" s="33">
        <f>'BIO DATA'!D143</f>
        <v>11399</v>
      </c>
      <c r="D258" s="138" t="str">
        <f>'BIO DATA'!E143</f>
        <v>0102200519</v>
      </c>
      <c r="E258" s="34" t="str">
        <f>'BIO DATA'!F143</f>
        <v>Muhammad Danish Azriel</v>
      </c>
      <c r="F258" s="35" t="str">
        <f>'BIO DATA'!Z143</f>
        <v>MTs. Mu'allimin Muh. Yogyakarta</v>
      </c>
      <c r="G258" s="68">
        <f>'BIO DATA'!J143</f>
        <v>3</v>
      </c>
      <c r="H258" s="34" t="str">
        <f>'BIO DATA'!N143</f>
        <v>Bantul</v>
      </c>
      <c r="I258" s="120" t="str">
        <f>'BIO DATA'!Q143</f>
        <v>15 Juni 2010</v>
      </c>
      <c r="J258" s="34" t="str">
        <f>'BIO DATA'!T143</f>
        <v>Kauman GM/1 262 RT 50 RW 13 Ngupasan, Gondomanan, Yogyakarta, DI Yogyakarta, 55122</v>
      </c>
      <c r="K258" s="34" t="str">
        <f>'BIO DATA'!AC143</f>
        <v>Sobirin</v>
      </c>
      <c r="L258" s="123" t="str">
        <f>'BIO DATA'!AH143</f>
        <v>081392897074</v>
      </c>
      <c r="M258" s="34" t="str">
        <f>'BIO DATA'!AJ143</f>
        <v>Emila Inayati</v>
      </c>
      <c r="N258" s="125">
        <f>'BIO DATA'!AO143</f>
        <v>0</v>
      </c>
      <c r="O258" s="34" t="str">
        <f>'BIO DATA'!AF143</f>
        <v>Dosen</v>
      </c>
      <c r="P258" s="34" t="str">
        <f>'BIO DATA'!AM143</f>
        <v>Ibu Rumah Tangga</v>
      </c>
      <c r="Q258" s="159" t="str">
        <f>'BIO DATA'!I143</f>
        <v>MTs-25
120006421</v>
      </c>
    </row>
    <row r="259" spans="2:17" s="38" customFormat="1" ht="51">
      <c r="B259" s="32">
        <v>20</v>
      </c>
      <c r="C259" s="33">
        <f>'BIO DATA'!D144</f>
        <v>11432</v>
      </c>
      <c r="D259" s="138" t="str">
        <f>'BIO DATA'!E144</f>
        <v>3103094493</v>
      </c>
      <c r="E259" s="34" t="str">
        <f>'BIO DATA'!F144</f>
        <v>Muhammad Luthfi Hakim</v>
      </c>
      <c r="F259" s="35" t="str">
        <f>'BIO DATA'!Z144</f>
        <v>MTs. Mu'allimin Muh. Yogyakarta</v>
      </c>
      <c r="G259" s="68">
        <f>'BIO DATA'!J144</f>
        <v>1</v>
      </c>
      <c r="H259" s="34" t="str">
        <f>'BIO DATA'!N144</f>
        <v>Semarang</v>
      </c>
      <c r="I259" s="120" t="str">
        <f>'BIO DATA'!Q144</f>
        <v>11 April 2010</v>
      </c>
      <c r="J259" s="34" t="str">
        <f>'BIO DATA'!T144</f>
        <v>Perum Beringin Lestrasi Jl. Bukit Beringin Asri III No. 388 RT.03 / RW. 07 Kec. Ngaliyan Kota Semarang, Jawa Tengah, 50187</v>
      </c>
      <c r="K259" s="34" t="str">
        <f>'BIO DATA'!AC144</f>
        <v>Bimin</v>
      </c>
      <c r="L259" s="123" t="str">
        <f>'BIO DATA'!AH144</f>
        <v>081326529138</v>
      </c>
      <c r="M259" s="34" t="str">
        <f>'BIO DATA'!AJ144</f>
        <v>Ike Dwi Hastuti</v>
      </c>
      <c r="N259" s="125">
        <f>'BIO DATA'!AO144</f>
        <v>0</v>
      </c>
      <c r="O259" s="34" t="str">
        <f>'BIO DATA'!AF144</f>
        <v>Lainnya</v>
      </c>
      <c r="P259" s="34" t="str">
        <f>'BIO DATA'!AM144</f>
        <v>PNS</v>
      </c>
      <c r="Q259" s="159" t="str">
        <f>'BIO DATA'!I144</f>
        <v>MTs-25
120006481</v>
      </c>
    </row>
    <row r="260" spans="2:17" s="38" customFormat="1" ht="25.5">
      <c r="B260" s="32">
        <v>21</v>
      </c>
      <c r="C260" s="33">
        <f>'BIO DATA'!D145</f>
        <v>11434</v>
      </c>
      <c r="D260" s="138" t="str">
        <f>'BIO DATA'!E145</f>
        <v>3106391810</v>
      </c>
      <c r="E260" s="34" t="str">
        <f>'BIO DATA'!F145</f>
        <v>Muhammad Malik Annafi</v>
      </c>
      <c r="F260" s="35" t="str">
        <f>'BIO DATA'!Z145</f>
        <v>MTs. Mu'allimin Muh. Yogyakarta</v>
      </c>
      <c r="G260" s="68">
        <f>'BIO DATA'!J145</f>
        <v>1</v>
      </c>
      <c r="H260" s="34" t="str">
        <f>'BIO DATA'!N145</f>
        <v>Klaten</v>
      </c>
      <c r="I260" s="120" t="str">
        <f>'BIO DATA'!Q145</f>
        <v>22 Juli 2010</v>
      </c>
      <c r="J260" s="34" t="str">
        <f>'BIO DATA'!T145</f>
        <v>Gumantar, Tanjung RT/RW 001/003, Juwiring, Klaten, Jawa Tengah, 57472</v>
      </c>
      <c r="K260" s="34" t="str">
        <f>'BIO DATA'!AC145</f>
        <v>Mukramin Muhidin Zain</v>
      </c>
      <c r="L260" s="123">
        <f>'BIO DATA'!AH145</f>
        <v>0</v>
      </c>
      <c r="M260" s="34" t="str">
        <f>'BIO DATA'!AJ145</f>
        <v>Sittatun Hidayati</v>
      </c>
      <c r="N260" s="125" t="str">
        <f>'BIO DATA'!AO145</f>
        <v>085947294996</v>
      </c>
      <c r="O260" s="34">
        <f>'BIO DATA'!AF145</f>
        <v>0</v>
      </c>
      <c r="P260" s="34" t="str">
        <f>'BIO DATA'!AM145</f>
        <v>Ibu Rumah Tangga</v>
      </c>
      <c r="Q260" s="159" t="str">
        <f>'BIO DATA'!I145</f>
        <v>MTs-25
120006423</v>
      </c>
    </row>
    <row r="261" spans="2:17" s="38" customFormat="1" ht="51">
      <c r="B261" s="32">
        <v>22</v>
      </c>
      <c r="C261" s="33">
        <f>'BIO DATA'!D146</f>
        <v>11452</v>
      </c>
      <c r="D261" s="138" t="str">
        <f>'BIO DATA'!E146</f>
        <v>0096346077</v>
      </c>
      <c r="E261" s="34" t="str">
        <f>'BIO DATA'!F146</f>
        <v>Muhammad Ryanza Ramadhan</v>
      </c>
      <c r="F261" s="35" t="str">
        <f>'BIO DATA'!Z146</f>
        <v>MTs. Mu'allimin Muh. Yogyakarta</v>
      </c>
      <c r="G261" s="68">
        <f>'BIO DATA'!J146</f>
        <v>2</v>
      </c>
      <c r="H261" s="34" t="str">
        <f>'BIO DATA'!N146</f>
        <v>Palembang</v>
      </c>
      <c r="I261" s="120" t="str">
        <f>'BIO DATA'!Q146</f>
        <v>14 September 2009</v>
      </c>
      <c r="J261" s="34" t="str">
        <f>'BIO DATA'!T146</f>
        <v>Jl. Kancil Putih 7 blok B1 RT.46 RW.10 Kel. Demang Lebar Daun Kec. Ilir Barat 1kota Palembang, Sumatera Selatan, 30137</v>
      </c>
      <c r="K261" s="34" t="str">
        <f>'BIO DATA'!AC146</f>
        <v>Mukhrizal</v>
      </c>
      <c r="L261" s="123" t="str">
        <f>'BIO DATA'!AH146</f>
        <v>08127819170</v>
      </c>
      <c r="M261" s="34" t="str">
        <f>'BIO DATA'!AJ146</f>
        <v>Arsiyanti</v>
      </c>
      <c r="N261" s="125">
        <f>'BIO DATA'!AO146</f>
        <v>0</v>
      </c>
      <c r="O261" s="34" t="str">
        <f>'BIO DATA'!AF146</f>
        <v>Lainnya</v>
      </c>
      <c r="P261" s="34" t="str">
        <f>'BIO DATA'!AM146</f>
        <v>Karyawan Swasta</v>
      </c>
      <c r="Q261" s="159" t="str">
        <f>'BIO DATA'!I146</f>
        <v>MTs-25
120006484</v>
      </c>
    </row>
    <row r="262" spans="2:17" s="38" customFormat="1" ht="51">
      <c r="B262" s="32">
        <v>23</v>
      </c>
      <c r="C262" s="33">
        <f>'BIO DATA'!D147</f>
        <v>11469</v>
      </c>
      <c r="D262" s="138" t="str">
        <f>'BIO DATA'!E147</f>
        <v>0102472576</v>
      </c>
      <c r="E262" s="34" t="str">
        <f>'BIO DATA'!F147</f>
        <v>Navid Adya Al-farisy</v>
      </c>
      <c r="F262" s="35" t="str">
        <f>'BIO DATA'!Z147</f>
        <v>MTs. Mu'allimin Muh. Yogyakarta</v>
      </c>
      <c r="G262" s="68">
        <f>'BIO DATA'!J147</f>
        <v>1</v>
      </c>
      <c r="H262" s="34" t="str">
        <f>'BIO DATA'!N147</f>
        <v>Kasongan</v>
      </c>
      <c r="I262" s="120" t="str">
        <f>'BIO DATA'!Q147</f>
        <v>11 Februari 2010</v>
      </c>
      <c r="J262" s="34" t="str">
        <f>'BIO DATA'!T147</f>
        <v>Jl. Soekarno hatta No. 16 - Kereng Humbang RT. 16 RW. 00 Kasongan Lama Katingan Hilir Kab. Katingan , Kalimantan Tengah, 74411</v>
      </c>
      <c r="K262" s="34" t="str">
        <f>'BIO DATA'!AC147</f>
        <v>Rudi, S.Sos.</v>
      </c>
      <c r="L262" s="123" t="str">
        <f>'BIO DATA'!AH147</f>
        <v>081251050025</v>
      </c>
      <c r="M262" s="34" t="str">
        <f>'BIO DATA'!AJ147</f>
        <v>Nurhidayah</v>
      </c>
      <c r="N262" s="125">
        <f>'BIO DATA'!AO147</f>
        <v>0</v>
      </c>
      <c r="O262" s="34" t="str">
        <f>'BIO DATA'!AF147</f>
        <v>PNS</v>
      </c>
      <c r="P262" s="34" t="str">
        <f>'BIO DATA'!AM147</f>
        <v>PNS</v>
      </c>
      <c r="Q262" s="159" t="str">
        <f>'BIO DATA'!I147</f>
        <v>MTs-25
120006486</v>
      </c>
    </row>
    <row r="263" spans="2:17" s="38" customFormat="1" ht="12.75">
      <c r="B263" s="39"/>
      <c r="C263" s="40"/>
      <c r="D263" s="107"/>
      <c r="E263" s="41"/>
      <c r="F263" s="37"/>
      <c r="G263" s="108"/>
      <c r="H263" s="41"/>
      <c r="I263" s="121"/>
      <c r="J263" s="41"/>
      <c r="K263" s="41"/>
      <c r="L263" s="43"/>
      <c r="M263" s="41"/>
      <c r="N263" s="122"/>
      <c r="O263" s="41"/>
      <c r="P263" s="41"/>
      <c r="Q263" s="122"/>
    </row>
    <row r="264" spans="2:17" s="38" customFormat="1" ht="12.75">
      <c r="B264" s="39"/>
      <c r="C264" s="40"/>
      <c r="D264" s="107"/>
      <c r="E264" s="41"/>
      <c r="F264" s="37"/>
      <c r="G264" s="108"/>
      <c r="H264" s="41"/>
      <c r="I264" s="121"/>
      <c r="J264" s="41"/>
      <c r="K264" s="41"/>
      <c r="L264" s="43"/>
      <c r="M264" s="41"/>
      <c r="N264" s="122"/>
      <c r="O264" s="41"/>
      <c r="P264" s="41"/>
      <c r="Q264" s="122"/>
    </row>
    <row r="265" spans="2:17" s="38" customFormat="1" ht="12.75">
      <c r="B265" s="39"/>
      <c r="C265" s="40"/>
      <c r="D265" s="107"/>
      <c r="E265" s="41"/>
      <c r="F265" s="37"/>
      <c r="G265" s="108"/>
      <c r="H265" s="41"/>
      <c r="I265" s="121"/>
      <c r="J265" s="41"/>
      <c r="K265" s="41"/>
      <c r="L265" s="43"/>
      <c r="M265" s="41"/>
      <c r="N265" s="122"/>
      <c r="O265" s="41"/>
      <c r="P265" s="41"/>
      <c r="Q265" s="122"/>
    </row>
    <row r="266" spans="2:17" s="38" customFormat="1" ht="12.75">
      <c r="B266" s="39"/>
      <c r="C266" s="40"/>
      <c r="D266" s="107"/>
      <c r="E266" s="41"/>
      <c r="F266" s="37"/>
      <c r="G266" s="108"/>
      <c r="H266" s="41"/>
      <c r="I266" s="121"/>
      <c r="J266" s="41"/>
      <c r="K266" s="41"/>
      <c r="L266" s="43"/>
      <c r="M266" s="41"/>
      <c r="N266" s="122"/>
      <c r="O266" s="41"/>
      <c r="P266" s="41"/>
      <c r="Q266" s="122"/>
    </row>
    <row r="267" spans="2:17" s="38" customFormat="1" ht="12.75">
      <c r="B267" s="39"/>
      <c r="C267" s="40"/>
      <c r="D267" s="107"/>
      <c r="E267" s="41"/>
      <c r="F267" s="37"/>
      <c r="G267" s="108"/>
      <c r="H267" s="41"/>
      <c r="I267" s="121"/>
      <c r="J267" s="41"/>
      <c r="K267" s="41"/>
      <c r="L267" s="43"/>
      <c r="M267" s="41"/>
      <c r="N267" s="122"/>
      <c r="O267" s="41"/>
      <c r="P267" s="41"/>
      <c r="Q267" s="122"/>
    </row>
    <row r="268" spans="2:17" s="38" customFormat="1" ht="12.75">
      <c r="B268" s="39"/>
      <c r="C268" s="40"/>
      <c r="D268" s="107"/>
      <c r="E268" s="41"/>
      <c r="F268" s="37"/>
      <c r="G268" s="108"/>
      <c r="H268" s="41"/>
      <c r="I268" s="121"/>
      <c r="J268" s="41"/>
      <c r="K268" s="41"/>
      <c r="L268" s="43"/>
      <c r="M268" s="41"/>
      <c r="N268" s="122"/>
      <c r="O268" s="41"/>
      <c r="P268" s="41"/>
      <c r="Q268" s="122"/>
    </row>
    <row r="269" spans="2:17" s="38" customFormat="1" ht="12.75">
      <c r="B269" s="39"/>
      <c r="C269" s="40"/>
      <c r="D269" s="107"/>
      <c r="E269" s="41"/>
      <c r="F269" s="37"/>
      <c r="G269" s="108"/>
      <c r="H269" s="41"/>
      <c r="I269" s="121"/>
      <c r="J269" s="41"/>
      <c r="K269" s="41"/>
      <c r="L269" s="43"/>
      <c r="M269" s="41"/>
      <c r="N269" s="122"/>
      <c r="O269" s="41"/>
      <c r="P269" s="41"/>
      <c r="Q269" s="122"/>
    </row>
    <row r="270" spans="2:17" s="38" customFormat="1" ht="12.75">
      <c r="B270" s="39"/>
      <c r="C270" s="40"/>
      <c r="D270" s="107"/>
      <c r="E270" s="41"/>
      <c r="F270" s="37"/>
      <c r="G270" s="108"/>
      <c r="H270" s="41"/>
      <c r="I270" s="121"/>
      <c r="J270" s="41"/>
      <c r="K270" s="41"/>
      <c r="L270" s="43"/>
      <c r="M270" s="41"/>
      <c r="N270" s="122"/>
      <c r="O270" s="41"/>
      <c r="P270" s="41"/>
      <c r="Q270" s="122"/>
    </row>
    <row r="271" spans="2:17" s="38" customFormat="1" ht="12.75">
      <c r="B271" s="39"/>
      <c r="C271" s="40"/>
      <c r="D271" s="107"/>
      <c r="E271" s="41"/>
      <c r="F271" s="37"/>
      <c r="G271" s="108"/>
      <c r="H271" s="41"/>
      <c r="I271" s="121"/>
      <c r="J271" s="41"/>
      <c r="K271" s="41"/>
      <c r="L271" s="43"/>
      <c r="M271" s="41"/>
      <c r="N271" s="122"/>
      <c r="O271" s="41"/>
      <c r="P271" s="41"/>
      <c r="Q271" s="122"/>
    </row>
    <row r="272" spans="2:17" s="38" customFormat="1" ht="12.75">
      <c r="B272" s="39"/>
      <c r="C272" s="40"/>
      <c r="D272" s="107"/>
      <c r="E272" s="41"/>
      <c r="F272" s="37"/>
      <c r="G272" s="108"/>
      <c r="H272" s="41"/>
      <c r="I272" s="121"/>
      <c r="J272" s="41"/>
      <c r="K272" s="41"/>
      <c r="L272" s="43"/>
      <c r="M272" s="41"/>
      <c r="N272" s="122"/>
      <c r="O272" s="41"/>
      <c r="P272" s="41"/>
      <c r="Q272" s="122"/>
    </row>
    <row r="273" spans="2:17" s="38" customFormat="1" ht="12.75">
      <c r="B273" s="39"/>
      <c r="C273" s="40"/>
      <c r="D273" s="107"/>
      <c r="E273" s="41"/>
      <c r="F273" s="37"/>
      <c r="G273" s="108"/>
      <c r="H273" s="41"/>
      <c r="I273" s="121"/>
      <c r="J273" s="41"/>
      <c r="K273" s="41"/>
      <c r="L273" s="43"/>
      <c r="M273" s="41"/>
      <c r="N273" s="122"/>
      <c r="O273" s="41"/>
      <c r="P273" s="41"/>
      <c r="Q273" s="122"/>
    </row>
    <row r="274" spans="2:17" s="38" customFormat="1" ht="12.75">
      <c r="B274" s="39"/>
      <c r="C274" s="40"/>
      <c r="D274" s="107"/>
      <c r="E274" s="41"/>
      <c r="F274" s="37"/>
      <c r="G274" s="108"/>
      <c r="H274" s="41"/>
      <c r="I274" s="121"/>
      <c r="J274" s="41"/>
      <c r="K274" s="41"/>
      <c r="L274" s="43"/>
      <c r="M274" s="41"/>
      <c r="N274" s="122"/>
      <c r="O274" s="41"/>
      <c r="P274" s="41"/>
      <c r="Q274" s="122"/>
    </row>
    <row r="275" spans="2:17" s="38" customFormat="1" ht="12.75">
      <c r="B275" s="39"/>
      <c r="C275" s="40"/>
      <c r="D275" s="107"/>
      <c r="E275" s="41"/>
      <c r="F275" s="37"/>
      <c r="G275" s="108"/>
      <c r="H275" s="41"/>
      <c r="I275" s="121"/>
      <c r="J275" s="41"/>
      <c r="K275" s="41"/>
      <c r="L275" s="43"/>
      <c r="M275" s="41"/>
      <c r="N275" s="122"/>
      <c r="O275" s="41"/>
      <c r="P275" s="41"/>
      <c r="Q275" s="122"/>
    </row>
    <row r="276" spans="2:17" s="38" customFormat="1" ht="12.75">
      <c r="B276" s="39"/>
      <c r="C276" s="40"/>
      <c r="D276" s="107"/>
      <c r="E276" s="41"/>
      <c r="F276" s="37"/>
      <c r="G276" s="108"/>
      <c r="H276" s="41"/>
      <c r="I276" s="121"/>
      <c r="J276" s="41"/>
      <c r="K276" s="41"/>
      <c r="L276" s="43"/>
      <c r="M276" s="41"/>
      <c r="N276" s="122"/>
      <c r="O276" s="41"/>
      <c r="P276" s="41"/>
      <c r="Q276" s="122"/>
    </row>
    <row r="277" spans="2:17" s="38" customFormat="1" ht="12.75">
      <c r="B277" s="39"/>
      <c r="C277" s="40"/>
      <c r="D277" s="107"/>
      <c r="E277" s="41"/>
      <c r="F277" s="37"/>
      <c r="G277" s="108"/>
      <c r="H277" s="41"/>
      <c r="I277" s="121"/>
      <c r="J277" s="41"/>
      <c r="K277" s="41"/>
      <c r="L277" s="43"/>
      <c r="M277" s="41"/>
      <c r="N277" s="122"/>
      <c r="O277" s="41"/>
      <c r="P277" s="41"/>
      <c r="Q277" s="122"/>
    </row>
    <row r="278" spans="2:17" s="38" customFormat="1" ht="12.75">
      <c r="B278" s="39"/>
      <c r="C278" s="40"/>
      <c r="D278" s="107"/>
      <c r="E278" s="41"/>
      <c r="F278" s="37"/>
      <c r="G278" s="108"/>
      <c r="H278" s="41"/>
      <c r="I278" s="121"/>
      <c r="J278" s="41"/>
      <c r="K278" s="41"/>
      <c r="L278" s="43"/>
      <c r="M278" s="41"/>
      <c r="N278" s="122"/>
      <c r="O278" s="41"/>
      <c r="P278" s="41"/>
      <c r="Q278" s="122"/>
    </row>
    <row r="279" spans="2:17" s="38" customFormat="1" ht="12.75">
      <c r="B279" s="39"/>
      <c r="C279" s="40"/>
      <c r="D279" s="107"/>
      <c r="E279" s="41"/>
      <c r="F279" s="37"/>
      <c r="G279" s="108"/>
      <c r="H279" s="41"/>
      <c r="I279" s="121"/>
      <c r="J279" s="41"/>
      <c r="K279" s="41"/>
      <c r="L279" s="43"/>
      <c r="M279" s="41"/>
      <c r="N279" s="122"/>
      <c r="O279" s="41"/>
      <c r="P279" s="41"/>
      <c r="Q279" s="122"/>
    </row>
    <row r="280" spans="2:17" s="38" customFormat="1" ht="12.75">
      <c r="B280" s="39"/>
      <c r="C280" s="40"/>
      <c r="D280" s="107"/>
      <c r="E280" s="41"/>
      <c r="F280" s="37"/>
      <c r="G280" s="108"/>
      <c r="H280" s="41"/>
      <c r="I280" s="121"/>
      <c r="J280" s="41"/>
      <c r="K280" s="41"/>
      <c r="L280" s="43"/>
      <c r="M280" s="41"/>
      <c r="N280" s="122"/>
      <c r="O280" s="41"/>
      <c r="P280" s="41"/>
      <c r="Q280" s="122"/>
    </row>
    <row r="281" spans="2:17" s="38" customFormat="1" ht="12.75">
      <c r="B281" s="39"/>
      <c r="C281" s="40"/>
      <c r="D281" s="107"/>
      <c r="E281" s="41"/>
      <c r="F281" s="37"/>
      <c r="G281" s="108"/>
      <c r="H281" s="41"/>
      <c r="I281" s="121"/>
      <c r="J281" s="41"/>
      <c r="K281" s="41"/>
      <c r="L281" s="43"/>
      <c r="M281" s="41"/>
      <c r="N281" s="122"/>
      <c r="O281" s="41"/>
      <c r="P281" s="41"/>
      <c r="Q281" s="122"/>
    </row>
    <row r="282" spans="2:17" s="38" customFormat="1" ht="12.75">
      <c r="B282" s="39"/>
      <c r="C282" s="40"/>
      <c r="D282" s="107"/>
      <c r="E282" s="41"/>
      <c r="F282" s="37"/>
      <c r="G282" s="108"/>
      <c r="H282" s="41"/>
      <c r="I282" s="121"/>
      <c r="J282" s="41"/>
      <c r="K282" s="41"/>
      <c r="L282" s="43"/>
      <c r="M282" s="41"/>
      <c r="N282" s="122"/>
      <c r="O282" s="41"/>
      <c r="P282" s="41"/>
      <c r="Q282" s="122"/>
    </row>
    <row r="283" spans="2:17" s="38" customFormat="1" ht="12.75">
      <c r="B283" s="39"/>
      <c r="C283" s="40"/>
      <c r="D283" s="107"/>
      <c r="E283" s="41"/>
      <c r="F283" s="37"/>
      <c r="G283" s="108"/>
      <c r="H283" s="41"/>
      <c r="I283" s="121"/>
      <c r="J283" s="41"/>
      <c r="K283" s="41"/>
      <c r="L283" s="43"/>
      <c r="M283" s="41"/>
      <c r="N283" s="122"/>
      <c r="O283" s="41"/>
      <c r="P283" s="41"/>
      <c r="Q283" s="122"/>
    </row>
    <row r="284" spans="2:17" s="38" customFormat="1" ht="12.75">
      <c r="B284" s="39"/>
      <c r="C284" s="40"/>
      <c r="D284" s="107"/>
      <c r="E284" s="41"/>
      <c r="F284" s="37"/>
      <c r="G284" s="108"/>
      <c r="H284" s="41"/>
      <c r="I284" s="121"/>
      <c r="J284" s="41"/>
      <c r="K284" s="41"/>
      <c r="L284" s="43"/>
      <c r="M284" s="41"/>
      <c r="N284" s="122"/>
      <c r="O284" s="41"/>
      <c r="P284" s="41"/>
      <c r="Q284" s="122"/>
    </row>
    <row r="285" spans="2:17" s="38" customFormat="1" ht="12.75">
      <c r="B285" s="39"/>
      <c r="C285" s="40"/>
      <c r="D285" s="107"/>
      <c r="E285" s="41"/>
      <c r="F285" s="37"/>
      <c r="G285" s="108"/>
      <c r="H285" s="41"/>
      <c r="I285" s="121"/>
      <c r="J285" s="41"/>
      <c r="K285" s="41"/>
      <c r="L285" s="43"/>
      <c r="M285" s="41"/>
      <c r="N285" s="122"/>
      <c r="O285" s="41"/>
      <c r="P285" s="41"/>
      <c r="Q285" s="122"/>
    </row>
    <row r="286" spans="2:17" s="38" customFormat="1" ht="12.75">
      <c r="B286" s="39"/>
      <c r="C286" s="40"/>
      <c r="D286" s="107"/>
      <c r="E286" s="41"/>
      <c r="F286" s="37"/>
      <c r="G286" s="108"/>
      <c r="H286" s="41"/>
      <c r="I286" s="121"/>
      <c r="J286" s="41"/>
      <c r="K286" s="41"/>
      <c r="L286" s="43"/>
      <c r="M286" s="41"/>
      <c r="N286" s="122"/>
      <c r="O286" s="41"/>
      <c r="P286" s="41"/>
      <c r="Q286" s="122"/>
    </row>
    <row r="287" spans="2:17" s="38" customFormat="1" ht="12.75">
      <c r="B287" s="39"/>
      <c r="C287" s="40"/>
      <c r="D287" s="107"/>
      <c r="E287" s="41"/>
      <c r="F287" s="37"/>
      <c r="G287" s="108"/>
      <c r="H287" s="41"/>
      <c r="I287" s="121"/>
      <c r="J287" s="41"/>
      <c r="K287" s="41"/>
      <c r="L287" s="43"/>
      <c r="M287" s="41"/>
      <c r="N287" s="122"/>
      <c r="O287" s="41"/>
      <c r="P287" s="41"/>
      <c r="Q287" s="122"/>
    </row>
    <row r="288" spans="2:17" s="38" customFormat="1" ht="12.75">
      <c r="B288" s="39"/>
      <c r="C288" s="40"/>
      <c r="D288" s="107"/>
      <c r="E288" s="41"/>
      <c r="F288" s="37"/>
      <c r="G288" s="108"/>
      <c r="H288" s="41"/>
      <c r="I288" s="121"/>
      <c r="J288" s="41"/>
      <c r="K288" s="41"/>
      <c r="L288" s="43"/>
      <c r="M288" s="41"/>
      <c r="N288" s="122"/>
      <c r="O288" s="41"/>
      <c r="P288" s="41"/>
      <c r="Q288" s="122"/>
    </row>
    <row r="289" spans="2:17" s="38" customFormat="1" ht="12.75">
      <c r="B289" s="39"/>
      <c r="C289" s="40"/>
      <c r="D289" s="107"/>
      <c r="E289" s="41"/>
      <c r="F289" s="37"/>
      <c r="G289" s="108"/>
      <c r="H289" s="41"/>
      <c r="I289" s="121"/>
      <c r="J289" s="41"/>
      <c r="K289" s="41"/>
      <c r="L289" s="43"/>
      <c r="M289" s="41"/>
      <c r="N289" s="122"/>
      <c r="O289" s="41"/>
      <c r="P289" s="41"/>
      <c r="Q289" s="122"/>
    </row>
    <row r="290" spans="2:17" s="38" customFormat="1" ht="12.75">
      <c r="B290" s="39"/>
      <c r="C290" s="40"/>
      <c r="D290" s="107"/>
      <c r="E290" s="41"/>
      <c r="F290" s="37"/>
      <c r="G290" s="108"/>
      <c r="H290" s="41"/>
      <c r="I290" s="121"/>
      <c r="J290" s="41"/>
      <c r="K290" s="41"/>
      <c r="L290" s="43"/>
      <c r="M290" s="41"/>
      <c r="N290" s="122"/>
      <c r="O290" s="41"/>
      <c r="P290" s="41"/>
      <c r="Q290" s="122"/>
    </row>
    <row r="291" spans="2:17" s="38" customFormat="1" ht="12.75">
      <c r="B291" s="39"/>
      <c r="C291" s="40"/>
      <c r="D291" s="107"/>
      <c r="E291" s="41"/>
      <c r="F291" s="37"/>
      <c r="G291" s="108"/>
      <c r="H291" s="41"/>
      <c r="I291" s="121"/>
      <c r="J291" s="41"/>
      <c r="K291" s="41"/>
      <c r="L291" s="43"/>
      <c r="M291" s="41"/>
      <c r="N291" s="122"/>
      <c r="O291" s="41"/>
      <c r="P291" s="41"/>
      <c r="Q291" s="122"/>
    </row>
    <row r="292" spans="2:17" s="38" customFormat="1" ht="12.75">
      <c r="B292" s="39"/>
      <c r="C292" s="40"/>
      <c r="D292" s="107"/>
      <c r="E292" s="41"/>
      <c r="F292" s="37"/>
      <c r="G292" s="108"/>
      <c r="H292" s="41"/>
      <c r="I292" s="121"/>
      <c r="J292" s="41"/>
      <c r="K292" s="41"/>
      <c r="L292" s="43"/>
      <c r="M292" s="41"/>
      <c r="N292" s="122"/>
      <c r="O292" s="41"/>
      <c r="P292" s="41"/>
      <c r="Q292" s="122"/>
    </row>
    <row r="293" spans="2:17" s="38" customFormat="1" ht="12.75">
      <c r="B293" s="39"/>
      <c r="C293" s="40"/>
      <c r="D293" s="107"/>
      <c r="E293" s="41"/>
      <c r="F293" s="37"/>
      <c r="G293" s="108"/>
      <c r="H293" s="41"/>
      <c r="I293" s="121"/>
      <c r="J293" s="41"/>
      <c r="K293" s="41"/>
      <c r="L293" s="43"/>
      <c r="M293" s="41"/>
      <c r="N293" s="122"/>
      <c r="O293" s="41"/>
      <c r="P293" s="41"/>
      <c r="Q293" s="122"/>
    </row>
    <row r="294" spans="2:17" s="38" customFormat="1" ht="12.75">
      <c r="B294" s="39"/>
      <c r="C294" s="40"/>
      <c r="D294" s="107"/>
      <c r="E294" s="41"/>
      <c r="F294" s="37"/>
      <c r="G294" s="108"/>
      <c r="H294" s="41"/>
      <c r="I294" s="121"/>
      <c r="J294" s="41"/>
      <c r="K294" s="41"/>
      <c r="L294" s="43"/>
      <c r="M294" s="41"/>
      <c r="N294" s="122"/>
      <c r="O294" s="41"/>
      <c r="P294" s="41"/>
      <c r="Q294" s="122"/>
    </row>
    <row r="295" spans="2:17" s="38" customFormat="1" ht="12.75">
      <c r="B295" s="39"/>
      <c r="C295" s="40"/>
      <c r="D295" s="107"/>
      <c r="E295" s="41"/>
      <c r="F295" s="37"/>
      <c r="G295" s="108"/>
      <c r="H295" s="41"/>
      <c r="I295" s="121"/>
      <c r="J295" s="41"/>
      <c r="K295" s="41"/>
      <c r="L295" s="43"/>
      <c r="M295" s="41"/>
      <c r="N295" s="122"/>
      <c r="O295" s="41"/>
      <c r="P295" s="41"/>
      <c r="Q295" s="122"/>
    </row>
    <row r="296" spans="2:17" s="38" customFormat="1" ht="12.75">
      <c r="B296" s="39"/>
      <c r="C296" s="40"/>
      <c r="D296" s="107"/>
      <c r="E296" s="41"/>
      <c r="F296" s="37"/>
      <c r="G296" s="108"/>
      <c r="H296" s="41"/>
      <c r="I296" s="121"/>
      <c r="J296" s="41"/>
      <c r="K296" s="41"/>
      <c r="L296" s="43"/>
      <c r="M296" s="41"/>
      <c r="N296" s="122"/>
      <c r="O296" s="41"/>
      <c r="P296" s="41"/>
      <c r="Q296" s="122"/>
    </row>
    <row r="297" spans="2:17" s="38" customFormat="1" ht="12.75">
      <c r="B297" s="39"/>
      <c r="C297" s="40"/>
      <c r="D297" s="107"/>
      <c r="E297" s="41"/>
      <c r="F297" s="37"/>
      <c r="G297" s="108"/>
      <c r="H297" s="41"/>
      <c r="I297" s="121"/>
      <c r="J297" s="41"/>
      <c r="K297" s="41"/>
      <c r="L297" s="43"/>
      <c r="M297" s="41"/>
      <c r="N297" s="122"/>
      <c r="O297" s="41"/>
      <c r="P297" s="41"/>
      <c r="Q297" s="122"/>
    </row>
    <row r="298" spans="2:17" s="38" customFormat="1" ht="12.75">
      <c r="B298" s="39"/>
      <c r="C298" s="40"/>
      <c r="D298" s="107"/>
      <c r="E298" s="41"/>
      <c r="F298" s="37"/>
      <c r="G298" s="108"/>
      <c r="H298" s="41"/>
      <c r="I298" s="121"/>
      <c r="J298" s="41"/>
      <c r="K298" s="41"/>
      <c r="L298" s="43"/>
      <c r="M298" s="41"/>
      <c r="N298" s="122"/>
      <c r="O298" s="41"/>
      <c r="P298" s="41"/>
      <c r="Q298" s="122"/>
    </row>
    <row r="299" spans="2:17" s="38" customFormat="1" ht="12.75">
      <c r="B299" s="39"/>
      <c r="C299" s="40"/>
      <c r="D299" s="107"/>
      <c r="E299" s="41"/>
      <c r="F299" s="37"/>
      <c r="G299" s="108"/>
      <c r="H299" s="41"/>
      <c r="I299" s="121"/>
      <c r="J299" s="41"/>
      <c r="K299" s="41"/>
      <c r="L299" s="43"/>
      <c r="M299" s="41"/>
      <c r="N299" s="122"/>
      <c r="O299" s="41"/>
      <c r="P299" s="41"/>
      <c r="Q299" s="122"/>
    </row>
    <row r="300" spans="2:17" s="38" customFormat="1" ht="12.75">
      <c r="B300" s="39"/>
      <c r="C300" s="40"/>
      <c r="D300" s="107"/>
      <c r="E300" s="41"/>
      <c r="F300" s="37"/>
      <c r="G300" s="108"/>
      <c r="H300" s="41"/>
      <c r="I300" s="121"/>
      <c r="J300" s="41"/>
      <c r="K300" s="41"/>
      <c r="L300" s="43"/>
      <c r="M300" s="41"/>
      <c r="N300" s="122"/>
      <c r="O300" s="41"/>
      <c r="P300" s="41"/>
      <c r="Q300" s="122"/>
    </row>
    <row r="301" spans="2:17" s="38" customFormat="1" ht="12.75">
      <c r="B301" s="39"/>
      <c r="C301" s="40"/>
      <c r="D301" s="107"/>
      <c r="E301" s="41"/>
      <c r="F301" s="37"/>
      <c r="G301" s="108"/>
      <c r="H301" s="41"/>
      <c r="I301" s="121"/>
      <c r="J301" s="41"/>
      <c r="K301" s="41"/>
      <c r="L301" s="43"/>
      <c r="M301" s="41"/>
      <c r="N301" s="122"/>
      <c r="O301" s="41"/>
      <c r="P301" s="41"/>
      <c r="Q301" s="122"/>
    </row>
    <row r="302" spans="2:17" s="38" customFormat="1" ht="12.75">
      <c r="B302" s="39"/>
      <c r="C302" s="40"/>
      <c r="D302" s="107"/>
      <c r="E302" s="41"/>
      <c r="F302" s="37"/>
      <c r="G302" s="108"/>
      <c r="H302" s="41"/>
      <c r="I302" s="121"/>
      <c r="J302" s="41"/>
      <c r="K302" s="41"/>
      <c r="L302" s="43"/>
      <c r="M302" s="41"/>
      <c r="N302" s="122"/>
      <c r="O302" s="41"/>
      <c r="P302" s="41"/>
      <c r="Q302" s="122"/>
    </row>
    <row r="303" spans="2:17" s="38" customFormat="1" ht="12.75">
      <c r="B303" s="39"/>
      <c r="C303" s="40"/>
      <c r="D303" s="107"/>
      <c r="E303" s="41"/>
      <c r="F303" s="37"/>
      <c r="G303" s="108"/>
      <c r="H303" s="41"/>
      <c r="I303" s="121"/>
      <c r="J303" s="41"/>
      <c r="K303" s="41"/>
      <c r="L303" s="43"/>
      <c r="M303" s="41"/>
      <c r="N303" s="122"/>
      <c r="O303" s="41"/>
      <c r="P303" s="41"/>
      <c r="Q303" s="122"/>
    </row>
    <row r="304" spans="2:17" s="22" customFormat="1" ht="18.75">
      <c r="B304" s="263" t="s">
        <v>3295</v>
      </c>
      <c r="C304" s="263"/>
      <c r="D304" s="263"/>
      <c r="E304" s="263"/>
      <c r="F304" s="263"/>
      <c r="G304" s="263"/>
      <c r="H304" s="263"/>
      <c r="I304" s="263"/>
      <c r="J304" s="263"/>
      <c r="K304" s="263"/>
      <c r="L304" s="263"/>
      <c r="M304" s="263"/>
      <c r="N304" s="263"/>
      <c r="O304" s="263"/>
      <c r="P304" s="263"/>
      <c r="Q304" s="263"/>
    </row>
    <row r="305" spans="2:19" s="22" customFormat="1" ht="18.75">
      <c r="B305" s="263" t="s">
        <v>133</v>
      </c>
      <c r="C305" s="263"/>
      <c r="D305" s="263"/>
      <c r="E305" s="263"/>
      <c r="F305" s="263"/>
      <c r="G305" s="263"/>
      <c r="H305" s="263"/>
      <c r="I305" s="263"/>
      <c r="J305" s="263"/>
      <c r="K305" s="263"/>
      <c r="L305" s="263"/>
      <c r="M305" s="263"/>
      <c r="N305" s="263"/>
      <c r="O305" s="263"/>
      <c r="P305" s="263"/>
      <c r="Q305" s="263"/>
    </row>
    <row r="306" spans="2:19" s="22" customFormat="1" ht="18.75">
      <c r="B306" s="264" t="s">
        <v>3300</v>
      </c>
      <c r="C306" s="264"/>
      <c r="D306" s="264"/>
      <c r="E306" s="264"/>
      <c r="F306" s="264"/>
      <c r="G306" s="264"/>
      <c r="H306" s="264"/>
      <c r="I306" s="264"/>
      <c r="J306" s="264"/>
      <c r="K306" s="264"/>
      <c r="L306" s="264"/>
      <c r="M306" s="264"/>
      <c r="N306" s="264"/>
      <c r="O306" s="264"/>
      <c r="P306" s="264"/>
      <c r="Q306" s="264"/>
    </row>
    <row r="307" spans="2:19" s="23" customFormat="1" ht="15.75" customHeight="1">
      <c r="B307" s="262" t="s">
        <v>0</v>
      </c>
      <c r="C307" s="265" t="s">
        <v>134</v>
      </c>
      <c r="D307" s="266" t="s">
        <v>2</v>
      </c>
      <c r="E307" s="267" t="s">
        <v>3</v>
      </c>
      <c r="F307" s="267" t="s">
        <v>8</v>
      </c>
      <c r="G307" s="262" t="s">
        <v>135</v>
      </c>
      <c r="H307" s="262" t="s">
        <v>136</v>
      </c>
      <c r="I307" s="262"/>
      <c r="J307" s="269" t="s">
        <v>6</v>
      </c>
      <c r="K307" s="268" t="s">
        <v>137</v>
      </c>
      <c r="L307" s="268"/>
      <c r="M307" s="268"/>
      <c r="N307" s="268"/>
      <c r="O307" s="270" t="s">
        <v>138</v>
      </c>
      <c r="P307" s="270"/>
      <c r="Q307" s="262" t="s">
        <v>139</v>
      </c>
    </row>
    <row r="308" spans="2:19" s="23" customFormat="1" ht="15.75" customHeight="1">
      <c r="B308" s="262"/>
      <c r="C308" s="265"/>
      <c r="D308" s="266"/>
      <c r="E308" s="267"/>
      <c r="F308" s="267"/>
      <c r="G308" s="262"/>
      <c r="H308" s="24" t="s">
        <v>140</v>
      </c>
      <c r="I308" s="24" t="s">
        <v>141</v>
      </c>
      <c r="J308" s="269"/>
      <c r="K308" s="26" t="s">
        <v>142</v>
      </c>
      <c r="L308" s="25" t="s">
        <v>142</v>
      </c>
      <c r="M308" s="26" t="s">
        <v>143</v>
      </c>
      <c r="N308" s="25" t="s">
        <v>144</v>
      </c>
      <c r="O308" s="24" t="s">
        <v>145</v>
      </c>
      <c r="P308" s="24" t="s">
        <v>146</v>
      </c>
      <c r="Q308" s="262"/>
      <c r="R308" s="7"/>
      <c r="S308" s="7"/>
    </row>
    <row r="309" spans="2:19" s="38" customFormat="1" ht="38.25">
      <c r="B309" s="32">
        <v>1</v>
      </c>
      <c r="C309" s="33">
        <f>'BIO DATA'!D148</f>
        <v>11223</v>
      </c>
      <c r="D309" s="138" t="str">
        <f>'BIO DATA'!E148</f>
        <v>101588342</v>
      </c>
      <c r="E309" s="34" t="str">
        <f>'BIO DATA'!F148</f>
        <v>Ahmad Hanafi Fauzi</v>
      </c>
      <c r="F309" s="35" t="str">
        <f>'BIO DATA'!Z148</f>
        <v>MTs. Mu'allimin Muh. Yogyakarta</v>
      </c>
      <c r="G309" s="68">
        <f>'BIO DATA'!J148</f>
        <v>2</v>
      </c>
      <c r="H309" s="34" t="str">
        <f>'BIO DATA'!N148</f>
        <v>Makassar</v>
      </c>
      <c r="I309" s="120" t="str">
        <f>'BIO DATA'!Q148</f>
        <v>30 Maret 2010</v>
      </c>
      <c r="J309" s="34" t="str">
        <f>'BIO DATA'!T148</f>
        <v>Jl. Tanjung Pattiro No.48 Sambung Jaya, Mamajang, Sulawesi Selatan 90134</v>
      </c>
      <c r="K309" s="34" t="str">
        <f>'BIO DATA'!AC148</f>
        <v>Ahmad Fauzi</v>
      </c>
      <c r="L309" s="123" t="str">
        <f>'BIO DATA'!AH148</f>
        <v>082195895525</v>
      </c>
      <c r="M309" s="34" t="str">
        <f>'BIO DATA'!AJ148</f>
        <v>Ummul Khair</v>
      </c>
      <c r="N309" s="125">
        <f>'BIO DATA'!AO148</f>
        <v>0</v>
      </c>
      <c r="O309" s="34" t="str">
        <f>'BIO DATA'!AF148</f>
        <v>PNS</v>
      </c>
      <c r="P309" s="34" t="str">
        <f>'BIO DATA'!AM148</f>
        <v>Wiraswasta</v>
      </c>
      <c r="Q309" s="159" t="str">
        <f>'BIO DATA'!I148</f>
        <v>MTs-25
120006403</v>
      </c>
    </row>
    <row r="310" spans="2:19" s="38" customFormat="1" ht="25.5">
      <c r="B310" s="32">
        <v>2</v>
      </c>
      <c r="C310" s="33">
        <f>'BIO DATA'!D149</f>
        <v>11224</v>
      </c>
      <c r="D310" s="138" t="str">
        <f>'BIO DATA'!E149</f>
        <v>0091591570</v>
      </c>
      <c r="E310" s="34" t="str">
        <f>'BIO DATA'!F149</f>
        <v>Ahmad Hanif Chadziq Mirdaz</v>
      </c>
      <c r="F310" s="35" t="str">
        <f>'BIO DATA'!Z149</f>
        <v>MTs. Mu'allimin Muh. Yogyakarta</v>
      </c>
      <c r="G310" s="68">
        <f>'BIO DATA'!J149</f>
        <v>1</v>
      </c>
      <c r="H310" s="34" t="str">
        <f>'BIO DATA'!N149</f>
        <v>Yogyakarta</v>
      </c>
      <c r="I310" s="120" t="str">
        <f>'BIO DATA'!Q149</f>
        <v>17 April 2009</v>
      </c>
      <c r="J310" s="34" t="str">
        <f>'BIO DATA'!T149</f>
        <v>Diren Pedukuhan III Pandowan Galur Kulonprogo, DI Yogyakarta</v>
      </c>
      <c r="K310" s="34" t="str">
        <f>'BIO DATA'!AC149</f>
        <v>Darmawan Widiantaka</v>
      </c>
      <c r="L310" s="123" t="str">
        <f>'BIO DATA'!AH149</f>
        <v>08170405031</v>
      </c>
      <c r="M310" s="34" t="str">
        <f>'BIO DATA'!AJ149</f>
        <v>Nur Baniyati Khomsah</v>
      </c>
      <c r="N310" s="125">
        <f>'BIO DATA'!AO149</f>
        <v>0</v>
      </c>
      <c r="O310" s="34" t="str">
        <f>'BIO DATA'!AF149</f>
        <v>Wiraswasta</v>
      </c>
      <c r="P310" s="34" t="str">
        <f>'BIO DATA'!AM149</f>
        <v>PNS</v>
      </c>
      <c r="Q310" s="159" t="str">
        <f>'BIO DATA'!I149</f>
        <v>MTs-25
120006404</v>
      </c>
    </row>
    <row r="311" spans="2:19" s="38" customFormat="1" ht="38.25">
      <c r="B311" s="32">
        <v>3</v>
      </c>
      <c r="C311" s="33">
        <f>'BIO DATA'!D150</f>
        <v>11290</v>
      </c>
      <c r="D311" s="138" t="str">
        <f>'BIO DATA'!E150</f>
        <v>0103059205</v>
      </c>
      <c r="E311" s="34" t="str">
        <f>'BIO DATA'!F150</f>
        <v>Darrel Fabiano</v>
      </c>
      <c r="F311" s="35" t="str">
        <f>'BIO DATA'!Z150</f>
        <v>MTs. Mu'allimin Muh. Yogyakarta</v>
      </c>
      <c r="G311" s="68">
        <f>'BIO DATA'!J150</f>
        <v>1</v>
      </c>
      <c r="H311" s="34" t="str">
        <f>'BIO DATA'!N150</f>
        <v>Temanggung</v>
      </c>
      <c r="I311" s="120" t="str">
        <f>'BIO DATA'!Q150</f>
        <v>27 Juni 2010</v>
      </c>
      <c r="J311" s="34" t="str">
        <f>'BIO DATA'!T150</f>
        <v>Dotakan RT.06 / RW.03 Kel. Candiroto Kec. Candiroto Kab. Temanggung, Jawa Tengah, 56257</v>
      </c>
      <c r="K311" s="34" t="str">
        <f>'BIO DATA'!AC150</f>
        <v>Sigit Purwanto</v>
      </c>
      <c r="L311" s="123" t="str">
        <f>'BIO DATA'!AH150</f>
        <v>085200396888</v>
      </c>
      <c r="M311" s="34" t="str">
        <f>'BIO DATA'!AJ150</f>
        <v>Alfianti Cahyaningrum</v>
      </c>
      <c r="N311" s="125">
        <f>'BIO DATA'!AO150</f>
        <v>0</v>
      </c>
      <c r="O311" s="34" t="str">
        <f>'BIO DATA'!AF150</f>
        <v>Wiraswasta</v>
      </c>
      <c r="P311" s="34" t="str">
        <f>'BIO DATA'!AM150</f>
        <v>Karyawan Swasta</v>
      </c>
      <c r="Q311" s="159" t="str">
        <f>'BIO DATA'!I150</f>
        <v>MTs-25
120006467</v>
      </c>
    </row>
    <row r="312" spans="2:19" s="38" customFormat="1" ht="51">
      <c r="B312" s="32">
        <v>4</v>
      </c>
      <c r="C312" s="33">
        <f>'BIO DATA'!D151</f>
        <v>11298</v>
      </c>
      <c r="D312" s="138" t="str">
        <f>'BIO DATA'!E151</f>
        <v>0109765478</v>
      </c>
      <c r="E312" s="34" t="str">
        <f>'BIO DATA'!F151</f>
        <v>Dzaki Nazakha Ali Syakib</v>
      </c>
      <c r="F312" s="35" t="str">
        <f>'BIO DATA'!Z151</f>
        <v>MTs. Mu'allimin Muh. Yogyakarta</v>
      </c>
      <c r="G312" s="68">
        <f>'BIO DATA'!J151</f>
        <v>2</v>
      </c>
      <c r="H312" s="34" t="str">
        <f>'BIO DATA'!N151</f>
        <v>Jakarta</v>
      </c>
      <c r="I312" s="120" t="str">
        <f>'BIO DATA'!Q151</f>
        <v>09 Mei 2010</v>
      </c>
      <c r="J312" s="34" t="str">
        <f>'BIO DATA'!T151</f>
        <v>Jln Raya Condet, Gg Remaja 1 No 22 RT 03 RW. 03 Kel. Gedong Kec. Pasar Rebo, Jakarta Timur DKI Jakarta, DKI Jakarta, 13760</v>
      </c>
      <c r="K312" s="34" t="str">
        <f>'BIO DATA'!AC151</f>
        <v>Agus Riyanto</v>
      </c>
      <c r="L312" s="123" t="str">
        <f>'BIO DATA'!AH151</f>
        <v>083875633393</v>
      </c>
      <c r="M312" s="34" t="str">
        <f>'BIO DATA'!AJ151</f>
        <v>Tri Lastini Widiastuti</v>
      </c>
      <c r="N312" s="125">
        <f>'BIO DATA'!AO151</f>
        <v>0</v>
      </c>
      <c r="O312" s="34" t="str">
        <f>'BIO DATA'!AF151</f>
        <v>Wiraswasta</v>
      </c>
      <c r="P312" s="34" t="str">
        <f>'BIO DATA'!AM151</f>
        <v>Karyawan Swasta</v>
      </c>
      <c r="Q312" s="159" t="str">
        <f>'BIO DATA'!I151</f>
        <v>MTs-25
120006412</v>
      </c>
    </row>
    <row r="313" spans="2:19" s="38" customFormat="1" ht="38.25">
      <c r="B313" s="32">
        <v>5</v>
      </c>
      <c r="C313" s="33">
        <f>'BIO DATA'!D152</f>
        <v>11306</v>
      </c>
      <c r="D313" s="138" t="str">
        <f>'BIO DATA'!E152</f>
        <v>0106334457</v>
      </c>
      <c r="E313" s="34" t="str">
        <f>'BIO DATA'!F152</f>
        <v>Fadhil Ahmad Syakir</v>
      </c>
      <c r="F313" s="35" t="str">
        <f>'BIO DATA'!Z152</f>
        <v>MTs. Mu'allimin Muh. Yogyakarta</v>
      </c>
      <c r="G313" s="68">
        <f>'BIO DATA'!J152</f>
        <v>2</v>
      </c>
      <c r="H313" s="34" t="str">
        <f>'BIO DATA'!N152</f>
        <v>Yogyakarta</v>
      </c>
      <c r="I313" s="120" t="str">
        <f>'BIO DATA'!Q152</f>
        <v>06 November 2010</v>
      </c>
      <c r="J313" s="34" t="str">
        <f>'BIO DATA'!T152</f>
        <v>Dsn. Bodeh RT 07/ RW 26 Ambarketawang, Gamping, Sleman, Yogyakarta 55294</v>
      </c>
      <c r="K313" s="34" t="str">
        <f>'BIO DATA'!AC152</f>
        <v>Dr. Syakir Jamaluddin, M.A</v>
      </c>
      <c r="L313" s="123" t="str">
        <f>'BIO DATA'!AH152</f>
        <v>081227090101</v>
      </c>
      <c r="M313" s="34" t="str">
        <f>'BIO DATA'!AJ152</f>
        <v>Aminah Setyaningsih</v>
      </c>
      <c r="N313" s="125">
        <f>'BIO DATA'!AO152</f>
        <v>0</v>
      </c>
      <c r="O313" s="34" t="str">
        <f>'BIO DATA'!AF152</f>
        <v>Dosen</v>
      </c>
      <c r="P313" s="34" t="str">
        <f>'BIO DATA'!AM152</f>
        <v>Wiraswasta</v>
      </c>
      <c r="Q313" s="159" t="str">
        <f>'BIO DATA'!I152</f>
        <v>MTs-25
120006379</v>
      </c>
    </row>
    <row r="314" spans="2:19" s="38" customFormat="1" ht="25.5">
      <c r="B314" s="32">
        <v>6</v>
      </c>
      <c r="C314" s="33">
        <f>'BIO DATA'!D153</f>
        <v>11308</v>
      </c>
      <c r="D314" s="138" t="str">
        <f>'BIO DATA'!E153</f>
        <v>0095898315</v>
      </c>
      <c r="E314" s="34" t="str">
        <f>'BIO DATA'!F153</f>
        <v>Fadhlan Habibie</v>
      </c>
      <c r="F314" s="35" t="str">
        <f>'BIO DATA'!Z153</f>
        <v>MTs. Mu'allimin Muh. Yogyakarta</v>
      </c>
      <c r="G314" s="68">
        <f>'BIO DATA'!J153</f>
        <v>1</v>
      </c>
      <c r="H314" s="34" t="str">
        <f>'BIO DATA'!N153</f>
        <v>Semarang</v>
      </c>
      <c r="I314" s="120" t="str">
        <f>'BIO DATA'!Q153</f>
        <v>09 Februari 2009</v>
      </c>
      <c r="J314" s="34" t="str">
        <f>'BIO DATA'!T153</f>
        <v xml:space="preserve">Jl. Kebon Asri No. 7 Kebon Batur Mranggen Demak Jawa Tengah 59567 </v>
      </c>
      <c r="K314" s="34" t="str">
        <f>'BIO DATA'!AC153</f>
        <v>Bakhtiar Rivai</v>
      </c>
      <c r="L314" s="123" t="str">
        <f>'BIO DATA'!AH153</f>
        <v>08156454543</v>
      </c>
      <c r="M314" s="34" t="str">
        <f>'BIO DATA'!AJ153</f>
        <v>Neni Dewi Anggraeni</v>
      </c>
      <c r="N314" s="125">
        <f>'BIO DATA'!AO153</f>
        <v>0</v>
      </c>
      <c r="O314" s="34" t="str">
        <f>'BIO DATA'!AF153</f>
        <v>Lainnya</v>
      </c>
      <c r="P314" s="34" t="str">
        <f>'BIO DATA'!AM153</f>
        <v>Ibu Rumah Tangga</v>
      </c>
      <c r="Q314" s="159" t="str">
        <f>'BIO DATA'!I153</f>
        <v>MTs-25
120006291</v>
      </c>
    </row>
    <row r="315" spans="2:19" s="38" customFormat="1" ht="39" customHeight="1">
      <c r="B315" s="32">
        <v>7</v>
      </c>
      <c r="C315" s="33">
        <f>'BIO DATA'!D154</f>
        <v>11315</v>
      </c>
      <c r="D315" s="138" t="str">
        <f>'BIO DATA'!E154</f>
        <v>0094477374</v>
      </c>
      <c r="E315" s="34" t="str">
        <f>'BIO DATA'!F154</f>
        <v>Faiz Bazli Fitra Ikhlas</v>
      </c>
      <c r="F315" s="35" t="str">
        <f>'BIO DATA'!Z154</f>
        <v>MTs. Mu'allimin Muh. Yogyakarta</v>
      </c>
      <c r="G315" s="68">
        <f>'BIO DATA'!J154</f>
        <v>2</v>
      </c>
      <c r="H315" s="34" t="str">
        <f>'BIO DATA'!N154</f>
        <v>Tangerang</v>
      </c>
      <c r="I315" s="120" t="str">
        <f>'BIO DATA'!Q154</f>
        <v>24 September 2010</v>
      </c>
      <c r="J315" s="34" t="str">
        <f>'BIO DATA'!T154</f>
        <v>Cluster MPR A5NO. 56 RT 01 RW 01, Kel. Cipondoh, Kec. Cipondoh, Kota Tangerang, Banten, 15148</v>
      </c>
      <c r="K315" s="34" t="str">
        <f>'BIO DATA'!AC154</f>
        <v>Zaitul Ikhlas</v>
      </c>
      <c r="L315" s="123">
        <f>'BIO DATA'!AH154</f>
        <v>0</v>
      </c>
      <c r="M315" s="34" t="str">
        <f>'BIO DATA'!AJ154</f>
        <v>Retno Harjanti</v>
      </c>
      <c r="N315" s="125" t="str">
        <f>'BIO DATA'!AO154</f>
        <v>081281918184</v>
      </c>
      <c r="O315" s="34" t="str">
        <f>'BIO DATA'!AF154</f>
        <v>PNS</v>
      </c>
      <c r="P315" s="34" t="str">
        <f>'BIO DATA'!AM154</f>
        <v>PNS</v>
      </c>
      <c r="Q315" s="159" t="str">
        <f>'BIO DATA'!I154</f>
        <v>MTs-25
120006469</v>
      </c>
    </row>
    <row r="316" spans="2:19" s="38" customFormat="1" ht="38.25">
      <c r="B316" s="32">
        <v>8</v>
      </c>
      <c r="C316" s="33">
        <f>'BIO DATA'!D155</f>
        <v>11351</v>
      </c>
      <c r="D316" s="138" t="str">
        <f>'BIO DATA'!E155</f>
        <v>0099067829</v>
      </c>
      <c r="E316" s="34" t="str">
        <f>'BIO DATA'!F155</f>
        <v>Hadyan Muhammad Ihsan</v>
      </c>
      <c r="F316" s="35" t="str">
        <f>'BIO DATA'!Z155</f>
        <v>MTs. Mu'allimin Muh. Yogyakarta</v>
      </c>
      <c r="G316" s="68">
        <f>'BIO DATA'!J155</f>
        <v>3</v>
      </c>
      <c r="H316" s="34" t="str">
        <f>'BIO DATA'!N155</f>
        <v>Yogyakarta</v>
      </c>
      <c r="I316" s="120" t="str">
        <f>'BIO DATA'!Q155</f>
        <v>04 Oktober 2009</v>
      </c>
      <c r="J316" s="34" t="str">
        <f>'BIO DATA'!T155</f>
        <v>Godegan Baru no 321, RT 10, Tamantirto Kasihan Bantul Yogyakarta 55183</v>
      </c>
      <c r="K316" s="34" t="str">
        <f>'BIO DATA'!AC155</f>
        <v>Heri Siswanto</v>
      </c>
      <c r="L316" s="123" t="str">
        <f>'BIO DATA'!AH155</f>
        <v>08164260256</v>
      </c>
      <c r="M316" s="34" t="str">
        <f>'BIO DATA'!AJ155</f>
        <v>Fitri Yuliatun</v>
      </c>
      <c r="N316" s="125">
        <f>'BIO DATA'!AO155</f>
        <v>0</v>
      </c>
      <c r="O316" s="34" t="str">
        <f>'BIO DATA'!AF155</f>
        <v>Wiraswasta</v>
      </c>
      <c r="P316" s="34" t="str">
        <f>'BIO DATA'!AM155</f>
        <v>PNS</v>
      </c>
      <c r="Q316" s="159" t="str">
        <f>'BIO DATA'!I155</f>
        <v>MTs-25
120006347</v>
      </c>
    </row>
    <row r="317" spans="2:19" s="38" customFormat="1" ht="38.25">
      <c r="B317" s="32">
        <v>9</v>
      </c>
      <c r="C317" s="33">
        <f>'BIO DATA'!D156</f>
        <v>11364</v>
      </c>
      <c r="D317" s="138" t="str">
        <f>'BIO DATA'!E156</f>
        <v>0095906454</v>
      </c>
      <c r="E317" s="34" t="str">
        <f>'BIO DATA'!F156</f>
        <v>Lintang Anugro Hidayat</v>
      </c>
      <c r="F317" s="35" t="str">
        <f>'BIO DATA'!Z156</f>
        <v>MTs. Mu'allimin Muh. Yogyakarta</v>
      </c>
      <c r="G317" s="68">
        <f>'BIO DATA'!J156</f>
        <v>1</v>
      </c>
      <c r="H317" s="34" t="str">
        <f>'BIO DATA'!N156</f>
        <v>Surabaya</v>
      </c>
      <c r="I317" s="120" t="str">
        <f>'BIO DATA'!Q156</f>
        <v>09 Mei 2009</v>
      </c>
      <c r="J317" s="34" t="str">
        <f>'BIO DATA'!T156</f>
        <v>N0.49, RT.03, Wonokromo II, Wonokromo, Pleret, Bantul, DI Yogyakarta, 55791</v>
      </c>
      <c r="K317" s="34" t="str">
        <f>'BIO DATA'!AC156</f>
        <v>Fahmi Hidayat</v>
      </c>
      <c r="L317" s="123" t="str">
        <f>'BIO DATA'!AH156</f>
        <v>081230401975</v>
      </c>
      <c r="M317" s="34" t="str">
        <f>'BIO DATA'!AJ156</f>
        <v>Kesi Hermawati</v>
      </c>
      <c r="N317" s="125">
        <f>'BIO DATA'!AO156</f>
        <v>0</v>
      </c>
      <c r="O317" s="34" t="str">
        <f>'BIO DATA'!AF156</f>
        <v>Lainnya</v>
      </c>
      <c r="P317" s="34" t="str">
        <f>'BIO DATA'!AM156</f>
        <v>Wartawati</v>
      </c>
      <c r="Q317" s="159" t="str">
        <f>'BIO DATA'!I156</f>
        <v>MTs-25
120006474</v>
      </c>
    </row>
    <row r="318" spans="2:19" s="38" customFormat="1" ht="51">
      <c r="B318" s="32">
        <v>10</v>
      </c>
      <c r="C318" s="33">
        <f>'BIO DATA'!D157</f>
        <v>11384</v>
      </c>
      <c r="D318" s="138" t="str">
        <f>'BIO DATA'!E157</f>
        <v>3098104039</v>
      </c>
      <c r="E318" s="34" t="str">
        <f>'BIO DATA'!F157</f>
        <v>Muhammad Al Fatih</v>
      </c>
      <c r="F318" s="35" t="str">
        <f>'BIO DATA'!Z157</f>
        <v>MTs. Mu'allimin Muh. Yogyakarta</v>
      </c>
      <c r="G318" s="68">
        <f>'BIO DATA'!J157</f>
        <v>4</v>
      </c>
      <c r="H318" s="34" t="str">
        <f>'BIO DATA'!N157</f>
        <v>Kota Bima</v>
      </c>
      <c r="I318" s="120" t="str">
        <f>'BIO DATA'!Q157</f>
        <v>08 Mei 2009</v>
      </c>
      <c r="J318" s="34" t="str">
        <f>'BIO DATA'!T157</f>
        <v>Lingkungan Pelita, RT013, RW005, Kel. Jatiwangi, Kec. Asakota, Kab. Kota Bima, Prov. Nusa Tenggara Barat(NTB) 84151</v>
      </c>
      <c r="K318" s="34" t="str">
        <f>'BIO DATA'!AC157</f>
        <v>Suharman</v>
      </c>
      <c r="L318" s="123" t="str">
        <f>'BIO DATA'!AH157</f>
        <v>081232435005</v>
      </c>
      <c r="M318" s="34" t="str">
        <f>'BIO DATA'!AJ157</f>
        <v>Wahyuningsih</v>
      </c>
      <c r="N318" s="125">
        <f>'BIO DATA'!AO157</f>
        <v>0</v>
      </c>
      <c r="O318" s="34" t="str">
        <f>'BIO DATA'!AF157</f>
        <v>Wiraswasta</v>
      </c>
      <c r="P318" s="34" t="str">
        <f>'BIO DATA'!AM157</f>
        <v>Ibu Rumah Tangga</v>
      </c>
      <c r="Q318" s="159" t="str">
        <f>'BIO DATA'!I157</f>
        <v>MTs-25
120006443</v>
      </c>
    </row>
    <row r="319" spans="2:19" s="38" customFormat="1" ht="38.25">
      <c r="B319" s="32">
        <v>11</v>
      </c>
      <c r="C319" s="33">
        <f>'BIO DATA'!D158</f>
        <v>11431</v>
      </c>
      <c r="D319" s="138" t="str">
        <f>'BIO DATA'!E158</f>
        <v>0098845120</v>
      </c>
      <c r="E319" s="34" t="str">
        <f>'BIO DATA'!F158</f>
        <v>Muhammad Dafa Al Fatih</v>
      </c>
      <c r="F319" s="35" t="str">
        <f>'BIO DATA'!Z158</f>
        <v>MTs. Mu'allimin Muh. Yogyakarta</v>
      </c>
      <c r="G319" s="68">
        <f>'BIO DATA'!J158</f>
        <v>3</v>
      </c>
      <c r="H319" s="34" t="str">
        <f>'BIO DATA'!N158</f>
        <v>Kendal</v>
      </c>
      <c r="I319" s="120" t="str">
        <f>'BIO DATA'!Q158</f>
        <v>22 November 2009</v>
      </c>
      <c r="J319" s="34" t="str">
        <f>'BIO DATA'!T158</f>
        <v>JL. Dr. Sutomo Kedonsari RT 02/RW 11 Penyangkringan Weleri Kendal Jawa Tengah 51355</v>
      </c>
      <c r="K319" s="34" t="str">
        <f>'BIO DATA'!AC158</f>
        <v>Agi Lesmono</v>
      </c>
      <c r="L319" s="123" t="str">
        <f>'BIO DATA'!AH158</f>
        <v xml:space="preserve"> 081325095545</v>
      </c>
      <c r="M319" s="34" t="str">
        <f>'BIO DATA'!AJ158</f>
        <v>Sulasih</v>
      </c>
      <c r="N319" s="125">
        <f>'BIO DATA'!AO158</f>
        <v>0</v>
      </c>
      <c r="O319" s="34" t="str">
        <f>'BIO DATA'!AF158</f>
        <v>Wiraswasta</v>
      </c>
      <c r="P319" s="34" t="str">
        <f>'BIO DATA'!AM158</f>
        <v>Ibu Rumah Tangga</v>
      </c>
      <c r="Q319" s="159" t="str">
        <f>'BIO DATA'!I158</f>
        <v>MTs-25
120006353</v>
      </c>
    </row>
    <row r="320" spans="2:19" s="38" customFormat="1" ht="37.5" customHeight="1">
      <c r="B320" s="32">
        <v>12</v>
      </c>
      <c r="C320" s="33">
        <f>'BIO DATA'!D159</f>
        <v>11402</v>
      </c>
      <c r="D320" s="138" t="str">
        <f>'BIO DATA'!E159</f>
        <v>0098594265</v>
      </c>
      <c r="E320" s="34" t="str">
        <f>'BIO DATA'!F159</f>
        <v>Muhammad Dzaki</v>
      </c>
      <c r="F320" s="35" t="str">
        <f>'BIO DATA'!Z159</f>
        <v>MTs. Mu'allimin Muh. Yogyakarta</v>
      </c>
      <c r="G320" s="68">
        <f>'BIO DATA'!J159</f>
        <v>1</v>
      </c>
      <c r="H320" s="34" t="str">
        <f>'BIO DATA'!N159</f>
        <v>Bantul</v>
      </c>
      <c r="I320" s="120" t="str">
        <f>'BIO DATA'!Q159</f>
        <v>13 April 2009</v>
      </c>
      <c r="J320" s="34" t="str">
        <f>'BIO DATA'!T159</f>
        <v>Karangploso RT 01, Sitimulyo, Piyungan, Bantul, Yogyakarta, DI Yogyakarta 55792</v>
      </c>
      <c r="K320" s="34" t="str">
        <f>'BIO DATA'!AC159</f>
        <v>Zabidi, S.Pd.</v>
      </c>
      <c r="L320" s="123" t="str">
        <f>'BIO DATA'!AH159</f>
        <v>081802765693</v>
      </c>
      <c r="M320" s="34" t="str">
        <f>'BIO DATA'!AJ159</f>
        <v>Denok Warisah</v>
      </c>
      <c r="N320" s="125">
        <f>'BIO DATA'!AO159</f>
        <v>0</v>
      </c>
      <c r="O320" s="34" t="str">
        <f>'BIO DATA'!AF159</f>
        <v>PNS</v>
      </c>
      <c r="P320" s="34" t="str">
        <f>'BIO DATA'!AM159</f>
        <v>PNS</v>
      </c>
      <c r="Q320" s="159" t="str">
        <f>'BIO DATA'!I159</f>
        <v>MTs-25
120006328</v>
      </c>
    </row>
    <row r="321" spans="2:17" s="38" customFormat="1" ht="25.5">
      <c r="B321" s="32">
        <v>13</v>
      </c>
      <c r="C321" s="33">
        <f>'BIO DATA'!D160</f>
        <v>11413</v>
      </c>
      <c r="D321" s="138" t="str">
        <f>'BIO DATA'!E160</f>
        <v>0096636114</v>
      </c>
      <c r="E321" s="34" t="str">
        <f>'BIO DATA'!F160</f>
        <v>Muhammad Farel Zafran Adelio</v>
      </c>
      <c r="F321" s="35" t="str">
        <f>'BIO DATA'!Z160</f>
        <v>MTs. Mu'allimin Muh. Yogyakarta</v>
      </c>
      <c r="G321" s="68">
        <f>'BIO DATA'!J160</f>
        <v>2</v>
      </c>
      <c r="H321" s="34" t="str">
        <f>'BIO DATA'!N160</f>
        <v>Banjarnegara</v>
      </c>
      <c r="I321" s="120" t="str">
        <f>'BIO DATA'!Q160</f>
        <v>27 November 2009</v>
      </c>
      <c r="J321" s="34" t="str">
        <f>'BIO DATA'!T160</f>
        <v>Ratamba RT 01/02, Ratamba, Pejawaran, Banjarnegara, Jawa Tengah, 53454</v>
      </c>
      <c r="K321" s="34" t="str">
        <f>'BIO DATA'!AC160</f>
        <v>Imam Suwandhono</v>
      </c>
      <c r="L321" s="123">
        <f>'BIO DATA'!AH160</f>
        <v>0</v>
      </c>
      <c r="M321" s="34" t="str">
        <f>'BIO DATA'!AJ160</f>
        <v>Lusi Yusnita Rofiqoh</v>
      </c>
      <c r="N321" s="125" t="str">
        <f>'BIO DATA'!AO160</f>
        <v>082211425713</v>
      </c>
      <c r="O321" s="34" t="str">
        <f>'BIO DATA'!AF160</f>
        <v>Petani</v>
      </c>
      <c r="P321" s="34" t="str">
        <f>'BIO DATA'!AM160</f>
        <v>Perangkat Desa</v>
      </c>
      <c r="Q321" s="159" t="str">
        <f>'BIO DATA'!I160</f>
        <v>MTs-25
120006479</v>
      </c>
    </row>
    <row r="322" spans="2:17" s="38" customFormat="1" ht="42.75" customHeight="1">
      <c r="B322" s="32">
        <v>14</v>
      </c>
      <c r="C322" s="33">
        <f>'BIO DATA'!D161</f>
        <v>11417</v>
      </c>
      <c r="D322" s="138" t="str">
        <f>'BIO DATA'!E161</f>
        <v>0094187060</v>
      </c>
      <c r="E322" s="34" t="str">
        <f>'BIO DATA'!F161</f>
        <v>Muhammad Fawwaz Arsyad</v>
      </c>
      <c r="F322" s="35" t="str">
        <f>'BIO DATA'!Z161</f>
        <v>MTs. Mu'allimin Muh. Yogyakarta</v>
      </c>
      <c r="G322" s="68">
        <f>'BIO DATA'!J161</f>
        <v>1</v>
      </c>
      <c r="H322" s="34" t="str">
        <f>'BIO DATA'!N161</f>
        <v>Sragen</v>
      </c>
      <c r="I322" s="120" t="str">
        <f>'BIO DATA'!Q161</f>
        <v>02 April 2010</v>
      </c>
      <c r="J322" s="34" t="str">
        <f>'BIO DATA'!T161</f>
        <v>Purwoasri RT 40A/16, Kroyo, Karangmalang, Sragen Jawa Tengah 57211</v>
      </c>
      <c r="K322" s="34" t="str">
        <f>'BIO DATA'!AC161</f>
        <v>Sumadi</v>
      </c>
      <c r="L322" s="123" t="str">
        <f>'BIO DATA'!AH161</f>
        <v>081215968157</v>
      </c>
      <c r="M322" s="34" t="str">
        <f>'BIO DATA'!AJ161</f>
        <v>Hasri Rohmani</v>
      </c>
      <c r="N322" s="125">
        <f>'BIO DATA'!AO161</f>
        <v>0</v>
      </c>
      <c r="O322" s="34" t="str">
        <f>'BIO DATA'!AF161</f>
        <v>PNS</v>
      </c>
      <c r="P322" s="34" t="str">
        <f>'BIO DATA'!AM161</f>
        <v>Swasta</v>
      </c>
      <c r="Q322" s="159" t="str">
        <f>'BIO DATA'!I161</f>
        <v>MTs-25
120006388</v>
      </c>
    </row>
    <row r="323" spans="2:17" s="38" customFormat="1" ht="51">
      <c r="B323" s="32">
        <v>15</v>
      </c>
      <c r="C323" s="33">
        <f>'BIO DATA'!D162</f>
        <v>11420</v>
      </c>
      <c r="D323" s="138" t="str">
        <f>'BIO DATA'!E162</f>
        <v>0102027098</v>
      </c>
      <c r="E323" s="34" t="str">
        <f>'BIO DATA'!F162</f>
        <v>Muhammad Fikri Parakas</v>
      </c>
      <c r="F323" s="35" t="str">
        <f>'BIO DATA'!Z162</f>
        <v>MTs. Mu'allimin Muh. Yogyakarta</v>
      </c>
      <c r="G323" s="68">
        <f>'BIO DATA'!J162</f>
        <v>2</v>
      </c>
      <c r="H323" s="34" t="str">
        <f>'BIO DATA'!N162</f>
        <v>Arga Makmur</v>
      </c>
      <c r="I323" s="120" t="str">
        <f>'BIO DATA'!Q162</f>
        <v>17 Februari 2010</v>
      </c>
      <c r="J323" s="34" t="str">
        <f>'BIO DATA'!T162</f>
        <v>Royal Mansion Banguntapan Blok J No. 1 Jl. Raya Pleret Km. 2.2 Kel. Jambidan Kec. Banguntapan Kab. Bantul, DI Yogyakarta, 55195</v>
      </c>
      <c r="K323" s="34" t="str">
        <f>'BIO DATA'!AC162</f>
        <v>Mario Parakas, SH, MH</v>
      </c>
      <c r="L323" s="123">
        <f>'BIO DATA'!AH162</f>
        <v>0</v>
      </c>
      <c r="M323" s="34" t="str">
        <f>'BIO DATA'!AJ162</f>
        <v>Anita Marthasari</v>
      </c>
      <c r="N323" s="125" t="str">
        <f>'BIO DATA'!AO162</f>
        <v>081567631444</v>
      </c>
      <c r="O323" s="34" t="str">
        <f>'BIO DATA'!AF162</f>
        <v>PNS</v>
      </c>
      <c r="P323" s="34" t="str">
        <f>'BIO DATA'!AM162</f>
        <v>PNS</v>
      </c>
      <c r="Q323" s="159" t="str">
        <f>'BIO DATA'!I162</f>
        <v>MTs-25
120006450</v>
      </c>
    </row>
    <row r="324" spans="2:17" s="38" customFormat="1" ht="51">
      <c r="B324" s="32">
        <v>16</v>
      </c>
      <c r="C324" s="33">
        <f>'BIO DATA'!D163</f>
        <v>11457</v>
      </c>
      <c r="D324" s="138" t="str">
        <f>'BIO DATA'!E163</f>
        <v>0096145231</v>
      </c>
      <c r="E324" s="34" t="str">
        <f>'BIO DATA'!F163</f>
        <v>Mukhammad Roid Rafif Dzakwan</v>
      </c>
      <c r="F324" s="35" t="str">
        <f>'BIO DATA'!Z163</f>
        <v>MTs. Mu'allimin Muh. Yogyakarta</v>
      </c>
      <c r="G324" s="68">
        <f>'BIO DATA'!J163</f>
        <v>1</v>
      </c>
      <c r="H324" s="34" t="str">
        <f>'BIO DATA'!N163</f>
        <v>Pemalang</v>
      </c>
      <c r="I324" s="120" t="str">
        <f>'BIO DATA'!Q163</f>
        <v>29 April 2010</v>
      </c>
      <c r="J324" s="34" t="str">
        <f>'BIO DATA'!T163</f>
        <v>Jl. KH. Saman Hudi No.45.Rt.06/ RW.06 Kelurahan Pasirkratonkramat Kec. Pekalongan Barat Kota Pekalongan Jawa Tengah 51118</v>
      </c>
      <c r="K324" s="34" t="str">
        <f>'BIO DATA'!AC163</f>
        <v>Sudi Raharjo</v>
      </c>
      <c r="L324" s="123" t="str">
        <f>'BIO DATA'!AH163</f>
        <v>085742807672</v>
      </c>
      <c r="M324" s="34" t="str">
        <f>'BIO DATA'!AJ163</f>
        <v>Ida Nafiaty</v>
      </c>
      <c r="N324" s="125">
        <f>'BIO DATA'!AO163</f>
        <v>0</v>
      </c>
      <c r="O324" s="34" t="str">
        <f>'BIO DATA'!AF163</f>
        <v>Dosen</v>
      </c>
      <c r="P324" s="34" t="str">
        <f>'BIO DATA'!AM163</f>
        <v>PNS</v>
      </c>
      <c r="Q324" s="159" t="str">
        <f>'BIO DATA'!I163</f>
        <v>MTs-25 120006333</v>
      </c>
    </row>
    <row r="325" spans="2:17" s="38" customFormat="1" ht="51">
      <c r="B325" s="32">
        <v>17</v>
      </c>
      <c r="C325" s="33">
        <f>'BIO DATA'!D164</f>
        <v>11461</v>
      </c>
      <c r="D325" s="138" t="str">
        <f>'BIO DATA'!E164</f>
        <v>0106581806</v>
      </c>
      <c r="E325" s="34" t="str">
        <f>'BIO DATA'!F164</f>
        <v>Najib Zaini</v>
      </c>
      <c r="F325" s="35" t="str">
        <f>'BIO DATA'!Z164</f>
        <v>MTs. Mu'allimin Muh. Yogyakarta</v>
      </c>
      <c r="G325" s="68">
        <f>'BIO DATA'!J164</f>
        <v>1</v>
      </c>
      <c r="H325" s="34" t="str">
        <f>'BIO DATA'!N164</f>
        <v>Banjarmasin</v>
      </c>
      <c r="I325" s="120" t="str">
        <f>'BIO DATA'!Q164</f>
        <v>17 April 2010</v>
      </c>
      <c r="J325" s="34" t="str">
        <f>'BIO DATA'!T164</f>
        <v>Jl. Veteran Komplek Gardu Mekar Indah No 76 RT 15 Kel. Sei Lulut Kec. Banjarmasin Timur , Kalimantan Selatan, 70238</v>
      </c>
      <c r="K325" s="34" t="str">
        <f>'BIO DATA'!AC164</f>
        <v>Khairuzzaini</v>
      </c>
      <c r="L325" s="123" t="str">
        <f>'BIO DATA'!AH164</f>
        <v>087816705577</v>
      </c>
      <c r="M325" s="34" t="str">
        <f>'BIO DATA'!AJ164</f>
        <v>Bening Prawita Sari</v>
      </c>
      <c r="N325" s="125">
        <f>'BIO DATA'!AO164</f>
        <v>0</v>
      </c>
      <c r="O325" s="34" t="str">
        <f>'BIO DATA'!AF164</f>
        <v>Guru</v>
      </c>
      <c r="P325" s="34" t="str">
        <f>'BIO DATA'!AM164</f>
        <v>Dosen</v>
      </c>
      <c r="Q325" s="159" t="str">
        <f>'BIO DATA'!I164</f>
        <v>MTs-25
120006508</v>
      </c>
    </row>
    <row r="326" spans="2:17" s="38" customFormat="1" ht="25.5">
      <c r="B326" s="32">
        <v>18</v>
      </c>
      <c r="C326" s="33">
        <f>'BIO DATA'!D165</f>
        <v>11462</v>
      </c>
      <c r="D326" s="138" t="str">
        <f>'BIO DATA'!E165</f>
        <v>0109233875</v>
      </c>
      <c r="E326" s="34" t="str">
        <f>'BIO DATA'!F165</f>
        <v>Najwan Abdurrahman</v>
      </c>
      <c r="F326" s="35" t="str">
        <f>'BIO DATA'!Z165</f>
        <v>MTs. Mu'allimin Muh. Yogyakarta</v>
      </c>
      <c r="G326" s="68">
        <f>'BIO DATA'!J165</f>
        <v>2</v>
      </c>
      <c r="H326" s="34" t="str">
        <f>'BIO DATA'!N165</f>
        <v>Yogyakarta</v>
      </c>
      <c r="I326" s="120" t="str">
        <f>'BIO DATA'!Q165</f>
        <v>12 Februari 2010</v>
      </c>
      <c r="J326" s="34" t="str">
        <f>'BIO DATA'!T165</f>
        <v>Jl Agus Salim 62 Yogyakarta, DI Yogyakarta, 55262</v>
      </c>
      <c r="K326" s="34" t="str">
        <f>'BIO DATA'!AC165</f>
        <v>Muhammad Khusni</v>
      </c>
      <c r="L326" s="123">
        <f>'BIO DATA'!AH165</f>
        <v>0</v>
      </c>
      <c r="M326" s="34" t="str">
        <f>'BIO DATA'!AJ165</f>
        <v>Harjanti Dian Nurani</v>
      </c>
      <c r="N326" s="125" t="str">
        <f>'BIO DATA'!AO165</f>
        <v>0895417267050</v>
      </c>
      <c r="O326" s="34" t="str">
        <f>'BIO DATA'!AF165</f>
        <v>Guru</v>
      </c>
      <c r="P326" s="34" t="str">
        <f>'BIO DATA'!AM165</f>
        <v>Guru</v>
      </c>
      <c r="Q326" s="159" t="str">
        <f>'BIO DATA'!I165</f>
        <v>MTs-25
120006509</v>
      </c>
    </row>
    <row r="327" spans="2:17" s="38" customFormat="1" ht="19.5" customHeight="1">
      <c r="B327" s="60"/>
      <c r="C327" s="60"/>
      <c r="D327" s="60"/>
      <c r="E327" s="60"/>
      <c r="F327" s="60"/>
      <c r="G327" s="67"/>
      <c r="H327" s="60"/>
      <c r="I327" s="60"/>
      <c r="J327" s="60"/>
      <c r="K327" s="60"/>
      <c r="L327" s="60"/>
      <c r="M327" s="60" t="s">
        <v>3296</v>
      </c>
      <c r="N327" s="60"/>
      <c r="O327" s="60"/>
      <c r="P327" s="60"/>
      <c r="Q327" s="60"/>
    </row>
    <row r="328" spans="2:17" s="22" customFormat="1" ht="15">
      <c r="B328" s="276" t="s">
        <v>0</v>
      </c>
      <c r="C328" s="274" t="s">
        <v>134</v>
      </c>
      <c r="D328" s="280" t="s">
        <v>2</v>
      </c>
      <c r="E328" s="276" t="s">
        <v>3</v>
      </c>
      <c r="F328" s="276" t="s">
        <v>8</v>
      </c>
      <c r="G328" s="276" t="s">
        <v>135</v>
      </c>
      <c r="H328" s="278" t="s">
        <v>136</v>
      </c>
      <c r="I328" s="279"/>
      <c r="J328" s="276" t="s">
        <v>6</v>
      </c>
      <c r="K328" s="283" t="s">
        <v>137</v>
      </c>
      <c r="L328" s="284"/>
      <c r="M328" s="284"/>
      <c r="N328" s="285"/>
      <c r="O328" s="278" t="s">
        <v>138</v>
      </c>
      <c r="P328" s="279"/>
      <c r="Q328" s="276" t="s">
        <v>159</v>
      </c>
    </row>
    <row r="329" spans="2:17" s="28" customFormat="1" ht="15.75" customHeight="1">
      <c r="B329" s="277"/>
      <c r="C329" s="275"/>
      <c r="D329" s="281"/>
      <c r="E329" s="277"/>
      <c r="F329" s="282"/>
      <c r="G329" s="277"/>
      <c r="H329" s="29" t="s">
        <v>140</v>
      </c>
      <c r="I329" s="29" t="s">
        <v>141</v>
      </c>
      <c r="J329" s="277"/>
      <c r="K329" s="29" t="s">
        <v>142</v>
      </c>
      <c r="L329" s="30" t="s">
        <v>142</v>
      </c>
      <c r="M329" s="29" t="s">
        <v>143</v>
      </c>
      <c r="N329" s="30" t="s">
        <v>144</v>
      </c>
      <c r="O329" s="29" t="s">
        <v>145</v>
      </c>
      <c r="P329" s="29" t="s">
        <v>146</v>
      </c>
      <c r="Q329" s="277"/>
    </row>
    <row r="330" spans="2:17" s="38" customFormat="1" ht="48" customHeight="1">
      <c r="B330" s="32">
        <v>19</v>
      </c>
      <c r="C330" s="33">
        <f>'BIO DATA'!D166</f>
        <v>11473</v>
      </c>
      <c r="D330" s="138" t="str">
        <f>'BIO DATA'!E166</f>
        <v>0099002052</v>
      </c>
      <c r="E330" s="34" t="str">
        <f>'BIO DATA'!F166</f>
        <v>Nur Muhammad Alfaridi</v>
      </c>
      <c r="F330" s="35" t="str">
        <f>'BIO DATA'!Z166</f>
        <v>MTs. Mu'allimin Muh. Yogyakarta</v>
      </c>
      <c r="G330" s="68">
        <f>'BIO DATA'!J166</f>
        <v>1</v>
      </c>
      <c r="H330" s="34" t="str">
        <f>'BIO DATA'!N166</f>
        <v>Yogyakarta</v>
      </c>
      <c r="I330" s="120" t="str">
        <f>'BIO DATA'!Q166</f>
        <v>30 September 2009</v>
      </c>
      <c r="J330" s="34" t="str">
        <f>'BIO DATA'!T166</f>
        <v>Klidon RT 06 RW 35 Sukoharjo Ngaglik, Sleman, DI Yogyakarta, 55581</v>
      </c>
      <c r="K330" s="34" t="str">
        <f>'BIO DATA'!AC166</f>
        <v>Fajar Yuda Swastana</v>
      </c>
      <c r="L330" s="123" t="str">
        <f>'BIO DATA'!AH166</f>
        <v>08562777213</v>
      </c>
      <c r="M330" s="34" t="str">
        <f>'BIO DATA'!AJ166</f>
        <v>Arfiani Nur Khusna</v>
      </c>
      <c r="N330" s="125">
        <f>'BIO DATA'!AO166</f>
        <v>0</v>
      </c>
      <c r="O330" s="34" t="str">
        <f>'BIO DATA'!AF166</f>
        <v>Lainnya</v>
      </c>
      <c r="P330" s="34" t="str">
        <f>'BIO DATA'!AM166</f>
        <v>Dosen</v>
      </c>
      <c r="Q330" s="159" t="str">
        <f>'BIO DATA'!I166</f>
        <v>MTs-25
120006455</v>
      </c>
    </row>
    <row r="331" spans="2:17" s="38" customFormat="1" ht="42" customHeight="1">
      <c r="B331" s="32">
        <v>20</v>
      </c>
      <c r="C331" s="33">
        <f>'BIO DATA'!D167</f>
        <v>11477</v>
      </c>
      <c r="D331" s="138" t="str">
        <f>'BIO DATA'!E167</f>
        <v>0094169306</v>
      </c>
      <c r="E331" s="34" t="str">
        <f>'BIO DATA'!F167</f>
        <v>Pilar Arloen Wijoyo</v>
      </c>
      <c r="F331" s="35" t="str">
        <f>'BIO DATA'!Z167</f>
        <v>MTs. Mu'allimin Muh. Yogyakarta</v>
      </c>
      <c r="G331" s="68">
        <f>'BIO DATA'!J167</f>
        <v>0</v>
      </c>
      <c r="H331" s="34" t="str">
        <f>'BIO DATA'!N167</f>
        <v>Ponorogo</v>
      </c>
      <c r="I331" s="120" t="str">
        <f>'BIO DATA'!Q167</f>
        <v>20 Juni 2009</v>
      </c>
      <c r="J331" s="34" t="str">
        <f>'BIO DATA'!T167</f>
        <v>Dsn Plumpung RT 02 RW 01 Ds Simo Kec. Slahung Kab. Ponorogo Jawa Timur 63463</v>
      </c>
      <c r="K331" s="34" t="str">
        <f>'BIO DATA'!AC167</f>
        <v>Arif Budianto</v>
      </c>
      <c r="L331" s="123" t="str">
        <f>'BIO DATA'!AH167</f>
        <v>08123362637</v>
      </c>
      <c r="M331" s="34" t="str">
        <f>'BIO DATA'!AJ167</f>
        <v>Alun Prasasti</v>
      </c>
      <c r="N331" s="125">
        <f>'BIO DATA'!AO167</f>
        <v>0</v>
      </c>
      <c r="O331" s="34" t="str">
        <f>'BIO DATA'!AF167</f>
        <v>Wiraswasta</v>
      </c>
      <c r="P331" s="34">
        <f>'BIO DATA'!AM167</f>
        <v>0</v>
      </c>
      <c r="Q331" s="159" t="str">
        <f>'BIO DATA'!I167</f>
        <v>MTs-25
120006395</v>
      </c>
    </row>
    <row r="332" spans="2:17" s="38" customFormat="1" ht="38.25">
      <c r="B332" s="32">
        <v>21</v>
      </c>
      <c r="C332" s="33">
        <f>'BIO DATA'!D168</f>
        <v>11484</v>
      </c>
      <c r="D332" s="138" t="str">
        <f>'BIO DATA'!E168</f>
        <v>0093831544</v>
      </c>
      <c r="E332" s="34" t="str">
        <f>'BIO DATA'!F168</f>
        <v>Qaizer Haildhi Alyandra</v>
      </c>
      <c r="F332" s="35" t="str">
        <f>'BIO DATA'!Z168</f>
        <v>MTs. Mu'allimin Muh. Yogyakarta</v>
      </c>
      <c r="G332" s="68">
        <f>'BIO DATA'!J168</f>
        <v>1</v>
      </c>
      <c r="H332" s="34" t="str">
        <f>'BIO DATA'!N168</f>
        <v>Pekalongan</v>
      </c>
      <c r="I332" s="120" t="str">
        <f>'BIO DATA'!Q168</f>
        <v>22 Juni 2009</v>
      </c>
      <c r="J332" s="34" t="str">
        <f>'BIO DATA'!T168</f>
        <v>Dukuh Cokrah, RT. 002 / RW. 001 No. 100, Desa Kulu, Kec. Karanganyar, Kab. Pekalongan, Jawa Tengah. 99910</v>
      </c>
      <c r="K332" s="34" t="str">
        <f>'BIO DATA'!AC168</f>
        <v>Yan Ari Widodo</v>
      </c>
      <c r="L332" s="123" t="str">
        <f>'BIO DATA'!AH168</f>
        <v>082326628368</v>
      </c>
      <c r="M332" s="34" t="str">
        <f>'BIO DATA'!AJ168</f>
        <v>Pipit Candra Sari</v>
      </c>
      <c r="N332" s="125">
        <f>'BIO DATA'!AO168</f>
        <v>0</v>
      </c>
      <c r="O332" s="34" t="str">
        <f>'BIO DATA'!AF168</f>
        <v>PNS</v>
      </c>
      <c r="P332" s="34" t="str">
        <f>'BIO DATA'!AM168</f>
        <v>Ibu Rumah Tangga</v>
      </c>
      <c r="Q332" s="159" t="str">
        <f>'BIO DATA'!I168</f>
        <v>MTs-25
120006362</v>
      </c>
    </row>
    <row r="333" spans="2:17" s="38" customFormat="1" ht="39.75" customHeight="1">
      <c r="B333" s="32">
        <v>22</v>
      </c>
      <c r="C333" s="33">
        <f>'BIO DATA'!D169</f>
        <v>11481</v>
      </c>
      <c r="D333" s="138" t="str">
        <f>'BIO DATA'!E169</f>
        <v>0092044705</v>
      </c>
      <c r="E333" s="34" t="str">
        <f>'BIO DATA'!F169</f>
        <v>Ra-atsar Wiyaris Qulub</v>
      </c>
      <c r="F333" s="35" t="str">
        <f>'BIO DATA'!Z169</f>
        <v>MTs. Mu'allimin Muh. Yogyakarta</v>
      </c>
      <c r="G333" s="68">
        <f>'BIO DATA'!J169</f>
        <v>3</v>
      </c>
      <c r="H333" s="34" t="str">
        <f>'BIO DATA'!N169</f>
        <v>Sidoarjo</v>
      </c>
      <c r="I333" s="120" t="str">
        <f>'BIO DATA'!Q169</f>
        <v>17 Maret 2009</v>
      </c>
      <c r="J333" s="34" t="str">
        <f>'BIO DATA'!T169</f>
        <v>Jl. Usman Janatin 11 009/003 Medaeng Waru Sidoarjo Jawa Timur 51256</v>
      </c>
      <c r="K333" s="34" t="str">
        <f>'BIO DATA'!AC169</f>
        <v>Abdul Gofur</v>
      </c>
      <c r="L333" s="123" t="str">
        <f>'BIO DATA'!AH169</f>
        <v>081232231155</v>
      </c>
      <c r="M333" s="34" t="str">
        <f>'BIO DATA'!AJ169</f>
        <v>Halida Octavian Sukur Ananda</v>
      </c>
      <c r="N333" s="125">
        <f>'BIO DATA'!AO169</f>
        <v>0</v>
      </c>
      <c r="O333" s="34" t="str">
        <f>'BIO DATA'!AF169</f>
        <v>Guru</v>
      </c>
      <c r="P333" s="34" t="str">
        <f>'BIO DATA'!AM169</f>
        <v>Karyawan Swasta</v>
      </c>
      <c r="Q333" s="159" t="str">
        <f>'BIO DATA'!I169</f>
        <v>MTs-25
120006307</v>
      </c>
    </row>
    <row r="334" spans="2:17" s="38" customFormat="1" ht="38.25">
      <c r="B334" s="32">
        <v>23</v>
      </c>
      <c r="C334" s="33">
        <f>'BIO DATA'!D170</f>
        <v>11482</v>
      </c>
      <c r="D334" s="138" t="str">
        <f>'BIO DATA'!E170</f>
        <v>0102051276</v>
      </c>
      <c r="E334" s="34" t="str">
        <f>'BIO DATA'!F170</f>
        <v>Radhia Muhammad Izzulhaq</v>
      </c>
      <c r="F334" s="35" t="str">
        <f>'BIO DATA'!Z170</f>
        <v>MTs. Mu'allimin Muh. Yogyakarta</v>
      </c>
      <c r="G334" s="68">
        <f>'BIO DATA'!J170</f>
        <v>2</v>
      </c>
      <c r="H334" s="34" t="str">
        <f>'BIO DATA'!N170</f>
        <v>Kendal</v>
      </c>
      <c r="I334" s="120" t="str">
        <f>'BIO DATA'!Q170</f>
        <v>28 Juni 2010</v>
      </c>
      <c r="J334" s="34" t="str">
        <f>'BIO DATA'!T170</f>
        <v>Jl Irigasi No 36 RT 04 RW 02 Dkh Penjor Ds Karangayu Kec Cepiring Kab Kendal Prov. Jawa Tengah, 51352</v>
      </c>
      <c r="K334" s="34" t="str">
        <f>'BIO DATA'!AC170</f>
        <v>Shoim Kurniawan</v>
      </c>
      <c r="L334" s="123" t="str">
        <f>'BIO DATA'!AH170</f>
        <v>08122899753</v>
      </c>
      <c r="M334" s="34" t="str">
        <f>'BIO DATA'!AJ170</f>
        <v>Ardhah Romdhonah Nur</v>
      </c>
      <c r="N334" s="125">
        <f>'BIO DATA'!AO170</f>
        <v>0</v>
      </c>
      <c r="O334" s="34" t="str">
        <f>'BIO DATA'!AF170</f>
        <v>PNS</v>
      </c>
      <c r="P334" s="34" t="str">
        <f>'BIO DATA'!AM170</f>
        <v>Karyawan BUMN</v>
      </c>
      <c r="Q334" s="159" t="str">
        <f>'BIO DATA'!I170</f>
        <v>MTs-25 120006428</v>
      </c>
    </row>
    <row r="335" spans="2:17" s="38" customFormat="1" ht="38.25">
      <c r="B335" s="32">
        <v>24</v>
      </c>
      <c r="C335" s="33">
        <f>'BIO DATA'!D171</f>
        <v>11487</v>
      </c>
      <c r="D335" s="138" t="str">
        <f>'BIO DATA'!E171</f>
        <v>0102436463</v>
      </c>
      <c r="E335" s="34" t="str">
        <f>'BIO DATA'!F171</f>
        <v>Rakha Hanif Arkana Laksono</v>
      </c>
      <c r="F335" s="35" t="str">
        <f>'BIO DATA'!Z171</f>
        <v>MTs. Mu'allimin Muh. Yogyakarta</v>
      </c>
      <c r="G335" s="68">
        <f>'BIO DATA'!J171</f>
        <v>1</v>
      </c>
      <c r="H335" s="34" t="str">
        <f>'BIO DATA'!N171</f>
        <v>Sleman</v>
      </c>
      <c r="I335" s="120" t="str">
        <f>'BIO DATA'!Q171</f>
        <v>21 Januari 2010</v>
      </c>
      <c r="J335" s="34" t="str">
        <f>'BIO DATA'!T171</f>
        <v>Kedon Bedog No. 49 RT 01 RW 24  Trihanggo Gamping Sleman Yogyakarta 55291</v>
      </c>
      <c r="K335" s="34" t="str">
        <f>'BIO DATA'!AC171</f>
        <v>Tirto Edi Laksono</v>
      </c>
      <c r="L335" s="123" t="str">
        <f>'BIO DATA'!AH171</f>
        <v>085105016021</v>
      </c>
      <c r="M335" s="34" t="str">
        <f>'BIO DATA'!AJ171</f>
        <v>Rina Ikawati Oktaviana</v>
      </c>
      <c r="N335" s="125">
        <f>'BIO DATA'!AO171</f>
        <v>0</v>
      </c>
      <c r="O335" s="34" t="str">
        <f>'BIO DATA'!AF171</f>
        <v>TNI/Polri</v>
      </c>
      <c r="P335" s="34" t="str">
        <f>'BIO DATA'!AM171</f>
        <v>TNI/Polri</v>
      </c>
      <c r="Q335" s="159" t="str">
        <f>'BIO DATA'!I171</f>
        <v>MTs-25
120006336</v>
      </c>
    </row>
    <row r="336" spans="2:17" s="38" customFormat="1" ht="38.25">
      <c r="B336" s="32">
        <v>25</v>
      </c>
      <c r="C336" s="33">
        <f>'BIO DATA'!D172</f>
        <v>11488</v>
      </c>
      <c r="D336" s="138" t="str">
        <f>'BIO DATA'!E172</f>
        <v>0107237213</v>
      </c>
      <c r="E336" s="34" t="str">
        <f>'BIO DATA'!F172</f>
        <v>Rasheed Ragheb Farzany</v>
      </c>
      <c r="F336" s="35" t="str">
        <f>'BIO DATA'!Z172</f>
        <v>MTs. Mu'allimin Muh. Yogyakarta</v>
      </c>
      <c r="G336" s="68">
        <f>'BIO DATA'!J172</f>
        <v>1</v>
      </c>
      <c r="H336" s="34" t="str">
        <f>'BIO DATA'!N172</f>
        <v>Tuban</v>
      </c>
      <c r="I336" s="120" t="str">
        <f>'BIO DATA'!Q172</f>
        <v>19 Februari 2010</v>
      </c>
      <c r="J336" s="34" t="str">
        <f>'BIO DATA'!T172</f>
        <v>Jl. Arjuna 38, RT. 01, Dusun Sareyan, Desa Wonokromo, Kec. Pleret, Bantul, DI Yogyakarta. 55791</v>
      </c>
      <c r="K336" s="34" t="str">
        <f>'BIO DATA'!AC172</f>
        <v>Budi Ashari</v>
      </c>
      <c r="L336" s="123" t="str">
        <f>'BIO DATA'!AH172</f>
        <v>081578644351</v>
      </c>
      <c r="M336" s="34" t="str">
        <f>'BIO DATA'!AJ172</f>
        <v>Yenti Afifah</v>
      </c>
      <c r="N336" s="125">
        <f>'BIO DATA'!AO172</f>
        <v>0</v>
      </c>
      <c r="O336" s="34" t="str">
        <f>'BIO DATA'!AF172</f>
        <v>Lainnya</v>
      </c>
      <c r="P336" s="34" t="str">
        <f>'BIO DATA'!AM172</f>
        <v>Ibu Rumah Tangga</v>
      </c>
      <c r="Q336" s="159" t="str">
        <f>'BIO DATA'!I172</f>
        <v>MTs-25
120006337</v>
      </c>
    </row>
    <row r="337" spans="2:17" s="38" customFormat="1" ht="51">
      <c r="B337" s="32">
        <v>26</v>
      </c>
      <c r="C337" s="33">
        <f>'BIO DATA'!D173</f>
        <v>11509</v>
      </c>
      <c r="D337" s="138" t="str">
        <f>'BIO DATA'!E173</f>
        <v>0106993081</v>
      </c>
      <c r="E337" s="34" t="str">
        <f>'BIO DATA'!F173</f>
        <v>Zahid Jirga Karzani</v>
      </c>
      <c r="F337" s="35" t="str">
        <f>'BIO DATA'!Z173</f>
        <v>MTs. Mu'allimin Muh. Yogyakarta</v>
      </c>
      <c r="G337" s="68">
        <f>'BIO DATA'!J173</f>
        <v>1</v>
      </c>
      <c r="H337" s="34" t="str">
        <f>'BIO DATA'!N173</f>
        <v>Pangkalpinang</v>
      </c>
      <c r="I337" s="120" t="str">
        <f>'BIO DATA'!Q173</f>
        <v>08 Januari 2010</v>
      </c>
      <c r="J337" s="34" t="str">
        <f>'BIO DATA'!T173</f>
        <v>Jl. Cempedak II RT/RW 008/003 Kel. Keramat Kec. Rangkui Kota Pangkalpinang Kep. Bangka Belitung 33134</v>
      </c>
      <c r="K337" s="34" t="str">
        <f>'BIO DATA'!AC173</f>
        <v>Akhmad Sumartono</v>
      </c>
      <c r="L337" s="123" t="str">
        <f>'BIO DATA'!AH173</f>
        <v>081995361433</v>
      </c>
      <c r="M337" s="34" t="str">
        <f>'BIO DATA'!AJ173</f>
        <v>Eni Nur Isnaini</v>
      </c>
      <c r="N337" s="125">
        <f>'BIO DATA'!AO173</f>
        <v>0</v>
      </c>
      <c r="O337" s="34" t="str">
        <f>'BIO DATA'!AF173</f>
        <v>PNS</v>
      </c>
      <c r="P337" s="34" t="str">
        <f>'BIO DATA'!AM173</f>
        <v>PNS</v>
      </c>
      <c r="Q337" s="159" t="str">
        <f>'BIO DATA'!I173</f>
        <v>MTs-25
120006513</v>
      </c>
    </row>
    <row r="338" spans="2:17" s="38" customFormat="1" ht="12.75">
      <c r="B338" s="39"/>
      <c r="C338" s="40"/>
      <c r="D338" s="107"/>
      <c r="E338" s="41"/>
      <c r="F338" s="37"/>
      <c r="G338" s="108"/>
      <c r="H338" s="41"/>
      <c r="I338" s="121"/>
      <c r="J338" s="41"/>
      <c r="K338" s="41"/>
      <c r="L338" s="43"/>
      <c r="M338" s="41"/>
      <c r="N338" s="122"/>
      <c r="O338" s="41"/>
      <c r="P338" s="41"/>
      <c r="Q338" s="122"/>
    </row>
    <row r="339" spans="2:17" s="38" customFormat="1" ht="12.75">
      <c r="B339" s="39"/>
      <c r="C339" s="40"/>
      <c r="D339" s="107"/>
      <c r="E339" s="41"/>
      <c r="F339" s="37"/>
      <c r="G339" s="108"/>
      <c r="H339" s="41"/>
      <c r="I339" s="121"/>
      <c r="J339" s="41"/>
      <c r="K339" s="41"/>
      <c r="L339" s="43"/>
      <c r="M339" s="41"/>
      <c r="N339" s="122"/>
      <c r="O339" s="41"/>
      <c r="P339" s="41"/>
      <c r="Q339" s="122"/>
    </row>
    <row r="340" spans="2:17" s="38" customFormat="1" ht="12.75">
      <c r="B340" s="39"/>
      <c r="C340" s="40"/>
      <c r="D340" s="107"/>
      <c r="E340" s="41"/>
      <c r="F340" s="37"/>
      <c r="G340" s="108"/>
      <c r="H340" s="41"/>
      <c r="I340" s="121"/>
      <c r="J340" s="41"/>
      <c r="K340" s="41"/>
      <c r="L340" s="43"/>
      <c r="M340" s="41"/>
      <c r="N340" s="122"/>
      <c r="O340" s="41"/>
      <c r="P340" s="41"/>
      <c r="Q340" s="122"/>
    </row>
    <row r="341" spans="2:17" s="38" customFormat="1" ht="12.75">
      <c r="B341" s="39"/>
      <c r="C341" s="40"/>
      <c r="D341" s="107"/>
      <c r="E341" s="41"/>
      <c r="F341" s="37"/>
      <c r="G341" s="108"/>
      <c r="H341" s="41"/>
      <c r="I341" s="121"/>
      <c r="J341" s="41"/>
      <c r="K341" s="41"/>
      <c r="L341" s="43"/>
      <c r="M341" s="41"/>
      <c r="N341" s="122"/>
      <c r="O341" s="41"/>
      <c r="P341" s="41"/>
      <c r="Q341" s="122"/>
    </row>
    <row r="342" spans="2:17" s="38" customFormat="1" ht="12.75">
      <c r="B342" s="39"/>
      <c r="C342" s="40"/>
      <c r="D342" s="107"/>
      <c r="E342" s="41"/>
      <c r="F342" s="37"/>
      <c r="G342" s="108"/>
      <c r="H342" s="41"/>
      <c r="I342" s="121"/>
      <c r="J342" s="41"/>
      <c r="K342" s="41"/>
      <c r="L342" s="43"/>
      <c r="M342" s="41"/>
      <c r="N342" s="122"/>
      <c r="O342" s="41"/>
      <c r="P342" s="41"/>
      <c r="Q342" s="122"/>
    </row>
    <row r="343" spans="2:17" s="38" customFormat="1" ht="12.75">
      <c r="B343" s="39"/>
      <c r="C343" s="40"/>
      <c r="D343" s="107"/>
      <c r="E343" s="41"/>
      <c r="F343" s="37"/>
      <c r="G343" s="108"/>
      <c r="H343" s="41"/>
      <c r="I343" s="121"/>
      <c r="J343" s="41"/>
      <c r="K343" s="41"/>
      <c r="L343" s="43"/>
      <c r="M343" s="41"/>
      <c r="N343" s="122"/>
      <c r="O343" s="41"/>
      <c r="P343" s="41"/>
      <c r="Q343" s="122"/>
    </row>
    <row r="344" spans="2:17" s="38" customFormat="1" ht="12.75">
      <c r="B344" s="39"/>
      <c r="C344" s="40"/>
      <c r="D344" s="107"/>
      <c r="E344" s="41"/>
      <c r="F344" s="37"/>
      <c r="G344" s="108"/>
      <c r="H344" s="41"/>
      <c r="I344" s="121"/>
      <c r="J344" s="41"/>
      <c r="K344" s="41"/>
      <c r="L344" s="43"/>
      <c r="M344" s="41"/>
      <c r="N344" s="122"/>
      <c r="O344" s="41"/>
      <c r="P344" s="41"/>
      <c r="Q344" s="122"/>
    </row>
    <row r="345" spans="2:17" s="38" customFormat="1" ht="12.75">
      <c r="B345" s="39"/>
      <c r="C345" s="40"/>
      <c r="D345" s="107"/>
      <c r="E345" s="41"/>
      <c r="F345" s="37"/>
      <c r="G345" s="108"/>
      <c r="H345" s="41"/>
      <c r="I345" s="121"/>
      <c r="J345" s="41"/>
      <c r="K345" s="41"/>
      <c r="L345" s="43"/>
      <c r="M345" s="41"/>
      <c r="N345" s="122"/>
      <c r="O345" s="41"/>
      <c r="P345" s="41"/>
      <c r="Q345" s="122"/>
    </row>
    <row r="346" spans="2:17" s="38" customFormat="1" ht="12.75">
      <c r="B346" s="39"/>
      <c r="C346" s="40"/>
      <c r="D346" s="107"/>
      <c r="E346" s="41"/>
      <c r="F346" s="37"/>
      <c r="G346" s="108"/>
      <c r="H346" s="41"/>
      <c r="I346" s="121"/>
      <c r="J346" s="41"/>
      <c r="K346" s="41"/>
      <c r="L346" s="43"/>
      <c r="M346" s="41"/>
      <c r="N346" s="122"/>
      <c r="O346" s="41"/>
      <c r="P346" s="41"/>
      <c r="Q346" s="122"/>
    </row>
    <row r="347" spans="2:17" s="38" customFormat="1" ht="12.75">
      <c r="B347" s="39"/>
      <c r="C347" s="40"/>
      <c r="D347" s="107"/>
      <c r="E347" s="41"/>
      <c r="F347" s="37"/>
      <c r="G347" s="108"/>
      <c r="H347" s="41"/>
      <c r="I347" s="121"/>
      <c r="J347" s="41"/>
      <c r="K347" s="41"/>
      <c r="L347" s="43"/>
      <c r="M347" s="41"/>
      <c r="N347" s="122"/>
      <c r="O347" s="41"/>
      <c r="P347" s="41"/>
      <c r="Q347" s="122"/>
    </row>
    <row r="348" spans="2:17" s="38" customFormat="1" ht="12.75">
      <c r="B348" s="39"/>
      <c r="C348" s="40"/>
      <c r="D348" s="107"/>
      <c r="E348" s="41"/>
      <c r="F348" s="37"/>
      <c r="G348" s="108"/>
      <c r="H348" s="41"/>
      <c r="I348" s="121"/>
      <c r="J348" s="41"/>
      <c r="K348" s="41"/>
      <c r="L348" s="43"/>
      <c r="M348" s="41"/>
      <c r="N348" s="122"/>
      <c r="O348" s="41"/>
      <c r="P348" s="41"/>
      <c r="Q348" s="122"/>
    </row>
    <row r="349" spans="2:17" s="38" customFormat="1" ht="12.75">
      <c r="B349" s="39"/>
      <c r="C349" s="40"/>
      <c r="D349" s="107"/>
      <c r="E349" s="41"/>
      <c r="F349" s="37"/>
      <c r="G349" s="108"/>
      <c r="H349" s="41"/>
      <c r="I349" s="121"/>
      <c r="J349" s="41"/>
      <c r="K349" s="41"/>
      <c r="L349" s="43"/>
      <c r="M349" s="41"/>
      <c r="N349" s="122"/>
      <c r="O349" s="41"/>
      <c r="P349" s="41"/>
      <c r="Q349" s="122"/>
    </row>
    <row r="350" spans="2:17" s="38" customFormat="1" ht="12.75">
      <c r="B350" s="39"/>
      <c r="C350" s="40"/>
      <c r="D350" s="107"/>
      <c r="E350" s="41"/>
      <c r="F350" s="37"/>
      <c r="G350" s="108"/>
      <c r="H350" s="41"/>
      <c r="I350" s="121"/>
      <c r="J350" s="41"/>
      <c r="K350" s="41"/>
      <c r="L350" s="43"/>
      <c r="M350" s="41"/>
      <c r="N350" s="122"/>
      <c r="O350" s="41"/>
      <c r="P350" s="41"/>
      <c r="Q350" s="122"/>
    </row>
    <row r="351" spans="2:17" s="38" customFormat="1" ht="12.75">
      <c r="B351" s="39"/>
      <c r="C351" s="40"/>
      <c r="D351" s="107"/>
      <c r="E351" s="41"/>
      <c r="F351" s="37"/>
      <c r="G351" s="108"/>
      <c r="H351" s="41"/>
      <c r="I351" s="121"/>
      <c r="J351" s="41"/>
      <c r="K351" s="41"/>
      <c r="L351" s="43"/>
      <c r="M351" s="41"/>
      <c r="N351" s="122"/>
      <c r="O351" s="41"/>
      <c r="P351" s="41"/>
      <c r="Q351" s="122"/>
    </row>
    <row r="352" spans="2:17" s="38" customFormat="1" ht="12.75">
      <c r="B352" s="39"/>
      <c r="C352" s="40"/>
      <c r="D352" s="107"/>
      <c r="E352" s="41"/>
      <c r="F352" s="37"/>
      <c r="G352" s="108"/>
      <c r="H352" s="41"/>
      <c r="I352" s="121"/>
      <c r="J352" s="41"/>
      <c r="K352" s="41"/>
      <c r="L352" s="43"/>
      <c r="M352" s="41"/>
      <c r="N352" s="122"/>
      <c r="O352" s="41"/>
      <c r="P352" s="41"/>
      <c r="Q352" s="122"/>
    </row>
    <row r="353" spans="2:17" s="38" customFormat="1" ht="12.75">
      <c r="B353" s="39"/>
      <c r="C353" s="40"/>
      <c r="D353" s="107"/>
      <c r="E353" s="41"/>
      <c r="F353" s="37"/>
      <c r="G353" s="108"/>
      <c r="H353" s="41"/>
      <c r="I353" s="121"/>
      <c r="J353" s="41"/>
      <c r="K353" s="41"/>
      <c r="L353" s="43"/>
      <c r="M353" s="41"/>
      <c r="N353" s="122"/>
      <c r="O353" s="41"/>
      <c r="P353" s="41"/>
      <c r="Q353" s="122"/>
    </row>
    <row r="354" spans="2:17" s="38" customFormat="1" ht="12.75">
      <c r="B354" s="39"/>
      <c r="C354" s="40"/>
      <c r="D354" s="107"/>
      <c r="E354" s="41"/>
      <c r="F354" s="37"/>
      <c r="G354" s="108"/>
      <c r="H354" s="41"/>
      <c r="I354" s="121"/>
      <c r="J354" s="41"/>
      <c r="K354" s="41"/>
      <c r="L354" s="43"/>
      <c r="M354" s="41"/>
      <c r="N354" s="122"/>
      <c r="O354" s="41"/>
      <c r="P354" s="41"/>
      <c r="Q354" s="122"/>
    </row>
    <row r="355" spans="2:17" s="38" customFormat="1" ht="12.75">
      <c r="B355" s="39"/>
      <c r="C355" s="40"/>
      <c r="D355" s="107"/>
      <c r="E355" s="41"/>
      <c r="F355" s="37"/>
      <c r="G355" s="108"/>
      <c r="H355" s="41"/>
      <c r="I355" s="121"/>
      <c r="J355" s="41"/>
      <c r="K355" s="41"/>
      <c r="L355" s="43"/>
      <c r="M355" s="41"/>
      <c r="N355" s="122"/>
      <c r="O355" s="41"/>
      <c r="P355" s="41"/>
      <c r="Q355" s="122"/>
    </row>
    <row r="356" spans="2:17" s="38" customFormat="1" ht="12.75">
      <c r="B356" s="39"/>
      <c r="C356" s="40"/>
      <c r="D356" s="107"/>
      <c r="E356" s="41"/>
      <c r="F356" s="37"/>
      <c r="G356" s="108"/>
      <c r="H356" s="41"/>
      <c r="I356" s="121"/>
      <c r="J356" s="41"/>
      <c r="K356" s="41"/>
      <c r="L356" s="43"/>
      <c r="M356" s="41"/>
      <c r="N356" s="122"/>
      <c r="O356" s="41"/>
      <c r="P356" s="41"/>
      <c r="Q356" s="122"/>
    </row>
    <row r="357" spans="2:17" s="38" customFormat="1" ht="12.75">
      <c r="B357" s="39"/>
      <c r="C357" s="40"/>
      <c r="D357" s="107"/>
      <c r="E357" s="41"/>
      <c r="F357" s="37"/>
      <c r="G357" s="108"/>
      <c r="H357" s="41"/>
      <c r="I357" s="121"/>
      <c r="J357" s="41"/>
      <c r="K357" s="41"/>
      <c r="L357" s="43"/>
      <c r="M357" s="41"/>
      <c r="N357" s="122"/>
      <c r="O357" s="41"/>
      <c r="P357" s="41"/>
      <c r="Q357" s="122"/>
    </row>
    <row r="358" spans="2:17" s="38" customFormat="1" ht="12.75">
      <c r="B358" s="39"/>
      <c r="C358" s="40"/>
      <c r="D358" s="107"/>
      <c r="E358" s="41"/>
      <c r="F358" s="37"/>
      <c r="G358" s="108"/>
      <c r="H358" s="41"/>
      <c r="I358" s="121"/>
      <c r="J358" s="41"/>
      <c r="K358" s="41"/>
      <c r="L358" s="122"/>
      <c r="M358" s="41"/>
      <c r="N358" s="133"/>
      <c r="O358" s="41"/>
      <c r="P358" s="41"/>
      <c r="Q358" s="122"/>
    </row>
    <row r="359" spans="2:17" s="38" customFormat="1" ht="12.75">
      <c r="B359" s="39"/>
      <c r="C359" s="40"/>
      <c r="D359" s="107"/>
      <c r="E359" s="41"/>
      <c r="F359" s="37"/>
      <c r="G359" s="108"/>
      <c r="H359" s="41"/>
      <c r="I359" s="121"/>
      <c r="J359" s="41"/>
      <c r="K359" s="41"/>
      <c r="L359" s="122"/>
      <c r="M359" s="41"/>
      <c r="N359" s="133"/>
      <c r="O359" s="41"/>
      <c r="P359" s="41"/>
      <c r="Q359" s="122"/>
    </row>
    <row r="360" spans="2:17" s="38" customFormat="1" ht="12.75">
      <c r="B360" s="39"/>
      <c r="C360" s="40"/>
      <c r="D360" s="107"/>
      <c r="E360" s="41"/>
      <c r="F360" s="37"/>
      <c r="G360" s="108"/>
      <c r="H360" s="41"/>
      <c r="I360" s="121"/>
      <c r="J360" s="41"/>
      <c r="K360" s="41"/>
      <c r="L360" s="122"/>
      <c r="M360" s="41"/>
      <c r="N360" s="133"/>
      <c r="O360" s="41"/>
      <c r="P360" s="41"/>
      <c r="Q360" s="122"/>
    </row>
    <row r="361" spans="2:17" s="38" customFormat="1" ht="12.75">
      <c r="B361" s="39"/>
      <c r="C361" s="40"/>
      <c r="D361" s="107"/>
      <c r="E361" s="41"/>
      <c r="F361" s="37"/>
      <c r="G361" s="108"/>
      <c r="H361" s="41"/>
      <c r="I361" s="121"/>
      <c r="J361" s="41"/>
      <c r="K361" s="41"/>
      <c r="L361" s="122"/>
      <c r="M361" s="41"/>
      <c r="N361" s="133"/>
      <c r="O361" s="41"/>
      <c r="P361" s="41"/>
      <c r="Q361" s="122"/>
    </row>
    <row r="362" spans="2:17" s="38" customFormat="1" ht="12.75">
      <c r="B362" s="39"/>
      <c r="C362" s="40"/>
      <c r="D362" s="107"/>
      <c r="E362" s="41"/>
      <c r="F362" s="37"/>
      <c r="G362" s="108"/>
      <c r="H362" s="41"/>
      <c r="I362" s="121"/>
      <c r="J362" s="41"/>
      <c r="K362" s="41"/>
      <c r="L362" s="122"/>
      <c r="M362" s="41"/>
      <c r="N362" s="133"/>
      <c r="O362" s="41"/>
      <c r="P362" s="41"/>
      <c r="Q362" s="122"/>
    </row>
    <row r="363" spans="2:17" s="38" customFormat="1" ht="12.75">
      <c r="B363" s="39"/>
      <c r="C363" s="40"/>
      <c r="D363" s="107"/>
      <c r="E363" s="41"/>
      <c r="F363" s="37"/>
      <c r="G363" s="108"/>
      <c r="H363" s="41"/>
      <c r="I363" s="121"/>
      <c r="J363" s="41"/>
      <c r="K363" s="41"/>
      <c r="L363" s="122"/>
      <c r="M363" s="41"/>
      <c r="N363" s="133"/>
      <c r="O363" s="41"/>
      <c r="P363" s="41"/>
      <c r="Q363" s="122"/>
    </row>
    <row r="364" spans="2:17" s="38" customFormat="1" ht="12" customHeight="1">
      <c r="B364" s="39"/>
      <c r="C364" s="40"/>
      <c r="D364" s="107"/>
      <c r="E364" s="41"/>
      <c r="F364" s="37"/>
      <c r="G364" s="108"/>
      <c r="H364" s="41"/>
      <c r="I364" s="121"/>
      <c r="J364" s="41"/>
      <c r="K364" s="41"/>
      <c r="L364" s="122"/>
      <c r="M364" s="41"/>
      <c r="N364" s="133"/>
      <c r="O364" s="41"/>
      <c r="P364" s="41"/>
      <c r="Q364" s="122"/>
    </row>
    <row r="365" spans="2:17" s="38" customFormat="1" ht="12.75" hidden="1">
      <c r="B365" s="39"/>
      <c r="C365" s="40"/>
      <c r="D365" s="107"/>
      <c r="E365" s="41"/>
      <c r="F365" s="37"/>
      <c r="G365" s="108"/>
      <c r="H365" s="41"/>
      <c r="I365" s="121"/>
      <c r="J365" s="41"/>
      <c r="K365" s="41"/>
      <c r="L365" s="122"/>
      <c r="M365" s="41"/>
      <c r="N365" s="133"/>
      <c r="O365" s="41"/>
      <c r="P365" s="41"/>
      <c r="Q365" s="122"/>
    </row>
    <row r="366" spans="2:17" s="38" customFormat="1" ht="12.75">
      <c r="B366" s="39"/>
      <c r="C366" s="40"/>
      <c r="D366" s="107"/>
      <c r="E366" s="41"/>
      <c r="F366" s="37"/>
      <c r="G366" s="108"/>
      <c r="H366" s="41"/>
      <c r="I366" s="121"/>
      <c r="J366" s="41"/>
      <c r="K366" s="41"/>
      <c r="L366" s="122"/>
      <c r="M366" s="41"/>
      <c r="N366" s="133"/>
      <c r="O366" s="41"/>
      <c r="P366" s="41"/>
      <c r="Q366" s="122"/>
    </row>
    <row r="367" spans="2:17" s="38" customFormat="1" ht="12.75">
      <c r="B367" s="39"/>
      <c r="C367" s="40"/>
      <c r="D367" s="107"/>
      <c r="E367" s="41"/>
      <c r="F367" s="37"/>
      <c r="G367" s="108"/>
      <c r="H367" s="41"/>
      <c r="I367" s="121"/>
      <c r="J367" s="41"/>
      <c r="K367" s="41"/>
      <c r="L367" s="122"/>
      <c r="M367" s="41"/>
      <c r="N367" s="133"/>
      <c r="O367" s="41"/>
      <c r="P367" s="41"/>
      <c r="Q367" s="122"/>
    </row>
    <row r="368" spans="2:17" s="38" customFormat="1" ht="12.75">
      <c r="B368" s="39"/>
      <c r="C368" s="40"/>
      <c r="D368" s="107"/>
      <c r="E368" s="41"/>
      <c r="F368" s="37"/>
      <c r="G368" s="108"/>
      <c r="H368" s="41"/>
      <c r="I368" s="121"/>
      <c r="J368" s="41"/>
      <c r="K368" s="41"/>
      <c r="L368" s="122"/>
      <c r="M368" s="41"/>
      <c r="N368" s="133"/>
      <c r="O368" s="41"/>
      <c r="P368" s="41"/>
      <c r="Q368" s="122"/>
    </row>
    <row r="369" spans="2:19" s="38" customFormat="1" ht="12.75">
      <c r="B369" s="39"/>
      <c r="C369" s="40"/>
      <c r="D369" s="107"/>
      <c r="E369" s="41"/>
      <c r="F369" s="37"/>
      <c r="G369" s="108"/>
      <c r="H369" s="41"/>
      <c r="I369" s="121"/>
      <c r="J369" s="41"/>
      <c r="K369" s="41"/>
      <c r="L369" s="122"/>
      <c r="M369" s="41"/>
      <c r="N369" s="133"/>
      <c r="O369" s="41"/>
      <c r="P369" s="41"/>
      <c r="Q369" s="122"/>
    </row>
    <row r="370" spans="2:19" s="22" customFormat="1" ht="18.75">
      <c r="B370" s="263" t="s">
        <v>3297</v>
      </c>
      <c r="C370" s="263"/>
      <c r="D370" s="263"/>
      <c r="E370" s="263"/>
      <c r="F370" s="263"/>
      <c r="G370" s="263"/>
      <c r="H370" s="263"/>
      <c r="I370" s="263"/>
      <c r="J370" s="263"/>
      <c r="K370" s="263"/>
      <c r="L370" s="263"/>
      <c r="M370" s="263"/>
      <c r="N370" s="263"/>
      <c r="O370" s="263"/>
      <c r="P370" s="263"/>
      <c r="Q370" s="263"/>
    </row>
    <row r="371" spans="2:19" s="22" customFormat="1" ht="18.75">
      <c r="B371" s="263" t="s">
        <v>133</v>
      </c>
      <c r="C371" s="263"/>
      <c r="D371" s="263"/>
      <c r="E371" s="263"/>
      <c r="F371" s="263"/>
      <c r="G371" s="263"/>
      <c r="H371" s="263"/>
      <c r="I371" s="263"/>
      <c r="J371" s="263"/>
      <c r="K371" s="263"/>
      <c r="L371" s="263"/>
      <c r="M371" s="263"/>
      <c r="N371" s="263"/>
      <c r="O371" s="263"/>
      <c r="P371" s="263"/>
      <c r="Q371" s="263"/>
    </row>
    <row r="372" spans="2:19" s="22" customFormat="1" ht="18.75">
      <c r="B372" s="264" t="s">
        <v>3300</v>
      </c>
      <c r="C372" s="264"/>
      <c r="D372" s="264"/>
      <c r="E372" s="264"/>
      <c r="F372" s="264"/>
      <c r="G372" s="264"/>
      <c r="H372" s="264"/>
      <c r="I372" s="264"/>
      <c r="J372" s="264"/>
      <c r="K372" s="264"/>
      <c r="L372" s="264"/>
      <c r="M372" s="264"/>
      <c r="N372" s="264"/>
      <c r="O372" s="264"/>
      <c r="P372" s="264"/>
      <c r="Q372" s="264"/>
    </row>
    <row r="373" spans="2:19" s="23" customFormat="1" ht="15.75" customHeight="1">
      <c r="B373" s="262" t="s">
        <v>0</v>
      </c>
      <c r="C373" s="265" t="s">
        <v>134</v>
      </c>
      <c r="D373" s="266" t="s">
        <v>2</v>
      </c>
      <c r="E373" s="267" t="s">
        <v>3</v>
      </c>
      <c r="F373" s="267" t="s">
        <v>8</v>
      </c>
      <c r="G373" s="262" t="s">
        <v>135</v>
      </c>
      <c r="H373" s="262" t="s">
        <v>136</v>
      </c>
      <c r="I373" s="262"/>
      <c r="J373" s="269" t="s">
        <v>6</v>
      </c>
      <c r="K373" s="268" t="s">
        <v>137</v>
      </c>
      <c r="L373" s="268"/>
      <c r="M373" s="268"/>
      <c r="N373" s="268"/>
      <c r="O373" s="270" t="s">
        <v>138</v>
      </c>
      <c r="P373" s="270"/>
      <c r="Q373" s="262" t="s">
        <v>139</v>
      </c>
    </row>
    <row r="374" spans="2:19" s="23" customFormat="1" ht="15.75" customHeight="1">
      <c r="B374" s="262"/>
      <c r="C374" s="265"/>
      <c r="D374" s="266"/>
      <c r="E374" s="267"/>
      <c r="F374" s="267"/>
      <c r="G374" s="262"/>
      <c r="H374" s="24" t="s">
        <v>140</v>
      </c>
      <c r="I374" s="24" t="s">
        <v>141</v>
      </c>
      <c r="J374" s="269"/>
      <c r="K374" s="26" t="s">
        <v>142</v>
      </c>
      <c r="L374" s="25" t="s">
        <v>142</v>
      </c>
      <c r="M374" s="26" t="s">
        <v>143</v>
      </c>
      <c r="N374" s="25" t="s">
        <v>144</v>
      </c>
      <c r="O374" s="24" t="s">
        <v>145</v>
      </c>
      <c r="P374" s="24" t="s">
        <v>146</v>
      </c>
      <c r="Q374" s="262"/>
      <c r="R374" s="7"/>
      <c r="S374" s="7"/>
    </row>
    <row r="375" spans="2:19" s="38" customFormat="1" ht="25.5">
      <c r="B375" s="32">
        <v>1</v>
      </c>
      <c r="C375" s="33">
        <f>'BIO DATA'!D174</f>
        <v>11206</v>
      </c>
      <c r="D375" s="62" t="str">
        <f>'BIO DATA'!E174</f>
        <v>0096642761</v>
      </c>
      <c r="E375" s="34" t="str">
        <f>'BIO DATA'!F174</f>
        <v>Ade Almukhsin Mahoya</v>
      </c>
      <c r="F375" s="35" t="str">
        <f>'BIO DATA'!Z174</f>
        <v>MTs. Mu'allimin Muh. Yogyakarta</v>
      </c>
      <c r="G375" s="68">
        <f>'BIO DATA'!J174</f>
        <v>1</v>
      </c>
      <c r="H375" s="34" t="str">
        <f>'BIO DATA'!N174</f>
        <v>Curup</v>
      </c>
      <c r="I375" s="120" t="str">
        <f>'BIO DATA'!Q174</f>
        <v>10 Desember 2009</v>
      </c>
      <c r="J375" s="34" t="str">
        <f>'BIO DATA'!T174</f>
        <v>Jl. Batas Desa Mekar Sari Bengkulu 39124</v>
      </c>
      <c r="K375" s="34" t="str">
        <f>'BIO DATA'!AC174</f>
        <v>Rahi Safitri Mahoya</v>
      </c>
      <c r="L375" s="36" t="str">
        <f>'BIO DATA'!AH174</f>
        <v>089633968524</v>
      </c>
      <c r="M375" s="34" t="str">
        <f>'BIO DATA'!AJ174</f>
        <v>Habibah</v>
      </c>
      <c r="N375" s="125">
        <f>'BIO DATA'!AO174</f>
        <v>0</v>
      </c>
      <c r="O375" s="34" t="str">
        <f>'BIO DATA'!AF174</f>
        <v>Lainnya</v>
      </c>
      <c r="P375" s="34" t="str">
        <f>'BIO DATA'!AM174</f>
        <v>PNS</v>
      </c>
      <c r="Q375" s="159" t="str">
        <f>'BIO DATA'!I174</f>
        <v>MTs-25
120006514</v>
      </c>
    </row>
    <row r="376" spans="2:19" s="38" customFormat="1" ht="38.25">
      <c r="B376" s="32">
        <v>2</v>
      </c>
      <c r="C376" s="33">
        <f>'BIO DATA'!D175</f>
        <v>11229</v>
      </c>
      <c r="D376" s="62" t="str">
        <f>'BIO DATA'!E175</f>
        <v>0101553992</v>
      </c>
      <c r="E376" s="34" t="str">
        <f>'BIO DATA'!F175</f>
        <v>Ahmad Rakha Fazli Mawla Umar</v>
      </c>
      <c r="F376" s="35" t="str">
        <f>'BIO DATA'!Z175</f>
        <v>MTs. Mu'allimin Muh. Yogyakarta</v>
      </c>
      <c r="G376" s="68">
        <f>'BIO DATA'!J175</f>
        <v>1</v>
      </c>
      <c r="H376" s="34" t="str">
        <f>'BIO DATA'!N175</f>
        <v>Banjarmasin</v>
      </c>
      <c r="I376" s="120" t="str">
        <f>'BIO DATA'!Q175</f>
        <v>10 Maret 2010</v>
      </c>
      <c r="J376" s="34" t="str">
        <f>'BIO DATA'!T175</f>
        <v>Jl. Dharma Praja III No 444 RT 17/002 Kel. Pemurus Luar Banjarmasin Timur Banjarmasin, Kalimantan Selatan, 70249</v>
      </c>
      <c r="K376" s="34" t="str">
        <f>'BIO DATA'!AC175</f>
        <v>Ahmad Mardian Umar</v>
      </c>
      <c r="L376" s="36" t="str">
        <f>'BIO DATA'!AH175</f>
        <v>085246978882</v>
      </c>
      <c r="M376" s="34" t="str">
        <f>'BIO DATA'!AJ175</f>
        <v>Emma Ramayanti, SE</v>
      </c>
      <c r="N376" s="125">
        <f>'BIO DATA'!AO175</f>
        <v>0</v>
      </c>
      <c r="O376" s="34" t="str">
        <f>'BIO DATA'!AF175</f>
        <v>Lainnya</v>
      </c>
      <c r="P376" s="34" t="str">
        <f>'BIO DATA'!AM175</f>
        <v>Karyawan Swasta</v>
      </c>
      <c r="Q376" s="159" t="str">
        <f>'BIO DATA'!I175</f>
        <v>MTs-25
120006534</v>
      </c>
    </row>
    <row r="377" spans="2:19" s="38" customFormat="1" ht="38.25">
      <c r="B377" s="32">
        <v>3</v>
      </c>
      <c r="C377" s="33">
        <f>'BIO DATA'!D176</f>
        <v>11236</v>
      </c>
      <c r="D377" s="62" t="str">
        <f>'BIO DATA'!E176</f>
        <v xml:space="preserve">3081851472	</v>
      </c>
      <c r="E377" s="34" t="str">
        <f>'BIO DATA'!F176</f>
        <v>Aidil Nur Khaizuram</v>
      </c>
      <c r="F377" s="35" t="str">
        <f>'BIO DATA'!Z176</f>
        <v>MTs. Mu'allimin Muh. Yogyakarta</v>
      </c>
      <c r="G377" s="68">
        <f>'BIO DATA'!J176</f>
        <v>0</v>
      </c>
      <c r="H377" s="34" t="str">
        <f>'BIO DATA'!N176</f>
        <v>Malaysia Barat</v>
      </c>
      <c r="I377" s="120" t="str">
        <f>'BIO DATA'!Q176</f>
        <v>07 Desember 2008</v>
      </c>
      <c r="J377" s="34" t="str">
        <f>'BIO DATA'!T176</f>
        <v>LOT 928M Kampung SG Kayuara Bandar Utama Damansara 47400 Pataling Jaya Selangor, Malaysia</v>
      </c>
      <c r="K377" s="34" t="str">
        <f>'BIO DATA'!AC176</f>
        <v>Zumransyah</v>
      </c>
      <c r="L377" s="36" t="str">
        <f>'BIO DATA'!AH176</f>
        <v>601111710641</v>
      </c>
      <c r="M377" s="34" t="str">
        <f>'BIO DATA'!AJ176</f>
        <v>Agustina</v>
      </c>
      <c r="N377" s="125">
        <f>'BIO DATA'!AO176</f>
        <v>0</v>
      </c>
      <c r="O377" s="34" t="str">
        <f>'BIO DATA'!AF176</f>
        <v>Wiraswasta</v>
      </c>
      <c r="P377" s="34" t="str">
        <f>'BIO DATA'!AM176</f>
        <v>Wiraswasta</v>
      </c>
      <c r="Q377" s="159" t="str">
        <f>'BIO DATA'!I176</f>
        <v>MTs-25
120006535</v>
      </c>
    </row>
    <row r="378" spans="2:19" s="38" customFormat="1" ht="38.25">
      <c r="B378" s="32">
        <v>4</v>
      </c>
      <c r="C378" s="33">
        <f>'BIO DATA'!D177</f>
        <v>11278</v>
      </c>
      <c r="D378" s="62" t="str">
        <f>'BIO DATA'!E177</f>
        <v>0093428740</v>
      </c>
      <c r="E378" s="34" t="str">
        <f>'BIO DATA'!F177</f>
        <v>Bilal Azfar Andira</v>
      </c>
      <c r="F378" s="35" t="str">
        <f>'BIO DATA'!Z177</f>
        <v>MTs. Mu'allimin Muh. Yogyakarta</v>
      </c>
      <c r="G378" s="68">
        <f>'BIO DATA'!J177</f>
        <v>3</v>
      </c>
      <c r="H378" s="34" t="str">
        <f>'BIO DATA'!N177</f>
        <v>Depok</v>
      </c>
      <c r="I378" s="120" t="str">
        <f>'BIO DATA'!Q177</f>
        <v>09 Desember 2009</v>
      </c>
      <c r="J378" s="34" t="str">
        <f>'BIO DATA'!T177</f>
        <v>Jalan Mushola No. 494 RT 002 RW 010 Tanah Baru, Beji, Depok Jawa Barat 16426</v>
      </c>
      <c r="K378" s="34" t="str">
        <f>'BIO DATA'!AC177</f>
        <v>Andi</v>
      </c>
      <c r="L378" s="36" t="str">
        <f>'BIO DATA'!AH177</f>
        <v>08129949439</v>
      </c>
      <c r="M378" s="34" t="str">
        <f>'BIO DATA'!AJ177</f>
        <v>Saraswati</v>
      </c>
      <c r="N378" s="125">
        <f>'BIO DATA'!AO177</f>
        <v>0</v>
      </c>
      <c r="O378" s="34" t="str">
        <f>'BIO DATA'!AF177</f>
        <v>Wiraswasta</v>
      </c>
      <c r="P378" s="34" t="str">
        <f>'BIO DATA'!AM177</f>
        <v>Ibu Rumah Tangga</v>
      </c>
      <c r="Q378" s="159" t="str">
        <f>'BIO DATA'!I177</f>
        <v>MTs-25
120006536</v>
      </c>
    </row>
    <row r="379" spans="2:19" s="38" customFormat="1" ht="38.25">
      <c r="B379" s="32">
        <v>5</v>
      </c>
      <c r="C379" s="33">
        <f>'BIO DATA'!D178</f>
        <v>11299</v>
      </c>
      <c r="D379" s="62" t="str">
        <f>'BIO DATA'!E178</f>
        <v>0093845336</v>
      </c>
      <c r="E379" s="34" t="str">
        <f>'BIO DATA'!F178</f>
        <v>Dzaky Akhdan Rafif Ath-thoriq</v>
      </c>
      <c r="F379" s="35" t="str">
        <f>'BIO DATA'!Z178</f>
        <v>MTs. Mu'allimin Muh. Yogyakarta</v>
      </c>
      <c r="G379" s="68">
        <f>'BIO DATA'!J178</f>
        <v>1</v>
      </c>
      <c r="H379" s="34" t="str">
        <f>'BIO DATA'!N178</f>
        <v>Batang</v>
      </c>
      <c r="I379" s="120" t="str">
        <f>'BIO DATA'!Q178</f>
        <v>07 November 2010</v>
      </c>
      <c r="J379" s="34" t="str">
        <f>'BIO DATA'!T178</f>
        <v>Dk. Gendogosari RT 002/005, Ds. Krengseng, Kec. Gringsing, Kab. Batang Jawa Tengah 51281</v>
      </c>
      <c r="K379" s="34" t="str">
        <f>'BIO DATA'!AC178</f>
        <v>Rizal Afiv Haqiqie</v>
      </c>
      <c r="L379" s="36" t="str">
        <f>'BIO DATA'!AH178</f>
        <v>085291911995</v>
      </c>
      <c r="M379" s="34" t="str">
        <f>'BIO DATA'!AJ178</f>
        <v>Anis Kurniati</v>
      </c>
      <c r="N379" s="125">
        <f>'BIO DATA'!AO178</f>
        <v>0</v>
      </c>
      <c r="O379" s="34" t="str">
        <f>'BIO DATA'!AF178</f>
        <v>Lainnya</v>
      </c>
      <c r="P379" s="34" t="str">
        <f>'BIO DATA'!AM178</f>
        <v>Wiraswasta</v>
      </c>
      <c r="Q379" s="159" t="str">
        <f>'BIO DATA'!I178</f>
        <v>MTs-25
120006539</v>
      </c>
    </row>
    <row r="380" spans="2:19" s="38" customFormat="1" ht="38.25">
      <c r="B380" s="32">
        <v>6</v>
      </c>
      <c r="C380" s="33">
        <f>'BIO DATA'!D179</f>
        <v>11322</v>
      </c>
      <c r="D380" s="62" t="str">
        <f>'BIO DATA'!E179</f>
        <v>3091647442</v>
      </c>
      <c r="E380" s="34" t="str">
        <f>'BIO DATA'!F179</f>
        <v>Faris Ahmad Nurtawab</v>
      </c>
      <c r="F380" s="35" t="str">
        <f>'BIO DATA'!Z179</f>
        <v>MTs. Mu'allimin Muh. Yogyakarta</v>
      </c>
      <c r="G380" s="68">
        <f>'BIO DATA'!J179</f>
        <v>2</v>
      </c>
      <c r="H380" s="34" t="str">
        <f>'BIO DATA'!N179</f>
        <v>Tangerang</v>
      </c>
      <c r="I380" s="120" t="str">
        <f>'BIO DATA'!Q179</f>
        <v>31 Juli 2009</v>
      </c>
      <c r="J380" s="34" t="str">
        <f>'BIO DATA'!T179</f>
        <v>Perum Griya Sasmita B2 No.6, Serua, Bojongsari, Kota Depok , Jawa Barat, 16517</v>
      </c>
      <c r="K380" s="34" t="str">
        <f>'BIO DATA'!AC179</f>
        <v>Ervan Nurtawab</v>
      </c>
      <c r="L380" s="36" t="str">
        <f>'BIO DATA'!AH179</f>
        <v>081291189623</v>
      </c>
      <c r="M380" s="34" t="str">
        <f>'BIO DATA'!AJ179</f>
        <v>Wilda Rahmah Dia</v>
      </c>
      <c r="N380" s="125">
        <f>'BIO DATA'!AO179</f>
        <v>0</v>
      </c>
      <c r="O380" s="34" t="str">
        <f>'BIO DATA'!AF179</f>
        <v>Dosen</v>
      </c>
      <c r="P380" s="34" t="str">
        <f>'BIO DATA'!AM179</f>
        <v>Karyawan Swasta</v>
      </c>
      <c r="Q380" s="159" t="str">
        <f>'BIO DATA'!I179</f>
        <v>MTs-25
120006522</v>
      </c>
    </row>
    <row r="381" spans="2:19" s="38" customFormat="1" ht="25.5">
      <c r="B381" s="32">
        <v>7</v>
      </c>
      <c r="C381" s="33">
        <f>'BIO DATA'!D180</f>
        <v>11332</v>
      </c>
      <c r="D381" s="62" t="str">
        <f>'BIO DATA'!E180</f>
        <v>3095096075</v>
      </c>
      <c r="E381" s="34" t="str">
        <f>'BIO DATA'!F180</f>
        <v>Faza Rama Narendra</v>
      </c>
      <c r="F381" s="35" t="str">
        <f>'BIO DATA'!Z180</f>
        <v>MTs. Mu'allimin Muh. Yogyakarta</v>
      </c>
      <c r="G381" s="68">
        <f>'BIO DATA'!J180</f>
        <v>1</v>
      </c>
      <c r="H381" s="34" t="str">
        <f>'BIO DATA'!N180</f>
        <v>Temanggung</v>
      </c>
      <c r="I381" s="120" t="str">
        <f>'BIO DATA'!Q180</f>
        <v>31 Agustus 2009</v>
      </c>
      <c r="J381" s="34" t="str">
        <f>'BIO DATA'!T180</f>
        <v>Salakan, Gambasan RT 1 RW 1 Selopampang , Jawa Tengah, 56100</v>
      </c>
      <c r="K381" s="34" t="str">
        <f>'BIO DATA'!AC180</f>
        <v>Erawan Ari Wiranto</v>
      </c>
      <c r="L381" s="36" t="str">
        <f>'BIO DATA'!AH180</f>
        <v>081328374640</v>
      </c>
      <c r="M381" s="34" t="str">
        <f>'BIO DATA'!AJ180</f>
        <v>Willia Mina Ainun</v>
      </c>
      <c r="N381" s="125">
        <f>'BIO DATA'!AO180</f>
        <v>0</v>
      </c>
      <c r="O381" s="34" t="str">
        <f>'BIO DATA'!AF180</f>
        <v>Lainnya</v>
      </c>
      <c r="P381" s="34" t="str">
        <f>'BIO DATA'!AM180</f>
        <v>Ibu Rumah Tangga</v>
      </c>
      <c r="Q381" s="159" t="str">
        <f>'BIO DATA'!I180</f>
        <v>MTs-25
120006541</v>
      </c>
    </row>
    <row r="382" spans="2:19" s="38" customFormat="1" ht="51">
      <c r="B382" s="32">
        <v>8</v>
      </c>
      <c r="C382" s="33">
        <f>'BIO DATA'!D181</f>
        <v>11353</v>
      </c>
      <c r="D382" s="62" t="str">
        <f>'BIO DATA'!E181</f>
        <v>0106344434</v>
      </c>
      <c r="E382" s="34" t="str">
        <f>'BIO DATA'!F181</f>
        <v>Ighra Kayyas J. Al Aziz</v>
      </c>
      <c r="F382" s="35" t="str">
        <f>'BIO DATA'!Z181</f>
        <v>MTs. Mu'allimin Muh. Yogyakarta</v>
      </c>
      <c r="G382" s="68">
        <f>'BIO DATA'!J181</f>
        <v>1</v>
      </c>
      <c r="H382" s="34" t="str">
        <f>'BIO DATA'!N181</f>
        <v>Yogyakarta</v>
      </c>
      <c r="I382" s="120" t="str">
        <f>'BIO DATA'!Q181</f>
        <v>21 Juni 2010</v>
      </c>
      <c r="J382" s="34" t="str">
        <f>'BIO DATA'!T181</f>
        <v>Jl Pangeran Wirosobo Gang Wirokaryo RT 55 RW 14 Wirosaban Kel. Sorosutan Kec. Umbulharjo Yogyakarta, DI Yogyakarta, 55162</v>
      </c>
      <c r="K382" s="34" t="str">
        <f>'BIO DATA'!AC181</f>
        <v>Mujiyarto</v>
      </c>
      <c r="L382" s="36" t="str">
        <f>'BIO DATA'!AH181</f>
        <v>081931735805</v>
      </c>
      <c r="M382" s="34" t="str">
        <f>'BIO DATA'!AJ181</f>
        <v>Romlah Suprihatin</v>
      </c>
      <c r="N382" s="125">
        <f>'BIO DATA'!AO181</f>
        <v>0</v>
      </c>
      <c r="O382" s="34" t="str">
        <f>'BIO DATA'!AF181</f>
        <v>Lainnya</v>
      </c>
      <c r="P382" s="34" t="str">
        <f>'BIO DATA'!AM181</f>
        <v>Guru</v>
      </c>
      <c r="Q382" s="159" t="str">
        <f>'BIO DATA'!I181</f>
        <v>MTs-25
120006558</v>
      </c>
    </row>
    <row r="383" spans="2:19" s="38" customFormat="1" ht="38.25">
      <c r="B383" s="32">
        <v>9</v>
      </c>
      <c r="C383" s="33">
        <f>'BIO DATA'!D182</f>
        <v>11376</v>
      </c>
      <c r="D383" s="62" t="str">
        <f>'BIO DATA'!E182</f>
        <v>0102867139</v>
      </c>
      <c r="E383" s="34" t="str">
        <f>'BIO DATA'!F182</f>
        <v>Mochammad Faza Aqila</v>
      </c>
      <c r="F383" s="35" t="str">
        <f>'BIO DATA'!Z182</f>
        <v>MTs. Mu'allimin Muh. Yogyakarta</v>
      </c>
      <c r="G383" s="68">
        <f>'BIO DATA'!J182</f>
        <v>2</v>
      </c>
      <c r="H383" s="34" t="str">
        <f>'BIO DATA'!N182</f>
        <v>Sleman</v>
      </c>
      <c r="I383" s="120" t="str">
        <f>'BIO DATA'!Q182</f>
        <v>25 Januari 2010</v>
      </c>
      <c r="J383" s="34" t="str">
        <f>'BIO DATA'!T182</f>
        <v>Jl Ksatrian K 39 Jatingaleh RT 01 RW 07 Kec. Candi Sari Semarang, Jawa Tengah, 50254</v>
      </c>
      <c r="K383" s="34" t="str">
        <f>'BIO DATA'!AC182</f>
        <v>Mochammad Madkhan</v>
      </c>
      <c r="L383" s="36" t="str">
        <f>'BIO DATA'!AH182</f>
        <v>082135364338</v>
      </c>
      <c r="M383" s="34" t="str">
        <f>'BIO DATA'!AJ182</f>
        <v>Sugestie Rijani Adie Soetomo</v>
      </c>
      <c r="N383" s="125">
        <f>'BIO DATA'!AO182</f>
        <v>0</v>
      </c>
      <c r="O383" s="34" t="str">
        <f>'BIO DATA'!AF182</f>
        <v>Wiraswasta</v>
      </c>
      <c r="P383" s="34" t="str">
        <f>'BIO DATA'!AM182</f>
        <v>Karyawan BUMN</v>
      </c>
      <c r="Q383" s="159" t="str">
        <f>'BIO DATA'!I182</f>
        <v>MTs-25
120006544</v>
      </c>
    </row>
    <row r="384" spans="2:19" s="38" customFormat="1" ht="38.25">
      <c r="B384" s="32">
        <v>10</v>
      </c>
      <c r="C384" s="33">
        <f>'BIO DATA'!D183</f>
        <v>11386</v>
      </c>
      <c r="D384" s="62" t="str">
        <f>'BIO DATA'!E183</f>
        <v>0093274075</v>
      </c>
      <c r="E384" s="34" t="str">
        <f>'BIO DATA'!F183</f>
        <v>Muhammad Albyandra Aqvalo Mei Havendi</v>
      </c>
      <c r="F384" s="35" t="str">
        <f>'BIO DATA'!Z183</f>
        <v>MTs. Mu'allimin Muh. Yogyakarta</v>
      </c>
      <c r="G384" s="68">
        <f>'BIO DATA'!J183</f>
        <v>1</v>
      </c>
      <c r="H384" s="34" t="str">
        <f>'BIO DATA'!N183</f>
        <v>Temanggung</v>
      </c>
      <c r="I384" s="120" t="str">
        <f>'BIO DATA'!Q183</f>
        <v>16 Mei 2009</v>
      </c>
      <c r="J384" s="34" t="str">
        <f>'BIO DATA'!T183</f>
        <v>Jalan Ngestitama Gang Perkutut. Brajan RT 03 Kel. Tamantirto, Kec. Kasihan, Kab. Bantul. , DI Yogyakarta, 55183</v>
      </c>
      <c r="K384" s="34" t="str">
        <f>'BIO DATA'!AC183</f>
        <v>Harun Efendi</v>
      </c>
      <c r="L384" s="36">
        <f>'BIO DATA'!AH183</f>
        <v>0</v>
      </c>
      <c r="M384" s="34" t="str">
        <f>'BIO DATA'!AJ183</f>
        <v>Venita Mei Rosyanti</v>
      </c>
      <c r="N384" s="125" t="str">
        <f>'BIO DATA'!AO183</f>
        <v>087839727282</v>
      </c>
      <c r="O384" s="34" t="str">
        <f>'BIO DATA'!AF183</f>
        <v>Wiraswasta</v>
      </c>
      <c r="P384" s="34" t="str">
        <f>'BIO DATA'!AM183</f>
        <v>Wiraswasta</v>
      </c>
      <c r="Q384" s="159" t="str">
        <f>'BIO DATA'!I183</f>
        <v>MTs-25
120006546</v>
      </c>
    </row>
    <row r="385" spans="2:19" s="38" customFormat="1" ht="38.25">
      <c r="B385" s="32">
        <v>11</v>
      </c>
      <c r="C385" s="33">
        <f>'BIO DATA'!D184</f>
        <v>11392</v>
      </c>
      <c r="D385" s="62" t="str">
        <f>'BIO DATA'!E184</f>
        <v>0102724712</v>
      </c>
      <c r="E385" s="34" t="str">
        <f>'BIO DATA'!F184</f>
        <v>Muhammad Asyraf Nazhif Yufa</v>
      </c>
      <c r="F385" s="35" t="str">
        <f>'BIO DATA'!Z184</f>
        <v>MTs. Mu'allimin Muh. Yogyakarta</v>
      </c>
      <c r="G385" s="68">
        <f>'BIO DATA'!J184</f>
        <v>1</v>
      </c>
      <c r="H385" s="34" t="str">
        <f>'BIO DATA'!N184</f>
        <v>Magelang</v>
      </c>
      <c r="I385" s="120" t="str">
        <f>'BIO DATA'!Q184</f>
        <v>29 Oktober 2010</v>
      </c>
      <c r="J385" s="34" t="str">
        <f>'BIO DATA'!T184</f>
        <v>Dusun Sandon RT 03 RW 07 Desa Madyocondro Kec. Secang Kab. Magelang Prop. Jawa Tengah 56195</v>
      </c>
      <c r="K385" s="34" t="str">
        <f>'BIO DATA'!AC184</f>
        <v>Yudha Hardiyanto</v>
      </c>
      <c r="L385" s="36" t="str">
        <f>'BIO DATA'!AH184</f>
        <v>085799417775</v>
      </c>
      <c r="M385" s="34" t="str">
        <f>'BIO DATA'!AJ184</f>
        <v>Anifah Nurshofyani</v>
      </c>
      <c r="N385" s="125">
        <f>'BIO DATA'!AO184</f>
        <v>0</v>
      </c>
      <c r="O385" s="34" t="str">
        <f>'BIO DATA'!AF184</f>
        <v>PNS</v>
      </c>
      <c r="P385" s="34" t="str">
        <f>'BIO DATA'!AM184</f>
        <v>Ibu Rumah Tangga</v>
      </c>
      <c r="Q385" s="159" t="str">
        <f>'BIO DATA'!I184</f>
        <v>MTs-25
120006561</v>
      </c>
    </row>
    <row r="386" spans="2:19" s="38" customFormat="1" ht="25.5">
      <c r="B386" s="32">
        <v>12</v>
      </c>
      <c r="C386" s="33">
        <f>'BIO DATA'!D185</f>
        <v>11393</v>
      </c>
      <c r="D386" s="62" t="str">
        <f>'BIO DATA'!E185</f>
        <v>0104912403</v>
      </c>
      <c r="E386" s="34" t="str">
        <f>'BIO DATA'!F185</f>
        <v>Muhammad Atha Haidar</v>
      </c>
      <c r="F386" s="35" t="str">
        <f>'BIO DATA'!Z185</f>
        <v>MTs. Mu'allimin Muh. Yogyakarta</v>
      </c>
      <c r="G386" s="68">
        <f>'BIO DATA'!J185</f>
        <v>1</v>
      </c>
      <c r="H386" s="34" t="str">
        <f>'BIO DATA'!N185</f>
        <v>Sidoarjo</v>
      </c>
      <c r="I386" s="120" t="str">
        <f>'BIO DATA'!Q185</f>
        <v>31 Mei 2010</v>
      </c>
      <c r="J386" s="34" t="str">
        <f>'BIO DATA'!T185</f>
        <v>Gang Merpati 1 No 4 Karangpilang, Kota Surabaya, Jawa Timur, 60221</v>
      </c>
      <c r="K386" s="34" t="str">
        <f>'BIO DATA'!AC185</f>
        <v>Muhammad Afifuddin Zulfitri</v>
      </c>
      <c r="L386" s="36" t="str">
        <f>'BIO DATA'!AH185</f>
        <v>081230203230</v>
      </c>
      <c r="M386" s="34" t="str">
        <f>'BIO DATA'!AJ185</f>
        <v>Asyidatur Rosmaniar</v>
      </c>
      <c r="N386" s="125">
        <f>'BIO DATA'!AO185</f>
        <v>0</v>
      </c>
      <c r="O386" s="34" t="str">
        <f>'BIO DATA'!AF185</f>
        <v>Lainnya</v>
      </c>
      <c r="P386" s="34" t="str">
        <f>'BIO DATA'!AM185</f>
        <v>Dosen</v>
      </c>
      <c r="Q386" s="159" t="str">
        <f>'BIO DATA'!I185</f>
        <v>MTs-25 120006562</v>
      </c>
    </row>
    <row r="387" spans="2:19" s="38" customFormat="1" ht="51">
      <c r="B387" s="32">
        <v>13</v>
      </c>
      <c r="C387" s="33">
        <f>'BIO DATA'!D186</f>
        <v>11450</v>
      </c>
      <c r="D387" s="62" t="str">
        <f>'BIO DATA'!E186</f>
        <v>0102335400</v>
      </c>
      <c r="E387" s="34" t="str">
        <f>'BIO DATA'!F186</f>
        <v>Muhammad Rifyal Al Farizy Wayoi</v>
      </c>
      <c r="F387" s="35" t="str">
        <f>'BIO DATA'!Z186</f>
        <v>MTs. Mu'allimin Muh. Yogyakarta</v>
      </c>
      <c r="G387" s="68">
        <f>'BIO DATA'!J186</f>
        <v>3</v>
      </c>
      <c r="H387" s="34" t="str">
        <f>'BIO DATA'!N186</f>
        <v>Cilacap</v>
      </c>
      <c r="I387" s="120" t="str">
        <f>'BIO DATA'!Q186</f>
        <v>02 April 2010</v>
      </c>
      <c r="J387" s="34" t="str">
        <f>'BIO DATA'!T186</f>
        <v>Jln Pisang No 647 RT 07/RW 03 Tambakreja Cilacap Selatan, Cilacap Jawa Tengah 53213, Jawa Tengah, 53213</v>
      </c>
      <c r="K387" s="34" t="str">
        <f>'BIO DATA'!AC186</f>
        <v>H. Deny Setiawan Wayoi , S.E., M.Pd.</v>
      </c>
      <c r="L387" s="36" t="str">
        <f>'BIO DATA'!AH186</f>
        <v>08122735111</v>
      </c>
      <c r="M387" s="34" t="str">
        <f>'BIO DATA'!AJ186</f>
        <v>Fanti Rosalina</v>
      </c>
      <c r="N387" s="125">
        <f>'BIO DATA'!AO186</f>
        <v>0</v>
      </c>
      <c r="O387" s="34" t="str">
        <f>'BIO DATA'!AF186</f>
        <v>Lainnya</v>
      </c>
      <c r="P387" s="34" t="str">
        <f>'BIO DATA'!AM186</f>
        <v>Ibu Rumah Tangga</v>
      </c>
      <c r="Q387" s="159" t="str">
        <f>'BIO DATA'!I186</f>
        <v>MTs-25
120006547</v>
      </c>
    </row>
    <row r="388" spans="2:19" s="38" customFormat="1" ht="38.25">
      <c r="B388" s="32">
        <v>14</v>
      </c>
      <c r="C388" s="33">
        <f>'BIO DATA'!D187</f>
        <v>11492</v>
      </c>
      <c r="D388" s="62" t="str">
        <f>'BIO DATA'!E187</f>
        <v>0106459277</v>
      </c>
      <c r="E388" s="34" t="str">
        <f>'BIO DATA'!F187</f>
        <v>Riefda Elang Persada</v>
      </c>
      <c r="F388" s="35" t="str">
        <f>'BIO DATA'!Z187</f>
        <v>MTs. Mu'allimin Muh. Yogyakarta</v>
      </c>
      <c r="G388" s="68">
        <f>'BIO DATA'!J187</f>
        <v>3</v>
      </c>
      <c r="H388" s="34" t="str">
        <f>'BIO DATA'!N187</f>
        <v>Banjarnegara</v>
      </c>
      <c r="I388" s="120" t="str">
        <f>'BIO DATA'!Q187</f>
        <v>07 Juli 2010</v>
      </c>
      <c r="J388" s="34" t="str">
        <f>'BIO DATA'!T187</f>
        <v>Kelurahan Karangtengah RT 02 RW 1 Kecamatan Banjarnegara Kabupaten Banjarnegara , Jawa Tengah, 53416</v>
      </c>
      <c r="K388" s="34" t="str">
        <f>'BIO DATA'!AC187</f>
        <v>Syarief Ali</v>
      </c>
      <c r="L388" s="36" t="str">
        <f>'BIO DATA'!AH187</f>
        <v>081391676329</v>
      </c>
      <c r="M388" s="34" t="str">
        <f>'BIO DATA'!AJ187</f>
        <v>Ida Haerani Rakhmawati</v>
      </c>
      <c r="N388" s="125">
        <f>'BIO DATA'!AO187</f>
        <v>0</v>
      </c>
      <c r="O388" s="34" t="str">
        <f>'BIO DATA'!AF187</f>
        <v>PNS</v>
      </c>
      <c r="P388" s="34" t="str">
        <f>'BIO DATA'!AM187</f>
        <v>PNS</v>
      </c>
      <c r="Q388" s="159" t="str">
        <f>'BIO DATA'!I187</f>
        <v>MTs-25
120006550</v>
      </c>
    </row>
    <row r="389" spans="2:19" s="38" customFormat="1" ht="38.25">
      <c r="B389" s="32">
        <v>15</v>
      </c>
      <c r="C389" s="33">
        <f>'BIO DATA'!D188</f>
        <v>11495</v>
      </c>
      <c r="D389" s="62" t="str">
        <f>'BIO DATA'!E188</f>
        <v>0094106302</v>
      </c>
      <c r="E389" s="34" t="str">
        <f>'BIO DATA'!F188</f>
        <v>Satria Al Shatir</v>
      </c>
      <c r="F389" s="35" t="str">
        <f>'BIO DATA'!Z188</f>
        <v>MTs. Mu'allimin Muh. Yogyakarta</v>
      </c>
      <c r="G389" s="68">
        <f>'BIO DATA'!J188</f>
        <v>0</v>
      </c>
      <c r="H389" s="34" t="str">
        <f>'BIO DATA'!N188</f>
        <v>Garut</v>
      </c>
      <c r="I389" s="120" t="str">
        <f>'BIO DATA'!Q188</f>
        <v>30 Agustus 2009</v>
      </c>
      <c r="J389" s="34" t="str">
        <f>'BIO DATA'!T188</f>
        <v>Prancak Dukuh, RT. 003/RW. 000, Panggungharjo, Sewon, Bantul, DI Yogyakarta, 55185</v>
      </c>
      <c r="K389" s="34" t="str">
        <f>'BIO DATA'!AC188</f>
        <v>Asep Maulana Hakim</v>
      </c>
      <c r="L389" s="36" t="str">
        <f>'BIO DATA'!AH188</f>
        <v>085222334555</v>
      </c>
      <c r="M389" s="34" t="str">
        <f>'BIO DATA'!AJ188</f>
        <v>Weli Damayanti</v>
      </c>
      <c r="N389" s="125">
        <f>'BIO DATA'!AO188</f>
        <v>0</v>
      </c>
      <c r="O389" s="34" t="str">
        <f>'BIO DATA'!AF188</f>
        <v>Wiraswasta</v>
      </c>
      <c r="P389" s="34">
        <f>'BIO DATA'!AM188</f>
        <v>0</v>
      </c>
      <c r="Q389" s="159" t="str">
        <f>'BIO DATA'!I188</f>
        <v>MTs-25
120006565</v>
      </c>
    </row>
    <row r="390" spans="2:19" s="38" customFormat="1" ht="51">
      <c r="B390" s="32">
        <v>16</v>
      </c>
      <c r="C390" s="33">
        <f>'BIO DATA'!D189</f>
        <v>11506</v>
      </c>
      <c r="D390" s="62" t="str">
        <f>'BIO DATA'!E189</f>
        <v>0105801072</v>
      </c>
      <c r="E390" s="34" t="str">
        <f>'BIO DATA'!F189</f>
        <v>Tsaqif Al-Fattah</v>
      </c>
      <c r="F390" s="35" t="str">
        <f>'BIO DATA'!Z189</f>
        <v>MTs. Mu'allimin Muh. Yogyakarta</v>
      </c>
      <c r="G390" s="68">
        <f>'BIO DATA'!J189</f>
        <v>2</v>
      </c>
      <c r="H390" s="34" t="str">
        <f>'BIO DATA'!N189</f>
        <v>Yogyakarta</v>
      </c>
      <c r="I390" s="120" t="str">
        <f>'BIO DATA'!Q189</f>
        <v>06 April 2010</v>
      </c>
      <c r="J390" s="34" t="str">
        <f>'BIO DATA'!T189</f>
        <v>Taman Graha Indah Lestari Blok A-1, Jalan Cinduamato, Kampung Lapai, Nanggalo, Padang, Sumatera Barat, 25142</v>
      </c>
      <c r="K390" s="34" t="str">
        <f>'BIO DATA'!AC189</f>
        <v>Muhammad Najmi</v>
      </c>
      <c r="L390" s="36" t="str">
        <f>'BIO DATA'!AH189</f>
        <v>081363445172</v>
      </c>
      <c r="M390" s="34" t="str">
        <f>'BIO DATA'!AJ189</f>
        <v>Nurlaili</v>
      </c>
      <c r="N390" s="125">
        <f>'BIO DATA'!AO189</f>
        <v>0</v>
      </c>
      <c r="O390" s="34" t="str">
        <f>'BIO DATA'!AF189</f>
        <v>Wiraswasta</v>
      </c>
      <c r="P390" s="34" t="str">
        <f>'BIO DATA'!AM189</f>
        <v>Wiraswasta</v>
      </c>
      <c r="Q390" s="159" t="str">
        <f>'BIO DATA'!I189</f>
        <v>MTs-25
120006566</v>
      </c>
    </row>
    <row r="391" spans="2:19" s="38" customFormat="1" ht="38.25">
      <c r="B391" s="32">
        <v>17</v>
      </c>
      <c r="C391" s="33">
        <f>'BIO DATA'!D190</f>
        <v>11512</v>
      </c>
      <c r="D391" s="62" t="str">
        <f>'BIO DATA'!E190</f>
        <v>0105428947</v>
      </c>
      <c r="E391" s="34" t="str">
        <f>'BIO DATA'!F190</f>
        <v>Zaydan Qory Syahbana</v>
      </c>
      <c r="F391" s="35" t="str">
        <f>'BIO DATA'!Z190</f>
        <v>MTs. Mu'allimin Muh. Yogyakarta</v>
      </c>
      <c r="G391" s="68">
        <f>'BIO DATA'!J190</f>
        <v>1</v>
      </c>
      <c r="H391" s="34" t="str">
        <f>'BIO DATA'!N190</f>
        <v>Tenggarong</v>
      </c>
      <c r="I391" s="120" t="str">
        <f>'BIO DATA'!Q190</f>
        <v>30 Mei 2010</v>
      </c>
      <c r="J391" s="34" t="str">
        <f>'BIO DATA'!T190</f>
        <v>Jl Kartini No 28 RT 26 Kel. Loa Ipuh Kec. Tenggarong Kab. Kutai Kartanegara Kalimantan Timur 75513</v>
      </c>
      <c r="K391" s="34" t="str">
        <f>'BIO DATA'!AC190</f>
        <v>Yanika Noor Mulyarandy</v>
      </c>
      <c r="L391" s="36">
        <f>'BIO DATA'!AH190</f>
        <v>0</v>
      </c>
      <c r="M391" s="34" t="str">
        <f>'BIO DATA'!AJ190</f>
        <v>Yuliana Agustiana</v>
      </c>
      <c r="N391" s="125" t="str">
        <f>'BIO DATA'!AO190</f>
        <v>082148333817</v>
      </c>
      <c r="O391" s="34" t="str">
        <f>'BIO DATA'!AF190</f>
        <v>Wiraswasta</v>
      </c>
      <c r="P391" s="34" t="str">
        <f>'BIO DATA'!AM190</f>
        <v>Wiraswasta</v>
      </c>
      <c r="Q391" s="159" t="str">
        <f>'BIO DATA'!I190</f>
        <v>MTs-25
120006568</v>
      </c>
    </row>
    <row r="392" spans="2:19" s="38" customFormat="1" ht="12.75"/>
    <row r="393" spans="2:19" s="38" customFormat="1" ht="12.75">
      <c r="B393" s="39"/>
      <c r="C393" s="40"/>
      <c r="D393" s="107"/>
      <c r="E393" s="41"/>
      <c r="F393" s="37"/>
      <c r="G393" s="108"/>
      <c r="H393" s="41"/>
      <c r="I393" s="121"/>
      <c r="J393" s="41"/>
      <c r="K393" s="41"/>
      <c r="L393" s="43"/>
      <c r="M393" s="41"/>
      <c r="N393" s="122"/>
      <c r="O393" s="41"/>
      <c r="P393" s="41"/>
      <c r="Q393" s="122"/>
    </row>
    <row r="394" spans="2:19" s="38" customFormat="1" ht="12.75">
      <c r="B394" s="39"/>
      <c r="C394" s="40"/>
      <c r="D394" s="107"/>
      <c r="E394" s="41"/>
      <c r="F394" s="37"/>
      <c r="G394" s="108"/>
      <c r="H394" s="41"/>
      <c r="I394" s="121"/>
      <c r="J394" s="41"/>
      <c r="K394" s="41"/>
      <c r="L394" s="43"/>
      <c r="M394" s="41"/>
      <c r="N394" s="122"/>
      <c r="O394" s="41"/>
      <c r="P394" s="41"/>
      <c r="Q394" s="122"/>
    </row>
    <row r="395" spans="2:19" s="38" customFormat="1" ht="12.75">
      <c r="B395" s="39"/>
      <c r="C395" s="40"/>
      <c r="D395" s="107"/>
      <c r="E395" s="41"/>
      <c r="F395" s="37"/>
      <c r="G395" s="108"/>
      <c r="H395" s="41"/>
      <c r="I395" s="121"/>
      <c r="J395" s="41"/>
      <c r="K395" s="41"/>
      <c r="L395" s="43"/>
      <c r="M395" s="41"/>
      <c r="N395" s="122"/>
      <c r="O395" s="41"/>
      <c r="P395" s="41"/>
      <c r="Q395" s="122"/>
    </row>
    <row r="396" spans="2:19" s="22" customFormat="1" ht="18.75">
      <c r="B396" s="263" t="s">
        <v>3298</v>
      </c>
      <c r="C396" s="263"/>
      <c r="D396" s="263"/>
      <c r="E396" s="263"/>
      <c r="F396" s="263"/>
      <c r="G396" s="263"/>
      <c r="H396" s="263"/>
      <c r="I396" s="263"/>
      <c r="J396" s="263"/>
      <c r="K396" s="263"/>
      <c r="L396" s="263"/>
      <c r="M396" s="263"/>
      <c r="N396" s="263"/>
      <c r="O396" s="263"/>
      <c r="P396" s="263"/>
      <c r="Q396" s="263"/>
    </row>
    <row r="397" spans="2:19" s="22" customFormat="1" ht="18.75">
      <c r="B397" s="263" t="s">
        <v>133</v>
      </c>
      <c r="C397" s="263"/>
      <c r="D397" s="263"/>
      <c r="E397" s="263"/>
      <c r="F397" s="263"/>
      <c r="G397" s="263"/>
      <c r="H397" s="263"/>
      <c r="I397" s="263"/>
      <c r="J397" s="263"/>
      <c r="K397" s="263"/>
      <c r="L397" s="263"/>
      <c r="M397" s="263"/>
      <c r="N397" s="263"/>
      <c r="O397" s="263"/>
      <c r="P397" s="263"/>
      <c r="Q397" s="263"/>
    </row>
    <row r="398" spans="2:19" s="22" customFormat="1" ht="18.75">
      <c r="B398" s="264" t="s">
        <v>3300</v>
      </c>
      <c r="C398" s="264"/>
      <c r="D398" s="264"/>
      <c r="E398" s="264"/>
      <c r="F398" s="264"/>
      <c r="G398" s="264"/>
      <c r="H398" s="264"/>
      <c r="I398" s="264"/>
      <c r="J398" s="264"/>
      <c r="K398" s="264"/>
      <c r="L398" s="264"/>
      <c r="M398" s="264"/>
      <c r="N398" s="264"/>
      <c r="O398" s="264"/>
      <c r="P398" s="264"/>
      <c r="Q398" s="264"/>
    </row>
    <row r="399" spans="2:19" s="23" customFormat="1" ht="15.75" customHeight="1">
      <c r="B399" s="262" t="s">
        <v>0</v>
      </c>
      <c r="C399" s="265" t="s">
        <v>134</v>
      </c>
      <c r="D399" s="266" t="s">
        <v>2</v>
      </c>
      <c r="E399" s="267" t="s">
        <v>3</v>
      </c>
      <c r="F399" s="267" t="s">
        <v>8</v>
      </c>
      <c r="G399" s="262" t="s">
        <v>135</v>
      </c>
      <c r="H399" s="262" t="s">
        <v>136</v>
      </c>
      <c r="I399" s="262"/>
      <c r="J399" s="269" t="s">
        <v>6</v>
      </c>
      <c r="K399" s="268" t="s">
        <v>137</v>
      </c>
      <c r="L399" s="268"/>
      <c r="M399" s="268"/>
      <c r="N399" s="268"/>
      <c r="O399" s="270" t="s">
        <v>138</v>
      </c>
      <c r="P399" s="270"/>
      <c r="Q399" s="262" t="s">
        <v>139</v>
      </c>
    </row>
    <row r="400" spans="2:19" s="23" customFormat="1" ht="15.75" customHeight="1">
      <c r="B400" s="262"/>
      <c r="C400" s="265"/>
      <c r="D400" s="266"/>
      <c r="E400" s="267"/>
      <c r="F400" s="267"/>
      <c r="G400" s="262"/>
      <c r="H400" s="24" t="s">
        <v>140</v>
      </c>
      <c r="I400" s="24" t="s">
        <v>141</v>
      </c>
      <c r="J400" s="269"/>
      <c r="K400" s="26" t="s">
        <v>142</v>
      </c>
      <c r="L400" s="25" t="s">
        <v>142</v>
      </c>
      <c r="M400" s="26" t="s">
        <v>143</v>
      </c>
      <c r="N400" s="25" t="s">
        <v>144</v>
      </c>
      <c r="O400" s="24" t="s">
        <v>145</v>
      </c>
      <c r="P400" s="24" t="s">
        <v>146</v>
      </c>
      <c r="Q400" s="262"/>
      <c r="R400" s="7"/>
      <c r="S400" s="7"/>
    </row>
    <row r="401" spans="2:17" s="38" customFormat="1" ht="63.75">
      <c r="B401" s="32">
        <v>1</v>
      </c>
      <c r="C401" s="33">
        <f>'BIO DATA'!D191</f>
        <v>11228</v>
      </c>
      <c r="D401" s="62" t="str">
        <f>'BIO DATA'!E191</f>
        <v>0107989571</v>
      </c>
      <c r="E401" s="34" t="str">
        <f>'BIO DATA'!F191</f>
        <v>Ahmad Nuzul Furqon Pasaribu</v>
      </c>
      <c r="F401" s="35" t="str">
        <f>'BIO DATA'!Z191</f>
        <v>MTs. Mu'allimin Muh. Yogyakarta</v>
      </c>
      <c r="G401" s="68">
        <f>'BIO DATA'!J191</f>
        <v>1</v>
      </c>
      <c r="H401" s="34" t="str">
        <f>'BIO DATA'!N191</f>
        <v>Tangerang Selatan</v>
      </c>
      <c r="I401" s="120" t="str">
        <f>'BIO DATA'!Q191</f>
        <v>26 Agustus 2010</v>
      </c>
      <c r="J401" s="34" t="str">
        <f>'BIO DATA'!T191</f>
        <v>Perumahan Reni Jaya, Jl. Pinus Raya Blok AG. 7, No. 6, RT. 005, RW. 021, Kecamatan Pamulang, Kelurahan Pamulang Barat, Kota Tangerang Selatan Banten 15435</v>
      </c>
      <c r="K401" s="34" t="str">
        <f>'BIO DATA'!AC191</f>
        <v>Azis Fahri Pasaribu</v>
      </c>
      <c r="L401" s="36" t="str">
        <f>'BIO DATA'!AH191</f>
        <v>085216190660</v>
      </c>
      <c r="M401" s="34" t="str">
        <f>'BIO DATA'!AJ191</f>
        <v>Inayah</v>
      </c>
      <c r="N401" s="125">
        <f>'BIO DATA'!AO191</f>
        <v>0</v>
      </c>
      <c r="O401" s="34" t="str">
        <f>'BIO DATA'!AF191</f>
        <v>Lainnya</v>
      </c>
      <c r="P401" s="34" t="str">
        <f>'BIO DATA'!AM191</f>
        <v>Ibu Rumah Tangga</v>
      </c>
      <c r="Q401" s="159" t="str">
        <f>'BIO DATA'!I191</f>
        <v>MTs-25
120006515</v>
      </c>
    </row>
    <row r="402" spans="2:17" s="38" customFormat="1" ht="42" customHeight="1">
      <c r="B402" s="32">
        <v>2</v>
      </c>
      <c r="C402" s="33">
        <f>'BIO DATA'!D192</f>
        <v>11232</v>
      </c>
      <c r="D402" s="62" t="str">
        <f>'BIO DATA'!E192</f>
        <v>0099998616</v>
      </c>
      <c r="E402" s="34" t="str">
        <f>'BIO DATA'!F192</f>
        <v>Ahmad Sururi Al Ghoffar</v>
      </c>
      <c r="F402" s="35" t="str">
        <f>'BIO DATA'!Z192</f>
        <v>MTs. Mu'allimin Muh. Yogyakarta</v>
      </c>
      <c r="G402" s="68">
        <f>'BIO DATA'!J192</f>
        <v>2</v>
      </c>
      <c r="H402" s="34" t="str">
        <f>'BIO DATA'!N192</f>
        <v>Kulon Progo</v>
      </c>
      <c r="I402" s="120" t="str">
        <f>'BIO DATA'!Q192</f>
        <v>30 November 2009</v>
      </c>
      <c r="J402" s="34" t="str">
        <f>'BIO DATA'!T192</f>
        <v>Perum Griya kencana Permai Jl. Wates Km11, RT 38, Bandut Lor, Argorejo, Sedayu, Bantul, DI Yogyakarta, 55752</v>
      </c>
      <c r="K402" s="34" t="str">
        <f>'BIO DATA'!AC192</f>
        <v>Irfan Ari Pamungkas</v>
      </c>
      <c r="L402" s="36" t="str">
        <f>'BIO DATA'!AH192</f>
        <v>08119191257</v>
      </c>
      <c r="M402" s="34" t="str">
        <f>'BIO DATA'!AJ192</f>
        <v>Rini Setiabudi Astuti</v>
      </c>
      <c r="N402" s="125">
        <f>'BIO DATA'!AO192</f>
        <v>0</v>
      </c>
      <c r="O402" s="34" t="str">
        <f>'BIO DATA'!AF192</f>
        <v>Lainnya</v>
      </c>
      <c r="P402" s="34" t="str">
        <f>'BIO DATA'!AM192</f>
        <v>Ibu Rumah Tangga</v>
      </c>
      <c r="Q402" s="159" t="str">
        <f>'BIO DATA'!I192</f>
        <v>MTs-25
120006516</v>
      </c>
    </row>
    <row r="403" spans="2:17" s="38" customFormat="1" ht="38.25">
      <c r="B403" s="32">
        <v>3</v>
      </c>
      <c r="C403" s="33">
        <f>'BIO DATA'!D193</f>
        <v>11255</v>
      </c>
      <c r="D403" s="62" t="str">
        <f>'BIO DATA'!E193</f>
        <v>0096836743</v>
      </c>
      <c r="E403" s="34" t="str">
        <f>'BIO DATA'!F193</f>
        <v>Andi Muhammad Izzat</v>
      </c>
      <c r="F403" s="35" t="str">
        <f>'BIO DATA'!Z193</f>
        <v>MTs. Mu'allimin Muh. Yogyakarta</v>
      </c>
      <c r="G403" s="68">
        <f>'BIO DATA'!J193</f>
        <v>1</v>
      </c>
      <c r="H403" s="34" t="str">
        <f>'BIO DATA'!N193</f>
        <v>Polewali</v>
      </c>
      <c r="I403" s="120" t="str">
        <f>'BIO DATA'!Q193</f>
        <v>11 Desember 2009</v>
      </c>
      <c r="J403" s="34" t="str">
        <f>'BIO DATA'!T193</f>
        <v>Jalan Mr Muh Yamin No 122 Depan Kejaksaan Manding Polewali mandar Sulawesi barat 91351</v>
      </c>
      <c r="K403" s="34" t="str">
        <f>'BIO DATA'!AC193</f>
        <v>Andy M. Tahir</v>
      </c>
      <c r="L403" s="36">
        <f>'BIO DATA'!AH193</f>
        <v>0</v>
      </c>
      <c r="M403" s="34" t="str">
        <f>'BIO DATA'!AJ193</f>
        <v>Andi Enny.SE.M.Adm.Pemb</v>
      </c>
      <c r="N403" s="125" t="str">
        <f>'BIO DATA'!AO193</f>
        <v>08124261797</v>
      </c>
      <c r="O403" s="34" t="str">
        <f>'BIO DATA'!AF193</f>
        <v>Wiraswasta</v>
      </c>
      <c r="P403" s="34" t="str">
        <f>'BIO DATA'!AM193</f>
        <v>PNS</v>
      </c>
      <c r="Q403" s="159" t="str">
        <f>'BIO DATA'!I193</f>
        <v>MTs-25
120006553</v>
      </c>
    </row>
    <row r="404" spans="2:17" s="38" customFormat="1" ht="51">
      <c r="B404" s="32">
        <v>4</v>
      </c>
      <c r="C404" s="33">
        <f>'BIO DATA'!D194</f>
        <v>11283</v>
      </c>
      <c r="D404" s="62" t="str">
        <f>'BIO DATA'!E194</f>
        <v>0107865339</v>
      </c>
      <c r="E404" s="34" t="str">
        <f>'BIO DATA'!F194</f>
        <v>Chaizuran Alifunnadhif Azigha</v>
      </c>
      <c r="F404" s="35" t="str">
        <f>'BIO DATA'!Z194</f>
        <v>MTs. Mu'allimin Muh. Yogyakarta</v>
      </c>
      <c r="G404" s="68">
        <f>'BIO DATA'!J194</f>
        <v>1</v>
      </c>
      <c r="H404" s="34" t="str">
        <f>'BIO DATA'!N194</f>
        <v>Samarinda</v>
      </c>
      <c r="I404" s="120" t="str">
        <f>'BIO DATA'!Q194</f>
        <v>01 Mei 2010</v>
      </c>
      <c r="J404" s="34" t="str">
        <f>'BIO DATA'!T194</f>
        <v>Jl. Pateh Kota RT. 12 No. 34 Kel. Mangkurawang Kec. Tenggarong Kab. Kutai Kartanegara, Kalimantan Timur, 75517</v>
      </c>
      <c r="K404" s="34" t="str">
        <f>'BIO DATA'!AC194</f>
        <v>Nurkhalis</v>
      </c>
      <c r="L404" s="36" t="str">
        <f>'BIO DATA'!AH194</f>
        <v>081346590826</v>
      </c>
      <c r="M404" s="34" t="str">
        <f>'BIO DATA'!AJ194</f>
        <v>Meti Aryani Sulistioningrum</v>
      </c>
      <c r="N404" s="125">
        <f>'BIO DATA'!AO194</f>
        <v>0</v>
      </c>
      <c r="O404" s="34" t="str">
        <f>'BIO DATA'!AF194</f>
        <v>Wiraswasta</v>
      </c>
      <c r="P404" s="34" t="str">
        <f>'BIO DATA'!AM194</f>
        <v>Ibu Rumah Tangga</v>
      </c>
      <c r="Q404" s="159" t="str">
        <f>'BIO DATA'!I194</f>
        <v>MTs-25
120006520</v>
      </c>
    </row>
    <row r="405" spans="2:17" s="38" customFormat="1" ht="51">
      <c r="B405" s="32">
        <v>5</v>
      </c>
      <c r="C405" s="33">
        <f>'BIO DATA'!D195</f>
        <v>11284</v>
      </c>
      <c r="D405" s="62" t="str">
        <f>'BIO DATA'!E195</f>
        <v>0105180871</v>
      </c>
      <c r="E405" s="34" t="str">
        <f>'BIO DATA'!F195</f>
        <v>Chaizuran Arasyaqil Ghaisan</v>
      </c>
      <c r="F405" s="35" t="str">
        <f>'BIO DATA'!Z195</f>
        <v>MTs. Mu'allimin Muh. Yogyakarta</v>
      </c>
      <c r="G405" s="68">
        <f>'BIO DATA'!J195</f>
        <v>2</v>
      </c>
      <c r="H405" s="34" t="str">
        <f>'BIO DATA'!N195</f>
        <v>Samarinda</v>
      </c>
      <c r="I405" s="120" t="str">
        <f>'BIO DATA'!Q195</f>
        <v>01 Mei 2010</v>
      </c>
      <c r="J405" s="34" t="str">
        <f>'BIO DATA'!T195</f>
        <v>Jl. Pateh Kota RT. 12 No. 34 Kel. Mangkurawang Kec. Tenggarong Kab. Kutai Kartanegara, Kalimantan Timur, 75518</v>
      </c>
      <c r="K405" s="34" t="str">
        <f>'BIO DATA'!AC195</f>
        <v>Nurkhalis</v>
      </c>
      <c r="L405" s="36" t="str">
        <f>'BIO DATA'!AH195</f>
        <v>081346590826</v>
      </c>
      <c r="M405" s="34" t="str">
        <f>'BIO DATA'!AJ195</f>
        <v>Meti Aryani Sulistioningrum</v>
      </c>
      <c r="N405" s="125">
        <f>'BIO DATA'!AO195</f>
        <v>0</v>
      </c>
      <c r="O405" s="34" t="str">
        <f>'BIO DATA'!AF195</f>
        <v>Wiraswasta</v>
      </c>
      <c r="P405" s="34" t="str">
        <f>'BIO DATA'!AM195</f>
        <v>Ibu Rumah Tangga</v>
      </c>
      <c r="Q405" s="159" t="str">
        <f>'BIO DATA'!I195</f>
        <v>MTs-25
120006537</v>
      </c>
    </row>
    <row r="406" spans="2:17" s="38" customFormat="1" ht="38.25">
      <c r="B406" s="32">
        <v>6</v>
      </c>
      <c r="C406" s="33">
        <f>'BIO DATA'!D196</f>
        <v>11329</v>
      </c>
      <c r="D406" s="62" t="str">
        <f>'BIO DATA'!E196</f>
        <v>0097987637</v>
      </c>
      <c r="E406" s="34" t="str">
        <f>'BIO DATA'!F196</f>
        <v>Favian Hugadinata</v>
      </c>
      <c r="F406" s="35" t="str">
        <f>'BIO DATA'!Z196</f>
        <v>MTs. Mu'allimin Muh. Yogyakarta</v>
      </c>
      <c r="G406" s="68">
        <f>'BIO DATA'!J196</f>
        <v>1</v>
      </c>
      <c r="H406" s="34" t="str">
        <f>'BIO DATA'!N196</f>
        <v>Jakarta</v>
      </c>
      <c r="I406" s="120" t="str">
        <f>'BIO DATA'!Q196</f>
        <v>17 September 2009</v>
      </c>
      <c r="J406" s="34" t="str">
        <f>'BIO DATA'!T196</f>
        <v>Perum Bukit Cimanggu City B Residence Blok B5 No 8 Bogor Jawa Barat 16166</v>
      </c>
      <c r="K406" s="34" t="str">
        <f>'BIO DATA'!AC196</f>
        <v>Irfan Wahyu Wijaya</v>
      </c>
      <c r="L406" s="36" t="str">
        <f>'BIO DATA'!AH196</f>
        <v>081319384949</v>
      </c>
      <c r="M406" s="34" t="str">
        <f>'BIO DATA'!AJ196</f>
        <v>Jhoan Khusuma Dewi</v>
      </c>
      <c r="N406" s="125">
        <f>'BIO DATA'!AO196</f>
        <v>0</v>
      </c>
      <c r="O406" s="34" t="str">
        <f>'BIO DATA'!AF196</f>
        <v>Lainnya</v>
      </c>
      <c r="P406" s="34" t="str">
        <f>'BIO DATA'!AM196</f>
        <v>Wiraswasta</v>
      </c>
      <c r="Q406" s="159" t="str">
        <f>'BIO DATA'!I196</f>
        <v>MTs-25 120006524</v>
      </c>
    </row>
    <row r="407" spans="2:17" s="38" customFormat="1" ht="36.75" customHeight="1">
      <c r="B407" s="32">
        <v>7</v>
      </c>
      <c r="C407" s="33">
        <f>'BIO DATA'!D197</f>
        <v>11347</v>
      </c>
      <c r="D407" s="62" t="str">
        <f>'BIO DATA'!E197</f>
        <v>3103966785</v>
      </c>
      <c r="E407" s="34" t="str">
        <f>'BIO DATA'!F197</f>
        <v>Humam Azman Dzikraka</v>
      </c>
      <c r="F407" s="35" t="str">
        <f>'BIO DATA'!Z197</f>
        <v>MTs. Mu'allimin Muh. Yogyakarta</v>
      </c>
      <c r="G407" s="68">
        <f>'BIO DATA'!J197</f>
        <v>2</v>
      </c>
      <c r="H407" s="34" t="str">
        <f>'BIO DATA'!N197</f>
        <v>Sleman</v>
      </c>
      <c r="I407" s="120" t="str">
        <f>'BIO DATA'!Q197</f>
        <v>20 Juni 2010</v>
      </c>
      <c r="J407" s="34" t="str">
        <f>'BIO DATA'!T197</f>
        <v>Jl. Sumbodro No. 10 RT.06 RW.04 Slerok, Kec Tegal Timur, Kota Tegal, Jawa Tengah, 52125</v>
      </c>
      <c r="K407" s="34" t="str">
        <f>'BIO DATA'!AC197</f>
        <v>Heri Puryanto</v>
      </c>
      <c r="L407" s="36" t="str">
        <f>'BIO DATA'!AH197</f>
        <v>081225784569</v>
      </c>
      <c r="M407" s="34" t="str">
        <f>'BIO DATA'!AJ197</f>
        <v>Dian Nur Nailufar</v>
      </c>
      <c r="N407" s="125">
        <f>'BIO DATA'!AO197</f>
        <v>0</v>
      </c>
      <c r="O407" s="34" t="str">
        <f>'BIO DATA'!AF197</f>
        <v>Dokter</v>
      </c>
      <c r="P407" s="34" t="str">
        <f>'BIO DATA'!AM197</f>
        <v>Ibu Rumah Tangga</v>
      </c>
      <c r="Q407" s="159" t="str">
        <f>'BIO DATA'!I197</f>
        <v>MTs-25
120006525</v>
      </c>
    </row>
    <row r="408" spans="2:17" s="38" customFormat="1" ht="39.75" customHeight="1">
      <c r="B408" s="32">
        <v>8</v>
      </c>
      <c r="C408" s="33">
        <f>'BIO DATA'!D198</f>
        <v>11388</v>
      </c>
      <c r="D408" s="62" t="str">
        <f>'BIO DATA'!E198</f>
        <v>0093331119</v>
      </c>
      <c r="E408" s="34" t="str">
        <f>'BIO DATA'!F198</f>
        <v>Muhammad Althaf Haidar</v>
      </c>
      <c r="F408" s="35" t="str">
        <f>'BIO DATA'!Z198</f>
        <v>MTs. Mu'allimin Muh. Yogyakarta</v>
      </c>
      <c r="G408" s="68">
        <f>'BIO DATA'!J198</f>
        <v>1</v>
      </c>
      <c r="H408" s="34" t="str">
        <f>'BIO DATA'!N198</f>
        <v>Bandung Barat</v>
      </c>
      <c r="I408" s="120" t="str">
        <f>'BIO DATA'!Q198</f>
        <v>21 Maret 2009</v>
      </c>
      <c r="J408" s="34" t="str">
        <f>'BIO DATA'!T198</f>
        <v>Gang Mulia 1 RT 01 RW 13 No. 25 Desa Kertajaya, Jawa Barat, 40553</v>
      </c>
      <c r="K408" s="34" t="str">
        <f>'BIO DATA'!AC198</f>
        <v>Ridwan Hakim</v>
      </c>
      <c r="L408" s="36" t="str">
        <f>'BIO DATA'!AH198</f>
        <v>082118222543</v>
      </c>
      <c r="M408" s="34" t="str">
        <f>'BIO DATA'!AJ198</f>
        <v>Meta Indah Agnestia</v>
      </c>
      <c r="N408" s="125">
        <f>'BIO DATA'!AO198</f>
        <v>0</v>
      </c>
      <c r="O408" s="34" t="str">
        <f>'BIO DATA'!AF198</f>
        <v>Wiraswasta</v>
      </c>
      <c r="P408" s="34" t="str">
        <f>'BIO DATA'!AM198</f>
        <v>Guru</v>
      </c>
      <c r="Q408" s="159" t="str">
        <f>'BIO DATA'!I198</f>
        <v>MTs-25
120006527</v>
      </c>
    </row>
    <row r="409" spans="2:17" s="38" customFormat="1" ht="34.5" customHeight="1">
      <c r="B409" s="32">
        <v>9</v>
      </c>
      <c r="C409" s="33">
        <f>'BIO DATA'!D199</f>
        <v>11389</v>
      </c>
      <c r="D409" s="62" t="str">
        <f>'BIO DATA'!E199</f>
        <v>0099887445</v>
      </c>
      <c r="E409" s="34" t="str">
        <f>'BIO DATA'!F199</f>
        <v>Muhammad Alvaro Azisi</v>
      </c>
      <c r="F409" s="35" t="str">
        <f>'BIO DATA'!Z199</f>
        <v>MTs. Mu'allimin Muh. Yogyakarta</v>
      </c>
      <c r="G409" s="68">
        <f>'BIO DATA'!J199</f>
        <v>1</v>
      </c>
      <c r="H409" s="34" t="str">
        <f>'BIO DATA'!N199</f>
        <v>Trenggalek</v>
      </c>
      <c r="I409" s="120" t="str">
        <f>'BIO DATA'!Q199</f>
        <v>17 September 2009</v>
      </c>
      <c r="J409" s="34" t="str">
        <f>'BIO DATA'!T199</f>
        <v>Dsn. Pojok RT. 01 RW. 02 Desa Pojok Kec. Garu Kab. Blitar, Jawa Timur, 66182</v>
      </c>
      <c r="K409" s="34" t="str">
        <f>'BIO DATA'!AC199</f>
        <v>Moh. Ariefi Effendi</v>
      </c>
      <c r="L409" s="36" t="str">
        <f>'BIO DATA'!AH199</f>
        <v>081231908776</v>
      </c>
      <c r="M409" s="34" t="str">
        <f>'BIO DATA'!AJ199</f>
        <v>Diana Susanti</v>
      </c>
      <c r="N409" s="125">
        <f>'BIO DATA'!AO199</f>
        <v>0</v>
      </c>
      <c r="O409" s="34" t="str">
        <f>'BIO DATA'!AF199</f>
        <v>Lainnya</v>
      </c>
      <c r="P409" s="34" t="str">
        <f>'BIO DATA'!AM199</f>
        <v>Guru</v>
      </c>
      <c r="Q409" s="159" t="str">
        <f>'BIO DATA'!I199</f>
        <v>MTs-25
120006528</v>
      </c>
    </row>
    <row r="410" spans="2:17" s="38" customFormat="1" ht="38.25">
      <c r="B410" s="32">
        <v>10</v>
      </c>
      <c r="C410" s="33">
        <f>'BIO DATA'!D200</f>
        <v>11378</v>
      </c>
      <c r="D410" s="62" t="str">
        <f>'BIO DATA'!E200</f>
        <v>0106575725</v>
      </c>
      <c r="E410" s="34" t="str">
        <f>'BIO DATA'!F200</f>
        <v>Muhammad Dhiaulhaq Mujiburrahman Aditama</v>
      </c>
      <c r="F410" s="35" t="str">
        <f>'BIO DATA'!Z200</f>
        <v>MTs. Mu'allimin Muh. Yogyakarta</v>
      </c>
      <c r="G410" s="68">
        <f>'BIO DATA'!J200</f>
        <v>1</v>
      </c>
      <c r="H410" s="34" t="str">
        <f>'BIO DATA'!N200</f>
        <v>Tarakan</v>
      </c>
      <c r="I410" s="120" t="str">
        <f>'BIO DATA'!Q200</f>
        <v>29 Oktober 2010</v>
      </c>
      <c r="J410" s="34" t="str">
        <f>'BIO DATA'!T200</f>
        <v>Jl. Dr. Sutomo RT. 6 No. 26, Kel. Karang Balik, Kec. Tarakan Barat, Kota Tarakan Kalimantan Utara 77119</v>
      </c>
      <c r="K410" s="34" t="str">
        <f>'BIO DATA'!AC200</f>
        <v>Muhammad</v>
      </c>
      <c r="L410" s="36" t="str">
        <f>'BIO DATA'!AH200</f>
        <v>081347077771</v>
      </c>
      <c r="M410" s="34" t="str">
        <f>'BIO DATA'!AJ200</f>
        <v>Dwi Mariza Nastiti</v>
      </c>
      <c r="N410" s="125">
        <f>'BIO DATA'!AO200</f>
        <v>0</v>
      </c>
      <c r="O410" s="34" t="str">
        <f>'BIO DATA'!AF200</f>
        <v>Dosen</v>
      </c>
      <c r="P410" s="34" t="str">
        <f>'BIO DATA'!AM200</f>
        <v>Dosen</v>
      </c>
      <c r="Q410" s="159" t="str">
        <f>'BIO DATA'!I200</f>
        <v>MTs-25
120006529</v>
      </c>
    </row>
    <row r="411" spans="2:17" s="38" customFormat="1" ht="51">
      <c r="B411" s="32">
        <v>11</v>
      </c>
      <c r="C411" s="33">
        <f>'BIO DATA'!D201</f>
        <v>11464</v>
      </c>
      <c r="D411" s="62" t="str">
        <f>'BIO DATA'!E201</f>
        <v>0109429965</v>
      </c>
      <c r="E411" s="34" t="str">
        <f>'BIO DATA'!F201</f>
        <v>Narendra Javas Pambudi</v>
      </c>
      <c r="F411" s="35" t="str">
        <f>'BIO DATA'!Z201</f>
        <v>MTs. Mu'allimin Muh. Yogyakarta</v>
      </c>
      <c r="G411" s="68">
        <f>'BIO DATA'!J201</f>
        <v>1</v>
      </c>
      <c r="H411" s="34" t="str">
        <f>'BIO DATA'!N201</f>
        <v>Gunung Kidul</v>
      </c>
      <c r="I411" s="120" t="str">
        <f>'BIO DATA'!Q201</f>
        <v>11 Januari 2010</v>
      </c>
      <c r="J411" s="34" t="str">
        <f>'BIO DATA'!T201</f>
        <v>Watugilang A RT25 RW05 Desa Watugilang A Kel. Mulusan Kec. Paliyan Kab. Gunungkidul, DI Yogyakarta, 55871</v>
      </c>
      <c r="K411" s="34" t="str">
        <f>'BIO DATA'!AC201</f>
        <v>Cahyono Agustri Pambudi</v>
      </c>
      <c r="L411" s="36" t="str">
        <f>'BIO DATA'!AH201</f>
        <v>08112596762</v>
      </c>
      <c r="M411" s="34" t="str">
        <f>'BIO DATA'!AJ201</f>
        <v>Rina Sumartin</v>
      </c>
      <c r="N411" s="125">
        <f>'BIO DATA'!AO201</f>
        <v>0</v>
      </c>
      <c r="O411" s="34" t="str">
        <f>'BIO DATA'!AF201</f>
        <v>Lainnya</v>
      </c>
      <c r="P411" s="34" t="str">
        <f>'BIO DATA'!AM201</f>
        <v>Karyawan Swasta</v>
      </c>
      <c r="Q411" s="159" t="str">
        <f>'BIO DATA'!I201</f>
        <v>MTs-25
120006549</v>
      </c>
    </row>
    <row r="412" spans="2:17" s="38" customFormat="1" ht="39.75" customHeight="1">
      <c r="B412" s="32">
        <v>12</v>
      </c>
      <c r="C412" s="33">
        <f>'BIO DATA'!D202</f>
        <v>11475</v>
      </c>
      <c r="D412" s="62" t="str">
        <f>'BIO DATA'!E202</f>
        <v>0094789683</v>
      </c>
      <c r="E412" s="34" t="str">
        <f>'BIO DATA'!F202</f>
        <v>Omar Maqil Ghaisan</v>
      </c>
      <c r="F412" s="35" t="str">
        <f>'BIO DATA'!Z202</f>
        <v>MTs. Mu'allimin Muh. Yogyakarta</v>
      </c>
      <c r="G412" s="68">
        <f>'BIO DATA'!J202</f>
        <v>1</v>
      </c>
      <c r="H412" s="34" t="str">
        <f>'BIO DATA'!N202</f>
        <v>Jakarta</v>
      </c>
      <c r="I412" s="120" t="str">
        <f>'BIO DATA'!Q202</f>
        <v>09 Oktober 2009</v>
      </c>
      <c r="J412" s="34" t="str">
        <f>'BIO DATA'!T202</f>
        <v>Jl. Kawi-Kawi Bawah A-36, Johar Baru, Jakarta Pusat, DKI Jakarta, 10560</v>
      </c>
      <c r="K412" s="34" t="str">
        <f>'BIO DATA'!AC202</f>
        <v>Wildan Sangka</v>
      </c>
      <c r="L412" s="36">
        <f>'BIO DATA'!AH202</f>
        <v>0</v>
      </c>
      <c r="M412" s="34" t="str">
        <f>'BIO DATA'!AJ202</f>
        <v>Cita Tri Aryuni</v>
      </c>
      <c r="N412" s="125" t="str">
        <f>'BIO DATA'!AO202</f>
        <v>08176019887</v>
      </c>
      <c r="O412" s="34" t="str">
        <f>'BIO DATA'!AF202</f>
        <v>PNS</v>
      </c>
      <c r="P412" s="34" t="str">
        <f>'BIO DATA'!AM202</f>
        <v>PNS</v>
      </c>
      <c r="Q412" s="159" t="str">
        <f>'BIO DATA'!I202</f>
        <v>MTs-25
120006531</v>
      </c>
    </row>
    <row r="413" spans="2:17" s="38" customFormat="1" ht="25.5">
      <c r="B413" s="32">
        <v>13</v>
      </c>
      <c r="C413" s="33">
        <f>'BIO DATA'!D203</f>
        <v>11483</v>
      </c>
      <c r="D413" s="62" t="str">
        <f>'BIO DATA'!E203</f>
        <v>0094434743</v>
      </c>
      <c r="E413" s="34" t="str">
        <f>'BIO DATA'!F203</f>
        <v>Radintha Shiddqy Ghaisani Razano</v>
      </c>
      <c r="F413" s="35" t="str">
        <f>'BIO DATA'!Z203</f>
        <v>MTs. Mu'allimin Muh. Yogyakarta</v>
      </c>
      <c r="G413" s="68">
        <f>'BIO DATA'!J203</f>
        <v>1</v>
      </c>
      <c r="H413" s="34" t="str">
        <f>'BIO DATA'!N203</f>
        <v>Gresik</v>
      </c>
      <c r="I413" s="120" t="str">
        <f>'BIO DATA'!Q203</f>
        <v>18 November 2009</v>
      </c>
      <c r="J413" s="34" t="str">
        <f>'BIO DATA'!T203</f>
        <v>Jl. Opal 3 No 33 Permata Opal PPS Gresik, Jawa Timur, 61151</v>
      </c>
      <c r="K413" s="34" t="str">
        <f>'BIO DATA'!AC203</f>
        <v>Rachmat Lydiawanto</v>
      </c>
      <c r="L413" s="36" t="str">
        <f>'BIO DATA'!AH203</f>
        <v>08123026031</v>
      </c>
      <c r="M413" s="34" t="str">
        <f>'BIO DATA'!AJ203</f>
        <v>Nurul Masitha</v>
      </c>
      <c r="N413" s="125">
        <f>'BIO DATA'!AO203</f>
        <v>0</v>
      </c>
      <c r="O413" s="34" t="str">
        <f>'BIO DATA'!AF203</f>
        <v>Lainnya</v>
      </c>
      <c r="P413" s="34" t="str">
        <f>'BIO DATA'!AM203</f>
        <v>Karyawan Swasta</v>
      </c>
      <c r="Q413" s="159" t="str">
        <f>'BIO DATA'!I203</f>
        <v>MTs-25
120006532</v>
      </c>
    </row>
    <row r="414" spans="2:17" s="38" customFormat="1" ht="12.75"/>
    <row r="415" spans="2:17" s="38" customFormat="1" ht="12.75">
      <c r="B415" s="39"/>
      <c r="C415" s="40"/>
      <c r="D415" s="134"/>
      <c r="E415" s="41"/>
      <c r="F415" s="37"/>
      <c r="G415" s="108"/>
      <c r="H415" s="111"/>
      <c r="I415" s="135"/>
      <c r="J415" s="41"/>
      <c r="K415" s="41"/>
      <c r="L415" s="136"/>
      <c r="M415" s="41"/>
      <c r="N415" s="122"/>
      <c r="O415" s="41"/>
      <c r="P415" s="41"/>
      <c r="Q415" s="122"/>
    </row>
    <row r="416" spans="2:17" s="38" customFormat="1" ht="12.75">
      <c r="B416" s="39"/>
      <c r="C416" s="40"/>
      <c r="D416" s="134"/>
      <c r="E416" s="41"/>
      <c r="F416" s="37"/>
      <c r="G416" s="108"/>
      <c r="H416" s="111"/>
      <c r="I416" s="135"/>
      <c r="J416" s="41"/>
      <c r="K416" s="41"/>
      <c r="L416" s="136"/>
      <c r="M416" s="41"/>
      <c r="N416" s="122"/>
      <c r="O416" s="41"/>
      <c r="P416" s="41"/>
      <c r="Q416" s="122"/>
    </row>
    <row r="417" spans="2:19" s="38" customFormat="1" ht="12.75">
      <c r="B417" s="39"/>
      <c r="C417" s="40"/>
      <c r="D417" s="134"/>
      <c r="E417" s="41"/>
      <c r="F417" s="37"/>
      <c r="G417" s="108"/>
      <c r="H417" s="111"/>
      <c r="I417" s="135"/>
      <c r="J417" s="41"/>
      <c r="K417" s="41"/>
      <c r="L417" s="136"/>
      <c r="M417" s="41"/>
      <c r="N417" s="122"/>
      <c r="O417" s="41"/>
      <c r="P417" s="41"/>
      <c r="Q417" s="122"/>
    </row>
    <row r="418" spans="2:19" s="38" customFormat="1" ht="12.75">
      <c r="B418" s="39"/>
      <c r="C418" s="40"/>
      <c r="D418" s="134"/>
      <c r="E418" s="41"/>
      <c r="F418" s="37"/>
      <c r="G418" s="108"/>
      <c r="H418" s="111"/>
      <c r="I418" s="135"/>
      <c r="J418" s="41"/>
      <c r="K418" s="41"/>
      <c r="L418" s="136"/>
      <c r="M418" s="41"/>
      <c r="N418" s="122"/>
      <c r="O418" s="41"/>
      <c r="P418" s="41"/>
      <c r="Q418" s="122"/>
    </row>
    <row r="419" spans="2:19" s="38" customFormat="1" ht="12.75">
      <c r="B419" s="39"/>
      <c r="C419" s="40"/>
      <c r="D419" s="134"/>
      <c r="E419" s="41"/>
      <c r="F419" s="37"/>
      <c r="G419" s="108"/>
      <c r="H419" s="111"/>
      <c r="I419" s="135"/>
      <c r="J419" s="41"/>
      <c r="K419" s="41"/>
      <c r="L419" s="136"/>
      <c r="M419" s="41"/>
      <c r="N419" s="122"/>
      <c r="O419" s="41"/>
      <c r="P419" s="41"/>
      <c r="Q419" s="122"/>
    </row>
    <row r="420" spans="2:19" s="38" customFormat="1" ht="12.75">
      <c r="B420" s="39"/>
      <c r="C420" s="40"/>
      <c r="D420" s="134"/>
      <c r="E420" s="41"/>
      <c r="F420" s="37"/>
      <c r="G420" s="108"/>
      <c r="H420" s="111"/>
      <c r="I420" s="135"/>
      <c r="J420" s="41"/>
      <c r="K420" s="41"/>
      <c r="L420" s="136"/>
      <c r="M420" s="41"/>
      <c r="N420" s="122"/>
      <c r="O420" s="41"/>
      <c r="P420" s="41"/>
      <c r="Q420" s="122"/>
    </row>
    <row r="421" spans="2:19" s="38" customFormat="1" ht="12.75">
      <c r="B421" s="39"/>
      <c r="C421" s="40"/>
      <c r="D421" s="134"/>
      <c r="E421" s="41"/>
      <c r="F421" s="37"/>
      <c r="G421" s="108"/>
      <c r="H421" s="111"/>
      <c r="I421" s="135"/>
      <c r="J421" s="41"/>
      <c r="K421" s="41"/>
      <c r="L421" s="136"/>
      <c r="M421" s="41"/>
      <c r="N421" s="122"/>
      <c r="O421" s="41"/>
      <c r="P421" s="41"/>
      <c r="Q421" s="122"/>
    </row>
    <row r="422" spans="2:19" s="38" customFormat="1" ht="12.75">
      <c r="B422" s="39"/>
      <c r="C422" s="40"/>
      <c r="D422" s="134"/>
      <c r="E422" s="41"/>
      <c r="F422" s="37"/>
      <c r="G422" s="108"/>
      <c r="H422" s="111"/>
      <c r="I422" s="135"/>
      <c r="J422" s="41"/>
      <c r="K422" s="41"/>
      <c r="L422" s="136"/>
      <c r="M422" s="41"/>
      <c r="N422" s="122"/>
      <c r="O422" s="41"/>
      <c r="P422" s="41"/>
      <c r="Q422" s="122"/>
    </row>
    <row r="423" spans="2:19" s="38" customFormat="1" ht="12.75">
      <c r="B423" s="39"/>
      <c r="C423" s="40"/>
      <c r="D423" s="134"/>
      <c r="E423" s="41"/>
      <c r="F423" s="37"/>
      <c r="G423" s="108"/>
      <c r="H423" s="111"/>
      <c r="I423" s="135"/>
      <c r="J423" s="41"/>
      <c r="K423" s="41"/>
      <c r="L423" s="136"/>
      <c r="M423" s="41"/>
      <c r="N423" s="122"/>
      <c r="O423" s="41"/>
      <c r="P423" s="41"/>
      <c r="Q423" s="122"/>
    </row>
    <row r="424" spans="2:19" s="38" customFormat="1" ht="12.75">
      <c r="B424" s="39"/>
      <c r="C424" s="40"/>
      <c r="D424" s="134"/>
      <c r="E424" s="41"/>
      <c r="F424" s="37"/>
      <c r="G424" s="108"/>
      <c r="H424" s="111"/>
      <c r="I424" s="135"/>
      <c r="J424" s="41"/>
      <c r="K424" s="41"/>
      <c r="L424" s="136"/>
      <c r="M424" s="41"/>
      <c r="N424" s="122"/>
      <c r="O424" s="41"/>
      <c r="P424" s="41"/>
      <c r="Q424" s="122"/>
    </row>
    <row r="425" spans="2:19" s="38" customFormat="1" ht="12.75">
      <c r="B425" s="39"/>
      <c r="C425" s="40"/>
      <c r="D425" s="134"/>
      <c r="E425" s="41"/>
      <c r="F425" s="37"/>
      <c r="G425" s="108"/>
      <c r="H425" s="111"/>
      <c r="I425" s="135"/>
      <c r="J425" s="41"/>
      <c r="K425" s="41"/>
      <c r="L425" s="136"/>
      <c r="M425" s="41"/>
      <c r="N425" s="122"/>
      <c r="O425" s="41"/>
      <c r="P425" s="41"/>
      <c r="Q425" s="122"/>
    </row>
    <row r="426" spans="2:19" s="38" customFormat="1" ht="18.75">
      <c r="B426" s="263" t="s">
        <v>3299</v>
      </c>
      <c r="C426" s="263"/>
      <c r="D426" s="263"/>
      <c r="E426" s="263"/>
      <c r="F426" s="263"/>
      <c r="G426" s="263"/>
      <c r="H426" s="263"/>
      <c r="I426" s="263"/>
      <c r="J426" s="263"/>
      <c r="K426" s="263"/>
      <c r="L426" s="263"/>
      <c r="M426" s="263"/>
      <c r="N426" s="263"/>
      <c r="O426" s="263"/>
      <c r="P426" s="263"/>
      <c r="Q426" s="263"/>
    </row>
    <row r="427" spans="2:19" s="38" customFormat="1" ht="18.75" customHeight="1">
      <c r="B427" s="263" t="s">
        <v>133</v>
      </c>
      <c r="C427" s="263"/>
      <c r="D427" s="263"/>
      <c r="E427" s="263"/>
      <c r="F427" s="263"/>
      <c r="G427" s="263"/>
      <c r="H427" s="263"/>
      <c r="I427" s="263"/>
      <c r="J427" s="263"/>
      <c r="K427" s="263"/>
      <c r="L427" s="263"/>
      <c r="M427" s="263"/>
      <c r="N427" s="263"/>
      <c r="O427" s="263"/>
      <c r="P427" s="263"/>
      <c r="Q427" s="263"/>
    </row>
    <row r="428" spans="2:19" s="38" customFormat="1" ht="19.5" customHeight="1">
      <c r="B428" s="264" t="s">
        <v>3300</v>
      </c>
      <c r="C428" s="264"/>
      <c r="D428" s="264"/>
      <c r="E428" s="264"/>
      <c r="F428" s="264"/>
      <c r="G428" s="264"/>
      <c r="H428" s="264"/>
      <c r="I428" s="264"/>
      <c r="J428" s="264"/>
      <c r="K428" s="264"/>
      <c r="L428" s="264"/>
      <c r="M428" s="264"/>
      <c r="N428" s="264"/>
      <c r="O428" s="264"/>
      <c r="P428" s="264"/>
      <c r="Q428" s="264"/>
    </row>
    <row r="429" spans="2:19" s="22" customFormat="1" ht="15">
      <c r="B429" s="261" t="s">
        <v>0</v>
      </c>
      <c r="C429" s="271" t="s">
        <v>134</v>
      </c>
      <c r="D429" s="272" t="s">
        <v>2</v>
      </c>
      <c r="E429" s="261" t="s">
        <v>3</v>
      </c>
      <c r="F429" s="261" t="s">
        <v>8</v>
      </c>
      <c r="G429" s="261" t="s">
        <v>135</v>
      </c>
      <c r="H429" s="261" t="s">
        <v>136</v>
      </c>
      <c r="I429" s="261"/>
      <c r="J429" s="261" t="s">
        <v>6</v>
      </c>
      <c r="K429" s="273" t="s">
        <v>137</v>
      </c>
      <c r="L429" s="273"/>
      <c r="M429" s="273"/>
      <c r="N429" s="273"/>
      <c r="O429" s="261" t="s">
        <v>138</v>
      </c>
      <c r="P429" s="261"/>
      <c r="Q429" s="261" t="s">
        <v>159</v>
      </c>
    </row>
    <row r="430" spans="2:19" s="28" customFormat="1" ht="15.75" customHeight="1">
      <c r="B430" s="261"/>
      <c r="C430" s="271"/>
      <c r="D430" s="272"/>
      <c r="E430" s="261"/>
      <c r="F430" s="261"/>
      <c r="G430" s="261"/>
      <c r="H430" s="29" t="s">
        <v>140</v>
      </c>
      <c r="I430" s="29" t="s">
        <v>141</v>
      </c>
      <c r="J430" s="261"/>
      <c r="K430" s="29" t="s">
        <v>142</v>
      </c>
      <c r="L430" s="30" t="s">
        <v>142</v>
      </c>
      <c r="M430" s="29" t="s">
        <v>143</v>
      </c>
      <c r="N430" s="30" t="s">
        <v>144</v>
      </c>
      <c r="O430" s="29" t="s">
        <v>145</v>
      </c>
      <c r="P430" s="29" t="s">
        <v>146</v>
      </c>
      <c r="Q430" s="261"/>
    </row>
    <row r="431" spans="2:19" s="28" customFormat="1" ht="38.25">
      <c r="B431" s="251">
        <v>1</v>
      </c>
      <c r="C431" s="252">
        <f>'BIO DATA'!D204</f>
        <v>11221</v>
      </c>
      <c r="D431" s="253" t="str">
        <f>'BIO DATA'!E204</f>
        <v>0098288469</v>
      </c>
      <c r="E431" s="254" t="str">
        <f>'BIO DATA'!F204</f>
        <v>Ahmad Fakhir Avila</v>
      </c>
      <c r="F431" s="255" t="str">
        <f>'BIO DATA'!Z204</f>
        <v>MTs. Mu'allimin Muh. Yogyakarta</v>
      </c>
      <c r="G431" s="256">
        <f>'BIO DATA'!J204</f>
        <v>1</v>
      </c>
      <c r="H431" s="254" t="str">
        <f>'BIO DATA'!N204</f>
        <v>Palembang</v>
      </c>
      <c r="I431" s="257" t="str">
        <f>'BIO DATA'!Q204</f>
        <v>20 Mei 2009</v>
      </c>
      <c r="J431" s="254" t="str">
        <f>'BIO DATA'!T204</f>
        <v>Jl. Naskah 2 no 284 Km 7 Rt 46 Rw 13 Kel. Sukarami Kec. Sukarami Kota Palembang Sumatera Selatan 30152</v>
      </c>
      <c r="K431" s="254" t="str">
        <f>'BIO DATA'!AC204</f>
        <v>M. Tursandi</v>
      </c>
      <c r="L431" s="258" t="str">
        <f>'BIO DATA'!AH204</f>
        <v>081271271270</v>
      </c>
      <c r="M431" s="254" t="str">
        <f>'BIO DATA'!AJ204</f>
        <v>Nurfadilah</v>
      </c>
      <c r="N431" s="259">
        <f>'BIO DATA'!AO204</f>
        <v>0</v>
      </c>
      <c r="O431" s="254" t="str">
        <f>'BIO DATA'!AF204</f>
        <v>Wiraswasta</v>
      </c>
      <c r="P431" s="254" t="str">
        <f>'BIO DATA'!AM204</f>
        <v>Ibu Rumah Tangga</v>
      </c>
      <c r="Q431" s="260" t="str">
        <f>'BIO DATA'!I204</f>
        <v>MTs-25
120006533</v>
      </c>
      <c r="R431" s="31"/>
      <c r="S431" s="31"/>
    </row>
    <row r="432" spans="2:19" s="38" customFormat="1" ht="39.75" customHeight="1">
      <c r="B432" s="32">
        <v>2</v>
      </c>
      <c r="C432" s="33">
        <f>'BIO DATA'!D205</f>
        <v>11251</v>
      </c>
      <c r="D432" s="62" t="str">
        <f>'BIO DATA'!E205</f>
        <v>0093048536</v>
      </c>
      <c r="E432" s="34" t="str">
        <f>'BIO DATA'!F205</f>
        <v>Alif Yusuf Iskandar</v>
      </c>
      <c r="F432" s="35" t="str">
        <f>'BIO DATA'!Z205</f>
        <v>MTs. Mu'allimin Muh. Yogyakarta</v>
      </c>
      <c r="G432" s="68">
        <f>'BIO DATA'!J205</f>
        <v>1</v>
      </c>
      <c r="H432" s="34" t="str">
        <f>'BIO DATA'!N205</f>
        <v>Pekalongan</v>
      </c>
      <c r="I432" s="120" t="str">
        <f>'BIO DATA'!Q205</f>
        <v>17 Oktober 2009</v>
      </c>
      <c r="J432" s="34" t="str">
        <f>'BIO DATA'!T205</f>
        <v>Jl Sulawesi No 33A Kergon Pekalongan Barat Pekalongan Jawa Tengah 51113</v>
      </c>
      <c r="K432" s="34" t="str">
        <f>'BIO DATA'!AC205</f>
        <v>Zainal mutaqin</v>
      </c>
      <c r="L432" s="36" t="str">
        <f>'BIO DATA'!AH205</f>
        <v>085640285123</v>
      </c>
      <c r="M432" s="34" t="str">
        <f>'BIO DATA'!AJ205</f>
        <v>Chotidjah</v>
      </c>
      <c r="N432" s="125">
        <f>'BIO DATA'!AO205</f>
        <v>0</v>
      </c>
      <c r="O432" s="34" t="str">
        <f>'BIO DATA'!AF205</f>
        <v>Wiraswasta</v>
      </c>
      <c r="P432" s="34" t="str">
        <f>'BIO DATA'!AM205</f>
        <v>Ibu Rumah Tangga</v>
      </c>
      <c r="Q432" s="159" t="str">
        <f>'BIO DATA'!I205</f>
        <v>MTs-25
120006552</v>
      </c>
    </row>
    <row r="433" spans="2:17" s="38" customFormat="1" ht="51">
      <c r="B433" s="32">
        <v>3</v>
      </c>
      <c r="C433" s="33">
        <f>'BIO DATA'!D206</f>
        <v>11277</v>
      </c>
      <c r="D433" s="62" t="str">
        <f>'BIO DATA'!E206</f>
        <v>0099229875</v>
      </c>
      <c r="E433" s="34" t="str">
        <f>'BIO DATA'!F206</f>
        <v>Bidara Tidore Membumigora</v>
      </c>
      <c r="F433" s="35" t="str">
        <f>'BIO DATA'!Z206</f>
        <v>MTs. Mu'allimin Muh. Yogyakarta</v>
      </c>
      <c r="G433" s="68">
        <f>'BIO DATA'!J206</f>
        <v>1</v>
      </c>
      <c r="H433" s="34" t="str">
        <f>'BIO DATA'!N206</f>
        <v>Malang</v>
      </c>
      <c r="I433" s="120" t="str">
        <f>'BIO DATA'!Q206</f>
        <v>26 Desember 2009</v>
      </c>
      <c r="J433" s="34" t="str">
        <f>'BIO DATA'!T206</f>
        <v>Perumahan Bumi Permata Hijau Sepunggur Blok D2 No 06 Sepunggur Kec. Kusan Hilir Kab. Tanah Bumbu Prov. Kalsel 72273</v>
      </c>
      <c r="K433" s="34" t="str">
        <f>'BIO DATA'!AC206</f>
        <v>Rudy Kurniawan</v>
      </c>
      <c r="L433" s="36">
        <f>'BIO DATA'!AH206</f>
        <v>0</v>
      </c>
      <c r="M433" s="34" t="str">
        <f>'BIO DATA'!AJ206</f>
        <v>Maimuna Mansyur Kene</v>
      </c>
      <c r="N433" s="125" t="str">
        <f>'BIO DATA'!AO206</f>
        <v>081351094789</v>
      </c>
      <c r="O433" s="34" t="str">
        <f>'BIO DATA'!AF206</f>
        <v>PNS</v>
      </c>
      <c r="P433" s="34" t="str">
        <f>'BIO DATA'!AM206</f>
        <v>PNS</v>
      </c>
      <c r="Q433" s="159" t="str">
        <f>'BIO DATA'!I206</f>
        <v>MTs-25
120006554</v>
      </c>
    </row>
    <row r="434" spans="2:17" s="38" customFormat="1" ht="36.75" customHeight="1">
      <c r="B434" s="32">
        <v>4</v>
      </c>
      <c r="C434" s="33">
        <f>'BIO DATA'!D207</f>
        <v>11296</v>
      </c>
      <c r="D434" s="62" t="str">
        <f>'BIO DATA'!E207</f>
        <v>3109233780</v>
      </c>
      <c r="E434" s="34" t="str">
        <f>'BIO DATA'!F207</f>
        <v>Dzaka Bisma Adikara</v>
      </c>
      <c r="F434" s="35" t="str">
        <f>'BIO DATA'!Z207</f>
        <v>MTs. Mu'allimin Muh. Yogyakarta</v>
      </c>
      <c r="G434" s="68">
        <f>'BIO DATA'!J207</f>
        <v>1</v>
      </c>
      <c r="H434" s="34" t="str">
        <f>'BIO DATA'!N207</f>
        <v>Sleman</v>
      </c>
      <c r="I434" s="120" t="str">
        <f>'BIO DATA'!Q207</f>
        <v>11 April 2010</v>
      </c>
      <c r="J434" s="34" t="str">
        <f>'BIO DATA'!T207</f>
        <v>Ganjuran RT 02/ RW 07 Caturharjo Sleman DI Yogyakarta 55515</v>
      </c>
      <c r="K434" s="34" t="str">
        <f>'BIO DATA'!AC207</f>
        <v>Ariyanto</v>
      </c>
      <c r="L434" s="36" t="str">
        <f>'BIO DATA'!AH207</f>
        <v>081287778700</v>
      </c>
      <c r="M434" s="34" t="str">
        <f>'BIO DATA'!AJ207</f>
        <v>Seria Yennyta</v>
      </c>
      <c r="N434" s="125">
        <f>'BIO DATA'!AO207</f>
        <v>0</v>
      </c>
      <c r="O434" s="34" t="str">
        <f>'BIO DATA'!AF207</f>
        <v>Wiraswasta</v>
      </c>
      <c r="P434" s="34">
        <f>'BIO DATA'!AM207</f>
        <v>0</v>
      </c>
      <c r="Q434" s="159" t="str">
        <f>'BIO DATA'!I207</f>
        <v>MTs-25
120006555</v>
      </c>
    </row>
    <row r="435" spans="2:17" s="38" customFormat="1" ht="51">
      <c r="B435" s="32">
        <v>5</v>
      </c>
      <c r="C435" s="33">
        <f>'BIO DATA'!D208</f>
        <v>11341</v>
      </c>
      <c r="D435" s="62" t="str">
        <f>'BIO DATA'!E208</f>
        <v>0105352359</v>
      </c>
      <c r="E435" s="34" t="str">
        <f>'BIO DATA'!F208</f>
        <v>Hafidz Ahmad Jauhari</v>
      </c>
      <c r="F435" s="35" t="str">
        <f>'BIO DATA'!Z208</f>
        <v>MTs. Mu'allimin Muh. Yogyakarta</v>
      </c>
      <c r="G435" s="68">
        <f>'BIO DATA'!J208</f>
        <v>1</v>
      </c>
      <c r="H435" s="34" t="str">
        <f>'BIO DATA'!N208</f>
        <v>Wonosobo</v>
      </c>
      <c r="I435" s="120" t="str">
        <f>'BIO DATA'!Q208</f>
        <v>21 Maret 2010</v>
      </c>
      <c r="J435" s="34" t="str">
        <f>'BIO DATA'!T208</f>
        <v>Perum Bumi Indah, Tahap 4, Blok JI No.9, Jl Dahlia VI, RT 06 RW 06, Sukamantri, Pasar Kemis, Tangerang, Banten, 15560</v>
      </c>
      <c r="K435" s="34" t="str">
        <f>'BIO DATA'!AC208</f>
        <v>Haryanto</v>
      </c>
      <c r="L435" s="36" t="str">
        <f>'BIO DATA'!AH208</f>
        <v>089670180058</v>
      </c>
      <c r="M435" s="34" t="str">
        <f>'BIO DATA'!AJ208</f>
        <v>Juwariah</v>
      </c>
      <c r="N435" s="125">
        <f>'BIO DATA'!AO208</f>
        <v>0</v>
      </c>
      <c r="O435" s="34" t="str">
        <f>'BIO DATA'!AF208</f>
        <v>Lainnya</v>
      </c>
      <c r="P435" s="34" t="str">
        <f>'BIO DATA'!AM208</f>
        <v>Ibu Rumah Tangga</v>
      </c>
      <c r="Q435" s="159" t="str">
        <f>'BIO DATA'!I208</f>
        <v>MTs-25
120006542</v>
      </c>
    </row>
    <row r="436" spans="2:17" s="38" customFormat="1" ht="38.25">
      <c r="B436" s="32">
        <v>6</v>
      </c>
      <c r="C436" s="33">
        <f>'BIO DATA'!D209</f>
        <v>11342</v>
      </c>
      <c r="D436" s="62" t="str">
        <f>'BIO DATA'!E209</f>
        <v>0101717779</v>
      </c>
      <c r="E436" s="34" t="str">
        <f>'BIO DATA'!F209</f>
        <v>Hafidz Nourikhlas Elquthb</v>
      </c>
      <c r="F436" s="35" t="str">
        <f>'BIO DATA'!Z209</f>
        <v>MTs. Mu'allimin Muh. Yogyakarta</v>
      </c>
      <c r="G436" s="68">
        <f>'BIO DATA'!J209</f>
        <v>3</v>
      </c>
      <c r="H436" s="34" t="str">
        <f>'BIO DATA'!N209</f>
        <v>Temanggung</v>
      </c>
      <c r="I436" s="120" t="str">
        <f>'BIO DATA'!Q209</f>
        <v>04 Juni 2010</v>
      </c>
      <c r="J436" s="34" t="str">
        <f>'BIO DATA'!T209</f>
        <v>Dusun Kacepit RT 5 RW 1 Desa Kacepit Kec. Selompampang Kab. Temanggung, Jawa Tengah, 56262</v>
      </c>
      <c r="K436" s="34" t="str">
        <f>'BIO DATA'!AC209</f>
        <v>Qurtubi</v>
      </c>
      <c r="L436" s="36" t="str">
        <f>'BIO DATA'!AH209</f>
        <v>08122951747</v>
      </c>
      <c r="M436" s="34" t="str">
        <f>'BIO DATA'!AJ209</f>
        <v>Tri Astuti Sulistyowati</v>
      </c>
      <c r="N436" s="125">
        <f>'BIO DATA'!AO209</f>
        <v>0</v>
      </c>
      <c r="O436" s="34" t="str">
        <f>'BIO DATA'!AF209</f>
        <v>Dosen</v>
      </c>
      <c r="P436" s="34" t="str">
        <f>'BIO DATA'!AM209</f>
        <v>Ibu Rumah Tangga</v>
      </c>
      <c r="Q436" s="159" t="str">
        <f>'BIO DATA'!I209</f>
        <v>MTs-25 120006543</v>
      </c>
    </row>
    <row r="437" spans="2:17" s="38" customFormat="1" ht="38.25">
      <c r="B437" s="32">
        <v>7</v>
      </c>
      <c r="C437" s="33">
        <f>'BIO DATA'!D210</f>
        <v>11377</v>
      </c>
      <c r="D437" s="62" t="str">
        <f>'BIO DATA'!E210</f>
        <v>0108309323</v>
      </c>
      <c r="E437" s="34" t="str">
        <f>'BIO DATA'!F210</f>
        <v>Muhammad Alif Pratama</v>
      </c>
      <c r="F437" s="35" t="str">
        <f>'BIO DATA'!Z210</f>
        <v>MTs. Mu'allimin Muh. Yogyakarta</v>
      </c>
      <c r="G437" s="68">
        <f>'BIO DATA'!J210</f>
        <v>2</v>
      </c>
      <c r="H437" s="34" t="str">
        <f>'BIO DATA'!N210</f>
        <v>Yogyakarta</v>
      </c>
      <c r="I437" s="120" t="str">
        <f>'BIO DATA'!Q210</f>
        <v>15 Januari 2010</v>
      </c>
      <c r="J437" s="34" t="str">
        <f>'BIO DATA'!T210</f>
        <v>Perum Taman Kahuripan RT 06 RW 35 Klidon Mantren, Sukoharjo, Ngaglik Sleman DI yogyakarta 55581</v>
      </c>
      <c r="K437" s="34" t="str">
        <f>'BIO DATA'!AC210</f>
        <v>Hasse Jubba</v>
      </c>
      <c r="L437" s="36" t="str">
        <f>'BIO DATA'!AH210</f>
        <v>082137158706</v>
      </c>
      <c r="M437" s="34" t="str">
        <f>'BIO DATA'!AJ210</f>
        <v>Sri Astuty Wulandari</v>
      </c>
      <c r="N437" s="125">
        <f>'BIO DATA'!AO210</f>
        <v>0</v>
      </c>
      <c r="O437" s="34" t="str">
        <f>'BIO DATA'!AF210</f>
        <v>Dosen</v>
      </c>
      <c r="P437" s="34" t="str">
        <f>'BIO DATA'!AM210</f>
        <v>Ibu Rumah Tangga</v>
      </c>
      <c r="Q437" s="159" t="str">
        <f>'BIO DATA'!I210</f>
        <v>MTs-25
120006545</v>
      </c>
    </row>
    <row r="438" spans="2:17" s="38" customFormat="1" ht="51">
      <c r="B438" s="32">
        <v>8</v>
      </c>
      <c r="C438" s="33">
        <f>'BIO DATA'!D211</f>
        <v>11458</v>
      </c>
      <c r="D438" s="62" t="str">
        <f>'BIO DATA'!E211</f>
        <v>0109030838</v>
      </c>
      <c r="E438" s="34" t="str">
        <f>'BIO DATA'!F211</f>
        <v>Nabigh Akmal Al Azizi</v>
      </c>
      <c r="F438" s="35" t="str">
        <f>'BIO DATA'!Z211</f>
        <v>MTs. Mu'allimin Muh. Yogyakarta</v>
      </c>
      <c r="G438" s="68">
        <f>'BIO DATA'!J211</f>
        <v>3</v>
      </c>
      <c r="H438" s="34" t="str">
        <f>'BIO DATA'!N211</f>
        <v>Pontianak</v>
      </c>
      <c r="I438" s="120" t="str">
        <f>'BIO DATA'!Q211</f>
        <v>27 Januari 2010</v>
      </c>
      <c r="J438" s="34" t="str">
        <f>'BIO DATA'!T211</f>
        <v>Jl RA Kartini Gg Sentosa Khalishah Residence C4 RT/RW 019/007 Sekip Lama Singkawang Tengah Kota Singkawang, Kalimantan Barat, 79113</v>
      </c>
      <c r="K438" s="34" t="str">
        <f>'BIO DATA'!AC211</f>
        <v>Khusnul Ma'arif</v>
      </c>
      <c r="L438" s="36" t="str">
        <f>'BIO DATA'!AH211</f>
        <v>081345043583</v>
      </c>
      <c r="M438" s="34" t="str">
        <f>'BIO DATA'!AJ211</f>
        <v>Syarifah Mirna Iffianti</v>
      </c>
      <c r="N438" s="125">
        <f>'BIO DATA'!AO211</f>
        <v>0</v>
      </c>
      <c r="O438" s="34" t="str">
        <f>'BIO DATA'!AF211</f>
        <v>Wiraswasta</v>
      </c>
      <c r="P438" s="34" t="str">
        <f>'BIO DATA'!AM211</f>
        <v>Karyawan BUMN</v>
      </c>
      <c r="Q438" s="159" t="str">
        <f>'BIO DATA'!I211</f>
        <v>MTs-25
120006548</v>
      </c>
    </row>
    <row r="439" spans="2:17" s="38" customFormat="1" ht="25.5">
      <c r="B439" s="32">
        <v>9</v>
      </c>
      <c r="C439" s="33">
        <f>'BIO DATA'!D212</f>
        <v>11507</v>
      </c>
      <c r="D439" s="62" t="str">
        <f>'BIO DATA'!E212</f>
        <v>0105724259</v>
      </c>
      <c r="E439" s="34" t="str">
        <f>'BIO DATA'!F212</f>
        <v>Tualang Philosofi Ahimsa</v>
      </c>
      <c r="F439" s="35" t="str">
        <f>'BIO DATA'!Z212</f>
        <v>MTs. Mu'allimin Muh. Yogyakarta</v>
      </c>
      <c r="G439" s="68">
        <f>'BIO DATA'!J212</f>
        <v>1</v>
      </c>
      <c r="H439" s="34" t="str">
        <f>'BIO DATA'!N212</f>
        <v>Rembang</v>
      </c>
      <c r="I439" s="120" t="str">
        <f>'BIO DATA'!Q212</f>
        <v>09 Maret 2010</v>
      </c>
      <c r="J439" s="34" t="str">
        <f>'BIO DATA'!T212</f>
        <v>Kp Stangkle RT 3/6 No 24, Kemiri Muka, Beji, Depok, Jawa Barat 16423</v>
      </c>
      <c r="K439" s="34" t="str">
        <f>'BIO DATA'!AC212</f>
        <v>Hariyanto</v>
      </c>
      <c r="L439" s="36" t="str">
        <f>'BIO DATA'!AH212</f>
        <v>085867144300</v>
      </c>
      <c r="M439" s="34" t="str">
        <f>'BIO DATA'!AJ212</f>
        <v>Siti Muflikhatul Hidayah</v>
      </c>
      <c r="N439" s="125">
        <f>'BIO DATA'!AO212</f>
        <v>0</v>
      </c>
      <c r="O439" s="34" t="str">
        <f>'BIO DATA'!AF212</f>
        <v>Wiraswasta</v>
      </c>
      <c r="P439" s="34" t="str">
        <f>'BIO DATA'!AM212</f>
        <v>Ibu Rumah Tangga</v>
      </c>
      <c r="Q439" s="159" t="str">
        <f>'BIO DATA'!I212</f>
        <v>MTs-25
120006567</v>
      </c>
    </row>
    <row r="440" spans="2:17">
      <c r="B440" s="39"/>
      <c r="C440" s="40"/>
      <c r="D440" s="110"/>
      <c r="E440" s="41"/>
      <c r="F440" s="37"/>
      <c r="G440" s="108"/>
      <c r="H440" s="111"/>
      <c r="I440" s="42"/>
      <c r="J440" s="41"/>
      <c r="K440" s="41"/>
      <c r="L440" s="112"/>
      <c r="M440" s="41"/>
      <c r="N440" s="112"/>
      <c r="O440" s="41"/>
      <c r="P440" s="41"/>
      <c r="Q440" s="109"/>
    </row>
    <row r="441" spans="2:17">
      <c r="B441" s="39"/>
      <c r="C441" s="40"/>
      <c r="D441" s="110"/>
      <c r="E441" s="41"/>
      <c r="F441" s="37"/>
      <c r="G441" s="108"/>
      <c r="H441" s="111"/>
      <c r="I441" s="42"/>
      <c r="J441" s="41"/>
      <c r="K441" s="41"/>
      <c r="L441" s="112"/>
      <c r="M441" s="41"/>
      <c r="N441" s="112"/>
      <c r="O441" s="41"/>
      <c r="P441" s="41"/>
      <c r="Q441" s="109"/>
    </row>
    <row r="442" spans="2:17">
      <c r="B442" s="39"/>
      <c r="C442" s="40"/>
      <c r="D442" s="110"/>
      <c r="E442" s="41"/>
      <c r="F442" s="37"/>
      <c r="G442" s="108"/>
      <c r="H442" s="111"/>
      <c r="I442" s="42"/>
      <c r="J442" s="41"/>
      <c r="K442" s="41"/>
      <c r="L442" s="112"/>
      <c r="M442" s="41"/>
      <c r="N442" s="112"/>
      <c r="O442" s="41"/>
      <c r="P442" s="41"/>
      <c r="Q442" s="109"/>
    </row>
    <row r="443" spans="2:17">
      <c r="B443" s="39"/>
      <c r="C443" s="40"/>
      <c r="D443" s="110"/>
      <c r="E443" s="41"/>
      <c r="F443" s="37"/>
      <c r="G443" s="108"/>
      <c r="H443" s="111"/>
      <c r="I443" s="42"/>
      <c r="J443" s="41"/>
      <c r="K443" s="41"/>
      <c r="L443" s="112"/>
      <c r="M443" s="41"/>
      <c r="N443" s="112"/>
      <c r="O443" s="41"/>
      <c r="P443" s="41"/>
      <c r="Q443" s="109"/>
    </row>
    <row r="444" spans="2:17">
      <c r="B444" s="39"/>
      <c r="C444" s="40"/>
      <c r="D444" s="110"/>
      <c r="E444" s="41"/>
      <c r="F444" s="37"/>
      <c r="G444" s="108"/>
      <c r="H444" s="111"/>
      <c r="I444" s="42"/>
      <c r="J444" s="41"/>
      <c r="K444" s="41"/>
      <c r="L444" s="112"/>
      <c r="M444" s="41"/>
      <c r="N444" s="112"/>
      <c r="O444" s="41"/>
      <c r="P444" s="41"/>
      <c r="Q444" s="109"/>
    </row>
    <row r="445" spans="2:17">
      <c r="B445" s="39"/>
      <c r="C445" s="40"/>
      <c r="D445" s="110"/>
      <c r="E445" s="41"/>
      <c r="F445" s="37"/>
      <c r="G445" s="108"/>
      <c r="H445" s="111"/>
      <c r="I445" s="42"/>
      <c r="J445" s="41"/>
      <c r="K445" s="41"/>
      <c r="L445" s="112"/>
      <c r="M445" s="41"/>
      <c r="N445" s="112"/>
      <c r="O445" s="41"/>
      <c r="P445" s="41"/>
      <c r="Q445" s="109"/>
    </row>
    <row r="446" spans="2:17">
      <c r="B446" s="39"/>
      <c r="C446" s="40"/>
      <c r="D446" s="110"/>
      <c r="E446" s="41"/>
      <c r="F446" s="37"/>
      <c r="G446" s="108"/>
      <c r="H446" s="111"/>
      <c r="I446" s="42"/>
      <c r="J446" s="41"/>
      <c r="K446" s="41"/>
      <c r="L446" s="112"/>
      <c r="M446" s="41"/>
      <c r="N446" s="112"/>
      <c r="O446" s="41"/>
      <c r="P446" s="41"/>
      <c r="Q446" s="109"/>
    </row>
    <row r="447" spans="2:17">
      <c r="B447" s="39"/>
      <c r="C447" s="40"/>
      <c r="D447" s="110"/>
      <c r="E447" s="41"/>
      <c r="F447" s="37"/>
      <c r="G447" s="108"/>
      <c r="H447" s="111"/>
      <c r="I447" s="42"/>
      <c r="J447" s="41"/>
      <c r="K447" s="41"/>
      <c r="L447" s="112"/>
      <c r="M447" s="41"/>
      <c r="N447" s="112"/>
      <c r="O447" s="41"/>
      <c r="P447" s="41"/>
      <c r="Q447" s="109"/>
    </row>
    <row r="448" spans="2:17">
      <c r="B448" s="39"/>
      <c r="C448" s="40"/>
      <c r="D448" s="110"/>
      <c r="E448" s="41"/>
      <c r="F448" s="37"/>
      <c r="G448" s="108"/>
      <c r="H448" s="111"/>
      <c r="I448" s="42"/>
      <c r="J448" s="41"/>
      <c r="K448" s="41"/>
      <c r="L448" s="112"/>
      <c r="M448" s="41"/>
      <c r="N448" s="112"/>
      <c r="O448" s="41"/>
      <c r="P448" s="41"/>
      <c r="Q448" s="109"/>
    </row>
    <row r="449" spans="2:17">
      <c r="B449" s="39"/>
      <c r="C449" s="40"/>
      <c r="D449" s="110"/>
      <c r="E449" s="41"/>
      <c r="F449" s="37"/>
      <c r="G449" s="108"/>
      <c r="H449" s="111"/>
      <c r="I449" s="42"/>
      <c r="J449" s="41"/>
      <c r="K449" s="41"/>
      <c r="L449" s="112"/>
      <c r="M449" s="41"/>
      <c r="N449" s="112"/>
      <c r="O449" s="41"/>
      <c r="P449" s="41"/>
      <c r="Q449" s="109"/>
    </row>
    <row r="450" spans="2:17">
      <c r="B450" s="39"/>
      <c r="C450" s="40"/>
      <c r="D450" s="110"/>
      <c r="E450" s="41"/>
      <c r="F450" s="37"/>
      <c r="G450" s="108"/>
      <c r="H450" s="111"/>
      <c r="I450" s="42"/>
      <c r="J450" s="41"/>
      <c r="K450" s="41"/>
      <c r="L450" s="112"/>
      <c r="M450" s="41"/>
      <c r="N450" s="112"/>
      <c r="O450" s="41"/>
      <c r="P450" s="41"/>
      <c r="Q450" s="109"/>
    </row>
    <row r="451" spans="2:17">
      <c r="B451" s="39"/>
      <c r="C451" s="40"/>
      <c r="D451" s="110"/>
      <c r="E451" s="41"/>
      <c r="F451" s="37"/>
      <c r="G451" s="108"/>
      <c r="H451" s="111"/>
      <c r="I451" s="42"/>
      <c r="J451" s="41"/>
      <c r="K451" s="41"/>
      <c r="L451" s="112"/>
      <c r="M451" s="41"/>
      <c r="N451" s="112"/>
      <c r="O451" s="41"/>
      <c r="P451" s="41"/>
      <c r="Q451" s="109"/>
    </row>
    <row r="452" spans="2:17">
      <c r="B452" s="39"/>
      <c r="C452" s="40"/>
      <c r="D452" s="110"/>
      <c r="E452" s="41"/>
      <c r="F452" s="37"/>
      <c r="G452" s="108"/>
      <c r="H452" s="111"/>
      <c r="I452" s="42"/>
      <c r="J452" s="41"/>
      <c r="K452" s="41"/>
      <c r="L452" s="112"/>
      <c r="M452" s="41"/>
      <c r="N452" s="112"/>
      <c r="O452" s="41"/>
      <c r="P452" s="41"/>
      <c r="Q452" s="109"/>
    </row>
    <row r="453" spans="2:17">
      <c r="B453" s="39"/>
      <c r="C453" s="40"/>
      <c r="D453" s="110"/>
      <c r="E453" s="41"/>
      <c r="F453" s="37"/>
      <c r="G453" s="108"/>
      <c r="H453" s="111"/>
      <c r="I453" s="42"/>
      <c r="J453" s="41"/>
      <c r="K453" s="41"/>
      <c r="L453" s="112"/>
      <c r="M453" s="41"/>
      <c r="N453" s="112"/>
      <c r="O453" s="41"/>
      <c r="P453" s="41"/>
      <c r="Q453" s="109"/>
    </row>
  </sheetData>
  <mergeCells count="192">
    <mergeCell ref="O328:P328"/>
    <mergeCell ref="Q328:Q329"/>
    <mergeCell ref="B256:B257"/>
    <mergeCell ref="C256:C257"/>
    <mergeCell ref="D256:D257"/>
    <mergeCell ref="E256:E257"/>
    <mergeCell ref="F256:F257"/>
    <mergeCell ref="B307:B308"/>
    <mergeCell ref="C307:C308"/>
    <mergeCell ref="D307:D308"/>
    <mergeCell ref="E307:E308"/>
    <mergeCell ref="F307:F308"/>
    <mergeCell ref="G307:G308"/>
    <mergeCell ref="H307:I307"/>
    <mergeCell ref="B328:B329"/>
    <mergeCell ref="C328:C329"/>
    <mergeCell ref="D328:D329"/>
    <mergeCell ref="E328:E329"/>
    <mergeCell ref="F328:F329"/>
    <mergeCell ref="G328:G329"/>
    <mergeCell ref="H328:I328"/>
    <mergeCell ref="J328:J329"/>
    <mergeCell ref="K328:N328"/>
    <mergeCell ref="J307:J308"/>
    <mergeCell ref="B179:Q179"/>
    <mergeCell ref="B180:Q180"/>
    <mergeCell ref="O181:P181"/>
    <mergeCell ref="Q181:Q182"/>
    <mergeCell ref="B181:B182"/>
    <mergeCell ref="C181:C182"/>
    <mergeCell ref="D181:D182"/>
    <mergeCell ref="E181:E182"/>
    <mergeCell ref="F181:F182"/>
    <mergeCell ref="G181:G182"/>
    <mergeCell ref="K307:N307"/>
    <mergeCell ref="O307:P307"/>
    <mergeCell ref="Q307:Q308"/>
    <mergeCell ref="O202:P202"/>
    <mergeCell ref="K202:N202"/>
    <mergeCell ref="J202:J203"/>
    <mergeCell ref="H202:I202"/>
    <mergeCell ref="F202:F203"/>
    <mergeCell ref="Q256:Q257"/>
    <mergeCell ref="E202:E203"/>
    <mergeCell ref="G202:G203"/>
    <mergeCell ref="G256:G257"/>
    <mergeCell ref="B304:Q304"/>
    <mergeCell ref="B305:Q305"/>
    <mergeCell ref="B306:Q306"/>
    <mergeCell ref="D202:D203"/>
    <mergeCell ref="H256:I256"/>
    <mergeCell ref="J256:J257"/>
    <mergeCell ref="K256:N256"/>
    <mergeCell ref="O256:P256"/>
    <mergeCell ref="Q202:Q203"/>
    <mergeCell ref="B1:Q1"/>
    <mergeCell ref="B2:Q2"/>
    <mergeCell ref="B3:Q3"/>
    <mergeCell ref="B4:B5"/>
    <mergeCell ref="C4:C5"/>
    <mergeCell ref="D4:D5"/>
    <mergeCell ref="E4:E5"/>
    <mergeCell ref="F4:F5"/>
    <mergeCell ref="G4:G5"/>
    <mergeCell ref="H4:I4"/>
    <mergeCell ref="J4:J5"/>
    <mergeCell ref="K4:N4"/>
    <mergeCell ref="O4:P4"/>
    <mergeCell ref="Q4:Q5"/>
    <mergeCell ref="O71:P71"/>
    <mergeCell ref="Q71:Q72"/>
    <mergeCell ref="B68:Q68"/>
    <mergeCell ref="B69:Q69"/>
    <mergeCell ref="B70:Q70"/>
    <mergeCell ref="O121:P121"/>
    <mergeCell ref="Q121:Q122"/>
    <mergeCell ref="B118:Q118"/>
    <mergeCell ref="B119:Q119"/>
    <mergeCell ref="B120:Q120"/>
    <mergeCell ref="B121:B122"/>
    <mergeCell ref="C121:C122"/>
    <mergeCell ref="D121:D122"/>
    <mergeCell ref="E121:E122"/>
    <mergeCell ref="F121:F122"/>
    <mergeCell ref="G121:G122"/>
    <mergeCell ref="H121:I121"/>
    <mergeCell ref="D91:D92"/>
    <mergeCell ref="E91:E92"/>
    <mergeCell ref="F91:F92"/>
    <mergeCell ref="G91:G92"/>
    <mergeCell ref="H91:I91"/>
    <mergeCell ref="J91:J92"/>
    <mergeCell ref="K91:N91"/>
    <mergeCell ref="B26:B27"/>
    <mergeCell ref="C26:C27"/>
    <mergeCell ref="D26:D27"/>
    <mergeCell ref="O144:P144"/>
    <mergeCell ref="Q144:Q145"/>
    <mergeCell ref="B144:B145"/>
    <mergeCell ref="C144:C145"/>
    <mergeCell ref="D144:D145"/>
    <mergeCell ref="E144:E145"/>
    <mergeCell ref="F144:F145"/>
    <mergeCell ref="G144:G145"/>
    <mergeCell ref="H144:I144"/>
    <mergeCell ref="J144:J145"/>
    <mergeCell ref="K144:N144"/>
    <mergeCell ref="E26:E27"/>
    <mergeCell ref="F26:F27"/>
    <mergeCell ref="G26:G27"/>
    <mergeCell ref="H26:I26"/>
    <mergeCell ref="J26:J27"/>
    <mergeCell ref="K26:N26"/>
    <mergeCell ref="B91:B92"/>
    <mergeCell ref="C91:C92"/>
    <mergeCell ref="O26:P26"/>
    <mergeCell ref="Q26:Q27"/>
    <mergeCell ref="O91:P91"/>
    <mergeCell ref="Q91:Q92"/>
    <mergeCell ref="B231:Q231"/>
    <mergeCell ref="B232:Q232"/>
    <mergeCell ref="B233:Q233"/>
    <mergeCell ref="B234:B235"/>
    <mergeCell ref="C234:C235"/>
    <mergeCell ref="D234:D235"/>
    <mergeCell ref="E234:E235"/>
    <mergeCell ref="F234:F235"/>
    <mergeCell ref="G234:G235"/>
    <mergeCell ref="H234:I234"/>
    <mergeCell ref="J234:J235"/>
    <mergeCell ref="K234:N234"/>
    <mergeCell ref="O234:P234"/>
    <mergeCell ref="Q234:Q235"/>
    <mergeCell ref="J121:J122"/>
    <mergeCell ref="K121:N121"/>
    <mergeCell ref="H181:I181"/>
    <mergeCell ref="J181:J182"/>
    <mergeCell ref="K181:N181"/>
    <mergeCell ref="C202:C203"/>
    <mergeCell ref="B202:B203"/>
    <mergeCell ref="B178:Q178"/>
    <mergeCell ref="B429:B430"/>
    <mergeCell ref="C429:C430"/>
    <mergeCell ref="D429:D430"/>
    <mergeCell ref="E429:E430"/>
    <mergeCell ref="F429:F430"/>
    <mergeCell ref="G429:G430"/>
    <mergeCell ref="H429:I429"/>
    <mergeCell ref="J429:J430"/>
    <mergeCell ref="K429:N429"/>
    <mergeCell ref="B398:Q398"/>
    <mergeCell ref="B399:B400"/>
    <mergeCell ref="C399:C400"/>
    <mergeCell ref="D399:D400"/>
    <mergeCell ref="E399:E400"/>
    <mergeCell ref="F399:F400"/>
    <mergeCell ref="G399:G400"/>
    <mergeCell ref="H399:I399"/>
    <mergeCell ref="J399:J400"/>
    <mergeCell ref="B71:B72"/>
    <mergeCell ref="C71:C72"/>
    <mergeCell ref="D71:D72"/>
    <mergeCell ref="E71:E72"/>
    <mergeCell ref="F71:F72"/>
    <mergeCell ref="G71:G72"/>
    <mergeCell ref="H71:I71"/>
    <mergeCell ref="J71:J72"/>
    <mergeCell ref="K71:N71"/>
    <mergeCell ref="O429:P429"/>
    <mergeCell ref="Q429:Q430"/>
    <mergeCell ref="Q373:Q374"/>
    <mergeCell ref="B370:Q370"/>
    <mergeCell ref="B371:Q371"/>
    <mergeCell ref="B372:Q372"/>
    <mergeCell ref="B373:B374"/>
    <mergeCell ref="C373:C374"/>
    <mergeCell ref="D373:D374"/>
    <mergeCell ref="E373:E374"/>
    <mergeCell ref="B426:Q426"/>
    <mergeCell ref="B427:Q427"/>
    <mergeCell ref="B428:Q428"/>
    <mergeCell ref="K399:N399"/>
    <mergeCell ref="F373:F374"/>
    <mergeCell ref="G373:G374"/>
    <mergeCell ref="H373:I373"/>
    <mergeCell ref="J373:J374"/>
    <mergeCell ref="K373:N373"/>
    <mergeCell ref="O373:P373"/>
    <mergeCell ref="O399:P399"/>
    <mergeCell ref="Q399:Q400"/>
    <mergeCell ref="B396:Q396"/>
    <mergeCell ref="B397:Q397"/>
  </mergeCells>
  <phoneticPr fontId="28" type="noConversion"/>
  <pageMargins left="1.5748031496062993" right="0" top="0.23622047244094491" bottom="0.23622047244094491" header="0.31496062992125984" footer="0.31496062992125984"/>
  <pageSetup paperSize="5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BIO DATA</vt:lpstr>
      <vt:lpstr>PERKELAS</vt:lpstr>
      <vt:lpstr>DATA PERKELAS</vt:lpstr>
      <vt:lpstr>'DATA PERKELAS'!Print_Area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Latif</dc:creator>
  <cp:lastModifiedBy>muin 1918</cp:lastModifiedBy>
  <cp:lastPrinted>2026-07-25T01:35:48Z</cp:lastPrinted>
  <dcterms:created xsi:type="dcterms:W3CDTF">2020-05-19T00:28:35Z</dcterms:created>
  <dcterms:modified xsi:type="dcterms:W3CDTF">2026-07-28T02:17:15Z</dcterms:modified>
</cp:coreProperties>
</file>