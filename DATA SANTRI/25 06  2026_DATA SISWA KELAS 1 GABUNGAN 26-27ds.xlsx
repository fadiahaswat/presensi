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DATA PENGAJARAN\TP 2026-2027\Kumpulan Data Siswa\"/>
    </mc:Choice>
  </mc:AlternateContent>
  <xr:revisionPtr revIDLastSave="0" documentId="13_ncr:1_{B86E8899-3B7E-464D-9979-1B9CCE7ACAB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BIO DATA" sheetId="4" r:id="rId1"/>
    <sheet name="PERKELAS" sheetId="2" r:id="rId2"/>
    <sheet name="DATA PERKELAS" sheetId="3" r:id="rId3"/>
  </sheets>
  <definedNames>
    <definedName name="_xlnm._FilterDatabase" localSheetId="0" hidden="1">'BIO DATA'!$A$1:$AS$266</definedName>
    <definedName name="_xlnm.Print_Area" localSheetId="2">'DATA PERKELAS'!$B$1:$Q$478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6" i="3" l="1"/>
  <c r="H455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73" i="3"/>
  <c r="C462" i="3"/>
  <c r="D462" i="3"/>
  <c r="E462" i="3"/>
  <c r="F462" i="3"/>
  <c r="G462" i="3"/>
  <c r="H462" i="3"/>
  <c r="I462" i="3"/>
  <c r="J462" i="3"/>
  <c r="K462" i="3"/>
  <c r="L462" i="3"/>
  <c r="M462" i="3"/>
  <c r="N462" i="3"/>
  <c r="O462" i="3"/>
  <c r="P462" i="3"/>
  <c r="C463" i="3"/>
  <c r="D463" i="3"/>
  <c r="E463" i="3"/>
  <c r="F463" i="3"/>
  <c r="G463" i="3"/>
  <c r="H463" i="3"/>
  <c r="J463" i="3"/>
  <c r="K463" i="3"/>
  <c r="L463" i="3"/>
  <c r="M463" i="3"/>
  <c r="N463" i="3"/>
  <c r="O463" i="3"/>
  <c r="P463" i="3"/>
  <c r="C464" i="3"/>
  <c r="D464" i="3"/>
  <c r="E464" i="3"/>
  <c r="F464" i="3"/>
  <c r="G464" i="3"/>
  <c r="H464" i="3"/>
  <c r="I464" i="3"/>
  <c r="J464" i="3"/>
  <c r="K464" i="3"/>
  <c r="L464" i="3"/>
  <c r="M464" i="3"/>
  <c r="N464" i="3"/>
  <c r="O464" i="3"/>
  <c r="P464" i="3"/>
  <c r="C465" i="3"/>
  <c r="D465" i="3"/>
  <c r="E465" i="3"/>
  <c r="F465" i="3"/>
  <c r="G465" i="3"/>
  <c r="H465" i="3"/>
  <c r="J465" i="3"/>
  <c r="K465" i="3"/>
  <c r="L465" i="3"/>
  <c r="M465" i="3"/>
  <c r="N465" i="3"/>
  <c r="O465" i="3"/>
  <c r="P465" i="3"/>
  <c r="C466" i="3"/>
  <c r="D466" i="3"/>
  <c r="E466" i="3"/>
  <c r="F466" i="3"/>
  <c r="G466" i="3"/>
  <c r="H466" i="3"/>
  <c r="J466" i="3"/>
  <c r="K466" i="3"/>
  <c r="L466" i="3"/>
  <c r="M466" i="3"/>
  <c r="N466" i="3"/>
  <c r="O466" i="3"/>
  <c r="P466" i="3"/>
  <c r="C467" i="3"/>
  <c r="D467" i="3"/>
  <c r="E467" i="3"/>
  <c r="F467" i="3"/>
  <c r="G467" i="3"/>
  <c r="H467" i="3"/>
  <c r="J467" i="3"/>
  <c r="K467" i="3"/>
  <c r="L467" i="3"/>
  <c r="M467" i="3"/>
  <c r="N467" i="3"/>
  <c r="O467" i="3"/>
  <c r="P467" i="3"/>
  <c r="C468" i="3"/>
  <c r="D468" i="3"/>
  <c r="E468" i="3"/>
  <c r="F468" i="3"/>
  <c r="G468" i="3"/>
  <c r="H468" i="3"/>
  <c r="J468" i="3"/>
  <c r="K468" i="3"/>
  <c r="L468" i="3"/>
  <c r="M468" i="3"/>
  <c r="N468" i="3"/>
  <c r="O468" i="3"/>
  <c r="P468" i="3"/>
  <c r="C469" i="3"/>
  <c r="D469" i="3"/>
  <c r="E469" i="3"/>
  <c r="F469" i="3"/>
  <c r="G469" i="3"/>
  <c r="H469" i="3"/>
  <c r="J469" i="3"/>
  <c r="K469" i="3"/>
  <c r="L469" i="3"/>
  <c r="M469" i="3"/>
  <c r="N469" i="3"/>
  <c r="O469" i="3"/>
  <c r="P469" i="3"/>
  <c r="C470" i="3"/>
  <c r="D470" i="3"/>
  <c r="E470" i="3"/>
  <c r="F470" i="3"/>
  <c r="G470" i="3"/>
  <c r="H470" i="3"/>
  <c r="J470" i="3"/>
  <c r="K470" i="3"/>
  <c r="L470" i="3"/>
  <c r="M470" i="3"/>
  <c r="N470" i="3"/>
  <c r="O470" i="3"/>
  <c r="P470" i="3"/>
  <c r="C471" i="3"/>
  <c r="D471" i="3"/>
  <c r="E471" i="3"/>
  <c r="F471" i="3"/>
  <c r="G471" i="3"/>
  <c r="H471" i="3"/>
  <c r="J471" i="3"/>
  <c r="K471" i="3"/>
  <c r="L471" i="3"/>
  <c r="M471" i="3"/>
  <c r="N471" i="3"/>
  <c r="O471" i="3"/>
  <c r="P471" i="3"/>
  <c r="C472" i="3"/>
  <c r="D472" i="3"/>
  <c r="E472" i="3"/>
  <c r="F472" i="3"/>
  <c r="G472" i="3"/>
  <c r="H472" i="3"/>
  <c r="J472" i="3"/>
  <c r="K472" i="3"/>
  <c r="L472" i="3"/>
  <c r="M472" i="3"/>
  <c r="N472" i="3"/>
  <c r="O472" i="3"/>
  <c r="P472" i="3"/>
  <c r="C473" i="3"/>
  <c r="D473" i="3"/>
  <c r="E473" i="3"/>
  <c r="F473" i="3"/>
  <c r="G473" i="3"/>
  <c r="H473" i="3"/>
  <c r="J473" i="3"/>
  <c r="K473" i="3"/>
  <c r="L473" i="3"/>
  <c r="M473" i="3"/>
  <c r="N473" i="3"/>
  <c r="O473" i="3"/>
  <c r="P473" i="3"/>
  <c r="C474" i="3"/>
  <c r="D474" i="3"/>
  <c r="E474" i="3"/>
  <c r="F474" i="3"/>
  <c r="G474" i="3"/>
  <c r="H474" i="3"/>
  <c r="J474" i="3"/>
  <c r="K474" i="3"/>
  <c r="L474" i="3"/>
  <c r="M474" i="3"/>
  <c r="N474" i="3"/>
  <c r="O474" i="3"/>
  <c r="P474" i="3"/>
  <c r="C475" i="3"/>
  <c r="D475" i="3"/>
  <c r="E475" i="3"/>
  <c r="F475" i="3"/>
  <c r="G475" i="3"/>
  <c r="H475" i="3"/>
  <c r="J475" i="3"/>
  <c r="K475" i="3"/>
  <c r="L475" i="3"/>
  <c r="M475" i="3"/>
  <c r="N475" i="3"/>
  <c r="O475" i="3"/>
  <c r="P475" i="3"/>
  <c r="C476" i="3"/>
  <c r="D476" i="3"/>
  <c r="E476" i="3"/>
  <c r="F476" i="3"/>
  <c r="G476" i="3"/>
  <c r="H476" i="3"/>
  <c r="J476" i="3"/>
  <c r="K476" i="3"/>
  <c r="L476" i="3"/>
  <c r="M476" i="3"/>
  <c r="N476" i="3"/>
  <c r="O476" i="3"/>
  <c r="P476" i="3"/>
  <c r="C477" i="3"/>
  <c r="D477" i="3"/>
  <c r="E477" i="3"/>
  <c r="F477" i="3"/>
  <c r="G477" i="3"/>
  <c r="H477" i="3"/>
  <c r="J477" i="3"/>
  <c r="K477" i="3"/>
  <c r="L477" i="3"/>
  <c r="M477" i="3"/>
  <c r="N477" i="3"/>
  <c r="O477" i="3"/>
  <c r="P477" i="3"/>
  <c r="C478" i="3"/>
  <c r="D478" i="3"/>
  <c r="E478" i="3"/>
  <c r="F478" i="3"/>
  <c r="G478" i="3"/>
  <c r="H478" i="3"/>
  <c r="J478" i="3"/>
  <c r="K478" i="3"/>
  <c r="L478" i="3"/>
  <c r="M478" i="3"/>
  <c r="N478" i="3"/>
  <c r="O478" i="3"/>
  <c r="P478" i="3"/>
  <c r="P461" i="3"/>
  <c r="O461" i="3"/>
  <c r="N461" i="3"/>
  <c r="M461" i="3"/>
  <c r="L461" i="3"/>
  <c r="K461" i="3"/>
  <c r="J461" i="3"/>
  <c r="H461" i="3"/>
  <c r="G461" i="3"/>
  <c r="F461" i="3"/>
  <c r="E461" i="3"/>
  <c r="D461" i="3"/>
  <c r="C461" i="3"/>
  <c r="C438" i="3"/>
  <c r="D438" i="3"/>
  <c r="E438" i="3"/>
  <c r="F438" i="3"/>
  <c r="G438" i="3"/>
  <c r="H438" i="3"/>
  <c r="I438" i="3"/>
  <c r="J438" i="3"/>
  <c r="K438" i="3"/>
  <c r="L438" i="3"/>
  <c r="M438" i="3"/>
  <c r="N438" i="3"/>
  <c r="O438" i="3"/>
  <c r="P438" i="3"/>
  <c r="C439" i="3"/>
  <c r="D439" i="3"/>
  <c r="E439" i="3"/>
  <c r="F439" i="3"/>
  <c r="G439" i="3"/>
  <c r="H439" i="3"/>
  <c r="J439" i="3"/>
  <c r="K439" i="3"/>
  <c r="L439" i="3"/>
  <c r="M439" i="3"/>
  <c r="N439" i="3"/>
  <c r="O439" i="3"/>
  <c r="P439" i="3"/>
  <c r="C440" i="3"/>
  <c r="D440" i="3"/>
  <c r="E440" i="3"/>
  <c r="F440" i="3"/>
  <c r="G440" i="3"/>
  <c r="H440" i="3"/>
  <c r="J440" i="3"/>
  <c r="K440" i="3"/>
  <c r="L440" i="3"/>
  <c r="M440" i="3"/>
  <c r="N440" i="3"/>
  <c r="O440" i="3"/>
  <c r="P440" i="3"/>
  <c r="C441" i="3"/>
  <c r="D441" i="3"/>
  <c r="E441" i="3"/>
  <c r="F441" i="3"/>
  <c r="G441" i="3"/>
  <c r="H441" i="3"/>
  <c r="J441" i="3"/>
  <c r="K441" i="3"/>
  <c r="L441" i="3"/>
  <c r="M441" i="3"/>
  <c r="N441" i="3"/>
  <c r="O441" i="3"/>
  <c r="P441" i="3"/>
  <c r="C442" i="3"/>
  <c r="D442" i="3"/>
  <c r="E442" i="3"/>
  <c r="F442" i="3"/>
  <c r="G442" i="3"/>
  <c r="H442" i="3"/>
  <c r="I442" i="3"/>
  <c r="J442" i="3"/>
  <c r="K442" i="3"/>
  <c r="L442" i="3"/>
  <c r="M442" i="3"/>
  <c r="N442" i="3"/>
  <c r="O442" i="3"/>
  <c r="P442" i="3"/>
  <c r="C443" i="3"/>
  <c r="D443" i="3"/>
  <c r="E443" i="3"/>
  <c r="F443" i="3"/>
  <c r="G443" i="3"/>
  <c r="H443" i="3"/>
  <c r="J443" i="3"/>
  <c r="K443" i="3"/>
  <c r="L443" i="3"/>
  <c r="M443" i="3"/>
  <c r="N443" i="3"/>
  <c r="O443" i="3"/>
  <c r="P443" i="3"/>
  <c r="C444" i="3"/>
  <c r="D444" i="3"/>
  <c r="E444" i="3"/>
  <c r="F444" i="3"/>
  <c r="G444" i="3"/>
  <c r="H444" i="3"/>
  <c r="J444" i="3"/>
  <c r="K444" i="3"/>
  <c r="L444" i="3"/>
  <c r="M444" i="3"/>
  <c r="N444" i="3"/>
  <c r="O444" i="3"/>
  <c r="P444" i="3"/>
  <c r="C445" i="3"/>
  <c r="D445" i="3"/>
  <c r="E445" i="3"/>
  <c r="F445" i="3"/>
  <c r="G445" i="3"/>
  <c r="H445" i="3"/>
  <c r="J445" i="3"/>
  <c r="K445" i="3"/>
  <c r="L445" i="3"/>
  <c r="M445" i="3"/>
  <c r="N445" i="3"/>
  <c r="O445" i="3"/>
  <c r="P445" i="3"/>
  <c r="C446" i="3"/>
  <c r="D446" i="3"/>
  <c r="E446" i="3"/>
  <c r="F446" i="3"/>
  <c r="G446" i="3"/>
  <c r="H446" i="3"/>
  <c r="J446" i="3"/>
  <c r="K446" i="3"/>
  <c r="L446" i="3"/>
  <c r="M446" i="3"/>
  <c r="N446" i="3"/>
  <c r="O446" i="3"/>
  <c r="P446" i="3"/>
  <c r="C447" i="3"/>
  <c r="D447" i="3"/>
  <c r="E447" i="3"/>
  <c r="F447" i="3"/>
  <c r="G447" i="3"/>
  <c r="H447" i="3"/>
  <c r="J447" i="3"/>
  <c r="K447" i="3"/>
  <c r="L447" i="3"/>
  <c r="M447" i="3"/>
  <c r="N447" i="3"/>
  <c r="O447" i="3"/>
  <c r="P447" i="3"/>
  <c r="C448" i="3"/>
  <c r="D448" i="3"/>
  <c r="E448" i="3"/>
  <c r="F448" i="3"/>
  <c r="G448" i="3"/>
  <c r="H448" i="3"/>
  <c r="J448" i="3"/>
  <c r="K448" i="3"/>
  <c r="L448" i="3"/>
  <c r="M448" i="3"/>
  <c r="N448" i="3"/>
  <c r="O448" i="3"/>
  <c r="P448" i="3"/>
  <c r="C449" i="3"/>
  <c r="D449" i="3"/>
  <c r="E449" i="3"/>
  <c r="F449" i="3"/>
  <c r="G449" i="3"/>
  <c r="H449" i="3"/>
  <c r="J449" i="3"/>
  <c r="K449" i="3"/>
  <c r="L449" i="3"/>
  <c r="M449" i="3"/>
  <c r="N449" i="3"/>
  <c r="O449" i="3"/>
  <c r="P449" i="3"/>
  <c r="C450" i="3"/>
  <c r="D450" i="3"/>
  <c r="E450" i="3"/>
  <c r="F450" i="3"/>
  <c r="G450" i="3"/>
  <c r="H450" i="3"/>
  <c r="J450" i="3"/>
  <c r="K450" i="3"/>
  <c r="L450" i="3"/>
  <c r="M450" i="3"/>
  <c r="N450" i="3"/>
  <c r="O450" i="3"/>
  <c r="P450" i="3"/>
  <c r="C451" i="3"/>
  <c r="D451" i="3"/>
  <c r="E451" i="3"/>
  <c r="F451" i="3"/>
  <c r="G451" i="3"/>
  <c r="H451" i="3"/>
  <c r="J451" i="3"/>
  <c r="K451" i="3"/>
  <c r="L451" i="3"/>
  <c r="M451" i="3"/>
  <c r="N451" i="3"/>
  <c r="O451" i="3"/>
  <c r="P451" i="3"/>
  <c r="C452" i="3"/>
  <c r="D452" i="3"/>
  <c r="E452" i="3"/>
  <c r="F452" i="3"/>
  <c r="G452" i="3"/>
  <c r="H452" i="3"/>
  <c r="J452" i="3"/>
  <c r="K452" i="3"/>
  <c r="L452" i="3"/>
  <c r="M452" i="3"/>
  <c r="N452" i="3"/>
  <c r="O452" i="3"/>
  <c r="P452" i="3"/>
  <c r="C453" i="3"/>
  <c r="D453" i="3"/>
  <c r="E453" i="3"/>
  <c r="F453" i="3"/>
  <c r="G453" i="3"/>
  <c r="H453" i="3"/>
  <c r="J453" i="3"/>
  <c r="K453" i="3"/>
  <c r="L453" i="3"/>
  <c r="M453" i="3"/>
  <c r="N453" i="3"/>
  <c r="O453" i="3"/>
  <c r="P453" i="3"/>
  <c r="C454" i="3"/>
  <c r="D454" i="3"/>
  <c r="E454" i="3"/>
  <c r="F454" i="3"/>
  <c r="G454" i="3"/>
  <c r="H454" i="3"/>
  <c r="J454" i="3"/>
  <c r="K454" i="3"/>
  <c r="L454" i="3"/>
  <c r="M454" i="3"/>
  <c r="N454" i="3"/>
  <c r="O454" i="3"/>
  <c r="P454" i="3"/>
  <c r="C455" i="3"/>
  <c r="D455" i="3"/>
  <c r="E455" i="3"/>
  <c r="F455" i="3"/>
  <c r="G455" i="3"/>
  <c r="J455" i="3"/>
  <c r="K455" i="3"/>
  <c r="L455" i="3"/>
  <c r="M455" i="3"/>
  <c r="N455" i="3"/>
  <c r="O455" i="3"/>
  <c r="P455" i="3"/>
  <c r="P437" i="3"/>
  <c r="O437" i="3"/>
  <c r="N437" i="3"/>
  <c r="M437" i="3"/>
  <c r="L437" i="3"/>
  <c r="K437" i="3"/>
  <c r="J437" i="3"/>
  <c r="H437" i="3"/>
  <c r="G437" i="3"/>
  <c r="F437" i="3"/>
  <c r="E437" i="3"/>
  <c r="D437" i="3"/>
  <c r="C437" i="3"/>
  <c r="C414" i="3"/>
  <c r="D414" i="3"/>
  <c r="E414" i="3"/>
  <c r="F414" i="3"/>
  <c r="G414" i="3"/>
  <c r="H414" i="3"/>
  <c r="I414" i="3"/>
  <c r="J414" i="3"/>
  <c r="K414" i="3"/>
  <c r="L414" i="3"/>
  <c r="M414" i="3"/>
  <c r="N414" i="3"/>
  <c r="O414" i="3"/>
  <c r="P414" i="3"/>
  <c r="C415" i="3"/>
  <c r="D415" i="3"/>
  <c r="E415" i="3"/>
  <c r="F415" i="3"/>
  <c r="G415" i="3"/>
  <c r="H415" i="3"/>
  <c r="I415" i="3"/>
  <c r="J415" i="3"/>
  <c r="K415" i="3"/>
  <c r="L415" i="3"/>
  <c r="M415" i="3"/>
  <c r="N415" i="3"/>
  <c r="O415" i="3"/>
  <c r="P415" i="3"/>
  <c r="C416" i="3"/>
  <c r="D416" i="3"/>
  <c r="E416" i="3"/>
  <c r="F416" i="3"/>
  <c r="G416" i="3"/>
  <c r="H416" i="3"/>
  <c r="I416" i="3"/>
  <c r="J416" i="3"/>
  <c r="K416" i="3"/>
  <c r="L416" i="3"/>
  <c r="M416" i="3"/>
  <c r="N416" i="3"/>
  <c r="O416" i="3"/>
  <c r="P416" i="3"/>
  <c r="C417" i="3"/>
  <c r="D417" i="3"/>
  <c r="E417" i="3"/>
  <c r="F417" i="3"/>
  <c r="G417" i="3"/>
  <c r="H417" i="3"/>
  <c r="I417" i="3"/>
  <c r="J417" i="3"/>
  <c r="K417" i="3"/>
  <c r="L417" i="3"/>
  <c r="M417" i="3"/>
  <c r="N417" i="3"/>
  <c r="O417" i="3"/>
  <c r="P417" i="3"/>
  <c r="C418" i="3"/>
  <c r="D418" i="3"/>
  <c r="E418" i="3"/>
  <c r="F418" i="3"/>
  <c r="G418" i="3"/>
  <c r="H418" i="3"/>
  <c r="I418" i="3"/>
  <c r="J418" i="3"/>
  <c r="K418" i="3"/>
  <c r="L418" i="3"/>
  <c r="M418" i="3"/>
  <c r="N418" i="3"/>
  <c r="O418" i="3"/>
  <c r="P418" i="3"/>
  <c r="C419" i="3"/>
  <c r="D419" i="3"/>
  <c r="E419" i="3"/>
  <c r="F419" i="3"/>
  <c r="G419" i="3"/>
  <c r="H419" i="3"/>
  <c r="I419" i="3"/>
  <c r="J419" i="3"/>
  <c r="K419" i="3"/>
  <c r="L419" i="3"/>
  <c r="M419" i="3"/>
  <c r="N419" i="3"/>
  <c r="O419" i="3"/>
  <c r="P419" i="3"/>
  <c r="C420" i="3"/>
  <c r="D420" i="3"/>
  <c r="E420" i="3"/>
  <c r="F420" i="3"/>
  <c r="G420" i="3"/>
  <c r="H420" i="3"/>
  <c r="I420" i="3"/>
  <c r="J420" i="3"/>
  <c r="K420" i="3"/>
  <c r="L420" i="3"/>
  <c r="M420" i="3"/>
  <c r="N420" i="3"/>
  <c r="O420" i="3"/>
  <c r="P420" i="3"/>
  <c r="C421" i="3"/>
  <c r="D421" i="3"/>
  <c r="E421" i="3"/>
  <c r="F421" i="3"/>
  <c r="G421" i="3"/>
  <c r="H421" i="3"/>
  <c r="I421" i="3"/>
  <c r="J421" i="3"/>
  <c r="K421" i="3"/>
  <c r="L421" i="3"/>
  <c r="M421" i="3"/>
  <c r="N421" i="3"/>
  <c r="O421" i="3"/>
  <c r="P421" i="3"/>
  <c r="C422" i="3"/>
  <c r="D422" i="3"/>
  <c r="E422" i="3"/>
  <c r="F422" i="3"/>
  <c r="G422" i="3"/>
  <c r="H422" i="3"/>
  <c r="I422" i="3"/>
  <c r="J422" i="3"/>
  <c r="K422" i="3"/>
  <c r="L422" i="3"/>
  <c r="M422" i="3"/>
  <c r="N422" i="3"/>
  <c r="O422" i="3"/>
  <c r="P422" i="3"/>
  <c r="C423" i="3"/>
  <c r="D423" i="3"/>
  <c r="E423" i="3"/>
  <c r="F423" i="3"/>
  <c r="G423" i="3"/>
  <c r="H423" i="3"/>
  <c r="I423" i="3"/>
  <c r="J423" i="3"/>
  <c r="K423" i="3"/>
  <c r="L423" i="3"/>
  <c r="M423" i="3"/>
  <c r="N423" i="3"/>
  <c r="O423" i="3"/>
  <c r="P423" i="3"/>
  <c r="C424" i="3"/>
  <c r="D424" i="3"/>
  <c r="E424" i="3"/>
  <c r="F424" i="3"/>
  <c r="G424" i="3"/>
  <c r="H424" i="3"/>
  <c r="I424" i="3"/>
  <c r="J424" i="3"/>
  <c r="K424" i="3"/>
  <c r="L424" i="3"/>
  <c r="M424" i="3"/>
  <c r="N424" i="3"/>
  <c r="O424" i="3"/>
  <c r="P424" i="3"/>
  <c r="C425" i="3"/>
  <c r="D425" i="3"/>
  <c r="E425" i="3"/>
  <c r="F425" i="3"/>
  <c r="G425" i="3"/>
  <c r="H425" i="3"/>
  <c r="I425" i="3"/>
  <c r="J425" i="3"/>
  <c r="K425" i="3"/>
  <c r="L425" i="3"/>
  <c r="M425" i="3"/>
  <c r="N425" i="3"/>
  <c r="O425" i="3"/>
  <c r="P425" i="3"/>
  <c r="C426" i="3"/>
  <c r="D426" i="3"/>
  <c r="E426" i="3"/>
  <c r="F426" i="3"/>
  <c r="G426" i="3"/>
  <c r="H426" i="3"/>
  <c r="I426" i="3"/>
  <c r="J426" i="3"/>
  <c r="K426" i="3"/>
  <c r="L426" i="3"/>
  <c r="M426" i="3"/>
  <c r="N426" i="3"/>
  <c r="O426" i="3"/>
  <c r="P426" i="3"/>
  <c r="C427" i="3"/>
  <c r="D427" i="3"/>
  <c r="E427" i="3"/>
  <c r="F427" i="3"/>
  <c r="G427" i="3"/>
  <c r="H427" i="3"/>
  <c r="I427" i="3"/>
  <c r="J427" i="3"/>
  <c r="K427" i="3"/>
  <c r="L427" i="3"/>
  <c r="M427" i="3"/>
  <c r="N427" i="3"/>
  <c r="O427" i="3"/>
  <c r="P427" i="3"/>
  <c r="C428" i="3"/>
  <c r="D428" i="3"/>
  <c r="E428" i="3"/>
  <c r="F428" i="3"/>
  <c r="G428" i="3"/>
  <c r="H428" i="3"/>
  <c r="I428" i="3"/>
  <c r="J428" i="3"/>
  <c r="K428" i="3"/>
  <c r="L428" i="3"/>
  <c r="M428" i="3"/>
  <c r="N428" i="3"/>
  <c r="O428" i="3"/>
  <c r="P428" i="3"/>
  <c r="C429" i="3"/>
  <c r="D429" i="3"/>
  <c r="E429" i="3"/>
  <c r="F429" i="3"/>
  <c r="G429" i="3"/>
  <c r="H429" i="3"/>
  <c r="I429" i="3"/>
  <c r="J429" i="3"/>
  <c r="K429" i="3"/>
  <c r="L429" i="3"/>
  <c r="M429" i="3"/>
  <c r="N429" i="3"/>
  <c r="O429" i="3"/>
  <c r="P429" i="3"/>
  <c r="C430" i="3"/>
  <c r="D430" i="3"/>
  <c r="E430" i="3"/>
  <c r="F430" i="3"/>
  <c r="G430" i="3"/>
  <c r="H430" i="3"/>
  <c r="I430" i="3"/>
  <c r="J430" i="3"/>
  <c r="K430" i="3"/>
  <c r="L430" i="3"/>
  <c r="M430" i="3"/>
  <c r="N430" i="3"/>
  <c r="O430" i="3"/>
  <c r="P430" i="3"/>
  <c r="P413" i="3"/>
  <c r="O413" i="3"/>
  <c r="N413" i="3"/>
  <c r="M413" i="3"/>
  <c r="L413" i="3"/>
  <c r="K413" i="3"/>
  <c r="J413" i="3"/>
  <c r="I413" i="3"/>
  <c r="H413" i="3"/>
  <c r="G413" i="3"/>
  <c r="F413" i="3"/>
  <c r="E413" i="3"/>
  <c r="D413" i="3"/>
  <c r="C413" i="3"/>
  <c r="C377" i="3"/>
  <c r="D377" i="3"/>
  <c r="E377" i="3"/>
  <c r="F377" i="3"/>
  <c r="G377" i="3"/>
  <c r="H377" i="3"/>
  <c r="I377" i="3"/>
  <c r="J377" i="3"/>
  <c r="K377" i="3"/>
  <c r="L377" i="3"/>
  <c r="M377" i="3"/>
  <c r="N377" i="3"/>
  <c r="O377" i="3"/>
  <c r="P377" i="3"/>
  <c r="Q377" i="3"/>
  <c r="C378" i="3"/>
  <c r="D378" i="3"/>
  <c r="E378" i="3"/>
  <c r="F378" i="3"/>
  <c r="G378" i="3"/>
  <c r="H378" i="3"/>
  <c r="I378" i="3"/>
  <c r="J378" i="3"/>
  <c r="K378" i="3"/>
  <c r="L378" i="3"/>
  <c r="M378" i="3"/>
  <c r="N378" i="3"/>
  <c r="O378" i="3"/>
  <c r="P378" i="3"/>
  <c r="Q378" i="3"/>
  <c r="C379" i="3"/>
  <c r="D379" i="3"/>
  <c r="E379" i="3"/>
  <c r="F379" i="3"/>
  <c r="G379" i="3"/>
  <c r="H379" i="3"/>
  <c r="I379" i="3"/>
  <c r="J379" i="3"/>
  <c r="K379" i="3"/>
  <c r="L379" i="3"/>
  <c r="M379" i="3"/>
  <c r="N379" i="3"/>
  <c r="O379" i="3"/>
  <c r="P379" i="3"/>
  <c r="Q379" i="3"/>
  <c r="C380" i="3"/>
  <c r="D380" i="3"/>
  <c r="E380" i="3"/>
  <c r="F380" i="3"/>
  <c r="G380" i="3"/>
  <c r="H380" i="3"/>
  <c r="I380" i="3"/>
  <c r="J380" i="3"/>
  <c r="K380" i="3"/>
  <c r="L380" i="3"/>
  <c r="M380" i="3"/>
  <c r="N380" i="3"/>
  <c r="O380" i="3"/>
  <c r="P380" i="3"/>
  <c r="Q380" i="3"/>
  <c r="C381" i="3"/>
  <c r="D381" i="3"/>
  <c r="E381" i="3"/>
  <c r="F381" i="3"/>
  <c r="G381" i="3"/>
  <c r="H381" i="3"/>
  <c r="I381" i="3"/>
  <c r="J381" i="3"/>
  <c r="K381" i="3"/>
  <c r="L381" i="3"/>
  <c r="M381" i="3"/>
  <c r="N381" i="3"/>
  <c r="O381" i="3"/>
  <c r="P381" i="3"/>
  <c r="Q381" i="3"/>
  <c r="C382" i="3"/>
  <c r="D382" i="3"/>
  <c r="E382" i="3"/>
  <c r="F382" i="3"/>
  <c r="G382" i="3"/>
  <c r="H382" i="3"/>
  <c r="I382" i="3"/>
  <c r="J382" i="3"/>
  <c r="K382" i="3"/>
  <c r="L382" i="3"/>
  <c r="M382" i="3"/>
  <c r="N382" i="3"/>
  <c r="O382" i="3"/>
  <c r="P382" i="3"/>
  <c r="Q382" i="3"/>
  <c r="C383" i="3"/>
  <c r="D383" i="3"/>
  <c r="E383" i="3"/>
  <c r="F383" i="3"/>
  <c r="G383" i="3"/>
  <c r="H383" i="3"/>
  <c r="I383" i="3"/>
  <c r="J383" i="3"/>
  <c r="K383" i="3"/>
  <c r="L383" i="3"/>
  <c r="M383" i="3"/>
  <c r="N383" i="3"/>
  <c r="O383" i="3"/>
  <c r="P383" i="3"/>
  <c r="Q383" i="3"/>
  <c r="C384" i="3"/>
  <c r="D384" i="3"/>
  <c r="E384" i="3"/>
  <c r="F384" i="3"/>
  <c r="G384" i="3"/>
  <c r="H384" i="3"/>
  <c r="I384" i="3"/>
  <c r="J384" i="3"/>
  <c r="K384" i="3"/>
  <c r="L384" i="3"/>
  <c r="M384" i="3"/>
  <c r="N384" i="3"/>
  <c r="O384" i="3"/>
  <c r="P384" i="3"/>
  <c r="Q384" i="3"/>
  <c r="C385" i="3"/>
  <c r="D385" i="3"/>
  <c r="E385" i="3"/>
  <c r="F385" i="3"/>
  <c r="G385" i="3"/>
  <c r="H385" i="3"/>
  <c r="I385" i="3"/>
  <c r="J385" i="3"/>
  <c r="K385" i="3"/>
  <c r="L385" i="3"/>
  <c r="M385" i="3"/>
  <c r="N385" i="3"/>
  <c r="O385" i="3"/>
  <c r="P385" i="3"/>
  <c r="Q385" i="3"/>
  <c r="C386" i="3"/>
  <c r="D386" i="3"/>
  <c r="E386" i="3"/>
  <c r="F386" i="3"/>
  <c r="G386" i="3"/>
  <c r="H386" i="3"/>
  <c r="I386" i="3"/>
  <c r="J386" i="3"/>
  <c r="K386" i="3"/>
  <c r="L386" i="3"/>
  <c r="M386" i="3"/>
  <c r="N386" i="3"/>
  <c r="O386" i="3"/>
  <c r="P386" i="3"/>
  <c r="Q386" i="3"/>
  <c r="Q376" i="3"/>
  <c r="P376" i="3"/>
  <c r="O376" i="3"/>
  <c r="N376" i="3"/>
  <c r="M376" i="3"/>
  <c r="L376" i="3"/>
  <c r="K376" i="3"/>
  <c r="J376" i="3"/>
  <c r="I376" i="3"/>
  <c r="H376" i="3"/>
  <c r="G376" i="3"/>
  <c r="F376" i="3"/>
  <c r="E376" i="3"/>
  <c r="D376" i="3"/>
  <c r="C376" i="3"/>
  <c r="C353" i="3"/>
  <c r="D353" i="3"/>
  <c r="E353" i="3"/>
  <c r="F353" i="3"/>
  <c r="G353" i="3"/>
  <c r="H353" i="3"/>
  <c r="I353" i="3"/>
  <c r="J353" i="3"/>
  <c r="K353" i="3"/>
  <c r="L353" i="3"/>
  <c r="M353" i="3"/>
  <c r="N353" i="3"/>
  <c r="O353" i="3"/>
  <c r="P353" i="3"/>
  <c r="C354" i="3"/>
  <c r="D354" i="3"/>
  <c r="E354" i="3"/>
  <c r="F354" i="3"/>
  <c r="G354" i="3"/>
  <c r="H354" i="3"/>
  <c r="I354" i="3"/>
  <c r="J354" i="3"/>
  <c r="K354" i="3"/>
  <c r="L354" i="3"/>
  <c r="M354" i="3"/>
  <c r="N354" i="3"/>
  <c r="O354" i="3"/>
  <c r="P354" i="3"/>
  <c r="C355" i="3"/>
  <c r="D355" i="3"/>
  <c r="E355" i="3"/>
  <c r="F355" i="3"/>
  <c r="G355" i="3"/>
  <c r="H355" i="3"/>
  <c r="I355" i="3"/>
  <c r="J355" i="3"/>
  <c r="K355" i="3"/>
  <c r="L355" i="3"/>
  <c r="M355" i="3"/>
  <c r="N355" i="3"/>
  <c r="O355" i="3"/>
  <c r="P355" i="3"/>
  <c r="C356" i="3"/>
  <c r="D356" i="3"/>
  <c r="E356" i="3"/>
  <c r="F356" i="3"/>
  <c r="G356" i="3"/>
  <c r="H356" i="3"/>
  <c r="I356" i="3"/>
  <c r="J356" i="3"/>
  <c r="K356" i="3"/>
  <c r="L356" i="3"/>
  <c r="M356" i="3"/>
  <c r="N356" i="3"/>
  <c r="O356" i="3"/>
  <c r="P356" i="3"/>
  <c r="C357" i="3"/>
  <c r="D357" i="3"/>
  <c r="E357" i="3"/>
  <c r="F357" i="3"/>
  <c r="G357" i="3"/>
  <c r="H357" i="3"/>
  <c r="I357" i="3"/>
  <c r="J357" i="3"/>
  <c r="K357" i="3"/>
  <c r="L357" i="3"/>
  <c r="M357" i="3"/>
  <c r="N357" i="3"/>
  <c r="O357" i="3"/>
  <c r="P357" i="3"/>
  <c r="C358" i="3"/>
  <c r="D358" i="3"/>
  <c r="E358" i="3"/>
  <c r="F358" i="3"/>
  <c r="G358" i="3"/>
  <c r="H358" i="3"/>
  <c r="I358" i="3"/>
  <c r="J358" i="3"/>
  <c r="K358" i="3"/>
  <c r="L358" i="3"/>
  <c r="M358" i="3"/>
  <c r="N358" i="3"/>
  <c r="O358" i="3"/>
  <c r="P358" i="3"/>
  <c r="C359" i="3"/>
  <c r="D359" i="3"/>
  <c r="E359" i="3"/>
  <c r="F359" i="3"/>
  <c r="G359" i="3"/>
  <c r="H359" i="3"/>
  <c r="J359" i="3"/>
  <c r="K359" i="3"/>
  <c r="L359" i="3"/>
  <c r="M359" i="3"/>
  <c r="N359" i="3"/>
  <c r="O359" i="3"/>
  <c r="P359" i="3"/>
  <c r="C360" i="3"/>
  <c r="D360" i="3"/>
  <c r="E360" i="3"/>
  <c r="F360" i="3"/>
  <c r="G360" i="3"/>
  <c r="H360" i="3"/>
  <c r="I360" i="3"/>
  <c r="J360" i="3"/>
  <c r="K360" i="3"/>
  <c r="L360" i="3"/>
  <c r="M360" i="3"/>
  <c r="N360" i="3"/>
  <c r="O360" i="3"/>
  <c r="P360" i="3"/>
  <c r="C361" i="3"/>
  <c r="D361" i="3"/>
  <c r="E361" i="3"/>
  <c r="F361" i="3"/>
  <c r="G361" i="3"/>
  <c r="H361" i="3"/>
  <c r="I361" i="3"/>
  <c r="J361" i="3"/>
  <c r="K361" i="3"/>
  <c r="L361" i="3"/>
  <c r="M361" i="3"/>
  <c r="N361" i="3"/>
  <c r="O361" i="3"/>
  <c r="P361" i="3"/>
  <c r="C362" i="3"/>
  <c r="D362" i="3"/>
  <c r="E362" i="3"/>
  <c r="F362" i="3"/>
  <c r="G362" i="3"/>
  <c r="H362" i="3"/>
  <c r="I362" i="3"/>
  <c r="J362" i="3"/>
  <c r="K362" i="3"/>
  <c r="L362" i="3"/>
  <c r="M362" i="3"/>
  <c r="N362" i="3"/>
  <c r="O362" i="3"/>
  <c r="P362" i="3"/>
  <c r="C363" i="3"/>
  <c r="D363" i="3"/>
  <c r="E363" i="3"/>
  <c r="F363" i="3"/>
  <c r="G363" i="3"/>
  <c r="H363" i="3"/>
  <c r="I363" i="3"/>
  <c r="J363" i="3"/>
  <c r="K363" i="3"/>
  <c r="L363" i="3"/>
  <c r="M363" i="3"/>
  <c r="N363" i="3"/>
  <c r="O363" i="3"/>
  <c r="P363" i="3"/>
  <c r="C364" i="3"/>
  <c r="D364" i="3"/>
  <c r="E364" i="3"/>
  <c r="F364" i="3"/>
  <c r="G364" i="3"/>
  <c r="H364" i="3"/>
  <c r="I364" i="3"/>
  <c r="J364" i="3"/>
  <c r="K364" i="3"/>
  <c r="L364" i="3"/>
  <c r="M364" i="3"/>
  <c r="N364" i="3"/>
  <c r="O364" i="3"/>
  <c r="P364" i="3"/>
  <c r="C365" i="3"/>
  <c r="D365" i="3"/>
  <c r="E365" i="3"/>
  <c r="F365" i="3"/>
  <c r="G365" i="3"/>
  <c r="H365" i="3"/>
  <c r="I365" i="3"/>
  <c r="J365" i="3"/>
  <c r="K365" i="3"/>
  <c r="L365" i="3"/>
  <c r="M365" i="3"/>
  <c r="N365" i="3"/>
  <c r="O365" i="3"/>
  <c r="P365" i="3"/>
  <c r="C366" i="3"/>
  <c r="D366" i="3"/>
  <c r="E366" i="3"/>
  <c r="F366" i="3"/>
  <c r="G366" i="3"/>
  <c r="H366" i="3"/>
  <c r="I366" i="3"/>
  <c r="J366" i="3"/>
  <c r="K366" i="3"/>
  <c r="L366" i="3"/>
  <c r="M366" i="3"/>
  <c r="N366" i="3"/>
  <c r="O366" i="3"/>
  <c r="P366" i="3"/>
  <c r="C367" i="3"/>
  <c r="D367" i="3"/>
  <c r="E367" i="3"/>
  <c r="F367" i="3"/>
  <c r="G367" i="3"/>
  <c r="H367" i="3"/>
  <c r="I367" i="3"/>
  <c r="J367" i="3"/>
  <c r="K367" i="3"/>
  <c r="L367" i="3"/>
  <c r="M367" i="3"/>
  <c r="N367" i="3"/>
  <c r="O367" i="3"/>
  <c r="P367" i="3"/>
  <c r="C368" i="3"/>
  <c r="D368" i="3"/>
  <c r="E368" i="3"/>
  <c r="F368" i="3"/>
  <c r="G368" i="3"/>
  <c r="H368" i="3"/>
  <c r="J368" i="3"/>
  <c r="K368" i="3"/>
  <c r="L368" i="3"/>
  <c r="M368" i="3"/>
  <c r="N368" i="3"/>
  <c r="O368" i="3"/>
  <c r="P368" i="3"/>
  <c r="C369" i="3"/>
  <c r="D369" i="3"/>
  <c r="E369" i="3"/>
  <c r="F369" i="3"/>
  <c r="G369" i="3"/>
  <c r="H369" i="3"/>
  <c r="I369" i="3"/>
  <c r="J369" i="3"/>
  <c r="K369" i="3"/>
  <c r="L369" i="3"/>
  <c r="M369" i="3"/>
  <c r="N369" i="3"/>
  <c r="O369" i="3"/>
  <c r="P369" i="3"/>
  <c r="C375" i="3"/>
  <c r="D375" i="3"/>
  <c r="E375" i="3"/>
  <c r="F375" i="3"/>
  <c r="G375" i="3"/>
  <c r="H375" i="3"/>
  <c r="I375" i="3"/>
  <c r="J375" i="3"/>
  <c r="K375" i="3"/>
  <c r="L375" i="3"/>
  <c r="M375" i="3"/>
  <c r="N375" i="3"/>
  <c r="O375" i="3"/>
  <c r="P375" i="3"/>
  <c r="P352" i="3"/>
  <c r="O352" i="3"/>
  <c r="N352" i="3"/>
  <c r="M352" i="3"/>
  <c r="L352" i="3"/>
  <c r="K352" i="3"/>
  <c r="J352" i="3"/>
  <c r="I352" i="3"/>
  <c r="H352" i="3"/>
  <c r="G352" i="3"/>
  <c r="F352" i="3"/>
  <c r="E352" i="3"/>
  <c r="D352" i="3"/>
  <c r="C352" i="3"/>
  <c r="O221" i="4"/>
  <c r="L206" i="3"/>
  <c r="M206" i="3"/>
  <c r="N206" i="3"/>
  <c r="O206" i="3"/>
  <c r="P206" i="3"/>
  <c r="K206" i="3"/>
  <c r="J206" i="3"/>
  <c r="I206" i="3"/>
  <c r="H206" i="3"/>
  <c r="G206" i="3"/>
  <c r="F206" i="3"/>
  <c r="E206" i="3"/>
  <c r="D206" i="3"/>
  <c r="G7" i="3"/>
  <c r="G8" i="3"/>
  <c r="G9" i="3"/>
  <c r="G10" i="3"/>
  <c r="G11" i="3"/>
  <c r="G6" i="3"/>
  <c r="I141" i="3"/>
  <c r="I143" i="3"/>
  <c r="I145" i="3"/>
  <c r="I146" i="3"/>
  <c r="I149" i="3"/>
  <c r="P99" i="4"/>
  <c r="P157" i="4"/>
  <c r="I359" i="3"/>
  <c r="I368" i="3"/>
  <c r="P217" i="4"/>
  <c r="I437" i="3"/>
  <c r="I439" i="3"/>
  <c r="I440" i="3"/>
  <c r="I441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61" i="3"/>
  <c r="I463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G28" i="3"/>
  <c r="G26" i="3"/>
  <c r="G27" i="3"/>
  <c r="G18" i="3"/>
  <c r="G15" i="3"/>
  <c r="G16" i="3"/>
  <c r="G36" i="3"/>
  <c r="G34" i="3"/>
  <c r="G31" i="3"/>
  <c r="G32" i="3"/>
  <c r="F29" i="3"/>
  <c r="J29" i="3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H64" i="2" s="1"/>
  <c r="O65" i="4"/>
  <c r="H65" i="2" s="1"/>
  <c r="O66" i="4"/>
  <c r="H66" i="2" s="1"/>
  <c r="O67" i="4"/>
  <c r="O68" i="4"/>
  <c r="H68" i="2" s="1"/>
  <c r="O69" i="4"/>
  <c r="O70" i="4"/>
  <c r="H70" i="2" s="1"/>
  <c r="O71" i="4"/>
  <c r="H71" i="2" s="1"/>
  <c r="O72" i="4"/>
  <c r="O73" i="4"/>
  <c r="O74" i="4"/>
  <c r="O75" i="4"/>
  <c r="O76" i="4"/>
  <c r="O77" i="4"/>
  <c r="O78" i="4"/>
  <c r="H78" i="2" s="1"/>
  <c r="O79" i="4"/>
  <c r="H79" i="2" s="1"/>
  <c r="O80" i="4"/>
  <c r="H80" i="2" s="1"/>
  <c r="O81" i="4"/>
  <c r="O82" i="4"/>
  <c r="O83" i="4"/>
  <c r="O84" i="4"/>
  <c r="O85" i="4"/>
  <c r="O86" i="4"/>
  <c r="H86" i="2" s="1"/>
  <c r="O87" i="4"/>
  <c r="H87" i="2" s="1"/>
  <c r="O88" i="4"/>
  <c r="H88" i="2" s="1"/>
  <c r="O89" i="4"/>
  <c r="O90" i="4"/>
  <c r="O91" i="4"/>
  <c r="O92" i="4"/>
  <c r="O93" i="4"/>
  <c r="O94" i="4"/>
  <c r="H94" i="2" s="1"/>
  <c r="O95" i="4"/>
  <c r="H95" i="2" s="1"/>
  <c r="O96" i="4"/>
  <c r="H96" i="2" s="1"/>
  <c r="O97" i="4"/>
  <c r="O98" i="4"/>
  <c r="O99" i="4"/>
  <c r="O100" i="4"/>
  <c r="O101" i="4"/>
  <c r="O102" i="4"/>
  <c r="H102" i="2" s="1"/>
  <c r="O103" i="4"/>
  <c r="H103" i="2" s="1"/>
  <c r="O104" i="4"/>
  <c r="O105" i="4"/>
  <c r="O106" i="4"/>
  <c r="O107" i="4"/>
  <c r="O108" i="4"/>
  <c r="O109" i="4"/>
  <c r="O110" i="4"/>
  <c r="H110" i="2" s="1"/>
  <c r="O111" i="4"/>
  <c r="H111" i="2" s="1"/>
  <c r="O112" i="4"/>
  <c r="H112" i="2" s="1"/>
  <c r="O113" i="4"/>
  <c r="O114" i="4"/>
  <c r="O115" i="4"/>
  <c r="O116" i="4"/>
  <c r="O117" i="4"/>
  <c r="O118" i="4"/>
  <c r="H118" i="2" s="1"/>
  <c r="O119" i="4"/>
  <c r="H119" i="2" s="1"/>
  <c r="O120" i="4"/>
  <c r="H120" i="2" s="1"/>
  <c r="O121" i="4"/>
  <c r="O122" i="4"/>
  <c r="O123" i="4"/>
  <c r="O124" i="4"/>
  <c r="O125" i="4"/>
  <c r="O126" i="4"/>
  <c r="H126" i="2" s="1"/>
  <c r="O127" i="4"/>
  <c r="H127" i="2" s="1"/>
  <c r="O128" i="4"/>
  <c r="O129" i="4"/>
  <c r="O130" i="4"/>
  <c r="O131" i="4"/>
  <c r="H131" i="2" s="1"/>
  <c r="O132" i="4"/>
  <c r="O133" i="4"/>
  <c r="O134" i="4"/>
  <c r="H134" i="2" s="1"/>
  <c r="O135" i="4"/>
  <c r="H135" i="2" s="1"/>
  <c r="O136" i="4"/>
  <c r="O137" i="4"/>
  <c r="H137" i="2" s="1"/>
  <c r="O138" i="4"/>
  <c r="H138" i="2" s="1"/>
  <c r="O139" i="4"/>
  <c r="H139" i="2" s="1"/>
  <c r="O140" i="4"/>
  <c r="O141" i="4"/>
  <c r="O142" i="4"/>
  <c r="H142" i="2" s="1"/>
  <c r="O143" i="4"/>
  <c r="H143" i="2" s="1"/>
  <c r="O144" i="4"/>
  <c r="O145" i="4"/>
  <c r="H145" i="2" s="1"/>
  <c r="O146" i="4"/>
  <c r="H146" i="2" s="1"/>
  <c r="O147" i="4"/>
  <c r="H147" i="2" s="1"/>
  <c r="O148" i="4"/>
  <c r="O149" i="4"/>
  <c r="O150" i="4"/>
  <c r="H150" i="2" s="1"/>
  <c r="O151" i="4"/>
  <c r="H151" i="2" s="1"/>
  <c r="O152" i="4"/>
  <c r="O153" i="4"/>
  <c r="H153" i="2" s="1"/>
  <c r="O154" i="4"/>
  <c r="O155" i="4"/>
  <c r="H155" i="2" s="1"/>
  <c r="O156" i="4"/>
  <c r="H156" i="2" s="1"/>
  <c r="O157" i="4"/>
  <c r="O158" i="4"/>
  <c r="H158" i="2" s="1"/>
  <c r="O159" i="4"/>
  <c r="H159" i="2" s="1"/>
  <c r="O160" i="4"/>
  <c r="O161" i="4"/>
  <c r="O162" i="4"/>
  <c r="H162" i="2" s="1"/>
  <c r="O163" i="4"/>
  <c r="H163" i="2" s="1"/>
  <c r="O164" i="4"/>
  <c r="O165" i="4"/>
  <c r="O166" i="4"/>
  <c r="H166" i="2" s="1"/>
  <c r="O167" i="4"/>
  <c r="H167" i="2" s="1"/>
  <c r="O168" i="4"/>
  <c r="H168" i="2" s="1"/>
  <c r="O169" i="4"/>
  <c r="H169" i="2" s="1"/>
  <c r="O170" i="4"/>
  <c r="H170" i="2" s="1"/>
  <c r="O171" i="4"/>
  <c r="H171" i="2" s="1"/>
  <c r="O172" i="4"/>
  <c r="O173" i="4"/>
  <c r="O174" i="4"/>
  <c r="H174" i="2" s="1"/>
  <c r="O175" i="4"/>
  <c r="H175" i="2" s="1"/>
  <c r="O176" i="4"/>
  <c r="H176" i="2" s="1"/>
  <c r="O177" i="4"/>
  <c r="H177" i="2" s="1"/>
  <c r="O178" i="4"/>
  <c r="H178" i="2" s="1"/>
  <c r="O179" i="4"/>
  <c r="H179" i="2" s="1"/>
  <c r="O180" i="4"/>
  <c r="O181" i="4"/>
  <c r="O182" i="4"/>
  <c r="H182" i="2" s="1"/>
  <c r="O183" i="4"/>
  <c r="H183" i="2" s="1"/>
  <c r="O184" i="4"/>
  <c r="O185" i="4"/>
  <c r="O186" i="4"/>
  <c r="O187" i="4"/>
  <c r="H187" i="2" s="1"/>
  <c r="O188" i="4"/>
  <c r="O189" i="4"/>
  <c r="O190" i="4"/>
  <c r="H190" i="2" s="1"/>
  <c r="O191" i="4"/>
  <c r="H191" i="2" s="1"/>
  <c r="O192" i="4"/>
  <c r="O193" i="4"/>
  <c r="O194" i="4"/>
  <c r="O195" i="4"/>
  <c r="H196" i="2" s="1"/>
  <c r="O196" i="4"/>
  <c r="O197" i="4"/>
  <c r="O198" i="4"/>
  <c r="H199" i="2" s="1"/>
  <c r="O199" i="4"/>
  <c r="H200" i="2" s="1"/>
  <c r="O200" i="4"/>
  <c r="O201" i="4"/>
  <c r="O202" i="4"/>
  <c r="O203" i="4"/>
  <c r="H204" i="2" s="1"/>
  <c r="O204" i="4"/>
  <c r="O205" i="4"/>
  <c r="O206" i="4"/>
  <c r="H207" i="2" s="1"/>
  <c r="O207" i="4"/>
  <c r="H208" i="2" s="1"/>
  <c r="O208" i="4"/>
  <c r="O209" i="4"/>
  <c r="O210" i="4"/>
  <c r="O211" i="4"/>
  <c r="H212" i="2" s="1"/>
  <c r="O212" i="4"/>
  <c r="O213" i="4"/>
  <c r="O214" i="4"/>
  <c r="H215" i="2" s="1"/>
  <c r="O215" i="4"/>
  <c r="H216" i="2" s="1"/>
  <c r="O216" i="4"/>
  <c r="H217" i="2" s="1"/>
  <c r="O217" i="4"/>
  <c r="H218" i="2" s="1"/>
  <c r="O218" i="4"/>
  <c r="H219" i="2" s="1"/>
  <c r="O219" i="4"/>
  <c r="O220" i="4"/>
  <c r="H221" i="2" s="1"/>
  <c r="O222" i="4"/>
  <c r="H223" i="2" s="1"/>
  <c r="O223" i="4"/>
  <c r="H224" i="2" s="1"/>
  <c r="O224" i="4"/>
  <c r="O225" i="4"/>
  <c r="O226" i="4"/>
  <c r="H226" i="2" s="1"/>
  <c r="O227" i="4"/>
  <c r="H227" i="2" s="1"/>
  <c r="O228" i="4"/>
  <c r="H228" i="2" s="1"/>
  <c r="O229" i="4"/>
  <c r="O230" i="4"/>
  <c r="H230" i="2" s="1"/>
  <c r="O231" i="4"/>
  <c r="H231" i="2" s="1"/>
  <c r="O232" i="4"/>
  <c r="H232" i="2" s="1"/>
  <c r="O233" i="4"/>
  <c r="O234" i="4"/>
  <c r="H234" i="2" s="1"/>
  <c r="O235" i="4"/>
  <c r="O236" i="4"/>
  <c r="H236" i="2" s="1"/>
  <c r="O237" i="4"/>
  <c r="H237" i="2" s="1"/>
  <c r="O238" i="4"/>
  <c r="H238" i="2" s="1"/>
  <c r="O239" i="4"/>
  <c r="H239" i="2" s="1"/>
  <c r="O240" i="4"/>
  <c r="H240" i="2" s="1"/>
  <c r="O241" i="4"/>
  <c r="H241" i="2" s="1"/>
  <c r="O242" i="4"/>
  <c r="H242" i="2" s="1"/>
  <c r="O243" i="4"/>
  <c r="H243" i="2" s="1"/>
  <c r="O244" i="4"/>
  <c r="H244" i="2" s="1"/>
  <c r="O245" i="4"/>
  <c r="H245" i="2" s="1"/>
  <c r="O246" i="4"/>
  <c r="H246" i="2" s="1"/>
  <c r="O247" i="4"/>
  <c r="H247" i="2" s="1"/>
  <c r="O248" i="4"/>
  <c r="O249" i="4"/>
  <c r="O250" i="4"/>
  <c r="O251" i="4"/>
  <c r="O252" i="4"/>
  <c r="O253" i="4"/>
  <c r="H192" i="2" s="1"/>
  <c r="O254" i="4"/>
  <c r="H251" i="2" s="1"/>
  <c r="O255" i="4"/>
  <c r="H252" i="2" s="1"/>
  <c r="O256" i="4"/>
  <c r="H253" i="2" s="1"/>
  <c r="O257" i="4"/>
  <c r="H254" i="2" s="1"/>
  <c r="O258" i="4"/>
  <c r="H255" i="2" s="1"/>
  <c r="O259" i="4"/>
  <c r="H256" i="2" s="1"/>
  <c r="O260" i="4"/>
  <c r="O261" i="4"/>
  <c r="H258" i="2" s="1"/>
  <c r="O262" i="4"/>
  <c r="H259" i="2" s="1"/>
  <c r="O263" i="4"/>
  <c r="H260" i="2" s="1"/>
  <c r="O264" i="4"/>
  <c r="O265" i="4"/>
  <c r="O266" i="4"/>
  <c r="H263" i="2" s="1"/>
  <c r="O267" i="4"/>
  <c r="O268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2" i="4"/>
  <c r="D263" i="2"/>
  <c r="E263" i="2"/>
  <c r="F263" i="2"/>
  <c r="G263" i="2"/>
  <c r="I263" i="2"/>
  <c r="J263" i="2"/>
  <c r="K263" i="2"/>
  <c r="L263" i="2"/>
  <c r="M263" i="2"/>
  <c r="N263" i="2"/>
  <c r="O263" i="2"/>
  <c r="P263" i="2"/>
  <c r="Q263" i="2"/>
  <c r="R263" i="2"/>
  <c r="S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AJ263" i="2"/>
  <c r="AK263" i="2"/>
  <c r="AL263" i="2"/>
  <c r="AM263" i="2"/>
  <c r="AN263" i="2"/>
  <c r="AO263" i="2"/>
  <c r="AP263" i="2"/>
  <c r="D249" i="2"/>
  <c r="E249" i="2"/>
  <c r="F249" i="2"/>
  <c r="G249" i="2"/>
  <c r="H249" i="2"/>
  <c r="I249" i="2"/>
  <c r="J249" i="2"/>
  <c r="K249" i="2"/>
  <c r="L249" i="2"/>
  <c r="M249" i="2"/>
  <c r="N249" i="2"/>
  <c r="O249" i="2"/>
  <c r="P249" i="2"/>
  <c r="Q249" i="2"/>
  <c r="R249" i="2"/>
  <c r="S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AJ249" i="2"/>
  <c r="AK249" i="2"/>
  <c r="AL249" i="2"/>
  <c r="AM249" i="2"/>
  <c r="AN249" i="2"/>
  <c r="AO249" i="2"/>
  <c r="AP249" i="2"/>
  <c r="D250" i="2"/>
  <c r="E250" i="2"/>
  <c r="F250" i="2"/>
  <c r="G250" i="2"/>
  <c r="H250" i="2"/>
  <c r="I250" i="2"/>
  <c r="J250" i="2"/>
  <c r="K250" i="2"/>
  <c r="L250" i="2"/>
  <c r="M250" i="2"/>
  <c r="N250" i="2"/>
  <c r="O250" i="2"/>
  <c r="P250" i="2"/>
  <c r="Q250" i="2"/>
  <c r="R250" i="2"/>
  <c r="S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AJ250" i="2"/>
  <c r="AK250" i="2"/>
  <c r="AL250" i="2"/>
  <c r="AM250" i="2"/>
  <c r="AN250" i="2"/>
  <c r="AO250" i="2"/>
  <c r="AP250" i="2"/>
  <c r="D251" i="2"/>
  <c r="E251" i="2"/>
  <c r="F251" i="2"/>
  <c r="G251" i="2"/>
  <c r="I251" i="2"/>
  <c r="J251" i="2"/>
  <c r="K251" i="2"/>
  <c r="L251" i="2"/>
  <c r="M251" i="2"/>
  <c r="N251" i="2"/>
  <c r="O251" i="2"/>
  <c r="P251" i="2"/>
  <c r="Q251" i="2"/>
  <c r="R251" i="2"/>
  <c r="S251" i="2"/>
  <c r="T251" i="2"/>
  <c r="U251" i="2"/>
  <c r="V251" i="2"/>
  <c r="W251" i="2"/>
  <c r="X251" i="2"/>
  <c r="Y251" i="2"/>
  <c r="Z251" i="2"/>
  <c r="AA251" i="2"/>
  <c r="AB251" i="2"/>
  <c r="AC251" i="2"/>
  <c r="AD251" i="2"/>
  <c r="AE251" i="2"/>
  <c r="AF251" i="2"/>
  <c r="AG251" i="2"/>
  <c r="AH251" i="2"/>
  <c r="AI251" i="2"/>
  <c r="AJ251" i="2"/>
  <c r="AK251" i="2"/>
  <c r="AL251" i="2"/>
  <c r="AM251" i="2"/>
  <c r="AN251" i="2"/>
  <c r="AO251" i="2"/>
  <c r="AP251" i="2"/>
  <c r="D252" i="2"/>
  <c r="E252" i="2"/>
  <c r="F252" i="2"/>
  <c r="G252" i="2"/>
  <c r="I252" i="2"/>
  <c r="J252" i="2"/>
  <c r="K252" i="2"/>
  <c r="L252" i="2"/>
  <c r="M252" i="2"/>
  <c r="N252" i="2"/>
  <c r="O252" i="2"/>
  <c r="P252" i="2"/>
  <c r="Q252" i="2"/>
  <c r="R252" i="2"/>
  <c r="S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AJ252" i="2"/>
  <c r="AK252" i="2"/>
  <c r="AL252" i="2"/>
  <c r="AM252" i="2"/>
  <c r="AN252" i="2"/>
  <c r="AO252" i="2"/>
  <c r="AP252" i="2"/>
  <c r="D253" i="2"/>
  <c r="E253" i="2"/>
  <c r="F253" i="2"/>
  <c r="G253" i="2"/>
  <c r="I253" i="2"/>
  <c r="J253" i="2"/>
  <c r="K253" i="2"/>
  <c r="L253" i="2"/>
  <c r="M253" i="2"/>
  <c r="N253" i="2"/>
  <c r="O253" i="2"/>
  <c r="P253" i="2"/>
  <c r="Q253" i="2"/>
  <c r="R253" i="2"/>
  <c r="S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AJ253" i="2"/>
  <c r="AK253" i="2"/>
  <c r="AL253" i="2"/>
  <c r="AM253" i="2"/>
  <c r="AN253" i="2"/>
  <c r="AO253" i="2"/>
  <c r="AP253" i="2"/>
  <c r="D254" i="2"/>
  <c r="E254" i="2"/>
  <c r="F254" i="2"/>
  <c r="G254" i="2"/>
  <c r="I254" i="2"/>
  <c r="J254" i="2"/>
  <c r="K254" i="2"/>
  <c r="L254" i="2"/>
  <c r="M254" i="2"/>
  <c r="N254" i="2"/>
  <c r="O254" i="2"/>
  <c r="P254" i="2"/>
  <c r="Q254" i="2"/>
  <c r="R254" i="2"/>
  <c r="S254" i="2"/>
  <c r="T254" i="2"/>
  <c r="U254" i="2"/>
  <c r="V254" i="2"/>
  <c r="W254" i="2"/>
  <c r="X254" i="2"/>
  <c r="Y254" i="2"/>
  <c r="Z254" i="2"/>
  <c r="AA254" i="2"/>
  <c r="AB254" i="2"/>
  <c r="AC254" i="2"/>
  <c r="AD254" i="2"/>
  <c r="AE254" i="2"/>
  <c r="AF254" i="2"/>
  <c r="AG254" i="2"/>
  <c r="AH254" i="2"/>
  <c r="AI254" i="2"/>
  <c r="AJ254" i="2"/>
  <c r="AK254" i="2"/>
  <c r="AL254" i="2"/>
  <c r="AM254" i="2"/>
  <c r="AN254" i="2"/>
  <c r="AO254" i="2"/>
  <c r="AP254" i="2"/>
  <c r="D255" i="2"/>
  <c r="E255" i="2"/>
  <c r="F255" i="2"/>
  <c r="G255" i="2"/>
  <c r="I255" i="2"/>
  <c r="J255" i="2"/>
  <c r="K255" i="2"/>
  <c r="L255" i="2"/>
  <c r="M255" i="2"/>
  <c r="N255" i="2"/>
  <c r="O255" i="2"/>
  <c r="P255" i="2"/>
  <c r="Q255" i="2"/>
  <c r="R255" i="2"/>
  <c r="S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AJ255" i="2"/>
  <c r="AK255" i="2"/>
  <c r="AL255" i="2"/>
  <c r="AM255" i="2"/>
  <c r="AN255" i="2"/>
  <c r="AO255" i="2"/>
  <c r="AP255" i="2"/>
  <c r="D256" i="2"/>
  <c r="E256" i="2"/>
  <c r="F256" i="2"/>
  <c r="G256" i="2"/>
  <c r="I256" i="2"/>
  <c r="J256" i="2"/>
  <c r="K256" i="2"/>
  <c r="L256" i="2"/>
  <c r="M256" i="2"/>
  <c r="N256" i="2"/>
  <c r="O256" i="2"/>
  <c r="P256" i="2"/>
  <c r="Q256" i="2"/>
  <c r="R256" i="2"/>
  <c r="S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AJ256" i="2"/>
  <c r="AK256" i="2"/>
  <c r="AL256" i="2"/>
  <c r="AM256" i="2"/>
  <c r="AN256" i="2"/>
  <c r="AO256" i="2"/>
  <c r="AP256" i="2"/>
  <c r="D257" i="2"/>
  <c r="E257" i="2"/>
  <c r="F257" i="2"/>
  <c r="G257" i="2"/>
  <c r="H257" i="2"/>
  <c r="I257" i="2"/>
  <c r="J257" i="2"/>
  <c r="K257" i="2"/>
  <c r="L257" i="2"/>
  <c r="M257" i="2"/>
  <c r="N257" i="2"/>
  <c r="O257" i="2"/>
  <c r="P257" i="2"/>
  <c r="Q257" i="2"/>
  <c r="R257" i="2"/>
  <c r="S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AJ257" i="2"/>
  <c r="AK257" i="2"/>
  <c r="AL257" i="2"/>
  <c r="AM257" i="2"/>
  <c r="AN257" i="2"/>
  <c r="AO257" i="2"/>
  <c r="AP257" i="2"/>
  <c r="D258" i="2"/>
  <c r="E258" i="2"/>
  <c r="F258" i="2"/>
  <c r="G258" i="2"/>
  <c r="I258" i="2"/>
  <c r="J258" i="2"/>
  <c r="K258" i="2"/>
  <c r="L258" i="2"/>
  <c r="M258" i="2"/>
  <c r="N258" i="2"/>
  <c r="O258" i="2"/>
  <c r="P258" i="2"/>
  <c r="Q258" i="2"/>
  <c r="R258" i="2"/>
  <c r="S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AJ258" i="2"/>
  <c r="AK258" i="2"/>
  <c r="AL258" i="2"/>
  <c r="AM258" i="2"/>
  <c r="AN258" i="2"/>
  <c r="AO258" i="2"/>
  <c r="AP258" i="2"/>
  <c r="D259" i="2"/>
  <c r="E259" i="2"/>
  <c r="F259" i="2"/>
  <c r="G259" i="2"/>
  <c r="I259" i="2"/>
  <c r="J259" i="2"/>
  <c r="K259" i="2"/>
  <c r="L259" i="2"/>
  <c r="M259" i="2"/>
  <c r="N259" i="2"/>
  <c r="O259" i="2"/>
  <c r="P259" i="2"/>
  <c r="Q259" i="2"/>
  <c r="R259" i="2"/>
  <c r="S259" i="2"/>
  <c r="T259" i="2"/>
  <c r="U259" i="2"/>
  <c r="V259" i="2"/>
  <c r="W259" i="2"/>
  <c r="X259" i="2"/>
  <c r="Y259" i="2"/>
  <c r="Z259" i="2"/>
  <c r="AA259" i="2"/>
  <c r="AB259" i="2"/>
  <c r="AC259" i="2"/>
  <c r="AD259" i="2"/>
  <c r="AE259" i="2"/>
  <c r="AF259" i="2"/>
  <c r="AG259" i="2"/>
  <c r="AH259" i="2"/>
  <c r="AI259" i="2"/>
  <c r="AJ259" i="2"/>
  <c r="AK259" i="2"/>
  <c r="AL259" i="2"/>
  <c r="AM259" i="2"/>
  <c r="AN259" i="2"/>
  <c r="AO259" i="2"/>
  <c r="AP259" i="2"/>
  <c r="D260" i="2"/>
  <c r="E260" i="2"/>
  <c r="F260" i="2"/>
  <c r="G260" i="2"/>
  <c r="I260" i="2"/>
  <c r="J260" i="2"/>
  <c r="K260" i="2"/>
  <c r="L260" i="2"/>
  <c r="M260" i="2"/>
  <c r="N260" i="2"/>
  <c r="O260" i="2"/>
  <c r="P260" i="2"/>
  <c r="Q260" i="2"/>
  <c r="R260" i="2"/>
  <c r="S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AJ260" i="2"/>
  <c r="AK260" i="2"/>
  <c r="AL260" i="2"/>
  <c r="AM260" i="2"/>
  <c r="AN260" i="2"/>
  <c r="AO260" i="2"/>
  <c r="AP260" i="2"/>
  <c r="D261" i="2"/>
  <c r="E261" i="2"/>
  <c r="F261" i="2"/>
  <c r="G261" i="2"/>
  <c r="H261" i="2"/>
  <c r="I261" i="2"/>
  <c r="J261" i="2"/>
  <c r="K261" i="2"/>
  <c r="L261" i="2"/>
  <c r="M261" i="2"/>
  <c r="N261" i="2"/>
  <c r="O261" i="2"/>
  <c r="P261" i="2"/>
  <c r="Q261" i="2"/>
  <c r="R261" i="2"/>
  <c r="S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AJ261" i="2"/>
  <c r="AK261" i="2"/>
  <c r="AL261" i="2"/>
  <c r="AM261" i="2"/>
  <c r="AN261" i="2"/>
  <c r="AO261" i="2"/>
  <c r="AP261" i="2"/>
  <c r="D262" i="2"/>
  <c r="E262" i="2"/>
  <c r="F262" i="2"/>
  <c r="G262" i="2"/>
  <c r="H262" i="2"/>
  <c r="I262" i="2"/>
  <c r="J262" i="2"/>
  <c r="K262" i="2"/>
  <c r="L262" i="2"/>
  <c r="M262" i="2"/>
  <c r="N262" i="2"/>
  <c r="O262" i="2"/>
  <c r="P262" i="2"/>
  <c r="Q262" i="2"/>
  <c r="R262" i="2"/>
  <c r="S262" i="2"/>
  <c r="T262" i="2"/>
  <c r="U262" i="2"/>
  <c r="V262" i="2"/>
  <c r="W262" i="2"/>
  <c r="X262" i="2"/>
  <c r="Y262" i="2"/>
  <c r="Z262" i="2"/>
  <c r="AA262" i="2"/>
  <c r="AB262" i="2"/>
  <c r="AC262" i="2"/>
  <c r="AD262" i="2"/>
  <c r="AE262" i="2"/>
  <c r="AF262" i="2"/>
  <c r="AG262" i="2"/>
  <c r="AH262" i="2"/>
  <c r="AI262" i="2"/>
  <c r="AJ262" i="2"/>
  <c r="AK262" i="2"/>
  <c r="AL262" i="2"/>
  <c r="AM262" i="2"/>
  <c r="AN262" i="2"/>
  <c r="AO262" i="2"/>
  <c r="AP262" i="2"/>
  <c r="C232" i="2"/>
  <c r="D232" i="2"/>
  <c r="E232" i="2"/>
  <c r="F232" i="2"/>
  <c r="G232" i="2"/>
  <c r="I232" i="2"/>
  <c r="J232" i="2"/>
  <c r="K232" i="2"/>
  <c r="L232" i="2"/>
  <c r="M232" i="2"/>
  <c r="N232" i="2"/>
  <c r="O232" i="2"/>
  <c r="P232" i="2"/>
  <c r="Q232" i="2"/>
  <c r="R232" i="2"/>
  <c r="S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AJ232" i="2"/>
  <c r="AK232" i="2"/>
  <c r="AL232" i="2"/>
  <c r="AM232" i="2"/>
  <c r="AN232" i="2"/>
  <c r="AO232" i="2"/>
  <c r="AP232" i="2"/>
  <c r="C233" i="2"/>
  <c r="D233" i="2"/>
  <c r="E233" i="2"/>
  <c r="F233" i="2"/>
  <c r="G233" i="2"/>
  <c r="H233" i="2"/>
  <c r="I233" i="2"/>
  <c r="J233" i="2"/>
  <c r="K233" i="2"/>
  <c r="L233" i="2"/>
  <c r="M233" i="2"/>
  <c r="N233" i="2"/>
  <c r="O233" i="2"/>
  <c r="P233" i="2"/>
  <c r="Q233" i="2"/>
  <c r="R233" i="2"/>
  <c r="S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AJ233" i="2"/>
  <c r="AK233" i="2"/>
  <c r="AL233" i="2"/>
  <c r="AM233" i="2"/>
  <c r="AN233" i="2"/>
  <c r="AO233" i="2"/>
  <c r="AP233" i="2"/>
  <c r="C234" i="2"/>
  <c r="D234" i="2"/>
  <c r="E234" i="2"/>
  <c r="F234" i="2"/>
  <c r="G234" i="2"/>
  <c r="I234" i="2"/>
  <c r="J234" i="2"/>
  <c r="K234" i="2"/>
  <c r="L234" i="2"/>
  <c r="M234" i="2"/>
  <c r="N234" i="2"/>
  <c r="O234" i="2"/>
  <c r="P234" i="2"/>
  <c r="Q234" i="2"/>
  <c r="R234" i="2"/>
  <c r="S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AJ234" i="2"/>
  <c r="AK234" i="2"/>
  <c r="AL234" i="2"/>
  <c r="AM234" i="2"/>
  <c r="AN234" i="2"/>
  <c r="AO234" i="2"/>
  <c r="AP234" i="2"/>
  <c r="C235" i="2"/>
  <c r="D235" i="2"/>
  <c r="E235" i="2"/>
  <c r="F235" i="2"/>
  <c r="G235" i="2"/>
  <c r="H235" i="2"/>
  <c r="I235" i="2"/>
  <c r="J235" i="2"/>
  <c r="K235" i="2"/>
  <c r="L235" i="2"/>
  <c r="M235" i="2"/>
  <c r="N235" i="2"/>
  <c r="O235" i="2"/>
  <c r="P235" i="2"/>
  <c r="Q235" i="2"/>
  <c r="R235" i="2"/>
  <c r="S235" i="2"/>
  <c r="T235" i="2"/>
  <c r="U235" i="2"/>
  <c r="V235" i="2"/>
  <c r="W235" i="2"/>
  <c r="X235" i="2"/>
  <c r="Y235" i="2"/>
  <c r="Z235" i="2"/>
  <c r="AA235" i="2"/>
  <c r="AB235" i="2"/>
  <c r="AC235" i="2"/>
  <c r="AD235" i="2"/>
  <c r="AE235" i="2"/>
  <c r="AF235" i="2"/>
  <c r="AG235" i="2"/>
  <c r="AH235" i="2"/>
  <c r="AI235" i="2"/>
  <c r="AJ235" i="2"/>
  <c r="AK235" i="2"/>
  <c r="AL235" i="2"/>
  <c r="AM235" i="2"/>
  <c r="AN235" i="2"/>
  <c r="AO235" i="2"/>
  <c r="AP235" i="2"/>
  <c r="C236" i="2"/>
  <c r="D236" i="2"/>
  <c r="E236" i="2"/>
  <c r="F236" i="2"/>
  <c r="G236" i="2"/>
  <c r="I236" i="2"/>
  <c r="J236" i="2"/>
  <c r="K236" i="2"/>
  <c r="L236" i="2"/>
  <c r="M236" i="2"/>
  <c r="N236" i="2"/>
  <c r="O236" i="2"/>
  <c r="P236" i="2"/>
  <c r="Q236" i="2"/>
  <c r="R236" i="2"/>
  <c r="S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AJ236" i="2"/>
  <c r="AK236" i="2"/>
  <c r="AL236" i="2"/>
  <c r="AM236" i="2"/>
  <c r="AN236" i="2"/>
  <c r="AO236" i="2"/>
  <c r="AP236" i="2"/>
  <c r="C237" i="2"/>
  <c r="D237" i="2"/>
  <c r="E237" i="2"/>
  <c r="F237" i="2"/>
  <c r="G237" i="2"/>
  <c r="I237" i="2"/>
  <c r="J237" i="2"/>
  <c r="K237" i="2"/>
  <c r="L237" i="2"/>
  <c r="M237" i="2"/>
  <c r="N237" i="2"/>
  <c r="O237" i="2"/>
  <c r="P237" i="2"/>
  <c r="Q237" i="2"/>
  <c r="R237" i="2"/>
  <c r="S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AJ237" i="2"/>
  <c r="AK237" i="2"/>
  <c r="AL237" i="2"/>
  <c r="AM237" i="2"/>
  <c r="AN237" i="2"/>
  <c r="AO237" i="2"/>
  <c r="AP237" i="2"/>
  <c r="C238" i="2"/>
  <c r="D238" i="2"/>
  <c r="E238" i="2"/>
  <c r="F238" i="2"/>
  <c r="G238" i="2"/>
  <c r="I238" i="2"/>
  <c r="J238" i="2"/>
  <c r="K238" i="2"/>
  <c r="L238" i="2"/>
  <c r="M238" i="2"/>
  <c r="N238" i="2"/>
  <c r="O238" i="2"/>
  <c r="P238" i="2"/>
  <c r="Q238" i="2"/>
  <c r="R238" i="2"/>
  <c r="S238" i="2"/>
  <c r="T238" i="2"/>
  <c r="U238" i="2"/>
  <c r="V238" i="2"/>
  <c r="W238" i="2"/>
  <c r="X238" i="2"/>
  <c r="Y238" i="2"/>
  <c r="Z238" i="2"/>
  <c r="AA238" i="2"/>
  <c r="AB238" i="2"/>
  <c r="AC238" i="2"/>
  <c r="AD238" i="2"/>
  <c r="AE238" i="2"/>
  <c r="AF238" i="2"/>
  <c r="AG238" i="2"/>
  <c r="AH238" i="2"/>
  <c r="AI238" i="2"/>
  <c r="AJ238" i="2"/>
  <c r="AK238" i="2"/>
  <c r="AL238" i="2"/>
  <c r="AM238" i="2"/>
  <c r="AN238" i="2"/>
  <c r="AO238" i="2"/>
  <c r="AP238" i="2"/>
  <c r="C239" i="2"/>
  <c r="D239" i="2"/>
  <c r="E239" i="2"/>
  <c r="F239" i="2"/>
  <c r="G239" i="2"/>
  <c r="I239" i="2"/>
  <c r="J239" i="2"/>
  <c r="K239" i="2"/>
  <c r="L239" i="2"/>
  <c r="M239" i="2"/>
  <c r="N239" i="2"/>
  <c r="O239" i="2"/>
  <c r="P239" i="2"/>
  <c r="Q239" i="2"/>
  <c r="R239" i="2"/>
  <c r="S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AJ239" i="2"/>
  <c r="AK239" i="2"/>
  <c r="AL239" i="2"/>
  <c r="AM239" i="2"/>
  <c r="AN239" i="2"/>
  <c r="AO239" i="2"/>
  <c r="AP239" i="2"/>
  <c r="C240" i="2"/>
  <c r="D240" i="2"/>
  <c r="E240" i="2"/>
  <c r="F240" i="2"/>
  <c r="G240" i="2"/>
  <c r="I240" i="2"/>
  <c r="J240" i="2"/>
  <c r="K240" i="2"/>
  <c r="L240" i="2"/>
  <c r="M240" i="2"/>
  <c r="N240" i="2"/>
  <c r="O240" i="2"/>
  <c r="P240" i="2"/>
  <c r="Q240" i="2"/>
  <c r="R240" i="2"/>
  <c r="S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AJ240" i="2"/>
  <c r="AK240" i="2"/>
  <c r="AL240" i="2"/>
  <c r="AM240" i="2"/>
  <c r="AN240" i="2"/>
  <c r="AO240" i="2"/>
  <c r="AP240" i="2"/>
  <c r="C241" i="2"/>
  <c r="D241" i="2"/>
  <c r="E241" i="2"/>
  <c r="F241" i="2"/>
  <c r="G241" i="2"/>
  <c r="I241" i="2"/>
  <c r="J241" i="2"/>
  <c r="K241" i="2"/>
  <c r="L241" i="2"/>
  <c r="M241" i="2"/>
  <c r="N241" i="2"/>
  <c r="O241" i="2"/>
  <c r="P241" i="2"/>
  <c r="Q241" i="2"/>
  <c r="R241" i="2"/>
  <c r="S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AJ241" i="2"/>
  <c r="AK241" i="2"/>
  <c r="AL241" i="2"/>
  <c r="AM241" i="2"/>
  <c r="AN241" i="2"/>
  <c r="AO241" i="2"/>
  <c r="AP241" i="2"/>
  <c r="C242" i="2"/>
  <c r="D242" i="2"/>
  <c r="E242" i="2"/>
  <c r="F242" i="2"/>
  <c r="G242" i="2"/>
  <c r="I242" i="2"/>
  <c r="J242" i="2"/>
  <c r="K242" i="2"/>
  <c r="L242" i="2"/>
  <c r="M242" i="2"/>
  <c r="N242" i="2"/>
  <c r="O242" i="2"/>
  <c r="P242" i="2"/>
  <c r="Q242" i="2"/>
  <c r="R242" i="2"/>
  <c r="S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AJ242" i="2"/>
  <c r="AK242" i="2"/>
  <c r="AL242" i="2"/>
  <c r="AM242" i="2"/>
  <c r="AN242" i="2"/>
  <c r="AO242" i="2"/>
  <c r="AP242" i="2"/>
  <c r="C243" i="2"/>
  <c r="D243" i="2"/>
  <c r="E243" i="2"/>
  <c r="F243" i="2"/>
  <c r="G243" i="2"/>
  <c r="I243" i="2"/>
  <c r="J243" i="2"/>
  <c r="K243" i="2"/>
  <c r="L243" i="2"/>
  <c r="M243" i="2"/>
  <c r="N243" i="2"/>
  <c r="O243" i="2"/>
  <c r="P243" i="2"/>
  <c r="Q243" i="2"/>
  <c r="R243" i="2"/>
  <c r="S243" i="2"/>
  <c r="T243" i="2"/>
  <c r="U243" i="2"/>
  <c r="V243" i="2"/>
  <c r="W243" i="2"/>
  <c r="X243" i="2"/>
  <c r="Y243" i="2"/>
  <c r="Z243" i="2"/>
  <c r="AA243" i="2"/>
  <c r="AB243" i="2"/>
  <c r="AC243" i="2"/>
  <c r="AD243" i="2"/>
  <c r="AE243" i="2"/>
  <c r="AF243" i="2"/>
  <c r="AG243" i="2"/>
  <c r="AH243" i="2"/>
  <c r="AI243" i="2"/>
  <c r="AJ243" i="2"/>
  <c r="AK243" i="2"/>
  <c r="AL243" i="2"/>
  <c r="AM243" i="2"/>
  <c r="AN243" i="2"/>
  <c r="AO243" i="2"/>
  <c r="AP243" i="2"/>
  <c r="C244" i="2"/>
  <c r="D244" i="2"/>
  <c r="E244" i="2"/>
  <c r="F244" i="2"/>
  <c r="G244" i="2"/>
  <c r="I244" i="2"/>
  <c r="J244" i="2"/>
  <c r="K244" i="2"/>
  <c r="L244" i="2"/>
  <c r="M244" i="2"/>
  <c r="N244" i="2"/>
  <c r="O244" i="2"/>
  <c r="P244" i="2"/>
  <c r="Q244" i="2"/>
  <c r="R244" i="2"/>
  <c r="S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AJ244" i="2"/>
  <c r="AK244" i="2"/>
  <c r="AL244" i="2"/>
  <c r="AM244" i="2"/>
  <c r="AN244" i="2"/>
  <c r="AO244" i="2"/>
  <c r="AP244" i="2"/>
  <c r="C245" i="2"/>
  <c r="D245" i="2"/>
  <c r="E245" i="2"/>
  <c r="F245" i="2"/>
  <c r="G245" i="2"/>
  <c r="I245" i="2"/>
  <c r="J245" i="2"/>
  <c r="K245" i="2"/>
  <c r="L245" i="2"/>
  <c r="M245" i="2"/>
  <c r="N245" i="2"/>
  <c r="O245" i="2"/>
  <c r="P245" i="2"/>
  <c r="Q245" i="2"/>
  <c r="R245" i="2"/>
  <c r="S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AJ245" i="2"/>
  <c r="AK245" i="2"/>
  <c r="AL245" i="2"/>
  <c r="AM245" i="2"/>
  <c r="AN245" i="2"/>
  <c r="AO245" i="2"/>
  <c r="AP245" i="2"/>
  <c r="C246" i="2"/>
  <c r="D246" i="2"/>
  <c r="E246" i="2"/>
  <c r="F246" i="2"/>
  <c r="G246" i="2"/>
  <c r="I246" i="2"/>
  <c r="J246" i="2"/>
  <c r="K246" i="2"/>
  <c r="L246" i="2"/>
  <c r="M246" i="2"/>
  <c r="N246" i="2"/>
  <c r="O246" i="2"/>
  <c r="P246" i="2"/>
  <c r="Q246" i="2"/>
  <c r="R246" i="2"/>
  <c r="S246" i="2"/>
  <c r="T246" i="2"/>
  <c r="U246" i="2"/>
  <c r="V246" i="2"/>
  <c r="W246" i="2"/>
  <c r="X246" i="2"/>
  <c r="Y246" i="2"/>
  <c r="Z246" i="2"/>
  <c r="AA246" i="2"/>
  <c r="AB246" i="2"/>
  <c r="AC246" i="2"/>
  <c r="AD246" i="2"/>
  <c r="AE246" i="2"/>
  <c r="AF246" i="2"/>
  <c r="AG246" i="2"/>
  <c r="AH246" i="2"/>
  <c r="AI246" i="2"/>
  <c r="AJ246" i="2"/>
  <c r="AK246" i="2"/>
  <c r="AL246" i="2"/>
  <c r="AM246" i="2"/>
  <c r="AN246" i="2"/>
  <c r="AO246" i="2"/>
  <c r="AP246" i="2"/>
  <c r="C247" i="2"/>
  <c r="D247" i="2"/>
  <c r="E247" i="2"/>
  <c r="F247" i="2"/>
  <c r="G247" i="2"/>
  <c r="I247" i="2"/>
  <c r="J247" i="2"/>
  <c r="K247" i="2"/>
  <c r="L247" i="2"/>
  <c r="M247" i="2"/>
  <c r="N247" i="2"/>
  <c r="O247" i="2"/>
  <c r="P247" i="2"/>
  <c r="Q247" i="2"/>
  <c r="R247" i="2"/>
  <c r="S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AJ247" i="2"/>
  <c r="AK247" i="2"/>
  <c r="AL247" i="2"/>
  <c r="AM247" i="2"/>
  <c r="AN247" i="2"/>
  <c r="AO247" i="2"/>
  <c r="AP247" i="2"/>
  <c r="C215" i="2"/>
  <c r="D215" i="2"/>
  <c r="E215" i="2"/>
  <c r="F215" i="2"/>
  <c r="G215" i="2"/>
  <c r="I215" i="2"/>
  <c r="J215" i="2"/>
  <c r="K215" i="2"/>
  <c r="L215" i="2"/>
  <c r="M215" i="2"/>
  <c r="N215" i="2"/>
  <c r="O215" i="2"/>
  <c r="P215" i="2"/>
  <c r="Q215" i="2"/>
  <c r="R215" i="2"/>
  <c r="S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AJ215" i="2"/>
  <c r="AK215" i="2"/>
  <c r="AL215" i="2"/>
  <c r="AM215" i="2"/>
  <c r="AN215" i="2"/>
  <c r="AO215" i="2"/>
  <c r="AP215" i="2"/>
  <c r="C216" i="2"/>
  <c r="D216" i="2"/>
  <c r="E216" i="2"/>
  <c r="F216" i="2"/>
  <c r="G216" i="2"/>
  <c r="I216" i="2"/>
  <c r="J216" i="2"/>
  <c r="K216" i="2"/>
  <c r="L216" i="2"/>
  <c r="M216" i="2"/>
  <c r="N216" i="2"/>
  <c r="O216" i="2"/>
  <c r="P216" i="2"/>
  <c r="Q216" i="2"/>
  <c r="R216" i="2"/>
  <c r="S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AJ216" i="2"/>
  <c r="AK216" i="2"/>
  <c r="AL216" i="2"/>
  <c r="AM216" i="2"/>
  <c r="AN216" i="2"/>
  <c r="AO216" i="2"/>
  <c r="AP216" i="2"/>
  <c r="C217" i="2"/>
  <c r="D217" i="2"/>
  <c r="E217" i="2"/>
  <c r="F217" i="2"/>
  <c r="G217" i="2"/>
  <c r="I217" i="2"/>
  <c r="J217" i="2"/>
  <c r="K217" i="2"/>
  <c r="L217" i="2"/>
  <c r="M217" i="2"/>
  <c r="N217" i="2"/>
  <c r="O217" i="2"/>
  <c r="P217" i="2"/>
  <c r="Q217" i="2"/>
  <c r="R217" i="2"/>
  <c r="S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AJ217" i="2"/>
  <c r="AK217" i="2"/>
  <c r="AL217" i="2"/>
  <c r="AM217" i="2"/>
  <c r="AN217" i="2"/>
  <c r="AO217" i="2"/>
  <c r="AP217" i="2"/>
  <c r="C218" i="2"/>
  <c r="D218" i="2"/>
  <c r="E218" i="2"/>
  <c r="F218" i="2"/>
  <c r="G218" i="2"/>
  <c r="I218" i="2"/>
  <c r="J218" i="2"/>
  <c r="K218" i="2"/>
  <c r="L218" i="2"/>
  <c r="M218" i="2"/>
  <c r="N218" i="2"/>
  <c r="O218" i="2"/>
  <c r="P218" i="2"/>
  <c r="Q218" i="2"/>
  <c r="R218" i="2"/>
  <c r="S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AJ218" i="2"/>
  <c r="AK218" i="2"/>
  <c r="AL218" i="2"/>
  <c r="AM218" i="2"/>
  <c r="AN218" i="2"/>
  <c r="AO218" i="2"/>
  <c r="AP218" i="2"/>
  <c r="C219" i="2"/>
  <c r="D219" i="2"/>
  <c r="E219" i="2"/>
  <c r="F219" i="2"/>
  <c r="G219" i="2"/>
  <c r="I219" i="2"/>
  <c r="J219" i="2"/>
  <c r="K219" i="2"/>
  <c r="L219" i="2"/>
  <c r="M219" i="2"/>
  <c r="N219" i="2"/>
  <c r="O219" i="2"/>
  <c r="P219" i="2"/>
  <c r="Q219" i="2"/>
  <c r="R219" i="2"/>
  <c r="S219" i="2"/>
  <c r="T219" i="2"/>
  <c r="U219" i="2"/>
  <c r="V219" i="2"/>
  <c r="W219" i="2"/>
  <c r="X219" i="2"/>
  <c r="Y219" i="2"/>
  <c r="Z219" i="2"/>
  <c r="AA219" i="2"/>
  <c r="AB219" i="2"/>
  <c r="AC219" i="2"/>
  <c r="AD219" i="2"/>
  <c r="AE219" i="2"/>
  <c r="AF219" i="2"/>
  <c r="AG219" i="2"/>
  <c r="AH219" i="2"/>
  <c r="AI219" i="2"/>
  <c r="AJ219" i="2"/>
  <c r="AK219" i="2"/>
  <c r="AL219" i="2"/>
  <c r="AM219" i="2"/>
  <c r="AN219" i="2"/>
  <c r="AO219" i="2"/>
  <c r="AP219" i="2"/>
  <c r="C220" i="2"/>
  <c r="D220" i="2"/>
  <c r="E220" i="2"/>
  <c r="F220" i="2"/>
  <c r="G220" i="2"/>
  <c r="H220" i="2"/>
  <c r="I220" i="2"/>
  <c r="J220" i="2"/>
  <c r="K220" i="2"/>
  <c r="L220" i="2"/>
  <c r="M220" i="2"/>
  <c r="N220" i="2"/>
  <c r="O220" i="2"/>
  <c r="P220" i="2"/>
  <c r="Q220" i="2"/>
  <c r="R220" i="2"/>
  <c r="S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AJ220" i="2"/>
  <c r="AK220" i="2"/>
  <c r="AL220" i="2"/>
  <c r="AM220" i="2"/>
  <c r="AN220" i="2"/>
  <c r="AO220" i="2"/>
  <c r="AP220" i="2"/>
  <c r="C221" i="2"/>
  <c r="D221" i="2"/>
  <c r="E221" i="2"/>
  <c r="F221" i="2"/>
  <c r="G221" i="2"/>
  <c r="I221" i="2"/>
  <c r="J221" i="2"/>
  <c r="K221" i="2"/>
  <c r="L221" i="2"/>
  <c r="M221" i="2"/>
  <c r="N221" i="2"/>
  <c r="O221" i="2"/>
  <c r="P221" i="2"/>
  <c r="Q221" i="2"/>
  <c r="R221" i="2"/>
  <c r="S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AJ221" i="2"/>
  <c r="AK221" i="2"/>
  <c r="AL221" i="2"/>
  <c r="AM221" i="2"/>
  <c r="AN221" i="2"/>
  <c r="AO221" i="2"/>
  <c r="AP221" i="2"/>
  <c r="C222" i="2"/>
  <c r="D222" i="2"/>
  <c r="E222" i="2"/>
  <c r="F222" i="2"/>
  <c r="G222" i="2"/>
  <c r="H222" i="2"/>
  <c r="I222" i="2"/>
  <c r="J222" i="2"/>
  <c r="K222" i="2"/>
  <c r="L222" i="2"/>
  <c r="M222" i="2"/>
  <c r="N222" i="2"/>
  <c r="O222" i="2"/>
  <c r="P222" i="2"/>
  <c r="Q222" i="2"/>
  <c r="R222" i="2"/>
  <c r="S222" i="2"/>
  <c r="T222" i="2"/>
  <c r="U222" i="2"/>
  <c r="V222" i="2"/>
  <c r="W222" i="2"/>
  <c r="X222" i="2"/>
  <c r="Y222" i="2"/>
  <c r="Z222" i="2"/>
  <c r="AA222" i="2"/>
  <c r="AB222" i="2"/>
  <c r="AC222" i="2"/>
  <c r="AD222" i="2"/>
  <c r="AE222" i="2"/>
  <c r="AF222" i="2"/>
  <c r="AG222" i="2"/>
  <c r="AH222" i="2"/>
  <c r="AI222" i="2"/>
  <c r="AJ222" i="2"/>
  <c r="AK222" i="2"/>
  <c r="AL222" i="2"/>
  <c r="AM222" i="2"/>
  <c r="AN222" i="2"/>
  <c r="AO222" i="2"/>
  <c r="AP222" i="2"/>
  <c r="C223" i="2"/>
  <c r="D223" i="2"/>
  <c r="E223" i="2"/>
  <c r="F223" i="2"/>
  <c r="G223" i="2"/>
  <c r="I223" i="2"/>
  <c r="J223" i="2"/>
  <c r="K223" i="2"/>
  <c r="L223" i="2"/>
  <c r="M223" i="2"/>
  <c r="N223" i="2"/>
  <c r="O223" i="2"/>
  <c r="P223" i="2"/>
  <c r="Q223" i="2"/>
  <c r="R223" i="2"/>
  <c r="S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AJ223" i="2"/>
  <c r="AK223" i="2"/>
  <c r="AL223" i="2"/>
  <c r="AM223" i="2"/>
  <c r="AN223" i="2"/>
  <c r="AO223" i="2"/>
  <c r="AP223" i="2"/>
  <c r="C224" i="2"/>
  <c r="D224" i="2"/>
  <c r="E224" i="2"/>
  <c r="F224" i="2"/>
  <c r="G224" i="2"/>
  <c r="I224" i="2"/>
  <c r="J224" i="2"/>
  <c r="K224" i="2"/>
  <c r="L224" i="2"/>
  <c r="M224" i="2"/>
  <c r="N224" i="2"/>
  <c r="O224" i="2"/>
  <c r="P224" i="2"/>
  <c r="Q224" i="2"/>
  <c r="R224" i="2"/>
  <c r="S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AJ224" i="2"/>
  <c r="AK224" i="2"/>
  <c r="AL224" i="2"/>
  <c r="AM224" i="2"/>
  <c r="AN224" i="2"/>
  <c r="AO224" i="2"/>
  <c r="AP224" i="2"/>
  <c r="C225" i="2"/>
  <c r="D225" i="2"/>
  <c r="E225" i="2"/>
  <c r="F225" i="2"/>
  <c r="G225" i="2"/>
  <c r="H225" i="2"/>
  <c r="I225" i="2"/>
  <c r="J225" i="2"/>
  <c r="K225" i="2"/>
  <c r="L225" i="2"/>
  <c r="M225" i="2"/>
  <c r="N225" i="2"/>
  <c r="O225" i="2"/>
  <c r="P225" i="2"/>
  <c r="Q225" i="2"/>
  <c r="R225" i="2"/>
  <c r="S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AJ225" i="2"/>
  <c r="AK225" i="2"/>
  <c r="AL225" i="2"/>
  <c r="AM225" i="2"/>
  <c r="AN225" i="2"/>
  <c r="AO225" i="2"/>
  <c r="AP225" i="2"/>
  <c r="C226" i="2"/>
  <c r="D226" i="2"/>
  <c r="E226" i="2"/>
  <c r="F226" i="2"/>
  <c r="G226" i="2"/>
  <c r="I226" i="2"/>
  <c r="J226" i="2"/>
  <c r="K226" i="2"/>
  <c r="L226" i="2"/>
  <c r="M226" i="2"/>
  <c r="N226" i="2"/>
  <c r="O226" i="2"/>
  <c r="P226" i="2"/>
  <c r="Q226" i="2"/>
  <c r="R226" i="2"/>
  <c r="S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AJ226" i="2"/>
  <c r="AK226" i="2"/>
  <c r="AL226" i="2"/>
  <c r="AM226" i="2"/>
  <c r="AN226" i="2"/>
  <c r="AO226" i="2"/>
  <c r="AP226" i="2"/>
  <c r="C227" i="2"/>
  <c r="D227" i="2"/>
  <c r="E227" i="2"/>
  <c r="F227" i="2"/>
  <c r="G227" i="2"/>
  <c r="I227" i="2"/>
  <c r="J227" i="2"/>
  <c r="K227" i="2"/>
  <c r="L227" i="2"/>
  <c r="M227" i="2"/>
  <c r="N227" i="2"/>
  <c r="O227" i="2"/>
  <c r="P227" i="2"/>
  <c r="Q227" i="2"/>
  <c r="R227" i="2"/>
  <c r="S227" i="2"/>
  <c r="T227" i="2"/>
  <c r="U227" i="2"/>
  <c r="V227" i="2"/>
  <c r="W227" i="2"/>
  <c r="X227" i="2"/>
  <c r="Y227" i="2"/>
  <c r="Z227" i="2"/>
  <c r="AA227" i="2"/>
  <c r="AB227" i="2"/>
  <c r="AC227" i="2"/>
  <c r="AD227" i="2"/>
  <c r="AE227" i="2"/>
  <c r="AF227" i="2"/>
  <c r="AG227" i="2"/>
  <c r="AH227" i="2"/>
  <c r="AI227" i="2"/>
  <c r="AJ227" i="2"/>
  <c r="AK227" i="2"/>
  <c r="AL227" i="2"/>
  <c r="AM227" i="2"/>
  <c r="AN227" i="2"/>
  <c r="AO227" i="2"/>
  <c r="AP227" i="2"/>
  <c r="C228" i="2"/>
  <c r="D228" i="2"/>
  <c r="E228" i="2"/>
  <c r="F228" i="2"/>
  <c r="G228" i="2"/>
  <c r="I228" i="2"/>
  <c r="J228" i="2"/>
  <c r="K228" i="2"/>
  <c r="L228" i="2"/>
  <c r="M228" i="2"/>
  <c r="N228" i="2"/>
  <c r="O228" i="2"/>
  <c r="P228" i="2"/>
  <c r="Q228" i="2"/>
  <c r="R228" i="2"/>
  <c r="S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AJ228" i="2"/>
  <c r="AK228" i="2"/>
  <c r="AL228" i="2"/>
  <c r="AM228" i="2"/>
  <c r="AN228" i="2"/>
  <c r="AO228" i="2"/>
  <c r="AP228" i="2"/>
  <c r="C229" i="2"/>
  <c r="D229" i="2"/>
  <c r="E229" i="2"/>
  <c r="F229" i="2"/>
  <c r="G229" i="2"/>
  <c r="H229" i="2"/>
  <c r="I229" i="2"/>
  <c r="J229" i="2"/>
  <c r="K229" i="2"/>
  <c r="L229" i="2"/>
  <c r="M229" i="2"/>
  <c r="N229" i="2"/>
  <c r="O229" i="2"/>
  <c r="P229" i="2"/>
  <c r="Q229" i="2"/>
  <c r="R229" i="2"/>
  <c r="S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AJ229" i="2"/>
  <c r="AK229" i="2"/>
  <c r="AL229" i="2"/>
  <c r="AM229" i="2"/>
  <c r="AN229" i="2"/>
  <c r="AO229" i="2"/>
  <c r="AP229" i="2"/>
  <c r="C230" i="2"/>
  <c r="D230" i="2"/>
  <c r="E230" i="2"/>
  <c r="F230" i="2"/>
  <c r="G230" i="2"/>
  <c r="I230" i="2"/>
  <c r="J230" i="2"/>
  <c r="K230" i="2"/>
  <c r="L230" i="2"/>
  <c r="M230" i="2"/>
  <c r="N230" i="2"/>
  <c r="O230" i="2"/>
  <c r="P230" i="2"/>
  <c r="Q230" i="2"/>
  <c r="R230" i="2"/>
  <c r="S230" i="2"/>
  <c r="T230" i="2"/>
  <c r="U230" i="2"/>
  <c r="V230" i="2"/>
  <c r="W230" i="2"/>
  <c r="X230" i="2"/>
  <c r="Y230" i="2"/>
  <c r="Z230" i="2"/>
  <c r="AA230" i="2"/>
  <c r="AB230" i="2"/>
  <c r="AC230" i="2"/>
  <c r="AD230" i="2"/>
  <c r="AE230" i="2"/>
  <c r="AF230" i="2"/>
  <c r="AG230" i="2"/>
  <c r="AH230" i="2"/>
  <c r="AI230" i="2"/>
  <c r="AJ230" i="2"/>
  <c r="AK230" i="2"/>
  <c r="AL230" i="2"/>
  <c r="AM230" i="2"/>
  <c r="AN230" i="2"/>
  <c r="AO230" i="2"/>
  <c r="AP230" i="2"/>
  <c r="C231" i="2"/>
  <c r="D231" i="2"/>
  <c r="E231" i="2"/>
  <c r="F231" i="2"/>
  <c r="G231" i="2"/>
  <c r="I231" i="2"/>
  <c r="J231" i="2"/>
  <c r="K231" i="2"/>
  <c r="L231" i="2"/>
  <c r="M231" i="2"/>
  <c r="N231" i="2"/>
  <c r="O231" i="2"/>
  <c r="P231" i="2"/>
  <c r="Q231" i="2"/>
  <c r="R231" i="2"/>
  <c r="S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AJ231" i="2"/>
  <c r="AK231" i="2"/>
  <c r="AL231" i="2"/>
  <c r="AM231" i="2"/>
  <c r="AN231" i="2"/>
  <c r="AO231" i="2"/>
  <c r="AP231" i="2"/>
  <c r="C214" i="2"/>
  <c r="D214" i="2"/>
  <c r="E214" i="2"/>
  <c r="F214" i="2"/>
  <c r="G214" i="2"/>
  <c r="H214" i="2"/>
  <c r="I214" i="2"/>
  <c r="J214" i="2"/>
  <c r="K214" i="2"/>
  <c r="L214" i="2"/>
  <c r="M214" i="2"/>
  <c r="N214" i="2"/>
  <c r="O214" i="2"/>
  <c r="P214" i="2"/>
  <c r="Q214" i="2"/>
  <c r="R214" i="2"/>
  <c r="S214" i="2"/>
  <c r="T214" i="2"/>
  <c r="U214" i="2"/>
  <c r="V214" i="2"/>
  <c r="W214" i="2"/>
  <c r="X214" i="2"/>
  <c r="Y214" i="2"/>
  <c r="Z214" i="2"/>
  <c r="AA214" i="2"/>
  <c r="AB214" i="2"/>
  <c r="AC214" i="2"/>
  <c r="AD214" i="2"/>
  <c r="AE214" i="2"/>
  <c r="AF214" i="2"/>
  <c r="AG214" i="2"/>
  <c r="AH214" i="2"/>
  <c r="AI214" i="2"/>
  <c r="AJ214" i="2"/>
  <c r="AK214" i="2"/>
  <c r="AL214" i="2"/>
  <c r="AM214" i="2"/>
  <c r="AN214" i="2"/>
  <c r="AO214" i="2"/>
  <c r="AP214" i="2"/>
  <c r="C184" i="2"/>
  <c r="D184" i="2"/>
  <c r="E184" i="2"/>
  <c r="F184" i="2"/>
  <c r="G184" i="2"/>
  <c r="H184" i="2"/>
  <c r="I184" i="2"/>
  <c r="J184" i="2"/>
  <c r="K184" i="2"/>
  <c r="L184" i="2"/>
  <c r="M184" i="2"/>
  <c r="N184" i="2"/>
  <c r="O184" i="2"/>
  <c r="P184" i="2"/>
  <c r="Q184" i="2"/>
  <c r="R184" i="2"/>
  <c r="S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AJ184" i="2"/>
  <c r="AK184" i="2"/>
  <c r="AL184" i="2"/>
  <c r="AM184" i="2"/>
  <c r="AN184" i="2"/>
  <c r="AO184" i="2"/>
  <c r="AP184" i="2"/>
  <c r="C185" i="2"/>
  <c r="D185" i="2"/>
  <c r="E185" i="2"/>
  <c r="F185" i="2"/>
  <c r="G185" i="2"/>
  <c r="H185" i="2"/>
  <c r="I185" i="2"/>
  <c r="J185" i="2"/>
  <c r="K185" i="2"/>
  <c r="L185" i="2"/>
  <c r="M185" i="2"/>
  <c r="N185" i="2"/>
  <c r="O185" i="2"/>
  <c r="P185" i="2"/>
  <c r="Q185" i="2"/>
  <c r="R185" i="2"/>
  <c r="S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AJ185" i="2"/>
  <c r="AK185" i="2"/>
  <c r="AL185" i="2"/>
  <c r="AM185" i="2"/>
  <c r="AN185" i="2"/>
  <c r="AO185" i="2"/>
  <c r="AP185" i="2"/>
  <c r="C186" i="2"/>
  <c r="D186" i="2"/>
  <c r="E186" i="2"/>
  <c r="F186" i="2"/>
  <c r="G186" i="2"/>
  <c r="H186" i="2"/>
  <c r="I186" i="2"/>
  <c r="J186" i="2"/>
  <c r="K186" i="2"/>
  <c r="L186" i="2"/>
  <c r="M186" i="2"/>
  <c r="N186" i="2"/>
  <c r="O186" i="2"/>
  <c r="P186" i="2"/>
  <c r="Q186" i="2"/>
  <c r="R186" i="2"/>
  <c r="S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AJ186" i="2"/>
  <c r="AK186" i="2"/>
  <c r="AL186" i="2"/>
  <c r="AM186" i="2"/>
  <c r="AN186" i="2"/>
  <c r="AO186" i="2"/>
  <c r="AP186" i="2"/>
  <c r="C187" i="2"/>
  <c r="D187" i="2"/>
  <c r="E187" i="2"/>
  <c r="F187" i="2"/>
  <c r="G187" i="2"/>
  <c r="I187" i="2"/>
  <c r="J187" i="2"/>
  <c r="K187" i="2"/>
  <c r="L187" i="2"/>
  <c r="M187" i="2"/>
  <c r="N187" i="2"/>
  <c r="O187" i="2"/>
  <c r="P187" i="2"/>
  <c r="Q187" i="2"/>
  <c r="R187" i="2"/>
  <c r="S187" i="2"/>
  <c r="T187" i="2"/>
  <c r="U187" i="2"/>
  <c r="V187" i="2"/>
  <c r="W187" i="2"/>
  <c r="X187" i="2"/>
  <c r="Y187" i="2"/>
  <c r="Z187" i="2"/>
  <c r="AA187" i="2"/>
  <c r="AB187" i="2"/>
  <c r="AC187" i="2"/>
  <c r="AD187" i="2"/>
  <c r="AE187" i="2"/>
  <c r="AF187" i="2"/>
  <c r="AG187" i="2"/>
  <c r="AH187" i="2"/>
  <c r="AI187" i="2"/>
  <c r="AJ187" i="2"/>
  <c r="AK187" i="2"/>
  <c r="AL187" i="2"/>
  <c r="AM187" i="2"/>
  <c r="AN187" i="2"/>
  <c r="AO187" i="2"/>
  <c r="AP187" i="2"/>
  <c r="C188" i="2"/>
  <c r="D188" i="2"/>
  <c r="E188" i="2"/>
  <c r="F188" i="2"/>
  <c r="G188" i="2"/>
  <c r="H188" i="2"/>
  <c r="I188" i="2"/>
  <c r="J188" i="2"/>
  <c r="K188" i="2"/>
  <c r="L188" i="2"/>
  <c r="M188" i="2"/>
  <c r="N188" i="2"/>
  <c r="O188" i="2"/>
  <c r="P188" i="2"/>
  <c r="Q188" i="2"/>
  <c r="R188" i="2"/>
  <c r="S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AJ188" i="2"/>
  <c r="AK188" i="2"/>
  <c r="AL188" i="2"/>
  <c r="AM188" i="2"/>
  <c r="AN188" i="2"/>
  <c r="AO188" i="2"/>
  <c r="AP188" i="2"/>
  <c r="C189" i="2"/>
  <c r="D189" i="2"/>
  <c r="E189" i="2"/>
  <c r="F189" i="2"/>
  <c r="G189" i="2"/>
  <c r="H189" i="2"/>
  <c r="I189" i="2"/>
  <c r="J189" i="2"/>
  <c r="K189" i="2"/>
  <c r="L189" i="2"/>
  <c r="M189" i="2"/>
  <c r="N189" i="2"/>
  <c r="O189" i="2"/>
  <c r="P189" i="2"/>
  <c r="Q189" i="2"/>
  <c r="R189" i="2"/>
  <c r="S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AJ189" i="2"/>
  <c r="AK189" i="2"/>
  <c r="AL189" i="2"/>
  <c r="AM189" i="2"/>
  <c r="AN189" i="2"/>
  <c r="AO189" i="2"/>
  <c r="AP189" i="2"/>
  <c r="C190" i="2"/>
  <c r="D190" i="2"/>
  <c r="E190" i="2"/>
  <c r="F190" i="2"/>
  <c r="G190" i="2"/>
  <c r="I190" i="2"/>
  <c r="J190" i="2"/>
  <c r="K190" i="2"/>
  <c r="L190" i="2"/>
  <c r="M190" i="2"/>
  <c r="N190" i="2"/>
  <c r="O190" i="2"/>
  <c r="P190" i="2"/>
  <c r="Q190" i="2"/>
  <c r="R190" i="2"/>
  <c r="S190" i="2"/>
  <c r="T190" i="2"/>
  <c r="U190" i="2"/>
  <c r="V190" i="2"/>
  <c r="W190" i="2"/>
  <c r="X190" i="2"/>
  <c r="Y190" i="2"/>
  <c r="Z190" i="2"/>
  <c r="AA190" i="2"/>
  <c r="AB190" i="2"/>
  <c r="AC190" i="2"/>
  <c r="AD190" i="2"/>
  <c r="AE190" i="2"/>
  <c r="AF190" i="2"/>
  <c r="AG190" i="2"/>
  <c r="AH190" i="2"/>
  <c r="AI190" i="2"/>
  <c r="AJ190" i="2"/>
  <c r="AK190" i="2"/>
  <c r="AL190" i="2"/>
  <c r="AM190" i="2"/>
  <c r="AN190" i="2"/>
  <c r="AO190" i="2"/>
  <c r="AP190" i="2"/>
  <c r="C191" i="2"/>
  <c r="D191" i="2"/>
  <c r="E191" i="2"/>
  <c r="F191" i="2"/>
  <c r="G191" i="2"/>
  <c r="I191" i="2"/>
  <c r="J191" i="2"/>
  <c r="K191" i="2"/>
  <c r="L191" i="2"/>
  <c r="M191" i="2"/>
  <c r="N191" i="2"/>
  <c r="O191" i="2"/>
  <c r="P191" i="2"/>
  <c r="Q191" i="2"/>
  <c r="R191" i="2"/>
  <c r="S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AJ191" i="2"/>
  <c r="AK191" i="2"/>
  <c r="AL191" i="2"/>
  <c r="AM191" i="2"/>
  <c r="AN191" i="2"/>
  <c r="AO191" i="2"/>
  <c r="AP191" i="2"/>
  <c r="C192" i="2"/>
  <c r="D192" i="2"/>
  <c r="E192" i="2"/>
  <c r="F192" i="2"/>
  <c r="G192" i="2"/>
  <c r="I192" i="2"/>
  <c r="J192" i="2"/>
  <c r="K192" i="2"/>
  <c r="L192" i="2"/>
  <c r="M192" i="2"/>
  <c r="N192" i="2"/>
  <c r="O192" i="2"/>
  <c r="P192" i="2"/>
  <c r="Q192" i="2"/>
  <c r="R192" i="2"/>
  <c r="S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AJ192" i="2"/>
  <c r="AK192" i="2"/>
  <c r="AL192" i="2"/>
  <c r="AM192" i="2"/>
  <c r="AN192" i="2"/>
  <c r="AO192" i="2"/>
  <c r="AP192" i="2"/>
  <c r="C193" i="2"/>
  <c r="D193" i="2"/>
  <c r="E193" i="2"/>
  <c r="F193" i="2"/>
  <c r="G193" i="2"/>
  <c r="H193" i="2"/>
  <c r="I193" i="2"/>
  <c r="J193" i="2"/>
  <c r="K193" i="2"/>
  <c r="L193" i="2"/>
  <c r="M193" i="2"/>
  <c r="N193" i="2"/>
  <c r="O193" i="2"/>
  <c r="P193" i="2"/>
  <c r="Q193" i="2"/>
  <c r="R193" i="2"/>
  <c r="S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AJ193" i="2"/>
  <c r="AK193" i="2"/>
  <c r="AL193" i="2"/>
  <c r="AM193" i="2"/>
  <c r="AN193" i="2"/>
  <c r="AO193" i="2"/>
  <c r="AP193" i="2"/>
  <c r="C194" i="2"/>
  <c r="D194" i="2"/>
  <c r="E194" i="2"/>
  <c r="F194" i="2"/>
  <c r="G194" i="2"/>
  <c r="H194" i="2"/>
  <c r="I194" i="2"/>
  <c r="J194" i="2"/>
  <c r="K194" i="2"/>
  <c r="L194" i="2"/>
  <c r="M194" i="2"/>
  <c r="N194" i="2"/>
  <c r="O194" i="2"/>
  <c r="P194" i="2"/>
  <c r="Q194" i="2"/>
  <c r="R194" i="2"/>
  <c r="S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AJ194" i="2"/>
  <c r="AK194" i="2"/>
  <c r="AL194" i="2"/>
  <c r="AM194" i="2"/>
  <c r="AN194" i="2"/>
  <c r="AO194" i="2"/>
  <c r="AP194" i="2"/>
  <c r="C195" i="2"/>
  <c r="D195" i="2"/>
  <c r="E195" i="2"/>
  <c r="F195" i="2"/>
  <c r="G195" i="2"/>
  <c r="H195" i="2"/>
  <c r="I195" i="2"/>
  <c r="J195" i="2"/>
  <c r="K195" i="2"/>
  <c r="L195" i="2"/>
  <c r="M195" i="2"/>
  <c r="N195" i="2"/>
  <c r="O195" i="2"/>
  <c r="P195" i="2"/>
  <c r="Q195" i="2"/>
  <c r="R195" i="2"/>
  <c r="S195" i="2"/>
  <c r="T195" i="2"/>
  <c r="U195" i="2"/>
  <c r="V195" i="2"/>
  <c r="W195" i="2"/>
  <c r="X195" i="2"/>
  <c r="Y195" i="2"/>
  <c r="Z195" i="2"/>
  <c r="AA195" i="2"/>
  <c r="AB195" i="2"/>
  <c r="AC195" i="2"/>
  <c r="AD195" i="2"/>
  <c r="AE195" i="2"/>
  <c r="AF195" i="2"/>
  <c r="AG195" i="2"/>
  <c r="AH195" i="2"/>
  <c r="AI195" i="2"/>
  <c r="AJ195" i="2"/>
  <c r="AK195" i="2"/>
  <c r="AL195" i="2"/>
  <c r="AM195" i="2"/>
  <c r="AN195" i="2"/>
  <c r="AO195" i="2"/>
  <c r="AP195" i="2"/>
  <c r="C196" i="2"/>
  <c r="D196" i="2"/>
  <c r="E196" i="2"/>
  <c r="F196" i="2"/>
  <c r="G196" i="2"/>
  <c r="I196" i="2"/>
  <c r="J196" i="2"/>
  <c r="K196" i="2"/>
  <c r="L196" i="2"/>
  <c r="M196" i="2"/>
  <c r="N196" i="2"/>
  <c r="O196" i="2"/>
  <c r="P196" i="2"/>
  <c r="Q196" i="2"/>
  <c r="R196" i="2"/>
  <c r="S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AJ196" i="2"/>
  <c r="AK196" i="2"/>
  <c r="AL196" i="2"/>
  <c r="AM196" i="2"/>
  <c r="AN196" i="2"/>
  <c r="AO196" i="2"/>
  <c r="AP196" i="2"/>
  <c r="C197" i="2"/>
  <c r="D197" i="2"/>
  <c r="E197" i="2"/>
  <c r="F197" i="2"/>
  <c r="G197" i="2"/>
  <c r="H197" i="2"/>
  <c r="I197" i="2"/>
  <c r="J197" i="2"/>
  <c r="K197" i="2"/>
  <c r="L197" i="2"/>
  <c r="M197" i="2"/>
  <c r="N197" i="2"/>
  <c r="O197" i="2"/>
  <c r="P197" i="2"/>
  <c r="Q197" i="2"/>
  <c r="R197" i="2"/>
  <c r="S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AJ197" i="2"/>
  <c r="AK197" i="2"/>
  <c r="AL197" i="2"/>
  <c r="AM197" i="2"/>
  <c r="AN197" i="2"/>
  <c r="AO197" i="2"/>
  <c r="AP197" i="2"/>
  <c r="C198" i="2"/>
  <c r="D198" i="2"/>
  <c r="E198" i="2"/>
  <c r="F198" i="2"/>
  <c r="G198" i="2"/>
  <c r="H198" i="2"/>
  <c r="I198" i="2"/>
  <c r="J198" i="2"/>
  <c r="K198" i="2"/>
  <c r="L198" i="2"/>
  <c r="M198" i="2"/>
  <c r="N198" i="2"/>
  <c r="O198" i="2"/>
  <c r="P198" i="2"/>
  <c r="Q198" i="2"/>
  <c r="R198" i="2"/>
  <c r="S198" i="2"/>
  <c r="T198" i="2"/>
  <c r="U198" i="2"/>
  <c r="V198" i="2"/>
  <c r="W198" i="2"/>
  <c r="X198" i="2"/>
  <c r="Y198" i="2"/>
  <c r="Z198" i="2"/>
  <c r="AA198" i="2"/>
  <c r="AB198" i="2"/>
  <c r="AC198" i="2"/>
  <c r="AD198" i="2"/>
  <c r="AE198" i="2"/>
  <c r="AF198" i="2"/>
  <c r="AG198" i="2"/>
  <c r="AH198" i="2"/>
  <c r="AI198" i="2"/>
  <c r="AJ198" i="2"/>
  <c r="AK198" i="2"/>
  <c r="AL198" i="2"/>
  <c r="AM198" i="2"/>
  <c r="AN198" i="2"/>
  <c r="AO198" i="2"/>
  <c r="AP198" i="2"/>
  <c r="C199" i="2"/>
  <c r="D199" i="2"/>
  <c r="E199" i="2"/>
  <c r="F199" i="2"/>
  <c r="G199" i="2"/>
  <c r="I199" i="2"/>
  <c r="J199" i="2"/>
  <c r="K199" i="2"/>
  <c r="L199" i="2"/>
  <c r="M199" i="2"/>
  <c r="N199" i="2"/>
  <c r="O199" i="2"/>
  <c r="P199" i="2"/>
  <c r="Q199" i="2"/>
  <c r="R199" i="2"/>
  <c r="S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AJ199" i="2"/>
  <c r="AK199" i="2"/>
  <c r="AL199" i="2"/>
  <c r="AM199" i="2"/>
  <c r="AN199" i="2"/>
  <c r="AO199" i="2"/>
  <c r="AP199" i="2"/>
  <c r="C200" i="2"/>
  <c r="D200" i="2"/>
  <c r="E200" i="2"/>
  <c r="F200" i="2"/>
  <c r="G200" i="2"/>
  <c r="I200" i="2"/>
  <c r="J200" i="2"/>
  <c r="K200" i="2"/>
  <c r="L200" i="2"/>
  <c r="M200" i="2"/>
  <c r="N200" i="2"/>
  <c r="O200" i="2"/>
  <c r="P200" i="2"/>
  <c r="Q200" i="2"/>
  <c r="R200" i="2"/>
  <c r="S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AJ200" i="2"/>
  <c r="AK200" i="2"/>
  <c r="AL200" i="2"/>
  <c r="AM200" i="2"/>
  <c r="AN200" i="2"/>
  <c r="AO200" i="2"/>
  <c r="AP200" i="2"/>
  <c r="C201" i="2"/>
  <c r="D201" i="2"/>
  <c r="E201" i="2"/>
  <c r="F201" i="2"/>
  <c r="G201" i="2"/>
  <c r="H201" i="2"/>
  <c r="I201" i="2"/>
  <c r="J201" i="2"/>
  <c r="K201" i="2"/>
  <c r="L201" i="2"/>
  <c r="M201" i="2"/>
  <c r="N201" i="2"/>
  <c r="O201" i="2"/>
  <c r="P201" i="2"/>
  <c r="Q201" i="2"/>
  <c r="R201" i="2"/>
  <c r="S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AJ201" i="2"/>
  <c r="AK201" i="2"/>
  <c r="AL201" i="2"/>
  <c r="AM201" i="2"/>
  <c r="AN201" i="2"/>
  <c r="AO201" i="2"/>
  <c r="AP201" i="2"/>
  <c r="C202" i="2"/>
  <c r="D202" i="2"/>
  <c r="E202" i="2"/>
  <c r="F202" i="2"/>
  <c r="G202" i="2"/>
  <c r="H202" i="2"/>
  <c r="I202" i="2"/>
  <c r="J202" i="2"/>
  <c r="K202" i="2"/>
  <c r="L202" i="2"/>
  <c r="M202" i="2"/>
  <c r="N202" i="2"/>
  <c r="O202" i="2"/>
  <c r="P202" i="2"/>
  <c r="Q202" i="2"/>
  <c r="R202" i="2"/>
  <c r="S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AJ202" i="2"/>
  <c r="AK202" i="2"/>
  <c r="AL202" i="2"/>
  <c r="AM202" i="2"/>
  <c r="AN202" i="2"/>
  <c r="AO202" i="2"/>
  <c r="AP202" i="2"/>
  <c r="C203" i="2"/>
  <c r="D203" i="2"/>
  <c r="E203" i="2"/>
  <c r="F203" i="2"/>
  <c r="G203" i="2"/>
  <c r="H203" i="2"/>
  <c r="I203" i="2"/>
  <c r="J203" i="2"/>
  <c r="K203" i="2"/>
  <c r="L203" i="2"/>
  <c r="M203" i="2"/>
  <c r="N203" i="2"/>
  <c r="O203" i="2"/>
  <c r="P203" i="2"/>
  <c r="Q203" i="2"/>
  <c r="R203" i="2"/>
  <c r="S203" i="2"/>
  <c r="T203" i="2"/>
  <c r="U203" i="2"/>
  <c r="V203" i="2"/>
  <c r="W203" i="2"/>
  <c r="X203" i="2"/>
  <c r="Y203" i="2"/>
  <c r="Z203" i="2"/>
  <c r="AA203" i="2"/>
  <c r="AB203" i="2"/>
  <c r="AC203" i="2"/>
  <c r="AD203" i="2"/>
  <c r="AE203" i="2"/>
  <c r="AF203" i="2"/>
  <c r="AG203" i="2"/>
  <c r="AH203" i="2"/>
  <c r="AI203" i="2"/>
  <c r="AJ203" i="2"/>
  <c r="AK203" i="2"/>
  <c r="AL203" i="2"/>
  <c r="AM203" i="2"/>
  <c r="AN203" i="2"/>
  <c r="AO203" i="2"/>
  <c r="AP203" i="2"/>
  <c r="C204" i="2"/>
  <c r="D204" i="2"/>
  <c r="E204" i="2"/>
  <c r="F204" i="2"/>
  <c r="G204" i="2"/>
  <c r="I204" i="2"/>
  <c r="J204" i="2"/>
  <c r="K204" i="2"/>
  <c r="L204" i="2"/>
  <c r="M204" i="2"/>
  <c r="N204" i="2"/>
  <c r="O204" i="2"/>
  <c r="P204" i="2"/>
  <c r="Q204" i="2"/>
  <c r="R204" i="2"/>
  <c r="S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AJ204" i="2"/>
  <c r="AK204" i="2"/>
  <c r="AL204" i="2"/>
  <c r="AM204" i="2"/>
  <c r="AN204" i="2"/>
  <c r="AO204" i="2"/>
  <c r="AP204" i="2"/>
  <c r="C205" i="2"/>
  <c r="D205" i="2"/>
  <c r="E205" i="2"/>
  <c r="F205" i="2"/>
  <c r="G205" i="2"/>
  <c r="H205" i="2"/>
  <c r="I205" i="2"/>
  <c r="J205" i="2"/>
  <c r="K205" i="2"/>
  <c r="L205" i="2"/>
  <c r="M205" i="2"/>
  <c r="N205" i="2"/>
  <c r="O205" i="2"/>
  <c r="P205" i="2"/>
  <c r="Q205" i="2"/>
  <c r="R205" i="2"/>
  <c r="S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AJ205" i="2"/>
  <c r="AK205" i="2"/>
  <c r="AL205" i="2"/>
  <c r="AM205" i="2"/>
  <c r="AN205" i="2"/>
  <c r="AO205" i="2"/>
  <c r="AP205" i="2"/>
  <c r="C206" i="2"/>
  <c r="D206" i="2"/>
  <c r="E206" i="2"/>
  <c r="F206" i="2"/>
  <c r="G206" i="2"/>
  <c r="H206" i="2"/>
  <c r="I206" i="2"/>
  <c r="J206" i="2"/>
  <c r="K206" i="2"/>
  <c r="L206" i="2"/>
  <c r="M206" i="2"/>
  <c r="N206" i="2"/>
  <c r="O206" i="2"/>
  <c r="P206" i="2"/>
  <c r="Q206" i="2"/>
  <c r="R206" i="2"/>
  <c r="S206" i="2"/>
  <c r="T206" i="2"/>
  <c r="U206" i="2"/>
  <c r="V206" i="2"/>
  <c r="W206" i="2"/>
  <c r="X206" i="2"/>
  <c r="Y206" i="2"/>
  <c r="Z206" i="2"/>
  <c r="AA206" i="2"/>
  <c r="AB206" i="2"/>
  <c r="AC206" i="2"/>
  <c r="AD206" i="2"/>
  <c r="AE206" i="2"/>
  <c r="AF206" i="2"/>
  <c r="AG206" i="2"/>
  <c r="AH206" i="2"/>
  <c r="AI206" i="2"/>
  <c r="AJ206" i="2"/>
  <c r="AK206" i="2"/>
  <c r="AL206" i="2"/>
  <c r="AM206" i="2"/>
  <c r="AN206" i="2"/>
  <c r="AO206" i="2"/>
  <c r="AP206" i="2"/>
  <c r="C207" i="2"/>
  <c r="D207" i="2"/>
  <c r="E207" i="2"/>
  <c r="F207" i="2"/>
  <c r="G207" i="2"/>
  <c r="I207" i="2"/>
  <c r="J207" i="2"/>
  <c r="K207" i="2"/>
  <c r="L207" i="2"/>
  <c r="M207" i="2"/>
  <c r="N207" i="2"/>
  <c r="O207" i="2"/>
  <c r="P207" i="2"/>
  <c r="Q207" i="2"/>
  <c r="R207" i="2"/>
  <c r="S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AJ207" i="2"/>
  <c r="AK207" i="2"/>
  <c r="AL207" i="2"/>
  <c r="AM207" i="2"/>
  <c r="AN207" i="2"/>
  <c r="AO207" i="2"/>
  <c r="AP207" i="2"/>
  <c r="C208" i="2"/>
  <c r="D208" i="2"/>
  <c r="E208" i="2"/>
  <c r="F208" i="2"/>
  <c r="G208" i="2"/>
  <c r="I208" i="2"/>
  <c r="J208" i="2"/>
  <c r="K208" i="2"/>
  <c r="L208" i="2"/>
  <c r="M208" i="2"/>
  <c r="N208" i="2"/>
  <c r="O208" i="2"/>
  <c r="P208" i="2"/>
  <c r="Q208" i="2"/>
  <c r="R208" i="2"/>
  <c r="S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AJ208" i="2"/>
  <c r="AK208" i="2"/>
  <c r="AL208" i="2"/>
  <c r="AM208" i="2"/>
  <c r="AN208" i="2"/>
  <c r="AO208" i="2"/>
  <c r="AP208" i="2"/>
  <c r="C209" i="2"/>
  <c r="D209" i="2"/>
  <c r="E209" i="2"/>
  <c r="F209" i="2"/>
  <c r="G209" i="2"/>
  <c r="H209" i="2"/>
  <c r="I209" i="2"/>
  <c r="J209" i="2"/>
  <c r="K209" i="2"/>
  <c r="L209" i="2"/>
  <c r="M209" i="2"/>
  <c r="N209" i="2"/>
  <c r="O209" i="2"/>
  <c r="P209" i="2"/>
  <c r="Q209" i="2"/>
  <c r="R209" i="2"/>
  <c r="S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AJ209" i="2"/>
  <c r="AK209" i="2"/>
  <c r="AL209" i="2"/>
  <c r="AM209" i="2"/>
  <c r="AN209" i="2"/>
  <c r="AO209" i="2"/>
  <c r="AP209" i="2"/>
  <c r="C210" i="2"/>
  <c r="D210" i="2"/>
  <c r="E210" i="2"/>
  <c r="F210" i="2"/>
  <c r="G210" i="2"/>
  <c r="H210" i="2"/>
  <c r="I210" i="2"/>
  <c r="J210" i="2"/>
  <c r="K210" i="2"/>
  <c r="L210" i="2"/>
  <c r="M210" i="2"/>
  <c r="N210" i="2"/>
  <c r="O210" i="2"/>
  <c r="P210" i="2"/>
  <c r="Q210" i="2"/>
  <c r="R210" i="2"/>
  <c r="S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AJ210" i="2"/>
  <c r="AK210" i="2"/>
  <c r="AL210" i="2"/>
  <c r="AM210" i="2"/>
  <c r="AN210" i="2"/>
  <c r="AO210" i="2"/>
  <c r="AP210" i="2"/>
  <c r="C211" i="2"/>
  <c r="D211" i="2"/>
  <c r="E211" i="2"/>
  <c r="F211" i="2"/>
  <c r="G211" i="2"/>
  <c r="H211" i="2"/>
  <c r="I211" i="2"/>
  <c r="J211" i="2"/>
  <c r="K211" i="2"/>
  <c r="L211" i="2"/>
  <c r="M211" i="2"/>
  <c r="N211" i="2"/>
  <c r="O211" i="2"/>
  <c r="P211" i="2"/>
  <c r="Q211" i="2"/>
  <c r="R211" i="2"/>
  <c r="S211" i="2"/>
  <c r="T211" i="2"/>
  <c r="U211" i="2"/>
  <c r="V211" i="2"/>
  <c r="W211" i="2"/>
  <c r="X211" i="2"/>
  <c r="Y211" i="2"/>
  <c r="Z211" i="2"/>
  <c r="AA211" i="2"/>
  <c r="AB211" i="2"/>
  <c r="AC211" i="2"/>
  <c r="AD211" i="2"/>
  <c r="AE211" i="2"/>
  <c r="AF211" i="2"/>
  <c r="AG211" i="2"/>
  <c r="AH211" i="2"/>
  <c r="AI211" i="2"/>
  <c r="AJ211" i="2"/>
  <c r="AK211" i="2"/>
  <c r="AL211" i="2"/>
  <c r="AM211" i="2"/>
  <c r="AN211" i="2"/>
  <c r="AO211" i="2"/>
  <c r="AP211" i="2"/>
  <c r="C212" i="2"/>
  <c r="D212" i="2"/>
  <c r="E212" i="2"/>
  <c r="F212" i="2"/>
  <c r="G212" i="2"/>
  <c r="I212" i="2"/>
  <c r="J212" i="2"/>
  <c r="K212" i="2"/>
  <c r="L212" i="2"/>
  <c r="M212" i="2"/>
  <c r="N212" i="2"/>
  <c r="O212" i="2"/>
  <c r="P212" i="2"/>
  <c r="Q212" i="2"/>
  <c r="R212" i="2"/>
  <c r="S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AJ212" i="2"/>
  <c r="AK212" i="2"/>
  <c r="AL212" i="2"/>
  <c r="AM212" i="2"/>
  <c r="AN212" i="2"/>
  <c r="AO212" i="2"/>
  <c r="AP212" i="2"/>
  <c r="C213" i="2"/>
  <c r="D213" i="2"/>
  <c r="E213" i="2"/>
  <c r="F213" i="2"/>
  <c r="G213" i="2"/>
  <c r="H213" i="2"/>
  <c r="I213" i="2"/>
  <c r="J213" i="2"/>
  <c r="K213" i="2"/>
  <c r="L213" i="2"/>
  <c r="M213" i="2"/>
  <c r="N213" i="2"/>
  <c r="O213" i="2"/>
  <c r="P213" i="2"/>
  <c r="Q213" i="2"/>
  <c r="R213" i="2"/>
  <c r="S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AJ213" i="2"/>
  <c r="AK213" i="2"/>
  <c r="AL213" i="2"/>
  <c r="AM213" i="2"/>
  <c r="AN213" i="2"/>
  <c r="AO213" i="2"/>
  <c r="AP213" i="2"/>
  <c r="C153" i="2"/>
  <c r="D153" i="2"/>
  <c r="E153" i="2"/>
  <c r="F153" i="2"/>
  <c r="G153" i="2"/>
  <c r="I153" i="2"/>
  <c r="J153" i="2"/>
  <c r="K153" i="2"/>
  <c r="L153" i="2"/>
  <c r="M153" i="2"/>
  <c r="N153" i="2"/>
  <c r="O153" i="2"/>
  <c r="P153" i="2"/>
  <c r="Q153" i="2"/>
  <c r="R153" i="2"/>
  <c r="S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AJ153" i="2"/>
  <c r="AK153" i="2"/>
  <c r="AL153" i="2"/>
  <c r="AM153" i="2"/>
  <c r="AN153" i="2"/>
  <c r="AO153" i="2"/>
  <c r="AP153" i="2"/>
  <c r="C154" i="2"/>
  <c r="D154" i="2"/>
  <c r="E154" i="2"/>
  <c r="F154" i="2"/>
  <c r="G154" i="2"/>
  <c r="H154" i="2"/>
  <c r="I154" i="2"/>
  <c r="J154" i="2"/>
  <c r="K154" i="2"/>
  <c r="L154" i="2"/>
  <c r="M154" i="2"/>
  <c r="N154" i="2"/>
  <c r="O154" i="2"/>
  <c r="P154" i="2"/>
  <c r="Q154" i="2"/>
  <c r="R154" i="2"/>
  <c r="S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J154" i="2"/>
  <c r="AK154" i="2"/>
  <c r="AL154" i="2"/>
  <c r="AM154" i="2"/>
  <c r="AN154" i="2"/>
  <c r="AO154" i="2"/>
  <c r="AP154" i="2"/>
  <c r="C155" i="2"/>
  <c r="D155" i="2"/>
  <c r="E155" i="2"/>
  <c r="F155" i="2"/>
  <c r="G155" i="2"/>
  <c r="I155" i="2"/>
  <c r="J155" i="2"/>
  <c r="K155" i="2"/>
  <c r="L155" i="2"/>
  <c r="M155" i="2"/>
  <c r="N155" i="2"/>
  <c r="O155" i="2"/>
  <c r="P155" i="2"/>
  <c r="Q155" i="2"/>
  <c r="R155" i="2"/>
  <c r="S155" i="2"/>
  <c r="T155" i="2"/>
  <c r="U155" i="2"/>
  <c r="V155" i="2"/>
  <c r="W155" i="2"/>
  <c r="X155" i="2"/>
  <c r="Y155" i="2"/>
  <c r="Z155" i="2"/>
  <c r="AA155" i="2"/>
  <c r="AB155" i="2"/>
  <c r="AC155" i="2"/>
  <c r="AD155" i="2"/>
  <c r="AE155" i="2"/>
  <c r="AF155" i="2"/>
  <c r="AG155" i="2"/>
  <c r="AH155" i="2"/>
  <c r="AI155" i="2"/>
  <c r="AJ155" i="2"/>
  <c r="AK155" i="2"/>
  <c r="AL155" i="2"/>
  <c r="AM155" i="2"/>
  <c r="AN155" i="2"/>
  <c r="AO155" i="2"/>
  <c r="AP155" i="2"/>
  <c r="C156" i="2"/>
  <c r="D156" i="2"/>
  <c r="E156" i="2"/>
  <c r="F156" i="2"/>
  <c r="G156" i="2"/>
  <c r="I156" i="2"/>
  <c r="J156" i="2"/>
  <c r="K156" i="2"/>
  <c r="L156" i="2"/>
  <c r="M156" i="2"/>
  <c r="N156" i="2"/>
  <c r="O156" i="2"/>
  <c r="P156" i="2"/>
  <c r="Q156" i="2"/>
  <c r="R156" i="2"/>
  <c r="S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AJ156" i="2"/>
  <c r="AK156" i="2"/>
  <c r="AL156" i="2"/>
  <c r="AM156" i="2"/>
  <c r="AN156" i="2"/>
  <c r="AO156" i="2"/>
  <c r="AP156" i="2"/>
  <c r="C157" i="2"/>
  <c r="D157" i="2"/>
  <c r="E157" i="2"/>
  <c r="F157" i="2"/>
  <c r="G157" i="2"/>
  <c r="H157" i="2"/>
  <c r="I157" i="2"/>
  <c r="J157" i="2"/>
  <c r="K157" i="2"/>
  <c r="L157" i="2"/>
  <c r="M157" i="2"/>
  <c r="N157" i="2"/>
  <c r="O157" i="2"/>
  <c r="P157" i="2"/>
  <c r="Q157" i="2"/>
  <c r="R157" i="2"/>
  <c r="S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AJ157" i="2"/>
  <c r="AK157" i="2"/>
  <c r="AL157" i="2"/>
  <c r="AM157" i="2"/>
  <c r="AN157" i="2"/>
  <c r="AO157" i="2"/>
  <c r="AP157" i="2"/>
  <c r="C158" i="2"/>
  <c r="D158" i="2"/>
  <c r="E158" i="2"/>
  <c r="F158" i="2"/>
  <c r="G158" i="2"/>
  <c r="I158" i="2"/>
  <c r="J158" i="2"/>
  <c r="K158" i="2"/>
  <c r="L158" i="2"/>
  <c r="M158" i="2"/>
  <c r="N158" i="2"/>
  <c r="O158" i="2"/>
  <c r="P158" i="2"/>
  <c r="Q158" i="2"/>
  <c r="R158" i="2"/>
  <c r="S158" i="2"/>
  <c r="T158" i="2"/>
  <c r="U158" i="2"/>
  <c r="V158" i="2"/>
  <c r="W158" i="2"/>
  <c r="X158" i="2"/>
  <c r="Y158" i="2"/>
  <c r="Z158" i="2"/>
  <c r="AA158" i="2"/>
  <c r="AB158" i="2"/>
  <c r="AC158" i="2"/>
  <c r="AD158" i="2"/>
  <c r="AE158" i="2"/>
  <c r="AF158" i="2"/>
  <c r="AG158" i="2"/>
  <c r="AH158" i="2"/>
  <c r="AI158" i="2"/>
  <c r="AJ158" i="2"/>
  <c r="AK158" i="2"/>
  <c r="AL158" i="2"/>
  <c r="AM158" i="2"/>
  <c r="AN158" i="2"/>
  <c r="AO158" i="2"/>
  <c r="AP158" i="2"/>
  <c r="C159" i="2"/>
  <c r="D159" i="2"/>
  <c r="E159" i="2"/>
  <c r="F159" i="2"/>
  <c r="G159" i="2"/>
  <c r="I159" i="2"/>
  <c r="J159" i="2"/>
  <c r="K159" i="2"/>
  <c r="L159" i="2"/>
  <c r="M159" i="2"/>
  <c r="N159" i="2"/>
  <c r="O159" i="2"/>
  <c r="P159" i="2"/>
  <c r="Q159" i="2"/>
  <c r="R159" i="2"/>
  <c r="S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AJ159" i="2"/>
  <c r="AK159" i="2"/>
  <c r="AL159" i="2"/>
  <c r="AM159" i="2"/>
  <c r="AN159" i="2"/>
  <c r="AO159" i="2"/>
  <c r="AP159" i="2"/>
  <c r="C160" i="2"/>
  <c r="D160" i="2"/>
  <c r="E160" i="2"/>
  <c r="F160" i="2"/>
  <c r="G160" i="2"/>
  <c r="H160" i="2"/>
  <c r="I160" i="2"/>
  <c r="J160" i="2"/>
  <c r="K160" i="2"/>
  <c r="L160" i="2"/>
  <c r="M160" i="2"/>
  <c r="N160" i="2"/>
  <c r="O160" i="2"/>
  <c r="P160" i="2"/>
  <c r="Q160" i="2"/>
  <c r="R160" i="2"/>
  <c r="S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AJ160" i="2"/>
  <c r="AK160" i="2"/>
  <c r="AL160" i="2"/>
  <c r="AM160" i="2"/>
  <c r="AN160" i="2"/>
  <c r="AO160" i="2"/>
  <c r="AP160" i="2"/>
  <c r="C161" i="2"/>
  <c r="D161" i="2"/>
  <c r="E161" i="2"/>
  <c r="F161" i="2"/>
  <c r="G161" i="2"/>
  <c r="H161" i="2"/>
  <c r="I161" i="2"/>
  <c r="J161" i="2"/>
  <c r="K161" i="2"/>
  <c r="L161" i="2"/>
  <c r="M161" i="2"/>
  <c r="N161" i="2"/>
  <c r="O161" i="2"/>
  <c r="P161" i="2"/>
  <c r="Q161" i="2"/>
  <c r="R161" i="2"/>
  <c r="S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AJ161" i="2"/>
  <c r="AK161" i="2"/>
  <c r="AL161" i="2"/>
  <c r="AM161" i="2"/>
  <c r="AN161" i="2"/>
  <c r="AO161" i="2"/>
  <c r="AP161" i="2"/>
  <c r="C162" i="2"/>
  <c r="D162" i="2"/>
  <c r="E162" i="2"/>
  <c r="F162" i="2"/>
  <c r="G162" i="2"/>
  <c r="I162" i="2"/>
  <c r="J162" i="2"/>
  <c r="K162" i="2"/>
  <c r="L162" i="2"/>
  <c r="M162" i="2"/>
  <c r="N162" i="2"/>
  <c r="O162" i="2"/>
  <c r="P162" i="2"/>
  <c r="Q162" i="2"/>
  <c r="R162" i="2"/>
  <c r="S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J162" i="2"/>
  <c r="AK162" i="2"/>
  <c r="AL162" i="2"/>
  <c r="AM162" i="2"/>
  <c r="AN162" i="2"/>
  <c r="AO162" i="2"/>
  <c r="AP162" i="2"/>
  <c r="C163" i="2"/>
  <c r="D163" i="2"/>
  <c r="E163" i="2"/>
  <c r="F163" i="2"/>
  <c r="G163" i="2"/>
  <c r="I163" i="2"/>
  <c r="J163" i="2"/>
  <c r="K163" i="2"/>
  <c r="L163" i="2"/>
  <c r="M163" i="2"/>
  <c r="N163" i="2"/>
  <c r="O163" i="2"/>
  <c r="P163" i="2"/>
  <c r="Q163" i="2"/>
  <c r="R163" i="2"/>
  <c r="S163" i="2"/>
  <c r="T163" i="2"/>
  <c r="U163" i="2"/>
  <c r="V163" i="2"/>
  <c r="W163" i="2"/>
  <c r="X163" i="2"/>
  <c r="Y163" i="2"/>
  <c r="Z163" i="2"/>
  <c r="AA163" i="2"/>
  <c r="AB163" i="2"/>
  <c r="AC163" i="2"/>
  <c r="AD163" i="2"/>
  <c r="AE163" i="2"/>
  <c r="AF163" i="2"/>
  <c r="AG163" i="2"/>
  <c r="AH163" i="2"/>
  <c r="AI163" i="2"/>
  <c r="AJ163" i="2"/>
  <c r="AK163" i="2"/>
  <c r="AL163" i="2"/>
  <c r="AM163" i="2"/>
  <c r="AN163" i="2"/>
  <c r="AO163" i="2"/>
  <c r="AP163" i="2"/>
  <c r="C164" i="2"/>
  <c r="D164" i="2"/>
  <c r="E164" i="2"/>
  <c r="F164" i="2"/>
  <c r="G164" i="2"/>
  <c r="H164" i="2"/>
  <c r="I164" i="2"/>
  <c r="J164" i="2"/>
  <c r="K164" i="2"/>
  <c r="L164" i="2"/>
  <c r="M164" i="2"/>
  <c r="N164" i="2"/>
  <c r="O164" i="2"/>
  <c r="P164" i="2"/>
  <c r="Q164" i="2"/>
  <c r="R164" i="2"/>
  <c r="S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AJ164" i="2"/>
  <c r="AK164" i="2"/>
  <c r="AL164" i="2"/>
  <c r="AM164" i="2"/>
  <c r="AN164" i="2"/>
  <c r="AO164" i="2"/>
  <c r="AP164" i="2"/>
  <c r="C165" i="2"/>
  <c r="D165" i="2"/>
  <c r="E165" i="2"/>
  <c r="F165" i="2"/>
  <c r="G165" i="2"/>
  <c r="H165" i="2"/>
  <c r="I165" i="2"/>
  <c r="J165" i="2"/>
  <c r="K165" i="2"/>
  <c r="L165" i="2"/>
  <c r="M165" i="2"/>
  <c r="N165" i="2"/>
  <c r="O165" i="2"/>
  <c r="P165" i="2"/>
  <c r="Q165" i="2"/>
  <c r="R165" i="2"/>
  <c r="S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AJ165" i="2"/>
  <c r="AK165" i="2"/>
  <c r="AL165" i="2"/>
  <c r="AM165" i="2"/>
  <c r="AN165" i="2"/>
  <c r="AO165" i="2"/>
  <c r="AP165" i="2"/>
  <c r="C166" i="2"/>
  <c r="D166" i="2"/>
  <c r="E166" i="2"/>
  <c r="F166" i="2"/>
  <c r="G166" i="2"/>
  <c r="I166" i="2"/>
  <c r="J166" i="2"/>
  <c r="K166" i="2"/>
  <c r="L166" i="2"/>
  <c r="M166" i="2"/>
  <c r="N166" i="2"/>
  <c r="O166" i="2"/>
  <c r="P166" i="2"/>
  <c r="Q166" i="2"/>
  <c r="R166" i="2"/>
  <c r="S166" i="2"/>
  <c r="T166" i="2"/>
  <c r="U166" i="2"/>
  <c r="V166" i="2"/>
  <c r="W166" i="2"/>
  <c r="X166" i="2"/>
  <c r="Y166" i="2"/>
  <c r="Z166" i="2"/>
  <c r="AA166" i="2"/>
  <c r="AB166" i="2"/>
  <c r="AC166" i="2"/>
  <c r="AD166" i="2"/>
  <c r="AE166" i="2"/>
  <c r="AF166" i="2"/>
  <c r="AG166" i="2"/>
  <c r="AH166" i="2"/>
  <c r="AI166" i="2"/>
  <c r="AJ166" i="2"/>
  <c r="AK166" i="2"/>
  <c r="AL166" i="2"/>
  <c r="AM166" i="2"/>
  <c r="AN166" i="2"/>
  <c r="AO166" i="2"/>
  <c r="AP166" i="2"/>
  <c r="C167" i="2"/>
  <c r="D167" i="2"/>
  <c r="E167" i="2"/>
  <c r="F167" i="2"/>
  <c r="G167" i="2"/>
  <c r="I167" i="2"/>
  <c r="J167" i="2"/>
  <c r="K167" i="2"/>
  <c r="L167" i="2"/>
  <c r="M167" i="2"/>
  <c r="N167" i="2"/>
  <c r="O167" i="2"/>
  <c r="P167" i="2"/>
  <c r="Q167" i="2"/>
  <c r="R167" i="2"/>
  <c r="S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AJ167" i="2"/>
  <c r="AK167" i="2"/>
  <c r="AL167" i="2"/>
  <c r="AM167" i="2"/>
  <c r="AN167" i="2"/>
  <c r="AO167" i="2"/>
  <c r="AP167" i="2"/>
  <c r="C168" i="2"/>
  <c r="D168" i="2"/>
  <c r="E168" i="2"/>
  <c r="F168" i="2"/>
  <c r="G168" i="2"/>
  <c r="I168" i="2"/>
  <c r="J168" i="2"/>
  <c r="K168" i="2"/>
  <c r="L168" i="2"/>
  <c r="M168" i="2"/>
  <c r="N168" i="2"/>
  <c r="O168" i="2"/>
  <c r="P168" i="2"/>
  <c r="Q168" i="2"/>
  <c r="R168" i="2"/>
  <c r="S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AJ168" i="2"/>
  <c r="AK168" i="2"/>
  <c r="AL168" i="2"/>
  <c r="AM168" i="2"/>
  <c r="AN168" i="2"/>
  <c r="AO168" i="2"/>
  <c r="AP168" i="2"/>
  <c r="C169" i="2"/>
  <c r="D169" i="2"/>
  <c r="E169" i="2"/>
  <c r="F169" i="2"/>
  <c r="G169" i="2"/>
  <c r="I169" i="2"/>
  <c r="J169" i="2"/>
  <c r="K169" i="2"/>
  <c r="L169" i="2"/>
  <c r="M169" i="2"/>
  <c r="N169" i="2"/>
  <c r="O169" i="2"/>
  <c r="P169" i="2"/>
  <c r="Q169" i="2"/>
  <c r="R169" i="2"/>
  <c r="S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AJ169" i="2"/>
  <c r="AK169" i="2"/>
  <c r="AL169" i="2"/>
  <c r="AM169" i="2"/>
  <c r="AN169" i="2"/>
  <c r="AO169" i="2"/>
  <c r="AP169" i="2"/>
  <c r="C170" i="2"/>
  <c r="D170" i="2"/>
  <c r="E170" i="2"/>
  <c r="F170" i="2"/>
  <c r="G170" i="2"/>
  <c r="I170" i="2"/>
  <c r="J170" i="2"/>
  <c r="K170" i="2"/>
  <c r="L170" i="2"/>
  <c r="M170" i="2"/>
  <c r="N170" i="2"/>
  <c r="O170" i="2"/>
  <c r="P170" i="2"/>
  <c r="Q170" i="2"/>
  <c r="R170" i="2"/>
  <c r="S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AJ170" i="2"/>
  <c r="AK170" i="2"/>
  <c r="AL170" i="2"/>
  <c r="AM170" i="2"/>
  <c r="AN170" i="2"/>
  <c r="AO170" i="2"/>
  <c r="AP170" i="2"/>
  <c r="C171" i="2"/>
  <c r="D171" i="2"/>
  <c r="E171" i="2"/>
  <c r="F171" i="2"/>
  <c r="G171" i="2"/>
  <c r="I171" i="2"/>
  <c r="J171" i="2"/>
  <c r="K171" i="2"/>
  <c r="L171" i="2"/>
  <c r="M171" i="2"/>
  <c r="N171" i="2"/>
  <c r="O171" i="2"/>
  <c r="P171" i="2"/>
  <c r="Q171" i="2"/>
  <c r="R171" i="2"/>
  <c r="S171" i="2"/>
  <c r="T171" i="2"/>
  <c r="U171" i="2"/>
  <c r="V171" i="2"/>
  <c r="W171" i="2"/>
  <c r="X171" i="2"/>
  <c r="Y171" i="2"/>
  <c r="Z171" i="2"/>
  <c r="AA171" i="2"/>
  <c r="AB171" i="2"/>
  <c r="AC171" i="2"/>
  <c r="AD171" i="2"/>
  <c r="AE171" i="2"/>
  <c r="AF171" i="2"/>
  <c r="AG171" i="2"/>
  <c r="AH171" i="2"/>
  <c r="AI171" i="2"/>
  <c r="AJ171" i="2"/>
  <c r="AK171" i="2"/>
  <c r="AL171" i="2"/>
  <c r="AM171" i="2"/>
  <c r="AN171" i="2"/>
  <c r="AO171" i="2"/>
  <c r="AP171" i="2"/>
  <c r="C172" i="2"/>
  <c r="D172" i="2"/>
  <c r="E172" i="2"/>
  <c r="F172" i="2"/>
  <c r="G172" i="2"/>
  <c r="H172" i="2"/>
  <c r="I172" i="2"/>
  <c r="J172" i="2"/>
  <c r="K172" i="2"/>
  <c r="L172" i="2"/>
  <c r="M172" i="2"/>
  <c r="N172" i="2"/>
  <c r="O172" i="2"/>
  <c r="P172" i="2"/>
  <c r="Q172" i="2"/>
  <c r="R172" i="2"/>
  <c r="S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AJ172" i="2"/>
  <c r="AK172" i="2"/>
  <c r="AL172" i="2"/>
  <c r="AM172" i="2"/>
  <c r="AN172" i="2"/>
  <c r="AO172" i="2"/>
  <c r="AP172" i="2"/>
  <c r="C173" i="2"/>
  <c r="D173" i="2"/>
  <c r="E173" i="2"/>
  <c r="F173" i="2"/>
  <c r="G173" i="2"/>
  <c r="H173" i="2"/>
  <c r="I173" i="2"/>
  <c r="J173" i="2"/>
  <c r="K173" i="2"/>
  <c r="L173" i="2"/>
  <c r="M173" i="2"/>
  <c r="N173" i="2"/>
  <c r="O173" i="2"/>
  <c r="P173" i="2"/>
  <c r="Q173" i="2"/>
  <c r="R173" i="2"/>
  <c r="S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AJ173" i="2"/>
  <c r="AK173" i="2"/>
  <c r="AL173" i="2"/>
  <c r="AM173" i="2"/>
  <c r="AN173" i="2"/>
  <c r="AO173" i="2"/>
  <c r="AP173" i="2"/>
  <c r="C174" i="2"/>
  <c r="D174" i="2"/>
  <c r="E174" i="2"/>
  <c r="F174" i="2"/>
  <c r="G174" i="2"/>
  <c r="I174" i="2"/>
  <c r="J174" i="2"/>
  <c r="K174" i="2"/>
  <c r="L174" i="2"/>
  <c r="M174" i="2"/>
  <c r="N174" i="2"/>
  <c r="O174" i="2"/>
  <c r="P174" i="2"/>
  <c r="Q174" i="2"/>
  <c r="R174" i="2"/>
  <c r="S174" i="2"/>
  <c r="T174" i="2"/>
  <c r="U174" i="2"/>
  <c r="V174" i="2"/>
  <c r="W174" i="2"/>
  <c r="X174" i="2"/>
  <c r="Y174" i="2"/>
  <c r="Z174" i="2"/>
  <c r="AA174" i="2"/>
  <c r="AB174" i="2"/>
  <c r="AC174" i="2"/>
  <c r="AD174" i="2"/>
  <c r="AE174" i="2"/>
  <c r="AF174" i="2"/>
  <c r="AG174" i="2"/>
  <c r="AH174" i="2"/>
  <c r="AI174" i="2"/>
  <c r="AJ174" i="2"/>
  <c r="AK174" i="2"/>
  <c r="AL174" i="2"/>
  <c r="AM174" i="2"/>
  <c r="AN174" i="2"/>
  <c r="AO174" i="2"/>
  <c r="AP174" i="2"/>
  <c r="C175" i="2"/>
  <c r="D175" i="2"/>
  <c r="E175" i="2"/>
  <c r="F175" i="2"/>
  <c r="G175" i="2"/>
  <c r="I175" i="2"/>
  <c r="J175" i="2"/>
  <c r="K175" i="2"/>
  <c r="L175" i="2"/>
  <c r="M175" i="2"/>
  <c r="N175" i="2"/>
  <c r="O175" i="2"/>
  <c r="P175" i="2"/>
  <c r="Q175" i="2"/>
  <c r="R175" i="2"/>
  <c r="S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AJ175" i="2"/>
  <c r="AK175" i="2"/>
  <c r="AL175" i="2"/>
  <c r="AM175" i="2"/>
  <c r="AN175" i="2"/>
  <c r="AO175" i="2"/>
  <c r="AP175" i="2"/>
  <c r="C176" i="2"/>
  <c r="D176" i="2"/>
  <c r="E176" i="2"/>
  <c r="F176" i="2"/>
  <c r="G176" i="2"/>
  <c r="I176" i="2"/>
  <c r="J176" i="2"/>
  <c r="K176" i="2"/>
  <c r="L176" i="2"/>
  <c r="M176" i="2"/>
  <c r="N176" i="2"/>
  <c r="O176" i="2"/>
  <c r="P176" i="2"/>
  <c r="Q176" i="2"/>
  <c r="R176" i="2"/>
  <c r="S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AJ176" i="2"/>
  <c r="AK176" i="2"/>
  <c r="AL176" i="2"/>
  <c r="AM176" i="2"/>
  <c r="AN176" i="2"/>
  <c r="AO176" i="2"/>
  <c r="AP176" i="2"/>
  <c r="C177" i="2"/>
  <c r="D177" i="2"/>
  <c r="E177" i="2"/>
  <c r="F177" i="2"/>
  <c r="G177" i="2"/>
  <c r="I177" i="2"/>
  <c r="J177" i="2"/>
  <c r="K177" i="2"/>
  <c r="L177" i="2"/>
  <c r="M177" i="2"/>
  <c r="N177" i="2"/>
  <c r="O177" i="2"/>
  <c r="P177" i="2"/>
  <c r="Q177" i="2"/>
  <c r="R177" i="2"/>
  <c r="S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AJ177" i="2"/>
  <c r="AK177" i="2"/>
  <c r="AL177" i="2"/>
  <c r="AM177" i="2"/>
  <c r="AN177" i="2"/>
  <c r="AO177" i="2"/>
  <c r="AP177" i="2"/>
  <c r="C178" i="2"/>
  <c r="D178" i="2"/>
  <c r="E178" i="2"/>
  <c r="F178" i="2"/>
  <c r="G178" i="2"/>
  <c r="I178" i="2"/>
  <c r="J178" i="2"/>
  <c r="K178" i="2"/>
  <c r="L178" i="2"/>
  <c r="M178" i="2"/>
  <c r="N178" i="2"/>
  <c r="O178" i="2"/>
  <c r="P178" i="2"/>
  <c r="Q178" i="2"/>
  <c r="R178" i="2"/>
  <c r="S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AJ178" i="2"/>
  <c r="AK178" i="2"/>
  <c r="AL178" i="2"/>
  <c r="AM178" i="2"/>
  <c r="AN178" i="2"/>
  <c r="AO178" i="2"/>
  <c r="AP178" i="2"/>
  <c r="C179" i="2"/>
  <c r="D179" i="2"/>
  <c r="E179" i="2"/>
  <c r="F179" i="2"/>
  <c r="G179" i="2"/>
  <c r="I179" i="2"/>
  <c r="J179" i="2"/>
  <c r="K179" i="2"/>
  <c r="L179" i="2"/>
  <c r="M179" i="2"/>
  <c r="N179" i="2"/>
  <c r="O179" i="2"/>
  <c r="P179" i="2"/>
  <c r="Q179" i="2"/>
  <c r="R179" i="2"/>
  <c r="S179" i="2"/>
  <c r="T179" i="2"/>
  <c r="U179" i="2"/>
  <c r="V179" i="2"/>
  <c r="W179" i="2"/>
  <c r="X179" i="2"/>
  <c r="Y179" i="2"/>
  <c r="Z179" i="2"/>
  <c r="AA179" i="2"/>
  <c r="AB179" i="2"/>
  <c r="AC179" i="2"/>
  <c r="AD179" i="2"/>
  <c r="AE179" i="2"/>
  <c r="AF179" i="2"/>
  <c r="AG179" i="2"/>
  <c r="AH179" i="2"/>
  <c r="AI179" i="2"/>
  <c r="AJ179" i="2"/>
  <c r="AK179" i="2"/>
  <c r="AL179" i="2"/>
  <c r="AM179" i="2"/>
  <c r="AN179" i="2"/>
  <c r="AO179" i="2"/>
  <c r="AP179" i="2"/>
  <c r="C180" i="2"/>
  <c r="D180" i="2"/>
  <c r="E180" i="2"/>
  <c r="F180" i="2"/>
  <c r="G180" i="2"/>
  <c r="H180" i="2"/>
  <c r="I180" i="2"/>
  <c r="J180" i="2"/>
  <c r="K180" i="2"/>
  <c r="L180" i="2"/>
  <c r="M180" i="2"/>
  <c r="N180" i="2"/>
  <c r="O180" i="2"/>
  <c r="P180" i="2"/>
  <c r="Q180" i="2"/>
  <c r="R180" i="2"/>
  <c r="S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AJ180" i="2"/>
  <c r="AK180" i="2"/>
  <c r="AL180" i="2"/>
  <c r="AM180" i="2"/>
  <c r="AN180" i="2"/>
  <c r="AO180" i="2"/>
  <c r="AP180" i="2"/>
  <c r="C181" i="2"/>
  <c r="D181" i="2"/>
  <c r="E181" i="2"/>
  <c r="F181" i="2"/>
  <c r="G181" i="2"/>
  <c r="H181" i="2"/>
  <c r="I181" i="2"/>
  <c r="J181" i="2"/>
  <c r="K181" i="2"/>
  <c r="L181" i="2"/>
  <c r="M181" i="2"/>
  <c r="N181" i="2"/>
  <c r="O181" i="2"/>
  <c r="P181" i="2"/>
  <c r="Q181" i="2"/>
  <c r="R181" i="2"/>
  <c r="S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AJ181" i="2"/>
  <c r="AK181" i="2"/>
  <c r="AL181" i="2"/>
  <c r="AM181" i="2"/>
  <c r="AN181" i="2"/>
  <c r="AO181" i="2"/>
  <c r="AP181" i="2"/>
  <c r="C182" i="2"/>
  <c r="D182" i="2"/>
  <c r="E182" i="2"/>
  <c r="F182" i="2"/>
  <c r="G182" i="2"/>
  <c r="I182" i="2"/>
  <c r="J182" i="2"/>
  <c r="K182" i="2"/>
  <c r="L182" i="2"/>
  <c r="M182" i="2"/>
  <c r="N182" i="2"/>
  <c r="O182" i="2"/>
  <c r="P182" i="2"/>
  <c r="Q182" i="2"/>
  <c r="R182" i="2"/>
  <c r="S182" i="2"/>
  <c r="T182" i="2"/>
  <c r="U182" i="2"/>
  <c r="V182" i="2"/>
  <c r="W182" i="2"/>
  <c r="X182" i="2"/>
  <c r="Y182" i="2"/>
  <c r="Z182" i="2"/>
  <c r="AA182" i="2"/>
  <c r="AB182" i="2"/>
  <c r="AC182" i="2"/>
  <c r="AD182" i="2"/>
  <c r="AE182" i="2"/>
  <c r="AF182" i="2"/>
  <c r="AG182" i="2"/>
  <c r="AH182" i="2"/>
  <c r="AI182" i="2"/>
  <c r="AJ182" i="2"/>
  <c r="AK182" i="2"/>
  <c r="AL182" i="2"/>
  <c r="AM182" i="2"/>
  <c r="AN182" i="2"/>
  <c r="AO182" i="2"/>
  <c r="AP182" i="2"/>
  <c r="C183" i="2"/>
  <c r="D183" i="2"/>
  <c r="E183" i="2"/>
  <c r="F183" i="2"/>
  <c r="G183" i="2"/>
  <c r="I183" i="2"/>
  <c r="J183" i="2"/>
  <c r="K183" i="2"/>
  <c r="L183" i="2"/>
  <c r="M183" i="2"/>
  <c r="N183" i="2"/>
  <c r="O183" i="2"/>
  <c r="P183" i="2"/>
  <c r="Q183" i="2"/>
  <c r="R183" i="2"/>
  <c r="S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AJ183" i="2"/>
  <c r="AK183" i="2"/>
  <c r="AL183" i="2"/>
  <c r="AM183" i="2"/>
  <c r="AN183" i="2"/>
  <c r="AO183" i="2"/>
  <c r="AP183" i="2"/>
  <c r="C124" i="2"/>
  <c r="D124" i="2"/>
  <c r="E124" i="2"/>
  <c r="F124" i="2"/>
  <c r="G124" i="2"/>
  <c r="H124" i="2"/>
  <c r="I124" i="2"/>
  <c r="J124" i="2"/>
  <c r="K124" i="2"/>
  <c r="L124" i="2"/>
  <c r="M124" i="2"/>
  <c r="N124" i="2"/>
  <c r="O124" i="2"/>
  <c r="P124" i="2"/>
  <c r="Q124" i="2"/>
  <c r="R124" i="2"/>
  <c r="S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AJ124" i="2"/>
  <c r="AK124" i="2"/>
  <c r="AL124" i="2"/>
  <c r="AM124" i="2"/>
  <c r="AN124" i="2"/>
  <c r="AO124" i="2"/>
  <c r="AP124" i="2"/>
  <c r="C125" i="2"/>
  <c r="D125" i="2"/>
  <c r="E125" i="2"/>
  <c r="F125" i="2"/>
  <c r="G125" i="2"/>
  <c r="H125" i="2"/>
  <c r="I125" i="2"/>
  <c r="J125" i="2"/>
  <c r="K125" i="2"/>
  <c r="L125" i="2"/>
  <c r="M125" i="2"/>
  <c r="N125" i="2"/>
  <c r="O125" i="2"/>
  <c r="P125" i="2"/>
  <c r="Q125" i="2"/>
  <c r="R125" i="2"/>
  <c r="S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AJ125" i="2"/>
  <c r="AK125" i="2"/>
  <c r="AL125" i="2"/>
  <c r="AM125" i="2"/>
  <c r="AN125" i="2"/>
  <c r="AO125" i="2"/>
  <c r="AP125" i="2"/>
  <c r="C126" i="2"/>
  <c r="D126" i="2"/>
  <c r="E126" i="2"/>
  <c r="F126" i="2"/>
  <c r="G126" i="2"/>
  <c r="I126" i="2"/>
  <c r="J126" i="2"/>
  <c r="K126" i="2"/>
  <c r="L126" i="2"/>
  <c r="M126" i="2"/>
  <c r="N126" i="2"/>
  <c r="O126" i="2"/>
  <c r="P126" i="2"/>
  <c r="Q126" i="2"/>
  <c r="R126" i="2"/>
  <c r="S126" i="2"/>
  <c r="T126" i="2"/>
  <c r="U126" i="2"/>
  <c r="V126" i="2"/>
  <c r="W126" i="2"/>
  <c r="X126" i="2"/>
  <c r="Y126" i="2"/>
  <c r="Z126" i="2"/>
  <c r="AA126" i="2"/>
  <c r="AB126" i="2"/>
  <c r="AC126" i="2"/>
  <c r="AD126" i="2"/>
  <c r="AE126" i="2"/>
  <c r="AF126" i="2"/>
  <c r="AG126" i="2"/>
  <c r="AH126" i="2"/>
  <c r="AI126" i="2"/>
  <c r="AJ126" i="2"/>
  <c r="AK126" i="2"/>
  <c r="AL126" i="2"/>
  <c r="AM126" i="2"/>
  <c r="AN126" i="2"/>
  <c r="AO126" i="2"/>
  <c r="AP126" i="2"/>
  <c r="C127" i="2"/>
  <c r="D127" i="2"/>
  <c r="E127" i="2"/>
  <c r="F127" i="2"/>
  <c r="G127" i="2"/>
  <c r="I127" i="2"/>
  <c r="J127" i="2"/>
  <c r="K127" i="2"/>
  <c r="L127" i="2"/>
  <c r="M127" i="2"/>
  <c r="N127" i="2"/>
  <c r="O127" i="2"/>
  <c r="P127" i="2"/>
  <c r="Q127" i="2"/>
  <c r="R127" i="2"/>
  <c r="S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AJ127" i="2"/>
  <c r="AK127" i="2"/>
  <c r="AL127" i="2"/>
  <c r="AM127" i="2"/>
  <c r="AN127" i="2"/>
  <c r="AO127" i="2"/>
  <c r="AP127" i="2"/>
  <c r="C128" i="2"/>
  <c r="D128" i="2"/>
  <c r="E128" i="2"/>
  <c r="F128" i="2"/>
  <c r="G128" i="2"/>
  <c r="H128" i="2"/>
  <c r="I128" i="2"/>
  <c r="J128" i="2"/>
  <c r="K128" i="2"/>
  <c r="L128" i="2"/>
  <c r="M128" i="2"/>
  <c r="N128" i="2"/>
  <c r="O128" i="2"/>
  <c r="P128" i="2"/>
  <c r="Q128" i="2"/>
  <c r="R128" i="2"/>
  <c r="S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AJ128" i="2"/>
  <c r="AK128" i="2"/>
  <c r="AL128" i="2"/>
  <c r="AM128" i="2"/>
  <c r="AN128" i="2"/>
  <c r="AO128" i="2"/>
  <c r="AP128" i="2"/>
  <c r="C129" i="2"/>
  <c r="D129" i="2"/>
  <c r="E129" i="2"/>
  <c r="F129" i="2"/>
  <c r="G129" i="2"/>
  <c r="H129" i="2"/>
  <c r="I129" i="2"/>
  <c r="J129" i="2"/>
  <c r="K129" i="2"/>
  <c r="L129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AJ129" i="2"/>
  <c r="AK129" i="2"/>
  <c r="AL129" i="2"/>
  <c r="AM129" i="2"/>
  <c r="AN129" i="2"/>
  <c r="AO129" i="2"/>
  <c r="AP129" i="2"/>
  <c r="C130" i="2"/>
  <c r="D130" i="2"/>
  <c r="E130" i="2"/>
  <c r="F130" i="2"/>
  <c r="G130" i="2"/>
  <c r="H130" i="2"/>
  <c r="I130" i="2"/>
  <c r="J130" i="2"/>
  <c r="K130" i="2"/>
  <c r="L130" i="2"/>
  <c r="M130" i="2"/>
  <c r="N130" i="2"/>
  <c r="O130" i="2"/>
  <c r="P130" i="2"/>
  <c r="Q130" i="2"/>
  <c r="R130" i="2"/>
  <c r="S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AJ130" i="2"/>
  <c r="AK130" i="2"/>
  <c r="AL130" i="2"/>
  <c r="AM130" i="2"/>
  <c r="AN130" i="2"/>
  <c r="AO130" i="2"/>
  <c r="AP130" i="2"/>
  <c r="C131" i="2"/>
  <c r="D131" i="2"/>
  <c r="E131" i="2"/>
  <c r="F131" i="2"/>
  <c r="G131" i="2"/>
  <c r="I131" i="2"/>
  <c r="J131" i="2"/>
  <c r="K131" i="2"/>
  <c r="L131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Z131" i="2"/>
  <c r="AA131" i="2"/>
  <c r="AB131" i="2"/>
  <c r="AC131" i="2"/>
  <c r="AD131" i="2"/>
  <c r="AE131" i="2"/>
  <c r="AF131" i="2"/>
  <c r="AG131" i="2"/>
  <c r="AH131" i="2"/>
  <c r="AI131" i="2"/>
  <c r="AJ131" i="2"/>
  <c r="AK131" i="2"/>
  <c r="AL131" i="2"/>
  <c r="AM131" i="2"/>
  <c r="AN131" i="2"/>
  <c r="AO131" i="2"/>
  <c r="AP131" i="2"/>
  <c r="C132" i="2"/>
  <c r="D132" i="2"/>
  <c r="E132" i="2"/>
  <c r="F132" i="2"/>
  <c r="G132" i="2"/>
  <c r="H132" i="2"/>
  <c r="I132" i="2"/>
  <c r="J132" i="2"/>
  <c r="K132" i="2"/>
  <c r="L132" i="2"/>
  <c r="M132" i="2"/>
  <c r="N132" i="2"/>
  <c r="O132" i="2"/>
  <c r="P132" i="2"/>
  <c r="Q132" i="2"/>
  <c r="R132" i="2"/>
  <c r="S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AJ132" i="2"/>
  <c r="AK132" i="2"/>
  <c r="AL132" i="2"/>
  <c r="AM132" i="2"/>
  <c r="AN132" i="2"/>
  <c r="AO132" i="2"/>
  <c r="AP132" i="2"/>
  <c r="C133" i="2"/>
  <c r="D133" i="2"/>
  <c r="E133" i="2"/>
  <c r="F133" i="2"/>
  <c r="G133" i="2"/>
  <c r="H133" i="2"/>
  <c r="I133" i="2"/>
  <c r="J133" i="2"/>
  <c r="K133" i="2"/>
  <c r="L133" i="2"/>
  <c r="M133" i="2"/>
  <c r="N133" i="2"/>
  <c r="O133" i="2"/>
  <c r="P133" i="2"/>
  <c r="Q133" i="2"/>
  <c r="R133" i="2"/>
  <c r="S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AJ133" i="2"/>
  <c r="AK133" i="2"/>
  <c r="AL133" i="2"/>
  <c r="AM133" i="2"/>
  <c r="AN133" i="2"/>
  <c r="AO133" i="2"/>
  <c r="AP133" i="2"/>
  <c r="C134" i="2"/>
  <c r="D134" i="2"/>
  <c r="E134" i="2"/>
  <c r="F134" i="2"/>
  <c r="G134" i="2"/>
  <c r="I134" i="2"/>
  <c r="J134" i="2"/>
  <c r="K134" i="2"/>
  <c r="L134" i="2"/>
  <c r="M134" i="2"/>
  <c r="N134" i="2"/>
  <c r="O134" i="2"/>
  <c r="P134" i="2"/>
  <c r="Q134" i="2"/>
  <c r="R134" i="2"/>
  <c r="S134" i="2"/>
  <c r="T134" i="2"/>
  <c r="U134" i="2"/>
  <c r="V134" i="2"/>
  <c r="W134" i="2"/>
  <c r="X134" i="2"/>
  <c r="Y134" i="2"/>
  <c r="Z134" i="2"/>
  <c r="AA134" i="2"/>
  <c r="AB134" i="2"/>
  <c r="AC134" i="2"/>
  <c r="AD134" i="2"/>
  <c r="AE134" i="2"/>
  <c r="AF134" i="2"/>
  <c r="AG134" i="2"/>
  <c r="AH134" i="2"/>
  <c r="AI134" i="2"/>
  <c r="AJ134" i="2"/>
  <c r="AK134" i="2"/>
  <c r="AL134" i="2"/>
  <c r="AM134" i="2"/>
  <c r="AN134" i="2"/>
  <c r="AO134" i="2"/>
  <c r="AP134" i="2"/>
  <c r="C135" i="2"/>
  <c r="D135" i="2"/>
  <c r="E135" i="2"/>
  <c r="F135" i="2"/>
  <c r="G135" i="2"/>
  <c r="I135" i="2"/>
  <c r="J135" i="2"/>
  <c r="K135" i="2"/>
  <c r="L135" i="2"/>
  <c r="M135" i="2"/>
  <c r="N135" i="2"/>
  <c r="O135" i="2"/>
  <c r="P135" i="2"/>
  <c r="Q135" i="2"/>
  <c r="R135" i="2"/>
  <c r="S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AJ135" i="2"/>
  <c r="AK135" i="2"/>
  <c r="AL135" i="2"/>
  <c r="AM135" i="2"/>
  <c r="AN135" i="2"/>
  <c r="AO135" i="2"/>
  <c r="AP135" i="2"/>
  <c r="C136" i="2"/>
  <c r="D136" i="2"/>
  <c r="E136" i="2"/>
  <c r="F136" i="2"/>
  <c r="G136" i="2"/>
  <c r="H136" i="2"/>
  <c r="I136" i="2"/>
  <c r="J136" i="2"/>
  <c r="K136" i="2"/>
  <c r="L136" i="2"/>
  <c r="M136" i="2"/>
  <c r="N136" i="2"/>
  <c r="O136" i="2"/>
  <c r="P136" i="2"/>
  <c r="Q136" i="2"/>
  <c r="R136" i="2"/>
  <c r="S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AJ136" i="2"/>
  <c r="AK136" i="2"/>
  <c r="AL136" i="2"/>
  <c r="AM136" i="2"/>
  <c r="AN136" i="2"/>
  <c r="AO136" i="2"/>
  <c r="AP136" i="2"/>
  <c r="C137" i="2"/>
  <c r="D137" i="2"/>
  <c r="E137" i="2"/>
  <c r="F137" i="2"/>
  <c r="G137" i="2"/>
  <c r="I137" i="2"/>
  <c r="J137" i="2"/>
  <c r="K137" i="2"/>
  <c r="L137" i="2"/>
  <c r="M137" i="2"/>
  <c r="N137" i="2"/>
  <c r="O137" i="2"/>
  <c r="P137" i="2"/>
  <c r="Q137" i="2"/>
  <c r="R137" i="2"/>
  <c r="S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AJ137" i="2"/>
  <c r="AK137" i="2"/>
  <c r="AL137" i="2"/>
  <c r="AM137" i="2"/>
  <c r="AN137" i="2"/>
  <c r="AO137" i="2"/>
  <c r="AP137" i="2"/>
  <c r="C138" i="2"/>
  <c r="D138" i="2"/>
  <c r="E138" i="2"/>
  <c r="F138" i="2"/>
  <c r="G138" i="2"/>
  <c r="I138" i="2"/>
  <c r="J138" i="2"/>
  <c r="K138" i="2"/>
  <c r="L138" i="2"/>
  <c r="M138" i="2"/>
  <c r="N138" i="2"/>
  <c r="O138" i="2"/>
  <c r="P138" i="2"/>
  <c r="Q138" i="2"/>
  <c r="R138" i="2"/>
  <c r="S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AJ138" i="2"/>
  <c r="AK138" i="2"/>
  <c r="AL138" i="2"/>
  <c r="AM138" i="2"/>
  <c r="AN138" i="2"/>
  <c r="AO138" i="2"/>
  <c r="AP138" i="2"/>
  <c r="C139" i="2"/>
  <c r="D139" i="2"/>
  <c r="E139" i="2"/>
  <c r="F139" i="2"/>
  <c r="G139" i="2"/>
  <c r="I139" i="2"/>
  <c r="J139" i="2"/>
  <c r="K139" i="2"/>
  <c r="L139" i="2"/>
  <c r="M139" i="2"/>
  <c r="N139" i="2"/>
  <c r="O139" i="2"/>
  <c r="P139" i="2"/>
  <c r="Q139" i="2"/>
  <c r="R139" i="2"/>
  <c r="S139" i="2"/>
  <c r="T139" i="2"/>
  <c r="U139" i="2"/>
  <c r="V139" i="2"/>
  <c r="W139" i="2"/>
  <c r="X139" i="2"/>
  <c r="Y139" i="2"/>
  <c r="Z139" i="2"/>
  <c r="AA139" i="2"/>
  <c r="AB139" i="2"/>
  <c r="AC139" i="2"/>
  <c r="AD139" i="2"/>
  <c r="AE139" i="2"/>
  <c r="AF139" i="2"/>
  <c r="AG139" i="2"/>
  <c r="AH139" i="2"/>
  <c r="AI139" i="2"/>
  <c r="AJ139" i="2"/>
  <c r="AK139" i="2"/>
  <c r="AL139" i="2"/>
  <c r="AM139" i="2"/>
  <c r="AN139" i="2"/>
  <c r="AO139" i="2"/>
  <c r="AP139" i="2"/>
  <c r="C140" i="2"/>
  <c r="D140" i="2"/>
  <c r="E140" i="2"/>
  <c r="F140" i="2"/>
  <c r="G140" i="2"/>
  <c r="H140" i="2"/>
  <c r="I140" i="2"/>
  <c r="J140" i="2"/>
  <c r="K140" i="2"/>
  <c r="L140" i="2"/>
  <c r="M140" i="2"/>
  <c r="N140" i="2"/>
  <c r="O140" i="2"/>
  <c r="P140" i="2"/>
  <c r="Q140" i="2"/>
  <c r="R140" i="2"/>
  <c r="S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AJ140" i="2"/>
  <c r="AK140" i="2"/>
  <c r="AL140" i="2"/>
  <c r="AM140" i="2"/>
  <c r="AN140" i="2"/>
  <c r="AO140" i="2"/>
  <c r="AP140" i="2"/>
  <c r="C141" i="2"/>
  <c r="D141" i="2"/>
  <c r="E141" i="2"/>
  <c r="F141" i="2"/>
  <c r="G141" i="2"/>
  <c r="H141" i="2"/>
  <c r="I141" i="2"/>
  <c r="J141" i="2"/>
  <c r="K141" i="2"/>
  <c r="L141" i="2"/>
  <c r="M141" i="2"/>
  <c r="N141" i="2"/>
  <c r="O141" i="2"/>
  <c r="P141" i="2"/>
  <c r="Q141" i="2"/>
  <c r="R141" i="2"/>
  <c r="S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AJ141" i="2"/>
  <c r="AK141" i="2"/>
  <c r="AL141" i="2"/>
  <c r="AM141" i="2"/>
  <c r="AN141" i="2"/>
  <c r="AO141" i="2"/>
  <c r="AP141" i="2"/>
  <c r="C142" i="2"/>
  <c r="D142" i="2"/>
  <c r="E142" i="2"/>
  <c r="F142" i="2"/>
  <c r="G142" i="2"/>
  <c r="I142" i="2"/>
  <c r="J142" i="2"/>
  <c r="K142" i="2"/>
  <c r="L142" i="2"/>
  <c r="M142" i="2"/>
  <c r="N142" i="2"/>
  <c r="O142" i="2"/>
  <c r="P142" i="2"/>
  <c r="Q142" i="2"/>
  <c r="R142" i="2"/>
  <c r="S142" i="2"/>
  <c r="T142" i="2"/>
  <c r="U142" i="2"/>
  <c r="V142" i="2"/>
  <c r="W142" i="2"/>
  <c r="X142" i="2"/>
  <c r="Y142" i="2"/>
  <c r="Z142" i="2"/>
  <c r="AA142" i="2"/>
  <c r="AB142" i="2"/>
  <c r="AC142" i="2"/>
  <c r="AD142" i="2"/>
  <c r="AE142" i="2"/>
  <c r="AF142" i="2"/>
  <c r="AG142" i="2"/>
  <c r="AH142" i="2"/>
  <c r="AI142" i="2"/>
  <c r="AJ142" i="2"/>
  <c r="AK142" i="2"/>
  <c r="AL142" i="2"/>
  <c r="AM142" i="2"/>
  <c r="AN142" i="2"/>
  <c r="AO142" i="2"/>
  <c r="AP142" i="2"/>
  <c r="C143" i="2"/>
  <c r="D143" i="2"/>
  <c r="E143" i="2"/>
  <c r="F143" i="2"/>
  <c r="G143" i="2"/>
  <c r="I143" i="2"/>
  <c r="J143" i="2"/>
  <c r="K143" i="2"/>
  <c r="L143" i="2"/>
  <c r="M143" i="2"/>
  <c r="N143" i="2"/>
  <c r="O143" i="2"/>
  <c r="P143" i="2"/>
  <c r="Q143" i="2"/>
  <c r="R143" i="2"/>
  <c r="S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AJ143" i="2"/>
  <c r="AK143" i="2"/>
  <c r="AL143" i="2"/>
  <c r="AM143" i="2"/>
  <c r="AN143" i="2"/>
  <c r="AO143" i="2"/>
  <c r="AP143" i="2"/>
  <c r="C144" i="2"/>
  <c r="D144" i="2"/>
  <c r="E144" i="2"/>
  <c r="F144" i="2"/>
  <c r="G144" i="2"/>
  <c r="H144" i="2"/>
  <c r="I144" i="2"/>
  <c r="J144" i="2"/>
  <c r="K144" i="2"/>
  <c r="L144" i="2"/>
  <c r="M144" i="2"/>
  <c r="N144" i="2"/>
  <c r="O144" i="2"/>
  <c r="P144" i="2"/>
  <c r="Q144" i="2"/>
  <c r="R144" i="2"/>
  <c r="S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AJ144" i="2"/>
  <c r="AK144" i="2"/>
  <c r="AL144" i="2"/>
  <c r="AM144" i="2"/>
  <c r="AN144" i="2"/>
  <c r="AO144" i="2"/>
  <c r="AP144" i="2"/>
  <c r="C145" i="2"/>
  <c r="D145" i="2"/>
  <c r="E145" i="2"/>
  <c r="F145" i="2"/>
  <c r="G145" i="2"/>
  <c r="I145" i="2"/>
  <c r="J145" i="2"/>
  <c r="K145" i="2"/>
  <c r="L145" i="2"/>
  <c r="M145" i="2"/>
  <c r="N145" i="2"/>
  <c r="O145" i="2"/>
  <c r="P145" i="2"/>
  <c r="Q145" i="2"/>
  <c r="R145" i="2"/>
  <c r="S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AJ145" i="2"/>
  <c r="AK145" i="2"/>
  <c r="AL145" i="2"/>
  <c r="AM145" i="2"/>
  <c r="AN145" i="2"/>
  <c r="AO145" i="2"/>
  <c r="AP145" i="2"/>
  <c r="C146" i="2"/>
  <c r="D146" i="2"/>
  <c r="E146" i="2"/>
  <c r="F146" i="2"/>
  <c r="G146" i="2"/>
  <c r="I146" i="2"/>
  <c r="J146" i="2"/>
  <c r="K146" i="2"/>
  <c r="L146" i="2"/>
  <c r="M146" i="2"/>
  <c r="N146" i="2"/>
  <c r="O146" i="2"/>
  <c r="P146" i="2"/>
  <c r="Q146" i="2"/>
  <c r="R146" i="2"/>
  <c r="S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AJ146" i="2"/>
  <c r="AK146" i="2"/>
  <c r="AL146" i="2"/>
  <c r="AM146" i="2"/>
  <c r="AN146" i="2"/>
  <c r="AO146" i="2"/>
  <c r="AP146" i="2"/>
  <c r="C147" i="2"/>
  <c r="D147" i="2"/>
  <c r="E147" i="2"/>
  <c r="F147" i="2"/>
  <c r="G147" i="2"/>
  <c r="I147" i="2"/>
  <c r="J147" i="2"/>
  <c r="K147" i="2"/>
  <c r="L147" i="2"/>
  <c r="M147" i="2"/>
  <c r="N147" i="2"/>
  <c r="O147" i="2"/>
  <c r="P147" i="2"/>
  <c r="Q147" i="2"/>
  <c r="R147" i="2"/>
  <c r="S147" i="2"/>
  <c r="T147" i="2"/>
  <c r="U147" i="2"/>
  <c r="V147" i="2"/>
  <c r="W147" i="2"/>
  <c r="X147" i="2"/>
  <c r="Y147" i="2"/>
  <c r="Z147" i="2"/>
  <c r="AA147" i="2"/>
  <c r="AB147" i="2"/>
  <c r="AC147" i="2"/>
  <c r="AD147" i="2"/>
  <c r="AE147" i="2"/>
  <c r="AF147" i="2"/>
  <c r="AG147" i="2"/>
  <c r="AH147" i="2"/>
  <c r="AI147" i="2"/>
  <c r="AJ147" i="2"/>
  <c r="AK147" i="2"/>
  <c r="AL147" i="2"/>
  <c r="AM147" i="2"/>
  <c r="AN147" i="2"/>
  <c r="AO147" i="2"/>
  <c r="AP147" i="2"/>
  <c r="C148" i="2"/>
  <c r="D148" i="2"/>
  <c r="E148" i="2"/>
  <c r="F148" i="2"/>
  <c r="G148" i="2"/>
  <c r="H148" i="2"/>
  <c r="I148" i="2"/>
  <c r="J148" i="2"/>
  <c r="K148" i="2"/>
  <c r="L148" i="2"/>
  <c r="M148" i="2"/>
  <c r="N148" i="2"/>
  <c r="O148" i="2"/>
  <c r="P148" i="2"/>
  <c r="Q148" i="2"/>
  <c r="R148" i="2"/>
  <c r="S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AJ148" i="2"/>
  <c r="AK148" i="2"/>
  <c r="AL148" i="2"/>
  <c r="AM148" i="2"/>
  <c r="AN148" i="2"/>
  <c r="AO148" i="2"/>
  <c r="AP148" i="2"/>
  <c r="C149" i="2"/>
  <c r="D149" i="2"/>
  <c r="E149" i="2"/>
  <c r="F149" i="2"/>
  <c r="G149" i="2"/>
  <c r="H149" i="2"/>
  <c r="I149" i="2"/>
  <c r="J149" i="2"/>
  <c r="K149" i="2"/>
  <c r="L149" i="2"/>
  <c r="M149" i="2"/>
  <c r="N149" i="2"/>
  <c r="O149" i="2"/>
  <c r="P149" i="2"/>
  <c r="Q149" i="2"/>
  <c r="R149" i="2"/>
  <c r="S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AJ149" i="2"/>
  <c r="AK149" i="2"/>
  <c r="AL149" i="2"/>
  <c r="AM149" i="2"/>
  <c r="AN149" i="2"/>
  <c r="AO149" i="2"/>
  <c r="AP149" i="2"/>
  <c r="C150" i="2"/>
  <c r="D150" i="2"/>
  <c r="E150" i="2"/>
  <c r="F150" i="2"/>
  <c r="G150" i="2"/>
  <c r="I150" i="2"/>
  <c r="J150" i="2"/>
  <c r="K150" i="2"/>
  <c r="L150" i="2"/>
  <c r="M150" i="2"/>
  <c r="N150" i="2"/>
  <c r="O150" i="2"/>
  <c r="P150" i="2"/>
  <c r="Q150" i="2"/>
  <c r="R150" i="2"/>
  <c r="S150" i="2"/>
  <c r="T150" i="2"/>
  <c r="U150" i="2"/>
  <c r="V150" i="2"/>
  <c r="W150" i="2"/>
  <c r="X150" i="2"/>
  <c r="Y150" i="2"/>
  <c r="Z150" i="2"/>
  <c r="AA150" i="2"/>
  <c r="AB150" i="2"/>
  <c r="AC150" i="2"/>
  <c r="AD150" i="2"/>
  <c r="AE150" i="2"/>
  <c r="AF150" i="2"/>
  <c r="AG150" i="2"/>
  <c r="AH150" i="2"/>
  <c r="AI150" i="2"/>
  <c r="AJ150" i="2"/>
  <c r="AK150" i="2"/>
  <c r="AL150" i="2"/>
  <c r="AM150" i="2"/>
  <c r="AN150" i="2"/>
  <c r="AO150" i="2"/>
  <c r="AP150" i="2"/>
  <c r="C151" i="2"/>
  <c r="D151" i="2"/>
  <c r="E151" i="2"/>
  <c r="F151" i="2"/>
  <c r="G151" i="2"/>
  <c r="I151" i="2"/>
  <c r="J151" i="2"/>
  <c r="K151" i="2"/>
  <c r="L151" i="2"/>
  <c r="M151" i="2"/>
  <c r="N151" i="2"/>
  <c r="O151" i="2"/>
  <c r="P151" i="2"/>
  <c r="Q151" i="2"/>
  <c r="R151" i="2"/>
  <c r="S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AJ151" i="2"/>
  <c r="AK151" i="2"/>
  <c r="AL151" i="2"/>
  <c r="AM151" i="2"/>
  <c r="AN151" i="2"/>
  <c r="AO151" i="2"/>
  <c r="AP151" i="2"/>
  <c r="C152" i="2"/>
  <c r="D152" i="2"/>
  <c r="E152" i="2"/>
  <c r="F152" i="2"/>
  <c r="G152" i="2"/>
  <c r="H152" i="2"/>
  <c r="I152" i="2"/>
  <c r="J152" i="2"/>
  <c r="K152" i="2"/>
  <c r="L152" i="2"/>
  <c r="M152" i="2"/>
  <c r="N152" i="2"/>
  <c r="O152" i="2"/>
  <c r="P152" i="2"/>
  <c r="Q152" i="2"/>
  <c r="R152" i="2"/>
  <c r="S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AJ152" i="2"/>
  <c r="AK152" i="2"/>
  <c r="AL152" i="2"/>
  <c r="AM152" i="2"/>
  <c r="AN152" i="2"/>
  <c r="AO152" i="2"/>
  <c r="AP152" i="2"/>
  <c r="C94" i="2"/>
  <c r="D94" i="2"/>
  <c r="E94" i="2"/>
  <c r="F94" i="2"/>
  <c r="G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V94" i="2"/>
  <c r="W94" i="2"/>
  <c r="X94" i="2"/>
  <c r="Y94" i="2"/>
  <c r="Z94" i="2"/>
  <c r="AA94" i="2"/>
  <c r="AB94" i="2"/>
  <c r="AC94" i="2"/>
  <c r="AD94" i="2"/>
  <c r="AE94" i="2"/>
  <c r="AF94" i="2"/>
  <c r="AG94" i="2"/>
  <c r="AH94" i="2"/>
  <c r="AI94" i="2"/>
  <c r="AJ94" i="2"/>
  <c r="AK94" i="2"/>
  <c r="AL94" i="2"/>
  <c r="AM94" i="2"/>
  <c r="AN94" i="2"/>
  <c r="AO94" i="2"/>
  <c r="AP94" i="2"/>
  <c r="C95" i="2"/>
  <c r="D95" i="2"/>
  <c r="E95" i="2"/>
  <c r="F95" i="2"/>
  <c r="G95" i="2"/>
  <c r="I95" i="2"/>
  <c r="J95" i="2"/>
  <c r="K95" i="2"/>
  <c r="L95" i="2"/>
  <c r="M95" i="2"/>
  <c r="N95" i="2"/>
  <c r="O95" i="2"/>
  <c r="P95" i="2"/>
  <c r="Q95" i="2"/>
  <c r="R95" i="2"/>
  <c r="S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AJ95" i="2"/>
  <c r="AK95" i="2"/>
  <c r="AL95" i="2"/>
  <c r="AM95" i="2"/>
  <c r="AN95" i="2"/>
  <c r="AO95" i="2"/>
  <c r="AP95" i="2"/>
  <c r="C96" i="2"/>
  <c r="D96" i="2"/>
  <c r="E96" i="2"/>
  <c r="F96" i="2"/>
  <c r="G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AJ96" i="2"/>
  <c r="AK96" i="2"/>
  <c r="AL96" i="2"/>
  <c r="AM96" i="2"/>
  <c r="AN96" i="2"/>
  <c r="AO96" i="2"/>
  <c r="AP96" i="2"/>
  <c r="C97" i="2"/>
  <c r="D97" i="2"/>
  <c r="E97" i="2"/>
  <c r="F97" i="2"/>
  <c r="G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X97" i="2"/>
  <c r="Y97" i="2"/>
  <c r="Z97" i="2"/>
  <c r="AA97" i="2"/>
  <c r="AB97" i="2"/>
  <c r="AC97" i="2"/>
  <c r="AD97" i="2"/>
  <c r="AE97" i="2"/>
  <c r="AF97" i="2"/>
  <c r="AG97" i="2"/>
  <c r="AH97" i="2"/>
  <c r="AI97" i="2"/>
  <c r="AJ97" i="2"/>
  <c r="AK97" i="2"/>
  <c r="AL97" i="2"/>
  <c r="AM97" i="2"/>
  <c r="AN97" i="2"/>
  <c r="AO97" i="2"/>
  <c r="AP97" i="2"/>
  <c r="C98" i="2"/>
  <c r="D98" i="2"/>
  <c r="E98" i="2"/>
  <c r="F98" i="2"/>
  <c r="G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AJ98" i="2"/>
  <c r="AK98" i="2"/>
  <c r="AL98" i="2"/>
  <c r="AM98" i="2"/>
  <c r="AN98" i="2"/>
  <c r="AO98" i="2"/>
  <c r="AP98" i="2"/>
  <c r="C99" i="2"/>
  <c r="D99" i="2"/>
  <c r="E99" i="2"/>
  <c r="F99" i="2"/>
  <c r="G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W99" i="2"/>
  <c r="X99" i="2"/>
  <c r="Y99" i="2"/>
  <c r="Z99" i="2"/>
  <c r="AA99" i="2"/>
  <c r="AB99" i="2"/>
  <c r="AC99" i="2"/>
  <c r="AD99" i="2"/>
  <c r="AE99" i="2"/>
  <c r="AF99" i="2"/>
  <c r="AG99" i="2"/>
  <c r="AH99" i="2"/>
  <c r="AI99" i="2"/>
  <c r="AJ99" i="2"/>
  <c r="AK99" i="2"/>
  <c r="AL99" i="2"/>
  <c r="AM99" i="2"/>
  <c r="AN99" i="2"/>
  <c r="AO99" i="2"/>
  <c r="AP99" i="2"/>
  <c r="C100" i="2"/>
  <c r="D100" i="2"/>
  <c r="E100" i="2"/>
  <c r="F100" i="2"/>
  <c r="G100" i="2"/>
  <c r="H100" i="2"/>
  <c r="I100" i="2"/>
  <c r="J100" i="2"/>
  <c r="K100" i="2"/>
  <c r="L100" i="2"/>
  <c r="M100" i="2"/>
  <c r="N100" i="2"/>
  <c r="O100" i="2"/>
  <c r="P100" i="2"/>
  <c r="Q100" i="2"/>
  <c r="R100" i="2"/>
  <c r="S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AJ100" i="2"/>
  <c r="AK100" i="2"/>
  <c r="AL100" i="2"/>
  <c r="AM100" i="2"/>
  <c r="AN100" i="2"/>
  <c r="AO100" i="2"/>
  <c r="AP100" i="2"/>
  <c r="C101" i="2"/>
  <c r="D101" i="2"/>
  <c r="E101" i="2"/>
  <c r="F101" i="2"/>
  <c r="G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X101" i="2"/>
  <c r="Y101" i="2"/>
  <c r="Z101" i="2"/>
  <c r="AA101" i="2"/>
  <c r="AB101" i="2"/>
  <c r="AC101" i="2"/>
  <c r="AD101" i="2"/>
  <c r="AE101" i="2"/>
  <c r="AF101" i="2"/>
  <c r="AG101" i="2"/>
  <c r="AH101" i="2"/>
  <c r="AI101" i="2"/>
  <c r="AJ101" i="2"/>
  <c r="AK101" i="2"/>
  <c r="AL101" i="2"/>
  <c r="AM101" i="2"/>
  <c r="AN101" i="2"/>
  <c r="AO101" i="2"/>
  <c r="AP101" i="2"/>
  <c r="C102" i="2"/>
  <c r="D102" i="2"/>
  <c r="E102" i="2"/>
  <c r="F102" i="2"/>
  <c r="G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X102" i="2"/>
  <c r="Y102" i="2"/>
  <c r="Z102" i="2"/>
  <c r="AA102" i="2"/>
  <c r="AB102" i="2"/>
  <c r="AC102" i="2"/>
  <c r="AD102" i="2"/>
  <c r="AE102" i="2"/>
  <c r="AF102" i="2"/>
  <c r="AG102" i="2"/>
  <c r="AH102" i="2"/>
  <c r="AI102" i="2"/>
  <c r="AJ102" i="2"/>
  <c r="AK102" i="2"/>
  <c r="AL102" i="2"/>
  <c r="AM102" i="2"/>
  <c r="AN102" i="2"/>
  <c r="AO102" i="2"/>
  <c r="AP102" i="2"/>
  <c r="C103" i="2"/>
  <c r="D103" i="2"/>
  <c r="E103" i="2"/>
  <c r="F103" i="2"/>
  <c r="G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AJ103" i="2"/>
  <c r="AK103" i="2"/>
  <c r="AL103" i="2"/>
  <c r="AM103" i="2"/>
  <c r="AN103" i="2"/>
  <c r="AO103" i="2"/>
  <c r="AP103" i="2"/>
  <c r="C104" i="2"/>
  <c r="D104" i="2"/>
  <c r="E104" i="2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AJ104" i="2"/>
  <c r="AK104" i="2"/>
  <c r="AL104" i="2"/>
  <c r="AM104" i="2"/>
  <c r="AN104" i="2"/>
  <c r="AO104" i="2"/>
  <c r="AP104" i="2"/>
  <c r="C105" i="2"/>
  <c r="D105" i="2"/>
  <c r="E105" i="2"/>
  <c r="F105" i="2"/>
  <c r="G105" i="2"/>
  <c r="H105" i="2"/>
  <c r="I105" i="2"/>
  <c r="J105" i="2"/>
  <c r="K105" i="2"/>
  <c r="L105" i="2"/>
  <c r="M105" i="2"/>
  <c r="N105" i="2"/>
  <c r="O105" i="2"/>
  <c r="P105" i="2"/>
  <c r="Q105" i="2"/>
  <c r="R105" i="2"/>
  <c r="S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AJ105" i="2"/>
  <c r="AK105" i="2"/>
  <c r="AL105" i="2"/>
  <c r="AM105" i="2"/>
  <c r="AN105" i="2"/>
  <c r="AO105" i="2"/>
  <c r="AP105" i="2"/>
  <c r="C106" i="2"/>
  <c r="D106" i="2"/>
  <c r="E106" i="2"/>
  <c r="F106" i="2"/>
  <c r="G106" i="2"/>
  <c r="H106" i="2"/>
  <c r="I106" i="2"/>
  <c r="J106" i="2"/>
  <c r="K106" i="2"/>
  <c r="L106" i="2"/>
  <c r="M106" i="2"/>
  <c r="N106" i="2"/>
  <c r="O106" i="2"/>
  <c r="P106" i="2"/>
  <c r="Q106" i="2"/>
  <c r="R106" i="2"/>
  <c r="S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AJ106" i="2"/>
  <c r="AK106" i="2"/>
  <c r="AL106" i="2"/>
  <c r="AM106" i="2"/>
  <c r="AN106" i="2"/>
  <c r="AO106" i="2"/>
  <c r="AP106" i="2"/>
  <c r="C107" i="2"/>
  <c r="D107" i="2"/>
  <c r="E107" i="2"/>
  <c r="F107" i="2"/>
  <c r="G107" i="2"/>
  <c r="H107" i="2"/>
  <c r="I107" i="2"/>
  <c r="J107" i="2"/>
  <c r="K107" i="2"/>
  <c r="L107" i="2"/>
  <c r="M107" i="2"/>
  <c r="N107" i="2"/>
  <c r="O107" i="2"/>
  <c r="P107" i="2"/>
  <c r="Q107" i="2"/>
  <c r="R107" i="2"/>
  <c r="S107" i="2"/>
  <c r="T107" i="2"/>
  <c r="U107" i="2"/>
  <c r="V107" i="2"/>
  <c r="W107" i="2"/>
  <c r="X107" i="2"/>
  <c r="Y107" i="2"/>
  <c r="Z107" i="2"/>
  <c r="AA107" i="2"/>
  <c r="AB107" i="2"/>
  <c r="AC107" i="2"/>
  <c r="AD107" i="2"/>
  <c r="AE107" i="2"/>
  <c r="AF107" i="2"/>
  <c r="AG107" i="2"/>
  <c r="AH107" i="2"/>
  <c r="AI107" i="2"/>
  <c r="AJ107" i="2"/>
  <c r="AK107" i="2"/>
  <c r="AL107" i="2"/>
  <c r="AM107" i="2"/>
  <c r="AN107" i="2"/>
  <c r="AO107" i="2"/>
  <c r="AP107" i="2"/>
  <c r="C108" i="2"/>
  <c r="D108" i="2"/>
  <c r="E108" i="2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AJ108" i="2"/>
  <c r="AK108" i="2"/>
  <c r="AL108" i="2"/>
  <c r="AM108" i="2"/>
  <c r="AN108" i="2"/>
  <c r="AO108" i="2"/>
  <c r="AP108" i="2"/>
  <c r="C109" i="2"/>
  <c r="D109" i="2"/>
  <c r="E109" i="2"/>
  <c r="F109" i="2"/>
  <c r="G109" i="2"/>
  <c r="H109" i="2"/>
  <c r="I109" i="2"/>
  <c r="J109" i="2"/>
  <c r="K109" i="2"/>
  <c r="L109" i="2"/>
  <c r="M109" i="2"/>
  <c r="N109" i="2"/>
  <c r="O109" i="2"/>
  <c r="P109" i="2"/>
  <c r="Q109" i="2"/>
  <c r="R109" i="2"/>
  <c r="S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AJ109" i="2"/>
  <c r="AK109" i="2"/>
  <c r="AL109" i="2"/>
  <c r="AM109" i="2"/>
  <c r="AN109" i="2"/>
  <c r="AO109" i="2"/>
  <c r="AP109" i="2"/>
  <c r="C110" i="2"/>
  <c r="D110" i="2"/>
  <c r="E110" i="2"/>
  <c r="F110" i="2"/>
  <c r="G110" i="2"/>
  <c r="I110" i="2"/>
  <c r="J110" i="2"/>
  <c r="K110" i="2"/>
  <c r="L110" i="2"/>
  <c r="M110" i="2"/>
  <c r="N110" i="2"/>
  <c r="O110" i="2"/>
  <c r="P110" i="2"/>
  <c r="Q110" i="2"/>
  <c r="R110" i="2"/>
  <c r="S110" i="2"/>
  <c r="T110" i="2"/>
  <c r="U110" i="2"/>
  <c r="V110" i="2"/>
  <c r="W110" i="2"/>
  <c r="X110" i="2"/>
  <c r="Y110" i="2"/>
  <c r="Z110" i="2"/>
  <c r="AA110" i="2"/>
  <c r="AB110" i="2"/>
  <c r="AC110" i="2"/>
  <c r="AD110" i="2"/>
  <c r="AE110" i="2"/>
  <c r="AF110" i="2"/>
  <c r="AG110" i="2"/>
  <c r="AH110" i="2"/>
  <c r="AI110" i="2"/>
  <c r="AJ110" i="2"/>
  <c r="AK110" i="2"/>
  <c r="AL110" i="2"/>
  <c r="AM110" i="2"/>
  <c r="AN110" i="2"/>
  <c r="AO110" i="2"/>
  <c r="AP110" i="2"/>
  <c r="C111" i="2"/>
  <c r="D111" i="2"/>
  <c r="E111" i="2"/>
  <c r="F111" i="2"/>
  <c r="G111" i="2"/>
  <c r="I111" i="2"/>
  <c r="J111" i="2"/>
  <c r="K111" i="2"/>
  <c r="L111" i="2"/>
  <c r="M111" i="2"/>
  <c r="N111" i="2"/>
  <c r="O111" i="2"/>
  <c r="P111" i="2"/>
  <c r="Q111" i="2"/>
  <c r="R111" i="2"/>
  <c r="S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AJ111" i="2"/>
  <c r="AK111" i="2"/>
  <c r="AL111" i="2"/>
  <c r="AM111" i="2"/>
  <c r="AN111" i="2"/>
  <c r="AO111" i="2"/>
  <c r="AP111" i="2"/>
  <c r="C112" i="2"/>
  <c r="D112" i="2"/>
  <c r="E112" i="2"/>
  <c r="F112" i="2"/>
  <c r="G112" i="2"/>
  <c r="I112" i="2"/>
  <c r="J112" i="2"/>
  <c r="K112" i="2"/>
  <c r="L112" i="2"/>
  <c r="M112" i="2"/>
  <c r="N112" i="2"/>
  <c r="O112" i="2"/>
  <c r="P112" i="2"/>
  <c r="Q112" i="2"/>
  <c r="R112" i="2"/>
  <c r="S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AJ112" i="2"/>
  <c r="AK112" i="2"/>
  <c r="AL112" i="2"/>
  <c r="AM112" i="2"/>
  <c r="AN112" i="2"/>
  <c r="AO112" i="2"/>
  <c r="AP112" i="2"/>
  <c r="C113" i="2"/>
  <c r="D113" i="2"/>
  <c r="E113" i="2"/>
  <c r="F113" i="2"/>
  <c r="G113" i="2"/>
  <c r="H113" i="2"/>
  <c r="I113" i="2"/>
  <c r="J113" i="2"/>
  <c r="K113" i="2"/>
  <c r="L113" i="2"/>
  <c r="M113" i="2"/>
  <c r="N113" i="2"/>
  <c r="O113" i="2"/>
  <c r="P113" i="2"/>
  <c r="Q113" i="2"/>
  <c r="R113" i="2"/>
  <c r="S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AJ113" i="2"/>
  <c r="AK113" i="2"/>
  <c r="AL113" i="2"/>
  <c r="AM113" i="2"/>
  <c r="AN113" i="2"/>
  <c r="AO113" i="2"/>
  <c r="AP113" i="2"/>
  <c r="C114" i="2"/>
  <c r="D114" i="2"/>
  <c r="E114" i="2"/>
  <c r="F114" i="2"/>
  <c r="G114" i="2"/>
  <c r="H114" i="2"/>
  <c r="I114" i="2"/>
  <c r="J114" i="2"/>
  <c r="K114" i="2"/>
  <c r="L114" i="2"/>
  <c r="M114" i="2"/>
  <c r="N114" i="2"/>
  <c r="O114" i="2"/>
  <c r="P114" i="2"/>
  <c r="Q114" i="2"/>
  <c r="R114" i="2"/>
  <c r="S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AJ114" i="2"/>
  <c r="AK114" i="2"/>
  <c r="AL114" i="2"/>
  <c r="AM114" i="2"/>
  <c r="AN114" i="2"/>
  <c r="AO114" i="2"/>
  <c r="AP114" i="2"/>
  <c r="C115" i="2"/>
  <c r="D115" i="2"/>
  <c r="E115" i="2"/>
  <c r="F115" i="2"/>
  <c r="G115" i="2"/>
  <c r="H115" i="2"/>
  <c r="I115" i="2"/>
  <c r="J115" i="2"/>
  <c r="K115" i="2"/>
  <c r="L115" i="2"/>
  <c r="M115" i="2"/>
  <c r="N115" i="2"/>
  <c r="O115" i="2"/>
  <c r="P115" i="2"/>
  <c r="Q115" i="2"/>
  <c r="R115" i="2"/>
  <c r="S115" i="2"/>
  <c r="T115" i="2"/>
  <c r="U115" i="2"/>
  <c r="V115" i="2"/>
  <c r="W115" i="2"/>
  <c r="X115" i="2"/>
  <c r="Y115" i="2"/>
  <c r="Z115" i="2"/>
  <c r="AA115" i="2"/>
  <c r="AB115" i="2"/>
  <c r="AC115" i="2"/>
  <c r="AD115" i="2"/>
  <c r="AE115" i="2"/>
  <c r="AF115" i="2"/>
  <c r="AG115" i="2"/>
  <c r="AH115" i="2"/>
  <c r="AI115" i="2"/>
  <c r="AJ115" i="2"/>
  <c r="AK115" i="2"/>
  <c r="AL115" i="2"/>
  <c r="AM115" i="2"/>
  <c r="AN115" i="2"/>
  <c r="AO115" i="2"/>
  <c r="AP115" i="2"/>
  <c r="C116" i="2"/>
  <c r="D116" i="2"/>
  <c r="E116" i="2"/>
  <c r="F116" i="2"/>
  <c r="G116" i="2"/>
  <c r="H116" i="2"/>
  <c r="I116" i="2"/>
  <c r="J116" i="2"/>
  <c r="K116" i="2"/>
  <c r="L116" i="2"/>
  <c r="M116" i="2"/>
  <c r="N116" i="2"/>
  <c r="O116" i="2"/>
  <c r="P116" i="2"/>
  <c r="Q116" i="2"/>
  <c r="R116" i="2"/>
  <c r="S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AJ116" i="2"/>
  <c r="AK116" i="2"/>
  <c r="AL116" i="2"/>
  <c r="AM116" i="2"/>
  <c r="AN116" i="2"/>
  <c r="AO116" i="2"/>
  <c r="AP116" i="2"/>
  <c r="C117" i="2"/>
  <c r="D117" i="2"/>
  <c r="E117" i="2"/>
  <c r="F117" i="2"/>
  <c r="G117" i="2"/>
  <c r="H117" i="2"/>
  <c r="I117" i="2"/>
  <c r="J117" i="2"/>
  <c r="K117" i="2"/>
  <c r="L117" i="2"/>
  <c r="M117" i="2"/>
  <c r="N117" i="2"/>
  <c r="O117" i="2"/>
  <c r="P117" i="2"/>
  <c r="Q117" i="2"/>
  <c r="R117" i="2"/>
  <c r="S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AJ117" i="2"/>
  <c r="AK117" i="2"/>
  <c r="AL117" i="2"/>
  <c r="AM117" i="2"/>
  <c r="AN117" i="2"/>
  <c r="AO117" i="2"/>
  <c r="AP117" i="2"/>
  <c r="C118" i="2"/>
  <c r="D118" i="2"/>
  <c r="E118" i="2"/>
  <c r="F118" i="2"/>
  <c r="G118" i="2"/>
  <c r="I118" i="2"/>
  <c r="J118" i="2"/>
  <c r="K118" i="2"/>
  <c r="L118" i="2"/>
  <c r="M118" i="2"/>
  <c r="N118" i="2"/>
  <c r="O118" i="2"/>
  <c r="P118" i="2"/>
  <c r="Q118" i="2"/>
  <c r="R118" i="2"/>
  <c r="S118" i="2"/>
  <c r="T118" i="2"/>
  <c r="U118" i="2"/>
  <c r="V118" i="2"/>
  <c r="W118" i="2"/>
  <c r="X118" i="2"/>
  <c r="Y118" i="2"/>
  <c r="Z118" i="2"/>
  <c r="AA118" i="2"/>
  <c r="AB118" i="2"/>
  <c r="AC118" i="2"/>
  <c r="AD118" i="2"/>
  <c r="AE118" i="2"/>
  <c r="AF118" i="2"/>
  <c r="AG118" i="2"/>
  <c r="AH118" i="2"/>
  <c r="AI118" i="2"/>
  <c r="AJ118" i="2"/>
  <c r="AK118" i="2"/>
  <c r="AL118" i="2"/>
  <c r="AM118" i="2"/>
  <c r="AN118" i="2"/>
  <c r="AO118" i="2"/>
  <c r="AP118" i="2"/>
  <c r="C119" i="2"/>
  <c r="D119" i="2"/>
  <c r="E119" i="2"/>
  <c r="F119" i="2"/>
  <c r="G119" i="2"/>
  <c r="I119" i="2"/>
  <c r="J119" i="2"/>
  <c r="K119" i="2"/>
  <c r="L119" i="2"/>
  <c r="M119" i="2"/>
  <c r="N119" i="2"/>
  <c r="O119" i="2"/>
  <c r="P119" i="2"/>
  <c r="Q119" i="2"/>
  <c r="R119" i="2"/>
  <c r="S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AJ119" i="2"/>
  <c r="AK119" i="2"/>
  <c r="AL119" i="2"/>
  <c r="AM119" i="2"/>
  <c r="AN119" i="2"/>
  <c r="AO119" i="2"/>
  <c r="AP119" i="2"/>
  <c r="C120" i="2"/>
  <c r="D120" i="2"/>
  <c r="E120" i="2"/>
  <c r="F120" i="2"/>
  <c r="G120" i="2"/>
  <c r="I120" i="2"/>
  <c r="J120" i="2"/>
  <c r="K120" i="2"/>
  <c r="L120" i="2"/>
  <c r="M120" i="2"/>
  <c r="N120" i="2"/>
  <c r="O120" i="2"/>
  <c r="P120" i="2"/>
  <c r="Q120" i="2"/>
  <c r="R120" i="2"/>
  <c r="S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AJ120" i="2"/>
  <c r="AK120" i="2"/>
  <c r="AL120" i="2"/>
  <c r="AM120" i="2"/>
  <c r="AN120" i="2"/>
  <c r="AO120" i="2"/>
  <c r="AP120" i="2"/>
  <c r="C121" i="2"/>
  <c r="D121" i="2"/>
  <c r="E121" i="2"/>
  <c r="F121" i="2"/>
  <c r="G121" i="2"/>
  <c r="H121" i="2"/>
  <c r="I121" i="2"/>
  <c r="J121" i="2"/>
  <c r="K121" i="2"/>
  <c r="L121" i="2"/>
  <c r="M121" i="2"/>
  <c r="N121" i="2"/>
  <c r="O121" i="2"/>
  <c r="P121" i="2"/>
  <c r="Q121" i="2"/>
  <c r="R121" i="2"/>
  <c r="S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AJ121" i="2"/>
  <c r="AK121" i="2"/>
  <c r="AL121" i="2"/>
  <c r="AM121" i="2"/>
  <c r="AN121" i="2"/>
  <c r="AO121" i="2"/>
  <c r="AP121" i="2"/>
  <c r="C122" i="2"/>
  <c r="D122" i="2"/>
  <c r="E122" i="2"/>
  <c r="F122" i="2"/>
  <c r="G122" i="2"/>
  <c r="H122" i="2"/>
  <c r="I122" i="2"/>
  <c r="J122" i="2"/>
  <c r="K122" i="2"/>
  <c r="L122" i="2"/>
  <c r="M122" i="2"/>
  <c r="N122" i="2"/>
  <c r="O122" i="2"/>
  <c r="P122" i="2"/>
  <c r="Q122" i="2"/>
  <c r="R122" i="2"/>
  <c r="S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AJ122" i="2"/>
  <c r="AK122" i="2"/>
  <c r="AL122" i="2"/>
  <c r="AM122" i="2"/>
  <c r="AN122" i="2"/>
  <c r="AO122" i="2"/>
  <c r="AP122" i="2"/>
  <c r="C123" i="2"/>
  <c r="D123" i="2"/>
  <c r="E123" i="2"/>
  <c r="F123" i="2"/>
  <c r="G123" i="2"/>
  <c r="H123" i="2"/>
  <c r="I123" i="2"/>
  <c r="J123" i="2"/>
  <c r="K123" i="2"/>
  <c r="L123" i="2"/>
  <c r="M123" i="2"/>
  <c r="N123" i="2"/>
  <c r="O123" i="2"/>
  <c r="P123" i="2"/>
  <c r="Q123" i="2"/>
  <c r="R123" i="2"/>
  <c r="S123" i="2"/>
  <c r="T123" i="2"/>
  <c r="U123" i="2"/>
  <c r="V123" i="2"/>
  <c r="W123" i="2"/>
  <c r="X123" i="2"/>
  <c r="Y123" i="2"/>
  <c r="Z123" i="2"/>
  <c r="AA123" i="2"/>
  <c r="AB123" i="2"/>
  <c r="AC123" i="2"/>
  <c r="AD123" i="2"/>
  <c r="AE123" i="2"/>
  <c r="AF123" i="2"/>
  <c r="AG123" i="2"/>
  <c r="AH123" i="2"/>
  <c r="AI123" i="2"/>
  <c r="AJ123" i="2"/>
  <c r="AK123" i="2"/>
  <c r="AL123" i="2"/>
  <c r="AM123" i="2"/>
  <c r="AN123" i="2"/>
  <c r="AO123" i="2"/>
  <c r="AP123" i="2"/>
  <c r="C64" i="2"/>
  <c r="D64" i="2"/>
  <c r="E64" i="2"/>
  <c r="F64" i="2"/>
  <c r="G64" i="2"/>
  <c r="I64" i="2"/>
  <c r="J64" i="2"/>
  <c r="K64" i="2"/>
  <c r="L64" i="2"/>
  <c r="M64" i="2"/>
  <c r="N64" i="2"/>
  <c r="O64" i="2"/>
  <c r="P64" i="2"/>
  <c r="Q64" i="2"/>
  <c r="R64" i="2"/>
  <c r="S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AJ64" i="2"/>
  <c r="AK64" i="2"/>
  <c r="AL64" i="2"/>
  <c r="AM64" i="2"/>
  <c r="AN64" i="2"/>
  <c r="AO64" i="2"/>
  <c r="AP64" i="2"/>
  <c r="C65" i="2"/>
  <c r="D65" i="2"/>
  <c r="E65" i="2"/>
  <c r="F65" i="2"/>
  <c r="G65" i="2"/>
  <c r="I65" i="2"/>
  <c r="J65" i="2"/>
  <c r="K65" i="2"/>
  <c r="L65" i="2"/>
  <c r="M65" i="2"/>
  <c r="N65" i="2"/>
  <c r="O65" i="2"/>
  <c r="P65" i="2"/>
  <c r="Q65" i="2"/>
  <c r="R65" i="2"/>
  <c r="S65" i="2"/>
  <c r="T65" i="2"/>
  <c r="U65" i="2"/>
  <c r="V65" i="2"/>
  <c r="W65" i="2"/>
  <c r="X65" i="2"/>
  <c r="Y65" i="2"/>
  <c r="Z65" i="2"/>
  <c r="AA65" i="2"/>
  <c r="AB65" i="2"/>
  <c r="AC65" i="2"/>
  <c r="AD65" i="2"/>
  <c r="AE65" i="2"/>
  <c r="AF65" i="2"/>
  <c r="AG65" i="2"/>
  <c r="AH65" i="2"/>
  <c r="AI65" i="2"/>
  <c r="AJ65" i="2"/>
  <c r="AK65" i="2"/>
  <c r="AL65" i="2"/>
  <c r="AM65" i="2"/>
  <c r="AN65" i="2"/>
  <c r="AO65" i="2"/>
  <c r="AP65" i="2"/>
  <c r="C66" i="2"/>
  <c r="D66" i="2"/>
  <c r="E66" i="2"/>
  <c r="F66" i="2"/>
  <c r="G66" i="2"/>
  <c r="I66" i="2"/>
  <c r="J66" i="2"/>
  <c r="K66" i="2"/>
  <c r="L66" i="2"/>
  <c r="M66" i="2"/>
  <c r="N66" i="2"/>
  <c r="O66" i="2"/>
  <c r="P66" i="2"/>
  <c r="Q66" i="2"/>
  <c r="R66" i="2"/>
  <c r="S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AJ66" i="2"/>
  <c r="AK66" i="2"/>
  <c r="AL66" i="2"/>
  <c r="AM66" i="2"/>
  <c r="AN66" i="2"/>
  <c r="AO66" i="2"/>
  <c r="AP66" i="2"/>
  <c r="C67" i="2"/>
  <c r="D67" i="2"/>
  <c r="E67" i="2"/>
  <c r="F67" i="2"/>
  <c r="G67" i="2"/>
  <c r="H67" i="2"/>
  <c r="I67" i="2"/>
  <c r="J67" i="2"/>
  <c r="K67" i="2"/>
  <c r="L67" i="2"/>
  <c r="M67" i="2"/>
  <c r="N67" i="2"/>
  <c r="O67" i="2"/>
  <c r="P67" i="2"/>
  <c r="Q67" i="2"/>
  <c r="R67" i="2"/>
  <c r="S67" i="2"/>
  <c r="T67" i="2"/>
  <c r="U67" i="2"/>
  <c r="V67" i="2"/>
  <c r="W67" i="2"/>
  <c r="X67" i="2"/>
  <c r="Y67" i="2"/>
  <c r="Z67" i="2"/>
  <c r="AA67" i="2"/>
  <c r="AB67" i="2"/>
  <c r="AC67" i="2"/>
  <c r="AD67" i="2"/>
  <c r="AE67" i="2"/>
  <c r="AF67" i="2"/>
  <c r="AG67" i="2"/>
  <c r="AH67" i="2"/>
  <c r="AI67" i="2"/>
  <c r="AJ67" i="2"/>
  <c r="AK67" i="2"/>
  <c r="AL67" i="2"/>
  <c r="AM67" i="2"/>
  <c r="AN67" i="2"/>
  <c r="AO67" i="2"/>
  <c r="AP67" i="2"/>
  <c r="C68" i="2"/>
  <c r="D68" i="2"/>
  <c r="E68" i="2"/>
  <c r="F68" i="2"/>
  <c r="G68" i="2"/>
  <c r="I68" i="2"/>
  <c r="J68" i="2"/>
  <c r="K68" i="2"/>
  <c r="L68" i="2"/>
  <c r="M68" i="2"/>
  <c r="N68" i="2"/>
  <c r="O68" i="2"/>
  <c r="P68" i="2"/>
  <c r="Q68" i="2"/>
  <c r="R68" i="2"/>
  <c r="S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AJ68" i="2"/>
  <c r="AK68" i="2"/>
  <c r="AL68" i="2"/>
  <c r="AM68" i="2"/>
  <c r="AN68" i="2"/>
  <c r="AO68" i="2"/>
  <c r="AP68" i="2"/>
  <c r="C69" i="2"/>
  <c r="D69" i="2"/>
  <c r="E69" i="2"/>
  <c r="F69" i="2"/>
  <c r="G69" i="2"/>
  <c r="H69" i="2"/>
  <c r="I69" i="2"/>
  <c r="J69" i="2"/>
  <c r="K69" i="2"/>
  <c r="L69" i="2"/>
  <c r="M69" i="2"/>
  <c r="N69" i="2"/>
  <c r="O69" i="2"/>
  <c r="P69" i="2"/>
  <c r="Q69" i="2"/>
  <c r="R69" i="2"/>
  <c r="S69" i="2"/>
  <c r="T69" i="2"/>
  <c r="U69" i="2"/>
  <c r="V69" i="2"/>
  <c r="W69" i="2"/>
  <c r="X69" i="2"/>
  <c r="Y69" i="2"/>
  <c r="Z69" i="2"/>
  <c r="AA69" i="2"/>
  <c r="AB69" i="2"/>
  <c r="AC69" i="2"/>
  <c r="AD69" i="2"/>
  <c r="AE69" i="2"/>
  <c r="AF69" i="2"/>
  <c r="AG69" i="2"/>
  <c r="AH69" i="2"/>
  <c r="AI69" i="2"/>
  <c r="AJ69" i="2"/>
  <c r="AK69" i="2"/>
  <c r="AL69" i="2"/>
  <c r="AM69" i="2"/>
  <c r="AN69" i="2"/>
  <c r="AO69" i="2"/>
  <c r="AP69" i="2"/>
  <c r="C70" i="2"/>
  <c r="D70" i="2"/>
  <c r="E70" i="2"/>
  <c r="F70" i="2"/>
  <c r="G70" i="2"/>
  <c r="I70" i="2"/>
  <c r="J70" i="2"/>
  <c r="K70" i="2"/>
  <c r="L70" i="2"/>
  <c r="M70" i="2"/>
  <c r="N70" i="2"/>
  <c r="O70" i="2"/>
  <c r="P70" i="2"/>
  <c r="Q70" i="2"/>
  <c r="R70" i="2"/>
  <c r="S70" i="2"/>
  <c r="T70" i="2"/>
  <c r="U70" i="2"/>
  <c r="V70" i="2"/>
  <c r="W70" i="2"/>
  <c r="X70" i="2"/>
  <c r="Y70" i="2"/>
  <c r="Z70" i="2"/>
  <c r="AA70" i="2"/>
  <c r="AB70" i="2"/>
  <c r="AC70" i="2"/>
  <c r="AD70" i="2"/>
  <c r="AE70" i="2"/>
  <c r="AF70" i="2"/>
  <c r="AG70" i="2"/>
  <c r="AH70" i="2"/>
  <c r="AI70" i="2"/>
  <c r="AJ70" i="2"/>
  <c r="AK70" i="2"/>
  <c r="AL70" i="2"/>
  <c r="AM70" i="2"/>
  <c r="AN70" i="2"/>
  <c r="AO70" i="2"/>
  <c r="AP70" i="2"/>
  <c r="C71" i="2"/>
  <c r="D71" i="2"/>
  <c r="E71" i="2"/>
  <c r="F71" i="2"/>
  <c r="G71" i="2"/>
  <c r="I71" i="2"/>
  <c r="J71" i="2"/>
  <c r="K71" i="2"/>
  <c r="L71" i="2"/>
  <c r="M71" i="2"/>
  <c r="N71" i="2"/>
  <c r="O71" i="2"/>
  <c r="P71" i="2"/>
  <c r="Q71" i="2"/>
  <c r="R71" i="2"/>
  <c r="S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AJ71" i="2"/>
  <c r="AK71" i="2"/>
  <c r="AL71" i="2"/>
  <c r="AM71" i="2"/>
  <c r="AN71" i="2"/>
  <c r="AO71" i="2"/>
  <c r="AP71" i="2"/>
  <c r="C72" i="2"/>
  <c r="D72" i="2"/>
  <c r="E72" i="2"/>
  <c r="F72" i="2"/>
  <c r="G72" i="2"/>
  <c r="H72" i="2"/>
  <c r="I72" i="2"/>
  <c r="J72" i="2"/>
  <c r="K72" i="2"/>
  <c r="L72" i="2"/>
  <c r="M72" i="2"/>
  <c r="N72" i="2"/>
  <c r="O72" i="2"/>
  <c r="P72" i="2"/>
  <c r="Q72" i="2"/>
  <c r="R72" i="2"/>
  <c r="S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AJ72" i="2"/>
  <c r="AK72" i="2"/>
  <c r="AL72" i="2"/>
  <c r="AM72" i="2"/>
  <c r="AN72" i="2"/>
  <c r="AO72" i="2"/>
  <c r="AP72" i="2"/>
  <c r="C73" i="2"/>
  <c r="D73" i="2"/>
  <c r="E73" i="2"/>
  <c r="F73" i="2"/>
  <c r="G73" i="2"/>
  <c r="H73" i="2"/>
  <c r="I73" i="2"/>
  <c r="J73" i="2"/>
  <c r="K73" i="2"/>
  <c r="L73" i="2"/>
  <c r="M73" i="2"/>
  <c r="N73" i="2"/>
  <c r="O73" i="2"/>
  <c r="P73" i="2"/>
  <c r="Q73" i="2"/>
  <c r="R73" i="2"/>
  <c r="S73" i="2"/>
  <c r="T73" i="2"/>
  <c r="U73" i="2"/>
  <c r="V73" i="2"/>
  <c r="W73" i="2"/>
  <c r="X73" i="2"/>
  <c r="Y73" i="2"/>
  <c r="Z73" i="2"/>
  <c r="AA73" i="2"/>
  <c r="AB73" i="2"/>
  <c r="AC73" i="2"/>
  <c r="AD73" i="2"/>
  <c r="AE73" i="2"/>
  <c r="AF73" i="2"/>
  <c r="AG73" i="2"/>
  <c r="AH73" i="2"/>
  <c r="AI73" i="2"/>
  <c r="AJ73" i="2"/>
  <c r="AK73" i="2"/>
  <c r="AL73" i="2"/>
  <c r="AM73" i="2"/>
  <c r="AN73" i="2"/>
  <c r="AO73" i="2"/>
  <c r="AP73" i="2"/>
  <c r="C74" i="2"/>
  <c r="D74" i="2"/>
  <c r="E74" i="2"/>
  <c r="F74" i="2"/>
  <c r="G74" i="2"/>
  <c r="H74" i="2"/>
  <c r="I74" i="2"/>
  <c r="J74" i="2"/>
  <c r="K74" i="2"/>
  <c r="L74" i="2"/>
  <c r="M74" i="2"/>
  <c r="N74" i="2"/>
  <c r="O74" i="2"/>
  <c r="P74" i="2"/>
  <c r="Q74" i="2"/>
  <c r="R74" i="2"/>
  <c r="S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AJ74" i="2"/>
  <c r="AK74" i="2"/>
  <c r="AL74" i="2"/>
  <c r="AM74" i="2"/>
  <c r="AN74" i="2"/>
  <c r="AO74" i="2"/>
  <c r="AP74" i="2"/>
  <c r="C75" i="2"/>
  <c r="D75" i="2"/>
  <c r="E75" i="2"/>
  <c r="F75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V75" i="2"/>
  <c r="W75" i="2"/>
  <c r="X75" i="2"/>
  <c r="Y75" i="2"/>
  <c r="Z75" i="2"/>
  <c r="AA75" i="2"/>
  <c r="AB75" i="2"/>
  <c r="AC75" i="2"/>
  <c r="AD75" i="2"/>
  <c r="AE75" i="2"/>
  <c r="AF75" i="2"/>
  <c r="AG75" i="2"/>
  <c r="AH75" i="2"/>
  <c r="AI75" i="2"/>
  <c r="AJ75" i="2"/>
  <c r="AK75" i="2"/>
  <c r="AL75" i="2"/>
  <c r="AM75" i="2"/>
  <c r="AN75" i="2"/>
  <c r="AO75" i="2"/>
  <c r="AP75" i="2"/>
  <c r="C76" i="2"/>
  <c r="D76" i="2"/>
  <c r="E76" i="2"/>
  <c r="F76" i="2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AJ76" i="2"/>
  <c r="AK76" i="2"/>
  <c r="AL76" i="2"/>
  <c r="AM76" i="2"/>
  <c r="AN76" i="2"/>
  <c r="AO76" i="2"/>
  <c r="AP76" i="2"/>
  <c r="C77" i="2"/>
  <c r="D77" i="2"/>
  <c r="E77" i="2"/>
  <c r="F77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V77" i="2"/>
  <c r="W77" i="2"/>
  <c r="X77" i="2"/>
  <c r="Y77" i="2"/>
  <c r="Z77" i="2"/>
  <c r="AA77" i="2"/>
  <c r="AB77" i="2"/>
  <c r="AC77" i="2"/>
  <c r="AD77" i="2"/>
  <c r="AE77" i="2"/>
  <c r="AF77" i="2"/>
  <c r="AG77" i="2"/>
  <c r="AH77" i="2"/>
  <c r="AI77" i="2"/>
  <c r="AJ77" i="2"/>
  <c r="AK77" i="2"/>
  <c r="AL77" i="2"/>
  <c r="AM77" i="2"/>
  <c r="AN77" i="2"/>
  <c r="AO77" i="2"/>
  <c r="AP77" i="2"/>
  <c r="C78" i="2"/>
  <c r="D78" i="2"/>
  <c r="E78" i="2"/>
  <c r="F78" i="2"/>
  <c r="G78" i="2"/>
  <c r="I78" i="2"/>
  <c r="J78" i="2"/>
  <c r="K78" i="2"/>
  <c r="L78" i="2"/>
  <c r="M78" i="2"/>
  <c r="N78" i="2"/>
  <c r="O78" i="2"/>
  <c r="P78" i="2"/>
  <c r="Q78" i="2"/>
  <c r="R78" i="2"/>
  <c r="S78" i="2"/>
  <c r="T78" i="2"/>
  <c r="U78" i="2"/>
  <c r="V78" i="2"/>
  <c r="W78" i="2"/>
  <c r="X78" i="2"/>
  <c r="Y78" i="2"/>
  <c r="Z78" i="2"/>
  <c r="AA78" i="2"/>
  <c r="AB78" i="2"/>
  <c r="AC78" i="2"/>
  <c r="AD78" i="2"/>
  <c r="AE78" i="2"/>
  <c r="AF78" i="2"/>
  <c r="AG78" i="2"/>
  <c r="AH78" i="2"/>
  <c r="AI78" i="2"/>
  <c r="AJ78" i="2"/>
  <c r="AK78" i="2"/>
  <c r="AL78" i="2"/>
  <c r="AM78" i="2"/>
  <c r="AN78" i="2"/>
  <c r="AO78" i="2"/>
  <c r="AP78" i="2"/>
  <c r="C79" i="2"/>
  <c r="D79" i="2"/>
  <c r="E79" i="2"/>
  <c r="F79" i="2"/>
  <c r="G79" i="2"/>
  <c r="I79" i="2"/>
  <c r="J79" i="2"/>
  <c r="K79" i="2"/>
  <c r="L79" i="2"/>
  <c r="M79" i="2"/>
  <c r="N79" i="2"/>
  <c r="O79" i="2"/>
  <c r="P79" i="2"/>
  <c r="Q79" i="2"/>
  <c r="R79" i="2"/>
  <c r="S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AJ79" i="2"/>
  <c r="AK79" i="2"/>
  <c r="AL79" i="2"/>
  <c r="AM79" i="2"/>
  <c r="AN79" i="2"/>
  <c r="AO79" i="2"/>
  <c r="AP79" i="2"/>
  <c r="C80" i="2"/>
  <c r="D80" i="2"/>
  <c r="E80" i="2"/>
  <c r="F80" i="2"/>
  <c r="G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AJ80" i="2"/>
  <c r="AK80" i="2"/>
  <c r="AL80" i="2"/>
  <c r="AM80" i="2"/>
  <c r="AN80" i="2"/>
  <c r="AO80" i="2"/>
  <c r="AP80" i="2"/>
  <c r="C81" i="2"/>
  <c r="D81" i="2"/>
  <c r="E81" i="2"/>
  <c r="F81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X81" i="2"/>
  <c r="Y81" i="2"/>
  <c r="Z81" i="2"/>
  <c r="AA81" i="2"/>
  <c r="AB81" i="2"/>
  <c r="AC81" i="2"/>
  <c r="AD81" i="2"/>
  <c r="AE81" i="2"/>
  <c r="AF81" i="2"/>
  <c r="AG81" i="2"/>
  <c r="AH81" i="2"/>
  <c r="AI81" i="2"/>
  <c r="AJ81" i="2"/>
  <c r="AK81" i="2"/>
  <c r="AL81" i="2"/>
  <c r="AM81" i="2"/>
  <c r="AN81" i="2"/>
  <c r="AO81" i="2"/>
  <c r="AP81" i="2"/>
  <c r="C82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AP82" i="2"/>
  <c r="C83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X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AP83" i="2"/>
  <c r="C84" i="2"/>
  <c r="D84" i="2"/>
  <c r="E84" i="2"/>
  <c r="F84" i="2"/>
  <c r="G84" i="2"/>
  <c r="H84" i="2"/>
  <c r="I84" i="2"/>
  <c r="J84" i="2"/>
  <c r="K84" i="2"/>
  <c r="L84" i="2"/>
  <c r="M84" i="2"/>
  <c r="N84" i="2"/>
  <c r="O84" i="2"/>
  <c r="P84" i="2"/>
  <c r="Q84" i="2"/>
  <c r="R84" i="2"/>
  <c r="S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AJ84" i="2"/>
  <c r="AK84" i="2"/>
  <c r="AL84" i="2"/>
  <c r="AM84" i="2"/>
  <c r="AN84" i="2"/>
  <c r="AO84" i="2"/>
  <c r="AP84" i="2"/>
  <c r="C85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X85" i="2"/>
  <c r="Y85" i="2"/>
  <c r="Z85" i="2"/>
  <c r="AA85" i="2"/>
  <c r="AB85" i="2"/>
  <c r="AC85" i="2"/>
  <c r="AD85" i="2"/>
  <c r="AE85" i="2"/>
  <c r="AF85" i="2"/>
  <c r="AG85" i="2"/>
  <c r="AH85" i="2"/>
  <c r="AI85" i="2"/>
  <c r="AJ85" i="2"/>
  <c r="AK85" i="2"/>
  <c r="AL85" i="2"/>
  <c r="AM85" i="2"/>
  <c r="AN85" i="2"/>
  <c r="AO85" i="2"/>
  <c r="AP85" i="2"/>
  <c r="C86" i="2"/>
  <c r="D86" i="2"/>
  <c r="E86" i="2"/>
  <c r="F86" i="2"/>
  <c r="G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X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AM86" i="2"/>
  <c r="AN86" i="2"/>
  <c r="AO86" i="2"/>
  <c r="AP86" i="2"/>
  <c r="C87" i="2"/>
  <c r="D87" i="2"/>
  <c r="E87" i="2"/>
  <c r="F87" i="2"/>
  <c r="G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AJ87" i="2"/>
  <c r="AK87" i="2"/>
  <c r="AL87" i="2"/>
  <c r="AM87" i="2"/>
  <c r="AN87" i="2"/>
  <c r="AO87" i="2"/>
  <c r="AP87" i="2"/>
  <c r="C88" i="2"/>
  <c r="D88" i="2"/>
  <c r="E88" i="2"/>
  <c r="F88" i="2"/>
  <c r="G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AJ88" i="2"/>
  <c r="AK88" i="2"/>
  <c r="AL88" i="2"/>
  <c r="AM88" i="2"/>
  <c r="AN88" i="2"/>
  <c r="AO88" i="2"/>
  <c r="AP88" i="2"/>
  <c r="C89" i="2"/>
  <c r="D89" i="2"/>
  <c r="E89" i="2"/>
  <c r="F89" i="2"/>
  <c r="G89" i="2"/>
  <c r="H89" i="2"/>
  <c r="I89" i="2"/>
  <c r="J89" i="2"/>
  <c r="K89" i="2"/>
  <c r="L89" i="2"/>
  <c r="M89" i="2"/>
  <c r="N89" i="2"/>
  <c r="O89" i="2"/>
  <c r="P89" i="2"/>
  <c r="Q89" i="2"/>
  <c r="R89" i="2"/>
  <c r="S89" i="2"/>
  <c r="T89" i="2"/>
  <c r="U89" i="2"/>
  <c r="V89" i="2"/>
  <c r="W89" i="2"/>
  <c r="X89" i="2"/>
  <c r="Y89" i="2"/>
  <c r="Z89" i="2"/>
  <c r="AA89" i="2"/>
  <c r="AB89" i="2"/>
  <c r="AC89" i="2"/>
  <c r="AD89" i="2"/>
  <c r="AE89" i="2"/>
  <c r="AF89" i="2"/>
  <c r="AG89" i="2"/>
  <c r="AH89" i="2"/>
  <c r="AI89" i="2"/>
  <c r="AJ89" i="2"/>
  <c r="AK89" i="2"/>
  <c r="AL89" i="2"/>
  <c r="AM89" i="2"/>
  <c r="AN89" i="2"/>
  <c r="AO89" i="2"/>
  <c r="AP89" i="2"/>
  <c r="C90" i="2"/>
  <c r="D90" i="2"/>
  <c r="E90" i="2"/>
  <c r="F90" i="2"/>
  <c r="G90" i="2"/>
  <c r="H90" i="2"/>
  <c r="I90" i="2"/>
  <c r="J90" i="2"/>
  <c r="K90" i="2"/>
  <c r="L90" i="2"/>
  <c r="M90" i="2"/>
  <c r="N90" i="2"/>
  <c r="O90" i="2"/>
  <c r="P90" i="2"/>
  <c r="Q90" i="2"/>
  <c r="R90" i="2"/>
  <c r="S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AJ90" i="2"/>
  <c r="AK90" i="2"/>
  <c r="AL90" i="2"/>
  <c r="AM90" i="2"/>
  <c r="AN90" i="2"/>
  <c r="AO90" i="2"/>
  <c r="AP90" i="2"/>
  <c r="C91" i="2"/>
  <c r="D91" i="2"/>
  <c r="E91" i="2"/>
  <c r="F91" i="2"/>
  <c r="G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X91" i="2"/>
  <c r="Y91" i="2"/>
  <c r="Z91" i="2"/>
  <c r="AA91" i="2"/>
  <c r="AB91" i="2"/>
  <c r="AC91" i="2"/>
  <c r="AD91" i="2"/>
  <c r="AE91" i="2"/>
  <c r="AF91" i="2"/>
  <c r="AG91" i="2"/>
  <c r="AH91" i="2"/>
  <c r="AI91" i="2"/>
  <c r="AJ91" i="2"/>
  <c r="AK91" i="2"/>
  <c r="AL91" i="2"/>
  <c r="AM91" i="2"/>
  <c r="AN91" i="2"/>
  <c r="AO91" i="2"/>
  <c r="AP91" i="2"/>
  <c r="C92" i="2"/>
  <c r="D92" i="2"/>
  <c r="E92" i="2"/>
  <c r="F92" i="2"/>
  <c r="G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AJ92" i="2"/>
  <c r="AK92" i="2"/>
  <c r="AL92" i="2"/>
  <c r="AM92" i="2"/>
  <c r="AN92" i="2"/>
  <c r="AO92" i="2"/>
  <c r="AP92" i="2"/>
  <c r="C93" i="2"/>
  <c r="D93" i="2"/>
  <c r="E93" i="2"/>
  <c r="F93" i="2"/>
  <c r="G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X93" i="2"/>
  <c r="Y93" i="2"/>
  <c r="Z93" i="2"/>
  <c r="AA93" i="2"/>
  <c r="AB93" i="2"/>
  <c r="AC93" i="2"/>
  <c r="AD93" i="2"/>
  <c r="AE93" i="2"/>
  <c r="AF93" i="2"/>
  <c r="AG93" i="2"/>
  <c r="AH93" i="2"/>
  <c r="AI93" i="2"/>
  <c r="AJ93" i="2"/>
  <c r="AK93" i="2"/>
  <c r="AL93" i="2"/>
  <c r="AM93" i="2"/>
  <c r="AN93" i="2"/>
  <c r="AO93" i="2"/>
  <c r="AP93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C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C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C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C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C23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C26" i="2"/>
  <c r="D26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C29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C30" i="2"/>
  <c r="D30" i="2"/>
  <c r="E30" i="2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C31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C141" i="3"/>
  <c r="D141" i="3"/>
  <c r="E141" i="3"/>
  <c r="F141" i="3"/>
  <c r="H141" i="3"/>
  <c r="J141" i="3"/>
  <c r="K141" i="3"/>
  <c r="L141" i="3"/>
  <c r="M141" i="3"/>
  <c r="N141" i="3"/>
  <c r="O141" i="3"/>
  <c r="P141" i="3"/>
  <c r="C142" i="3"/>
  <c r="D142" i="3"/>
  <c r="E142" i="3"/>
  <c r="F142" i="3"/>
  <c r="H142" i="3"/>
  <c r="I142" i="3"/>
  <c r="J142" i="3"/>
  <c r="K142" i="3"/>
  <c r="L142" i="3"/>
  <c r="M142" i="3"/>
  <c r="N142" i="3"/>
  <c r="O142" i="3"/>
  <c r="P142" i="3"/>
  <c r="C143" i="3"/>
  <c r="D143" i="3"/>
  <c r="E143" i="3"/>
  <c r="F143" i="3"/>
  <c r="H143" i="3"/>
  <c r="J143" i="3"/>
  <c r="K143" i="3"/>
  <c r="L143" i="3"/>
  <c r="M143" i="3"/>
  <c r="N143" i="3"/>
  <c r="O143" i="3"/>
  <c r="P143" i="3"/>
  <c r="C144" i="3"/>
  <c r="D144" i="3"/>
  <c r="E144" i="3"/>
  <c r="F144" i="3"/>
  <c r="H144" i="3"/>
  <c r="I144" i="3"/>
  <c r="J144" i="3"/>
  <c r="K144" i="3"/>
  <c r="L144" i="3"/>
  <c r="M144" i="3"/>
  <c r="N144" i="3"/>
  <c r="O144" i="3"/>
  <c r="P144" i="3"/>
  <c r="C145" i="3"/>
  <c r="D145" i="3"/>
  <c r="E145" i="3"/>
  <c r="F145" i="3"/>
  <c r="H145" i="3"/>
  <c r="J145" i="3"/>
  <c r="K145" i="3"/>
  <c r="L145" i="3"/>
  <c r="M145" i="3"/>
  <c r="N145" i="3"/>
  <c r="O145" i="3"/>
  <c r="P145" i="3"/>
  <c r="C146" i="3"/>
  <c r="D146" i="3"/>
  <c r="E146" i="3"/>
  <c r="F146" i="3"/>
  <c r="H146" i="3"/>
  <c r="J146" i="3"/>
  <c r="K146" i="3"/>
  <c r="L146" i="3"/>
  <c r="M146" i="3"/>
  <c r="N146" i="3"/>
  <c r="O146" i="3"/>
  <c r="P146" i="3"/>
  <c r="C147" i="3"/>
  <c r="D147" i="3"/>
  <c r="E147" i="3"/>
  <c r="F147" i="3"/>
  <c r="H147" i="3"/>
  <c r="I147" i="3"/>
  <c r="J147" i="3"/>
  <c r="K147" i="3"/>
  <c r="L147" i="3"/>
  <c r="M147" i="3"/>
  <c r="N147" i="3"/>
  <c r="O147" i="3"/>
  <c r="P147" i="3"/>
  <c r="C148" i="3"/>
  <c r="D148" i="3"/>
  <c r="E148" i="3"/>
  <c r="F148" i="3"/>
  <c r="H148" i="3"/>
  <c r="I148" i="3"/>
  <c r="J148" i="3"/>
  <c r="K148" i="3"/>
  <c r="L148" i="3"/>
  <c r="M148" i="3"/>
  <c r="N148" i="3"/>
  <c r="O148" i="3"/>
  <c r="P148" i="3"/>
  <c r="C149" i="3"/>
  <c r="D149" i="3"/>
  <c r="E149" i="3"/>
  <c r="F149" i="3"/>
  <c r="H149" i="3"/>
  <c r="J149" i="3"/>
  <c r="K149" i="3"/>
  <c r="L149" i="3"/>
  <c r="M149" i="3"/>
  <c r="N149" i="3"/>
  <c r="O149" i="3"/>
  <c r="P149" i="3"/>
  <c r="Q330" i="3"/>
  <c r="Q331" i="3"/>
  <c r="Q329" i="3"/>
  <c r="Q323" i="3"/>
  <c r="Q314" i="3"/>
  <c r="Q321" i="3"/>
  <c r="Q310" i="3"/>
  <c r="Q309" i="3"/>
  <c r="Q306" i="3"/>
  <c r="Q305" i="3"/>
  <c r="Q265" i="3"/>
  <c r="Q263" i="3"/>
  <c r="Q262" i="3"/>
  <c r="Q246" i="3"/>
  <c r="Q244" i="3"/>
  <c r="Q240" i="3"/>
  <c r="Q238" i="3"/>
  <c r="Q236" i="3"/>
  <c r="Q200" i="3"/>
  <c r="Q195" i="3"/>
  <c r="Q191" i="3"/>
  <c r="Q185" i="3"/>
  <c r="Q182" i="3"/>
  <c r="Q178" i="3"/>
  <c r="Q176" i="3"/>
  <c r="Q175" i="3"/>
  <c r="Q139" i="3"/>
  <c r="Q138" i="3"/>
  <c r="Q134" i="3"/>
  <c r="Q131" i="3"/>
  <c r="Q125" i="3"/>
  <c r="Q119" i="3"/>
  <c r="Q118" i="3"/>
  <c r="Q90" i="3"/>
  <c r="Q81" i="3"/>
  <c r="Q82" i="3"/>
  <c r="Q80" i="3"/>
  <c r="Q65" i="3"/>
  <c r="Q60" i="3"/>
  <c r="Q59" i="3"/>
  <c r="Q38" i="3"/>
  <c r="Q34" i="3"/>
  <c r="Q32" i="3"/>
  <c r="Q11" i="3"/>
  <c r="D332" i="3"/>
  <c r="Q18" i="3"/>
  <c r="O257" i="3" l="1"/>
  <c r="O258" i="3"/>
  <c r="L235" i="3"/>
  <c r="L236" i="3"/>
  <c r="L175" i="3"/>
  <c r="L79" i="3"/>
  <c r="O58" i="3"/>
  <c r="L58" i="3"/>
  <c r="I332" i="3"/>
  <c r="I57" i="3"/>
  <c r="J32" i="3"/>
  <c r="F328" i="3"/>
  <c r="F317" i="3"/>
  <c r="F311" i="3"/>
  <c r="F303" i="3"/>
  <c r="F300" i="3"/>
  <c r="F260" i="3"/>
  <c r="F261" i="3"/>
  <c r="F246" i="3"/>
  <c r="F234" i="3"/>
  <c r="F187" i="3"/>
  <c r="F184" i="3"/>
  <c r="F181" i="3"/>
  <c r="F182" i="3"/>
  <c r="F175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17" i="3"/>
  <c r="F79" i="3"/>
  <c r="F62" i="3"/>
  <c r="F58" i="3"/>
  <c r="F8" i="3"/>
  <c r="C139" i="3"/>
  <c r="D139" i="3"/>
  <c r="E139" i="3"/>
  <c r="F139" i="3"/>
  <c r="H139" i="3"/>
  <c r="I139" i="3"/>
  <c r="J139" i="3"/>
  <c r="K139" i="3"/>
  <c r="L139" i="3"/>
  <c r="M139" i="3"/>
  <c r="N139" i="3"/>
  <c r="O139" i="3"/>
  <c r="P139" i="3"/>
  <c r="C140" i="3"/>
  <c r="D140" i="3"/>
  <c r="E140" i="3"/>
  <c r="F140" i="3"/>
  <c r="H140" i="3"/>
  <c r="I140" i="3"/>
  <c r="J140" i="3"/>
  <c r="K140" i="3"/>
  <c r="L140" i="3"/>
  <c r="M140" i="3"/>
  <c r="N140" i="3"/>
  <c r="O140" i="3"/>
  <c r="P140" i="3"/>
  <c r="C118" i="3"/>
  <c r="D118" i="3"/>
  <c r="E118" i="3"/>
  <c r="G118" i="3"/>
  <c r="H118" i="3"/>
  <c r="I118" i="3"/>
  <c r="J118" i="3"/>
  <c r="K118" i="3"/>
  <c r="L118" i="3"/>
  <c r="M118" i="3"/>
  <c r="N118" i="3"/>
  <c r="O118" i="3"/>
  <c r="P118" i="3"/>
  <c r="C119" i="3"/>
  <c r="D119" i="3"/>
  <c r="E119" i="3"/>
  <c r="H119" i="3"/>
  <c r="I119" i="3"/>
  <c r="J119" i="3"/>
  <c r="K119" i="3"/>
  <c r="L119" i="3"/>
  <c r="M119" i="3"/>
  <c r="N119" i="3"/>
  <c r="O119" i="3"/>
  <c r="P119" i="3"/>
  <c r="C120" i="3"/>
  <c r="D120" i="3"/>
  <c r="E120" i="3"/>
  <c r="G120" i="3"/>
  <c r="H120" i="3"/>
  <c r="I120" i="3"/>
  <c r="J120" i="3"/>
  <c r="K120" i="3"/>
  <c r="L120" i="3"/>
  <c r="M120" i="3"/>
  <c r="N120" i="3"/>
  <c r="O120" i="3"/>
  <c r="P120" i="3"/>
  <c r="C121" i="3"/>
  <c r="D121" i="3"/>
  <c r="E121" i="3"/>
  <c r="G121" i="3"/>
  <c r="H121" i="3"/>
  <c r="I121" i="3"/>
  <c r="J121" i="3"/>
  <c r="K121" i="3"/>
  <c r="L121" i="3"/>
  <c r="M121" i="3"/>
  <c r="N121" i="3"/>
  <c r="O121" i="3"/>
  <c r="P121" i="3"/>
  <c r="C122" i="3"/>
  <c r="D122" i="3"/>
  <c r="E122" i="3"/>
  <c r="H122" i="3"/>
  <c r="I122" i="3"/>
  <c r="J122" i="3"/>
  <c r="K122" i="3"/>
  <c r="L122" i="3"/>
  <c r="M122" i="3"/>
  <c r="N122" i="3"/>
  <c r="O122" i="3"/>
  <c r="P122" i="3"/>
  <c r="C123" i="3"/>
  <c r="D123" i="3"/>
  <c r="E123" i="3"/>
  <c r="H123" i="3"/>
  <c r="I123" i="3"/>
  <c r="J123" i="3"/>
  <c r="K123" i="3"/>
  <c r="L123" i="3"/>
  <c r="M123" i="3"/>
  <c r="N123" i="3"/>
  <c r="O123" i="3"/>
  <c r="P123" i="3"/>
  <c r="C124" i="3"/>
  <c r="D124" i="3"/>
  <c r="E124" i="3"/>
  <c r="G124" i="3"/>
  <c r="H124" i="3"/>
  <c r="I124" i="3"/>
  <c r="J124" i="3"/>
  <c r="K124" i="3"/>
  <c r="L124" i="3"/>
  <c r="M124" i="3"/>
  <c r="N124" i="3"/>
  <c r="O124" i="3"/>
  <c r="P124" i="3"/>
  <c r="C125" i="3"/>
  <c r="D125" i="3"/>
  <c r="E125" i="3"/>
  <c r="H125" i="3"/>
  <c r="I125" i="3"/>
  <c r="J125" i="3"/>
  <c r="K125" i="3"/>
  <c r="L125" i="3"/>
  <c r="M125" i="3"/>
  <c r="N125" i="3"/>
  <c r="O125" i="3"/>
  <c r="P125" i="3"/>
  <c r="C126" i="3"/>
  <c r="D126" i="3"/>
  <c r="E126" i="3"/>
  <c r="G126" i="3"/>
  <c r="H126" i="3"/>
  <c r="I126" i="3"/>
  <c r="J126" i="3"/>
  <c r="K126" i="3"/>
  <c r="L126" i="3"/>
  <c r="M126" i="3"/>
  <c r="N126" i="3"/>
  <c r="O126" i="3"/>
  <c r="P126" i="3"/>
  <c r="C127" i="3"/>
  <c r="D127" i="3"/>
  <c r="E127" i="3"/>
  <c r="H127" i="3"/>
  <c r="I127" i="3"/>
  <c r="J127" i="3"/>
  <c r="K127" i="3"/>
  <c r="L127" i="3"/>
  <c r="M127" i="3"/>
  <c r="N127" i="3"/>
  <c r="O127" i="3"/>
  <c r="P127" i="3"/>
  <c r="C128" i="3"/>
  <c r="D128" i="3"/>
  <c r="E128" i="3"/>
  <c r="G128" i="3"/>
  <c r="H128" i="3"/>
  <c r="I128" i="3"/>
  <c r="J128" i="3"/>
  <c r="K128" i="3"/>
  <c r="L128" i="3"/>
  <c r="M128" i="3"/>
  <c r="N128" i="3"/>
  <c r="O128" i="3"/>
  <c r="P128" i="3"/>
  <c r="C129" i="3"/>
  <c r="D129" i="3"/>
  <c r="E129" i="3"/>
  <c r="G129" i="3"/>
  <c r="H129" i="3"/>
  <c r="I129" i="3"/>
  <c r="J129" i="3"/>
  <c r="K129" i="3"/>
  <c r="L129" i="3"/>
  <c r="M129" i="3"/>
  <c r="N129" i="3"/>
  <c r="O129" i="3"/>
  <c r="P129" i="3"/>
  <c r="C130" i="3"/>
  <c r="D130" i="3"/>
  <c r="E130" i="3"/>
  <c r="G130" i="3"/>
  <c r="H130" i="3"/>
  <c r="I130" i="3"/>
  <c r="J130" i="3"/>
  <c r="K130" i="3"/>
  <c r="L130" i="3"/>
  <c r="M130" i="3"/>
  <c r="N130" i="3"/>
  <c r="O130" i="3"/>
  <c r="P130" i="3"/>
  <c r="C131" i="3"/>
  <c r="D131" i="3"/>
  <c r="E131" i="3"/>
  <c r="H131" i="3"/>
  <c r="I131" i="3"/>
  <c r="J131" i="3"/>
  <c r="K131" i="3"/>
  <c r="L131" i="3"/>
  <c r="M131" i="3"/>
  <c r="N131" i="3"/>
  <c r="O131" i="3"/>
  <c r="P131" i="3"/>
  <c r="C132" i="3"/>
  <c r="D132" i="3"/>
  <c r="E132" i="3"/>
  <c r="G132" i="3"/>
  <c r="H132" i="3"/>
  <c r="I132" i="3"/>
  <c r="J132" i="3"/>
  <c r="K132" i="3"/>
  <c r="L132" i="3"/>
  <c r="M132" i="3"/>
  <c r="N132" i="3"/>
  <c r="O132" i="3"/>
  <c r="P132" i="3"/>
  <c r="C133" i="3"/>
  <c r="D133" i="3"/>
  <c r="E133" i="3"/>
  <c r="G133" i="3"/>
  <c r="H133" i="3"/>
  <c r="I133" i="3"/>
  <c r="J133" i="3"/>
  <c r="K133" i="3"/>
  <c r="L133" i="3"/>
  <c r="M133" i="3"/>
  <c r="N133" i="3"/>
  <c r="O133" i="3"/>
  <c r="P133" i="3"/>
  <c r="C134" i="3"/>
  <c r="D134" i="3"/>
  <c r="E134" i="3"/>
  <c r="G134" i="3"/>
  <c r="H134" i="3"/>
  <c r="I134" i="3"/>
  <c r="J134" i="3"/>
  <c r="K134" i="3"/>
  <c r="L134" i="3"/>
  <c r="M134" i="3"/>
  <c r="N134" i="3"/>
  <c r="O134" i="3"/>
  <c r="P134" i="3"/>
  <c r="P236" i="3"/>
  <c r="L82" i="3"/>
  <c r="L73" i="3"/>
  <c r="L59" i="3"/>
  <c r="L61" i="3"/>
  <c r="L63" i="3"/>
  <c r="L68" i="3"/>
  <c r="L69" i="3"/>
  <c r="P260" i="3"/>
  <c r="O260" i="3"/>
  <c r="N260" i="3"/>
  <c r="M260" i="3"/>
  <c r="L260" i="3"/>
  <c r="K260" i="3"/>
  <c r="N195" i="3"/>
  <c r="M195" i="3"/>
  <c r="L195" i="3"/>
  <c r="K195" i="3"/>
  <c r="N90" i="3"/>
  <c r="N84" i="3"/>
  <c r="L333" i="3" l="1"/>
  <c r="K333" i="3"/>
  <c r="N329" i="3"/>
  <c r="N330" i="3"/>
  <c r="N331" i="3"/>
  <c r="N332" i="3"/>
  <c r="O328" i="3"/>
  <c r="K328" i="3"/>
  <c r="L327" i="3"/>
  <c r="L328" i="3"/>
  <c r="N325" i="3"/>
  <c r="N326" i="3"/>
  <c r="N324" i="3"/>
  <c r="L324" i="3"/>
  <c r="L322" i="3"/>
  <c r="L323" i="3"/>
  <c r="L317" i="3"/>
  <c r="N317" i="3"/>
  <c r="N321" i="3"/>
  <c r="N316" i="3"/>
  <c r="L313" i="3"/>
  <c r="O311" i="3"/>
  <c r="K311" i="3"/>
  <c r="J311" i="3"/>
  <c r="N308" i="3"/>
  <c r="N309" i="3"/>
  <c r="N310" i="3"/>
  <c r="L309" i="3"/>
  <c r="L310" i="3"/>
  <c r="L311" i="3"/>
  <c r="L312" i="3"/>
  <c r="N303" i="3"/>
  <c r="N304" i="3"/>
  <c r="N305" i="3"/>
  <c r="N306" i="3"/>
  <c r="N307" i="3"/>
  <c r="L302" i="3"/>
  <c r="L303" i="3"/>
  <c r="N300" i="3"/>
  <c r="N301" i="3"/>
  <c r="L300" i="3"/>
  <c r="L299" i="3"/>
  <c r="N263" i="3"/>
  <c r="N264" i="3"/>
  <c r="N265" i="3"/>
  <c r="N266" i="3"/>
  <c r="N262" i="3"/>
  <c r="L257" i="3"/>
  <c r="N254" i="3"/>
  <c r="N255" i="3"/>
  <c r="N256" i="3"/>
  <c r="N250" i="3"/>
  <c r="L248" i="3"/>
  <c r="N244" i="3"/>
  <c r="N245" i="3"/>
  <c r="N246" i="3"/>
  <c r="N247" i="3"/>
  <c r="L245" i="3"/>
  <c r="N241" i="3"/>
  <c r="N242" i="3"/>
  <c r="N243" i="3"/>
  <c r="L243" i="3"/>
  <c r="L240" i="3"/>
  <c r="N235" i="3"/>
  <c r="N236" i="3"/>
  <c r="N237" i="3"/>
  <c r="N238" i="3"/>
  <c r="N239" i="3"/>
  <c r="M236" i="3"/>
  <c r="L237" i="3"/>
  <c r="L238" i="3"/>
  <c r="K234" i="3"/>
  <c r="L234" i="3"/>
  <c r="N205" i="3"/>
  <c r="N202" i="3"/>
  <c r="L203" i="3"/>
  <c r="L204" i="3"/>
  <c r="L200" i="3"/>
  <c r="L201" i="3"/>
  <c r="L197" i="3"/>
  <c r="N190" i="3"/>
  <c r="N191" i="3"/>
  <c r="N196" i="3"/>
  <c r="N197" i="3"/>
  <c r="N198" i="3"/>
  <c r="L190" i="3"/>
  <c r="L191" i="3"/>
  <c r="L196" i="3"/>
  <c r="L189" i="3"/>
  <c r="N187" i="3"/>
  <c r="N188" i="3"/>
  <c r="L185" i="3"/>
  <c r="L186" i="3"/>
  <c r="L187" i="3"/>
  <c r="L188" i="3"/>
  <c r="L179" i="3"/>
  <c r="L180" i="3"/>
  <c r="O174" i="3"/>
  <c r="O175" i="3"/>
  <c r="K175" i="3"/>
  <c r="L174" i="3"/>
  <c r="L176" i="3"/>
  <c r="L173" i="3"/>
  <c r="N138" i="3"/>
  <c r="L138" i="3"/>
  <c r="N117" i="3"/>
  <c r="L90" i="3"/>
  <c r="L87" i="3"/>
  <c r="N88" i="3"/>
  <c r="N89" i="3"/>
  <c r="N86" i="3"/>
  <c r="N85" i="3"/>
  <c r="N83" i="3"/>
  <c r="N81" i="3"/>
  <c r="N74" i="3"/>
  <c r="N75" i="3"/>
  <c r="N79" i="3"/>
  <c r="N80" i="3"/>
  <c r="N70" i="3"/>
  <c r="N71" i="3"/>
  <c r="N72" i="3"/>
  <c r="N66" i="3"/>
  <c r="N67" i="3"/>
  <c r="N64" i="3"/>
  <c r="N62" i="3"/>
  <c r="N60" i="3"/>
  <c r="N58" i="3"/>
  <c r="M29" i="3"/>
  <c r="M30" i="3"/>
  <c r="M31" i="3"/>
  <c r="N37" i="3"/>
  <c r="N38" i="3"/>
  <c r="N33" i="3"/>
  <c r="N34" i="3"/>
  <c r="N35" i="3"/>
  <c r="L34" i="3"/>
  <c r="L29" i="3"/>
  <c r="L30" i="3"/>
  <c r="L31" i="3"/>
  <c r="N28" i="3"/>
  <c r="N29" i="3"/>
  <c r="N30" i="3"/>
  <c r="N31" i="3"/>
  <c r="N27" i="3"/>
  <c r="N18" i="3"/>
  <c r="N19" i="3"/>
  <c r="N20" i="3"/>
  <c r="N21" i="3"/>
  <c r="N22" i="3"/>
  <c r="N26" i="3"/>
  <c r="L12" i="3"/>
  <c r="N12" i="3"/>
  <c r="N13" i="3"/>
  <c r="N14" i="3"/>
  <c r="N15" i="3"/>
  <c r="N16" i="3"/>
  <c r="N10" i="3"/>
  <c r="N7" i="3"/>
  <c r="N8" i="3"/>
  <c r="N6" i="3"/>
  <c r="F34" i="3"/>
  <c r="J254" i="3"/>
  <c r="AM32" i="2"/>
  <c r="AN32" i="2"/>
  <c r="AO32" i="2"/>
  <c r="AP32" i="2"/>
  <c r="AM33" i="2"/>
  <c r="AN33" i="2"/>
  <c r="AO33" i="2"/>
  <c r="AP33" i="2"/>
  <c r="AM34" i="2"/>
  <c r="AN34" i="2"/>
  <c r="AO34" i="2"/>
  <c r="AP34" i="2"/>
  <c r="AM35" i="2"/>
  <c r="AN35" i="2"/>
  <c r="AO35" i="2"/>
  <c r="AP35" i="2"/>
  <c r="AM36" i="2"/>
  <c r="AN36" i="2"/>
  <c r="AO36" i="2"/>
  <c r="AP36" i="2"/>
  <c r="AM37" i="2"/>
  <c r="AN37" i="2"/>
  <c r="AO37" i="2"/>
  <c r="AP37" i="2"/>
  <c r="AM38" i="2"/>
  <c r="AN38" i="2"/>
  <c r="AO38" i="2"/>
  <c r="AP38" i="2"/>
  <c r="AM39" i="2"/>
  <c r="AN39" i="2"/>
  <c r="AO39" i="2"/>
  <c r="AP39" i="2"/>
  <c r="AM40" i="2"/>
  <c r="AN40" i="2"/>
  <c r="AO40" i="2"/>
  <c r="AP40" i="2"/>
  <c r="AM41" i="2"/>
  <c r="AN41" i="2"/>
  <c r="AO41" i="2"/>
  <c r="AP41" i="2"/>
  <c r="AM42" i="2"/>
  <c r="AN42" i="2"/>
  <c r="AO42" i="2"/>
  <c r="AP42" i="2"/>
  <c r="AM43" i="2"/>
  <c r="AN43" i="2"/>
  <c r="AO43" i="2"/>
  <c r="AP43" i="2"/>
  <c r="AM44" i="2"/>
  <c r="AN44" i="2"/>
  <c r="AO44" i="2"/>
  <c r="AP44" i="2"/>
  <c r="AM45" i="2"/>
  <c r="AN45" i="2"/>
  <c r="AO45" i="2"/>
  <c r="AP45" i="2"/>
  <c r="AM46" i="2"/>
  <c r="AN46" i="2"/>
  <c r="AO46" i="2"/>
  <c r="AP46" i="2"/>
  <c r="AM47" i="2"/>
  <c r="AN47" i="2"/>
  <c r="AO47" i="2"/>
  <c r="AP47" i="2"/>
  <c r="AM48" i="2"/>
  <c r="AN48" i="2"/>
  <c r="AO48" i="2"/>
  <c r="AP48" i="2"/>
  <c r="AM49" i="2"/>
  <c r="AN49" i="2"/>
  <c r="AO49" i="2"/>
  <c r="AP49" i="2"/>
  <c r="AM50" i="2"/>
  <c r="AN50" i="2"/>
  <c r="AO50" i="2"/>
  <c r="AP50" i="2"/>
  <c r="AM51" i="2"/>
  <c r="AN51" i="2"/>
  <c r="AO51" i="2"/>
  <c r="AP51" i="2"/>
  <c r="AM52" i="2"/>
  <c r="AN52" i="2"/>
  <c r="AO52" i="2"/>
  <c r="AP52" i="2"/>
  <c r="AM53" i="2"/>
  <c r="AN53" i="2"/>
  <c r="AO53" i="2"/>
  <c r="AP53" i="2"/>
  <c r="AM54" i="2"/>
  <c r="AN54" i="2"/>
  <c r="AO54" i="2"/>
  <c r="AP54" i="2"/>
  <c r="AM55" i="2"/>
  <c r="AN55" i="2"/>
  <c r="AO55" i="2"/>
  <c r="AP55" i="2"/>
  <c r="AM56" i="2"/>
  <c r="AN56" i="2"/>
  <c r="AO56" i="2"/>
  <c r="AP56" i="2"/>
  <c r="AM57" i="2"/>
  <c r="AN57" i="2"/>
  <c r="AO57" i="2"/>
  <c r="AP57" i="2"/>
  <c r="AM58" i="2"/>
  <c r="AN58" i="2"/>
  <c r="AO58" i="2"/>
  <c r="AP58" i="2"/>
  <c r="AM59" i="2"/>
  <c r="AN59" i="2"/>
  <c r="AO59" i="2"/>
  <c r="AP59" i="2"/>
  <c r="AM60" i="2"/>
  <c r="AN60" i="2"/>
  <c r="AO60" i="2"/>
  <c r="AP60" i="2"/>
  <c r="AM61" i="2"/>
  <c r="AN61" i="2"/>
  <c r="AO61" i="2"/>
  <c r="AP61" i="2"/>
  <c r="AM62" i="2"/>
  <c r="AN62" i="2"/>
  <c r="AO62" i="2"/>
  <c r="AP62" i="2"/>
  <c r="AM63" i="2"/>
  <c r="AN63" i="2"/>
  <c r="AO63" i="2"/>
  <c r="AP63" i="2"/>
  <c r="AM248" i="2"/>
  <c r="AN248" i="2"/>
  <c r="AO248" i="2"/>
  <c r="AP248" i="2"/>
  <c r="AG32" i="2"/>
  <c r="AH32" i="2"/>
  <c r="AI32" i="2"/>
  <c r="AJ32" i="2"/>
  <c r="AK32" i="2"/>
  <c r="AL32" i="2"/>
  <c r="AG33" i="2"/>
  <c r="AH33" i="2"/>
  <c r="AI33" i="2"/>
  <c r="AJ33" i="2"/>
  <c r="AK33" i="2"/>
  <c r="AL33" i="2"/>
  <c r="AG34" i="2"/>
  <c r="AH34" i="2"/>
  <c r="AI34" i="2"/>
  <c r="AJ34" i="2"/>
  <c r="AK34" i="2"/>
  <c r="AL34" i="2"/>
  <c r="AG35" i="2"/>
  <c r="AH35" i="2"/>
  <c r="AI35" i="2"/>
  <c r="AJ35" i="2"/>
  <c r="AK35" i="2"/>
  <c r="AL35" i="2"/>
  <c r="AG36" i="2"/>
  <c r="AH36" i="2"/>
  <c r="AI36" i="2"/>
  <c r="AJ36" i="2"/>
  <c r="AK36" i="2"/>
  <c r="AL36" i="2"/>
  <c r="AG37" i="2"/>
  <c r="AH37" i="2"/>
  <c r="AI37" i="2"/>
  <c r="AJ37" i="2"/>
  <c r="AK37" i="2"/>
  <c r="AL37" i="2"/>
  <c r="AG38" i="2"/>
  <c r="AH38" i="2"/>
  <c r="AI38" i="2"/>
  <c r="AJ38" i="2"/>
  <c r="AK38" i="2"/>
  <c r="AL38" i="2"/>
  <c r="AG39" i="2"/>
  <c r="AH39" i="2"/>
  <c r="AI39" i="2"/>
  <c r="AJ39" i="2"/>
  <c r="AK39" i="2"/>
  <c r="AL39" i="2"/>
  <c r="AG40" i="2"/>
  <c r="AH40" i="2"/>
  <c r="AI40" i="2"/>
  <c r="AJ40" i="2"/>
  <c r="AK40" i="2"/>
  <c r="AL40" i="2"/>
  <c r="AG41" i="2"/>
  <c r="AH41" i="2"/>
  <c r="AI41" i="2"/>
  <c r="AJ41" i="2"/>
  <c r="AK41" i="2"/>
  <c r="AL41" i="2"/>
  <c r="AG42" i="2"/>
  <c r="AH42" i="2"/>
  <c r="AI42" i="2"/>
  <c r="AJ42" i="2"/>
  <c r="AK42" i="2"/>
  <c r="AL42" i="2"/>
  <c r="AG43" i="2"/>
  <c r="AH43" i="2"/>
  <c r="AI43" i="2"/>
  <c r="AJ43" i="2"/>
  <c r="AK43" i="2"/>
  <c r="AL43" i="2"/>
  <c r="AG44" i="2"/>
  <c r="AH44" i="2"/>
  <c r="AI44" i="2"/>
  <c r="AJ44" i="2"/>
  <c r="AK44" i="2"/>
  <c r="AL44" i="2"/>
  <c r="AG45" i="2"/>
  <c r="AH45" i="2"/>
  <c r="AI45" i="2"/>
  <c r="AJ45" i="2"/>
  <c r="AK45" i="2"/>
  <c r="AL45" i="2"/>
  <c r="AG46" i="2"/>
  <c r="AH46" i="2"/>
  <c r="AI46" i="2"/>
  <c r="AJ46" i="2"/>
  <c r="AK46" i="2"/>
  <c r="AL46" i="2"/>
  <c r="AG47" i="2"/>
  <c r="AH47" i="2"/>
  <c r="AI47" i="2"/>
  <c r="AJ47" i="2"/>
  <c r="AK47" i="2"/>
  <c r="AL47" i="2"/>
  <c r="AG48" i="2"/>
  <c r="AH48" i="2"/>
  <c r="AI48" i="2"/>
  <c r="AJ48" i="2"/>
  <c r="AK48" i="2"/>
  <c r="AL48" i="2"/>
  <c r="AG49" i="2"/>
  <c r="AH49" i="2"/>
  <c r="AI49" i="2"/>
  <c r="AJ49" i="2"/>
  <c r="AK49" i="2"/>
  <c r="AL49" i="2"/>
  <c r="AG50" i="2"/>
  <c r="AH50" i="2"/>
  <c r="AI50" i="2"/>
  <c r="AJ50" i="2"/>
  <c r="AK50" i="2"/>
  <c r="AL50" i="2"/>
  <c r="AG51" i="2"/>
  <c r="AH51" i="2"/>
  <c r="AI51" i="2"/>
  <c r="AJ51" i="2"/>
  <c r="AK51" i="2"/>
  <c r="AL51" i="2"/>
  <c r="AG52" i="2"/>
  <c r="AH52" i="2"/>
  <c r="AI52" i="2"/>
  <c r="AJ52" i="2"/>
  <c r="AK52" i="2"/>
  <c r="AL52" i="2"/>
  <c r="AG53" i="2"/>
  <c r="AH53" i="2"/>
  <c r="AI53" i="2"/>
  <c r="AJ53" i="2"/>
  <c r="AK53" i="2"/>
  <c r="AL53" i="2"/>
  <c r="AG54" i="2"/>
  <c r="AH54" i="2"/>
  <c r="AI54" i="2"/>
  <c r="AJ54" i="2"/>
  <c r="AK54" i="2"/>
  <c r="AL54" i="2"/>
  <c r="AG55" i="2"/>
  <c r="AH55" i="2"/>
  <c r="AI55" i="2"/>
  <c r="AJ55" i="2"/>
  <c r="AK55" i="2"/>
  <c r="AL55" i="2"/>
  <c r="AG56" i="2"/>
  <c r="AH56" i="2"/>
  <c r="AI56" i="2"/>
  <c r="AJ56" i="2"/>
  <c r="AK56" i="2"/>
  <c r="AL56" i="2"/>
  <c r="AG57" i="2"/>
  <c r="AH57" i="2"/>
  <c r="AI57" i="2"/>
  <c r="AJ57" i="2"/>
  <c r="AK57" i="2"/>
  <c r="AL57" i="2"/>
  <c r="AG58" i="2"/>
  <c r="AH58" i="2"/>
  <c r="AI58" i="2"/>
  <c r="AJ58" i="2"/>
  <c r="AK58" i="2"/>
  <c r="AL58" i="2"/>
  <c r="AG59" i="2"/>
  <c r="AH59" i="2"/>
  <c r="AI59" i="2"/>
  <c r="AJ59" i="2"/>
  <c r="AK59" i="2"/>
  <c r="AL59" i="2"/>
  <c r="AG60" i="2"/>
  <c r="AH60" i="2"/>
  <c r="AI60" i="2"/>
  <c r="AJ60" i="2"/>
  <c r="AK60" i="2"/>
  <c r="AL60" i="2"/>
  <c r="AG61" i="2"/>
  <c r="AH61" i="2"/>
  <c r="AI61" i="2"/>
  <c r="AJ61" i="2"/>
  <c r="AK61" i="2"/>
  <c r="AL61" i="2"/>
  <c r="AG62" i="2"/>
  <c r="AH62" i="2"/>
  <c r="AI62" i="2"/>
  <c r="AJ62" i="2"/>
  <c r="AK62" i="2"/>
  <c r="AL62" i="2"/>
  <c r="AG63" i="2"/>
  <c r="AH63" i="2"/>
  <c r="AI63" i="2"/>
  <c r="AJ63" i="2"/>
  <c r="AK63" i="2"/>
  <c r="AL63" i="2"/>
  <c r="AG248" i="2"/>
  <c r="AH248" i="2"/>
  <c r="AI248" i="2"/>
  <c r="AJ248" i="2"/>
  <c r="AK248" i="2"/>
  <c r="AL248" i="2"/>
  <c r="AA32" i="2"/>
  <c r="AB32" i="2"/>
  <c r="AC32" i="2"/>
  <c r="AD32" i="2"/>
  <c r="AE32" i="2"/>
  <c r="AF32" i="2"/>
  <c r="AA33" i="2"/>
  <c r="AB33" i="2"/>
  <c r="AC33" i="2"/>
  <c r="AD33" i="2"/>
  <c r="AE33" i="2"/>
  <c r="AF33" i="2"/>
  <c r="AA34" i="2"/>
  <c r="AB34" i="2"/>
  <c r="AC34" i="2"/>
  <c r="AD34" i="2"/>
  <c r="AE34" i="2"/>
  <c r="AF34" i="2"/>
  <c r="AA35" i="2"/>
  <c r="AB35" i="2"/>
  <c r="AC35" i="2"/>
  <c r="AD35" i="2"/>
  <c r="AE35" i="2"/>
  <c r="AF35" i="2"/>
  <c r="AA36" i="2"/>
  <c r="AB36" i="2"/>
  <c r="AC36" i="2"/>
  <c r="AD36" i="2"/>
  <c r="AE36" i="2"/>
  <c r="AF36" i="2"/>
  <c r="AA37" i="2"/>
  <c r="AB37" i="2"/>
  <c r="AC37" i="2"/>
  <c r="AD37" i="2"/>
  <c r="AE37" i="2"/>
  <c r="AF37" i="2"/>
  <c r="AA38" i="2"/>
  <c r="AB38" i="2"/>
  <c r="AC38" i="2"/>
  <c r="AD38" i="2"/>
  <c r="AE38" i="2"/>
  <c r="AF38" i="2"/>
  <c r="AA39" i="2"/>
  <c r="AB39" i="2"/>
  <c r="AC39" i="2"/>
  <c r="AD39" i="2"/>
  <c r="AE39" i="2"/>
  <c r="AF39" i="2"/>
  <c r="AA40" i="2"/>
  <c r="AB40" i="2"/>
  <c r="AC40" i="2"/>
  <c r="AD40" i="2"/>
  <c r="AE40" i="2"/>
  <c r="AF40" i="2"/>
  <c r="AA41" i="2"/>
  <c r="AB41" i="2"/>
  <c r="AC41" i="2"/>
  <c r="AD41" i="2"/>
  <c r="AE41" i="2"/>
  <c r="AF41" i="2"/>
  <c r="AA42" i="2"/>
  <c r="AB42" i="2"/>
  <c r="AC42" i="2"/>
  <c r="AD42" i="2"/>
  <c r="AE42" i="2"/>
  <c r="AF42" i="2"/>
  <c r="AA43" i="2"/>
  <c r="AB43" i="2"/>
  <c r="AC43" i="2"/>
  <c r="AD43" i="2"/>
  <c r="AE43" i="2"/>
  <c r="AF43" i="2"/>
  <c r="AA44" i="2"/>
  <c r="AB44" i="2"/>
  <c r="AC44" i="2"/>
  <c r="AD44" i="2"/>
  <c r="AE44" i="2"/>
  <c r="AF44" i="2"/>
  <c r="AA45" i="2"/>
  <c r="AB45" i="2"/>
  <c r="AC45" i="2"/>
  <c r="AD45" i="2"/>
  <c r="AE45" i="2"/>
  <c r="AF45" i="2"/>
  <c r="AA46" i="2"/>
  <c r="AB46" i="2"/>
  <c r="AC46" i="2"/>
  <c r="AD46" i="2"/>
  <c r="AE46" i="2"/>
  <c r="AF46" i="2"/>
  <c r="AA47" i="2"/>
  <c r="AB47" i="2"/>
  <c r="AC47" i="2"/>
  <c r="AD47" i="2"/>
  <c r="AE47" i="2"/>
  <c r="AF47" i="2"/>
  <c r="AA48" i="2"/>
  <c r="AB48" i="2"/>
  <c r="AC48" i="2"/>
  <c r="AD48" i="2"/>
  <c r="AE48" i="2"/>
  <c r="AF48" i="2"/>
  <c r="AA49" i="2"/>
  <c r="AB49" i="2"/>
  <c r="AC49" i="2"/>
  <c r="AD49" i="2"/>
  <c r="AE49" i="2"/>
  <c r="AF49" i="2"/>
  <c r="AA50" i="2"/>
  <c r="AB50" i="2"/>
  <c r="AC50" i="2"/>
  <c r="AD50" i="2"/>
  <c r="AE50" i="2"/>
  <c r="AF50" i="2"/>
  <c r="AA51" i="2"/>
  <c r="AB51" i="2"/>
  <c r="AC51" i="2"/>
  <c r="AD51" i="2"/>
  <c r="AE51" i="2"/>
  <c r="AF51" i="2"/>
  <c r="AA52" i="2"/>
  <c r="AB52" i="2"/>
  <c r="AC52" i="2"/>
  <c r="AD52" i="2"/>
  <c r="AE52" i="2"/>
  <c r="AF52" i="2"/>
  <c r="AA53" i="2"/>
  <c r="AB53" i="2"/>
  <c r="AC53" i="2"/>
  <c r="AD53" i="2"/>
  <c r="AE53" i="2"/>
  <c r="AF53" i="2"/>
  <c r="AA54" i="2"/>
  <c r="AB54" i="2"/>
  <c r="AC54" i="2"/>
  <c r="AD54" i="2"/>
  <c r="AE54" i="2"/>
  <c r="AF54" i="2"/>
  <c r="AA55" i="2"/>
  <c r="AB55" i="2"/>
  <c r="AC55" i="2"/>
  <c r="AD55" i="2"/>
  <c r="AE55" i="2"/>
  <c r="AF55" i="2"/>
  <c r="AA56" i="2"/>
  <c r="AB56" i="2"/>
  <c r="AC56" i="2"/>
  <c r="AD56" i="2"/>
  <c r="AE56" i="2"/>
  <c r="AF56" i="2"/>
  <c r="AA57" i="2"/>
  <c r="AB57" i="2"/>
  <c r="AC57" i="2"/>
  <c r="AD57" i="2"/>
  <c r="AE57" i="2"/>
  <c r="AF57" i="2"/>
  <c r="AA58" i="2"/>
  <c r="AB58" i="2"/>
  <c r="AC58" i="2"/>
  <c r="AD58" i="2"/>
  <c r="AE58" i="2"/>
  <c r="AF58" i="2"/>
  <c r="AA59" i="2"/>
  <c r="AB59" i="2"/>
  <c r="AC59" i="2"/>
  <c r="AD59" i="2"/>
  <c r="AE59" i="2"/>
  <c r="AF59" i="2"/>
  <c r="AA60" i="2"/>
  <c r="AB60" i="2"/>
  <c r="AC60" i="2"/>
  <c r="AD60" i="2"/>
  <c r="AE60" i="2"/>
  <c r="AF60" i="2"/>
  <c r="AA61" i="2"/>
  <c r="AB61" i="2"/>
  <c r="AC61" i="2"/>
  <c r="AD61" i="2"/>
  <c r="AE61" i="2"/>
  <c r="AF61" i="2"/>
  <c r="AA62" i="2"/>
  <c r="AB62" i="2"/>
  <c r="AC62" i="2"/>
  <c r="AD62" i="2"/>
  <c r="AE62" i="2"/>
  <c r="AF62" i="2"/>
  <c r="AA63" i="2"/>
  <c r="AB63" i="2"/>
  <c r="AC63" i="2"/>
  <c r="AD63" i="2"/>
  <c r="AE63" i="2"/>
  <c r="AF63" i="2"/>
  <c r="AA248" i="2"/>
  <c r="AB248" i="2"/>
  <c r="AC248" i="2"/>
  <c r="AD248" i="2"/>
  <c r="AE248" i="2"/>
  <c r="AF248" i="2"/>
  <c r="V32" i="2"/>
  <c r="W32" i="2"/>
  <c r="X32" i="2"/>
  <c r="Y32" i="2"/>
  <c r="Z32" i="2"/>
  <c r="V33" i="2"/>
  <c r="W33" i="2"/>
  <c r="X33" i="2"/>
  <c r="Y33" i="2"/>
  <c r="Z33" i="2"/>
  <c r="V34" i="2"/>
  <c r="W34" i="2"/>
  <c r="X34" i="2"/>
  <c r="Y34" i="2"/>
  <c r="Z34" i="2"/>
  <c r="V35" i="2"/>
  <c r="W35" i="2"/>
  <c r="X35" i="2"/>
  <c r="Y35" i="2"/>
  <c r="Z35" i="2"/>
  <c r="V36" i="2"/>
  <c r="W36" i="2"/>
  <c r="X36" i="2"/>
  <c r="Y36" i="2"/>
  <c r="Z36" i="2"/>
  <c r="V37" i="2"/>
  <c r="W37" i="2"/>
  <c r="X37" i="2"/>
  <c r="Y37" i="2"/>
  <c r="Z37" i="2"/>
  <c r="V38" i="2"/>
  <c r="W38" i="2"/>
  <c r="X38" i="2"/>
  <c r="Y38" i="2"/>
  <c r="Z38" i="2"/>
  <c r="V39" i="2"/>
  <c r="W39" i="2"/>
  <c r="X39" i="2"/>
  <c r="Y39" i="2"/>
  <c r="Z39" i="2"/>
  <c r="V40" i="2"/>
  <c r="W40" i="2"/>
  <c r="X40" i="2"/>
  <c r="Y40" i="2"/>
  <c r="Z40" i="2"/>
  <c r="V41" i="2"/>
  <c r="W41" i="2"/>
  <c r="X41" i="2"/>
  <c r="Y41" i="2"/>
  <c r="Z41" i="2"/>
  <c r="V42" i="2"/>
  <c r="W42" i="2"/>
  <c r="X42" i="2"/>
  <c r="Y42" i="2"/>
  <c r="Z42" i="2"/>
  <c r="V43" i="2"/>
  <c r="W43" i="2"/>
  <c r="X43" i="2"/>
  <c r="Y43" i="2"/>
  <c r="Z43" i="2"/>
  <c r="V44" i="2"/>
  <c r="W44" i="2"/>
  <c r="X44" i="2"/>
  <c r="Y44" i="2"/>
  <c r="Z44" i="2"/>
  <c r="V45" i="2"/>
  <c r="W45" i="2"/>
  <c r="X45" i="2"/>
  <c r="Y45" i="2"/>
  <c r="Z45" i="2"/>
  <c r="V46" i="2"/>
  <c r="W46" i="2"/>
  <c r="X46" i="2"/>
  <c r="Y46" i="2"/>
  <c r="Z46" i="2"/>
  <c r="V47" i="2"/>
  <c r="W47" i="2"/>
  <c r="X47" i="2"/>
  <c r="Y47" i="2"/>
  <c r="Z47" i="2"/>
  <c r="V48" i="2"/>
  <c r="W48" i="2"/>
  <c r="X48" i="2"/>
  <c r="Y48" i="2"/>
  <c r="Z48" i="2"/>
  <c r="V49" i="2"/>
  <c r="W49" i="2"/>
  <c r="X49" i="2"/>
  <c r="Y49" i="2"/>
  <c r="Z49" i="2"/>
  <c r="V50" i="2"/>
  <c r="W50" i="2"/>
  <c r="X50" i="2"/>
  <c r="Y50" i="2"/>
  <c r="Z50" i="2"/>
  <c r="V51" i="2"/>
  <c r="W51" i="2"/>
  <c r="X51" i="2"/>
  <c r="Y51" i="2"/>
  <c r="Z51" i="2"/>
  <c r="V52" i="2"/>
  <c r="W52" i="2"/>
  <c r="X52" i="2"/>
  <c r="Y52" i="2"/>
  <c r="Z52" i="2"/>
  <c r="V53" i="2"/>
  <c r="W53" i="2"/>
  <c r="X53" i="2"/>
  <c r="Y53" i="2"/>
  <c r="Z53" i="2"/>
  <c r="V54" i="2"/>
  <c r="W54" i="2"/>
  <c r="X54" i="2"/>
  <c r="Y54" i="2"/>
  <c r="Z54" i="2"/>
  <c r="V55" i="2"/>
  <c r="W55" i="2"/>
  <c r="X55" i="2"/>
  <c r="Y55" i="2"/>
  <c r="Z55" i="2"/>
  <c r="V56" i="2"/>
  <c r="W56" i="2"/>
  <c r="X56" i="2"/>
  <c r="Y56" i="2"/>
  <c r="Z56" i="2"/>
  <c r="V57" i="2"/>
  <c r="W57" i="2"/>
  <c r="X57" i="2"/>
  <c r="Y57" i="2"/>
  <c r="Z57" i="2"/>
  <c r="V58" i="2"/>
  <c r="W58" i="2"/>
  <c r="X58" i="2"/>
  <c r="Y58" i="2"/>
  <c r="Z58" i="2"/>
  <c r="V59" i="2"/>
  <c r="W59" i="2"/>
  <c r="X59" i="2"/>
  <c r="Y59" i="2"/>
  <c r="Z59" i="2"/>
  <c r="V60" i="2"/>
  <c r="W60" i="2"/>
  <c r="X60" i="2"/>
  <c r="Y60" i="2"/>
  <c r="Z60" i="2"/>
  <c r="V61" i="2"/>
  <c r="W61" i="2"/>
  <c r="X61" i="2"/>
  <c r="Y61" i="2"/>
  <c r="Z61" i="2"/>
  <c r="V62" i="2"/>
  <c r="W62" i="2"/>
  <c r="X62" i="2"/>
  <c r="Y62" i="2"/>
  <c r="Z62" i="2"/>
  <c r="V63" i="2"/>
  <c r="W63" i="2"/>
  <c r="X63" i="2"/>
  <c r="Y63" i="2"/>
  <c r="Z63" i="2"/>
  <c r="V248" i="2"/>
  <c r="W248" i="2"/>
  <c r="X248" i="2"/>
  <c r="Y248" i="2"/>
  <c r="Z248" i="2"/>
  <c r="R32" i="2"/>
  <c r="S32" i="2"/>
  <c r="T32" i="2"/>
  <c r="U32" i="2"/>
  <c r="R33" i="2"/>
  <c r="S33" i="2"/>
  <c r="T33" i="2"/>
  <c r="U33" i="2"/>
  <c r="R34" i="2"/>
  <c r="S34" i="2"/>
  <c r="T34" i="2"/>
  <c r="U34" i="2"/>
  <c r="R35" i="2"/>
  <c r="S35" i="2"/>
  <c r="T35" i="2"/>
  <c r="U35" i="2"/>
  <c r="R36" i="2"/>
  <c r="S36" i="2"/>
  <c r="T36" i="2"/>
  <c r="U36" i="2"/>
  <c r="R37" i="2"/>
  <c r="S37" i="2"/>
  <c r="T37" i="2"/>
  <c r="U37" i="2"/>
  <c r="R38" i="2"/>
  <c r="S38" i="2"/>
  <c r="T38" i="2"/>
  <c r="U38" i="2"/>
  <c r="R39" i="2"/>
  <c r="S39" i="2"/>
  <c r="T39" i="2"/>
  <c r="U39" i="2"/>
  <c r="R40" i="2"/>
  <c r="S40" i="2"/>
  <c r="T40" i="2"/>
  <c r="U40" i="2"/>
  <c r="R41" i="2"/>
  <c r="S41" i="2"/>
  <c r="T41" i="2"/>
  <c r="U41" i="2"/>
  <c r="R42" i="2"/>
  <c r="S42" i="2"/>
  <c r="T42" i="2"/>
  <c r="U42" i="2"/>
  <c r="R43" i="2"/>
  <c r="S43" i="2"/>
  <c r="T43" i="2"/>
  <c r="U43" i="2"/>
  <c r="R44" i="2"/>
  <c r="S44" i="2"/>
  <c r="T44" i="2"/>
  <c r="U44" i="2"/>
  <c r="R45" i="2"/>
  <c r="S45" i="2"/>
  <c r="T45" i="2"/>
  <c r="U45" i="2"/>
  <c r="R46" i="2"/>
  <c r="S46" i="2"/>
  <c r="T46" i="2"/>
  <c r="U46" i="2"/>
  <c r="R47" i="2"/>
  <c r="S47" i="2"/>
  <c r="T47" i="2"/>
  <c r="U47" i="2"/>
  <c r="R48" i="2"/>
  <c r="S48" i="2"/>
  <c r="T48" i="2"/>
  <c r="U48" i="2"/>
  <c r="R49" i="2"/>
  <c r="S49" i="2"/>
  <c r="T49" i="2"/>
  <c r="U49" i="2"/>
  <c r="R50" i="2"/>
  <c r="S50" i="2"/>
  <c r="T50" i="2"/>
  <c r="U50" i="2"/>
  <c r="R51" i="2"/>
  <c r="S51" i="2"/>
  <c r="T51" i="2"/>
  <c r="U51" i="2"/>
  <c r="R52" i="2"/>
  <c r="S52" i="2"/>
  <c r="T52" i="2"/>
  <c r="U52" i="2"/>
  <c r="R53" i="2"/>
  <c r="S53" i="2"/>
  <c r="T53" i="2"/>
  <c r="U53" i="2"/>
  <c r="R54" i="2"/>
  <c r="S54" i="2"/>
  <c r="T54" i="2"/>
  <c r="U54" i="2"/>
  <c r="R55" i="2"/>
  <c r="S55" i="2"/>
  <c r="T55" i="2"/>
  <c r="U55" i="2"/>
  <c r="R56" i="2"/>
  <c r="S56" i="2"/>
  <c r="T56" i="2"/>
  <c r="U56" i="2"/>
  <c r="R57" i="2"/>
  <c r="S57" i="2"/>
  <c r="T57" i="2"/>
  <c r="U57" i="2"/>
  <c r="R58" i="2"/>
  <c r="S58" i="2"/>
  <c r="T58" i="2"/>
  <c r="U58" i="2"/>
  <c r="R59" i="2"/>
  <c r="S59" i="2"/>
  <c r="T59" i="2"/>
  <c r="U59" i="2"/>
  <c r="R60" i="2"/>
  <c r="S60" i="2"/>
  <c r="T60" i="2"/>
  <c r="U60" i="2"/>
  <c r="R61" i="2"/>
  <c r="S61" i="2"/>
  <c r="T61" i="2"/>
  <c r="U61" i="2"/>
  <c r="R62" i="2"/>
  <c r="S62" i="2"/>
  <c r="T62" i="2"/>
  <c r="U62" i="2"/>
  <c r="R63" i="2"/>
  <c r="S63" i="2"/>
  <c r="T63" i="2"/>
  <c r="U63" i="2"/>
  <c r="R248" i="2"/>
  <c r="S248" i="2"/>
  <c r="T248" i="2"/>
  <c r="U248" i="2"/>
  <c r="N32" i="2"/>
  <c r="O32" i="2"/>
  <c r="P32" i="2"/>
  <c r="Q32" i="2"/>
  <c r="N33" i="2"/>
  <c r="O33" i="2"/>
  <c r="P33" i="2"/>
  <c r="Q33" i="2"/>
  <c r="N34" i="2"/>
  <c r="O34" i="2"/>
  <c r="P34" i="2"/>
  <c r="Q34" i="2"/>
  <c r="N35" i="2"/>
  <c r="O35" i="2"/>
  <c r="P35" i="2"/>
  <c r="Q35" i="2"/>
  <c r="N36" i="2"/>
  <c r="O36" i="2"/>
  <c r="P36" i="2"/>
  <c r="Q36" i="2"/>
  <c r="N37" i="2"/>
  <c r="O37" i="2"/>
  <c r="P37" i="2"/>
  <c r="Q37" i="2"/>
  <c r="N38" i="2"/>
  <c r="O38" i="2"/>
  <c r="P38" i="2"/>
  <c r="Q38" i="2"/>
  <c r="N39" i="2"/>
  <c r="O39" i="2"/>
  <c r="P39" i="2"/>
  <c r="Q39" i="2"/>
  <c r="N40" i="2"/>
  <c r="O40" i="2"/>
  <c r="P40" i="2"/>
  <c r="Q40" i="2"/>
  <c r="N41" i="2"/>
  <c r="O41" i="2"/>
  <c r="P41" i="2"/>
  <c r="Q41" i="2"/>
  <c r="N42" i="2"/>
  <c r="O42" i="2"/>
  <c r="P42" i="2"/>
  <c r="Q42" i="2"/>
  <c r="N43" i="2"/>
  <c r="O43" i="2"/>
  <c r="P43" i="2"/>
  <c r="Q43" i="2"/>
  <c r="N44" i="2"/>
  <c r="O44" i="2"/>
  <c r="P44" i="2"/>
  <c r="Q44" i="2"/>
  <c r="N45" i="2"/>
  <c r="O45" i="2"/>
  <c r="P45" i="2"/>
  <c r="Q45" i="2"/>
  <c r="N46" i="2"/>
  <c r="O46" i="2"/>
  <c r="P46" i="2"/>
  <c r="Q46" i="2"/>
  <c r="N47" i="2"/>
  <c r="O47" i="2"/>
  <c r="P47" i="2"/>
  <c r="Q47" i="2"/>
  <c r="N48" i="2"/>
  <c r="O48" i="2"/>
  <c r="P48" i="2"/>
  <c r="Q48" i="2"/>
  <c r="N49" i="2"/>
  <c r="O49" i="2"/>
  <c r="P49" i="2"/>
  <c r="Q49" i="2"/>
  <c r="N50" i="2"/>
  <c r="O50" i="2"/>
  <c r="P50" i="2"/>
  <c r="Q50" i="2"/>
  <c r="N51" i="2"/>
  <c r="O51" i="2"/>
  <c r="P51" i="2"/>
  <c r="Q51" i="2"/>
  <c r="N52" i="2"/>
  <c r="O52" i="2"/>
  <c r="P52" i="2"/>
  <c r="Q52" i="2"/>
  <c r="N53" i="2"/>
  <c r="O53" i="2"/>
  <c r="P53" i="2"/>
  <c r="Q53" i="2"/>
  <c r="N54" i="2"/>
  <c r="O54" i="2"/>
  <c r="P54" i="2"/>
  <c r="Q54" i="2"/>
  <c r="N55" i="2"/>
  <c r="O55" i="2"/>
  <c r="P55" i="2"/>
  <c r="Q55" i="2"/>
  <c r="N56" i="2"/>
  <c r="O56" i="2"/>
  <c r="P56" i="2"/>
  <c r="Q56" i="2"/>
  <c r="N57" i="2"/>
  <c r="O57" i="2"/>
  <c r="P57" i="2"/>
  <c r="Q57" i="2"/>
  <c r="N58" i="2"/>
  <c r="O58" i="2"/>
  <c r="P58" i="2"/>
  <c r="Q58" i="2"/>
  <c r="N59" i="2"/>
  <c r="O59" i="2"/>
  <c r="P59" i="2"/>
  <c r="Q59" i="2"/>
  <c r="N60" i="2"/>
  <c r="O60" i="2"/>
  <c r="P60" i="2"/>
  <c r="Q60" i="2"/>
  <c r="N61" i="2"/>
  <c r="O61" i="2"/>
  <c r="P61" i="2"/>
  <c r="Q61" i="2"/>
  <c r="N62" i="2"/>
  <c r="O62" i="2"/>
  <c r="P62" i="2"/>
  <c r="Q62" i="2"/>
  <c r="N63" i="2"/>
  <c r="O63" i="2"/>
  <c r="P63" i="2"/>
  <c r="Q63" i="2"/>
  <c r="N248" i="2"/>
  <c r="O248" i="2"/>
  <c r="P248" i="2"/>
  <c r="Q248" i="2"/>
  <c r="L32" i="2"/>
  <c r="M32" i="2"/>
  <c r="L33" i="2"/>
  <c r="M33" i="2"/>
  <c r="L34" i="2"/>
  <c r="M34" i="2"/>
  <c r="L35" i="2"/>
  <c r="M35" i="2"/>
  <c r="L36" i="2"/>
  <c r="M36" i="2"/>
  <c r="L37" i="2"/>
  <c r="M37" i="2"/>
  <c r="L38" i="2"/>
  <c r="M38" i="2"/>
  <c r="L39" i="2"/>
  <c r="M39" i="2"/>
  <c r="L40" i="2"/>
  <c r="M40" i="2"/>
  <c r="L41" i="2"/>
  <c r="M41" i="2"/>
  <c r="L42" i="2"/>
  <c r="M42" i="2"/>
  <c r="L43" i="2"/>
  <c r="M43" i="2"/>
  <c r="L44" i="2"/>
  <c r="M44" i="2"/>
  <c r="L45" i="2"/>
  <c r="M45" i="2"/>
  <c r="L46" i="2"/>
  <c r="M46" i="2"/>
  <c r="L47" i="2"/>
  <c r="M47" i="2"/>
  <c r="L48" i="2"/>
  <c r="M48" i="2"/>
  <c r="L49" i="2"/>
  <c r="M49" i="2"/>
  <c r="L50" i="2"/>
  <c r="M50" i="2"/>
  <c r="L51" i="2"/>
  <c r="M51" i="2"/>
  <c r="L52" i="2"/>
  <c r="M52" i="2"/>
  <c r="L53" i="2"/>
  <c r="M53" i="2"/>
  <c r="L54" i="2"/>
  <c r="M54" i="2"/>
  <c r="L55" i="2"/>
  <c r="M55" i="2"/>
  <c r="L56" i="2"/>
  <c r="M56" i="2"/>
  <c r="L57" i="2"/>
  <c r="M57" i="2"/>
  <c r="L58" i="2"/>
  <c r="M58" i="2"/>
  <c r="L59" i="2"/>
  <c r="M59" i="2"/>
  <c r="L60" i="2"/>
  <c r="M60" i="2"/>
  <c r="L61" i="2"/>
  <c r="M61" i="2"/>
  <c r="L62" i="2"/>
  <c r="M62" i="2"/>
  <c r="L63" i="2"/>
  <c r="M63" i="2"/>
  <c r="L248" i="2"/>
  <c r="M248" i="2"/>
  <c r="J32" i="2"/>
  <c r="K32" i="2"/>
  <c r="J33" i="2"/>
  <c r="K33" i="2"/>
  <c r="J34" i="2"/>
  <c r="K34" i="2"/>
  <c r="J35" i="2"/>
  <c r="K35" i="2"/>
  <c r="J36" i="2"/>
  <c r="K36" i="2"/>
  <c r="J37" i="2"/>
  <c r="K37" i="2"/>
  <c r="J38" i="2"/>
  <c r="K38" i="2"/>
  <c r="J39" i="2"/>
  <c r="K39" i="2"/>
  <c r="J40" i="2"/>
  <c r="K40" i="2"/>
  <c r="J41" i="2"/>
  <c r="K41" i="2"/>
  <c r="J42" i="2"/>
  <c r="K42" i="2"/>
  <c r="J43" i="2"/>
  <c r="K43" i="2"/>
  <c r="J44" i="2"/>
  <c r="K44" i="2"/>
  <c r="J45" i="2"/>
  <c r="K45" i="2"/>
  <c r="J46" i="2"/>
  <c r="K46" i="2"/>
  <c r="J47" i="2"/>
  <c r="K47" i="2"/>
  <c r="J48" i="2"/>
  <c r="K48" i="2"/>
  <c r="J49" i="2"/>
  <c r="K49" i="2"/>
  <c r="J50" i="2"/>
  <c r="K50" i="2"/>
  <c r="J51" i="2"/>
  <c r="K51" i="2"/>
  <c r="J52" i="2"/>
  <c r="K52" i="2"/>
  <c r="J53" i="2"/>
  <c r="K53" i="2"/>
  <c r="J54" i="2"/>
  <c r="K54" i="2"/>
  <c r="J55" i="2"/>
  <c r="K55" i="2"/>
  <c r="J56" i="2"/>
  <c r="K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248" i="2"/>
  <c r="K248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248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248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248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248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248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190" i="3"/>
  <c r="C191" i="3"/>
  <c r="C195" i="3"/>
  <c r="C196" i="3"/>
  <c r="C197" i="3"/>
  <c r="C198" i="3"/>
  <c r="P311" i="3"/>
  <c r="P255" i="3"/>
  <c r="P246" i="3"/>
  <c r="O246" i="3"/>
  <c r="P79" i="3"/>
  <c r="P62" i="3"/>
  <c r="P33" i="3"/>
  <c r="O26" i="3"/>
  <c r="O22" i="3"/>
  <c r="O18" i="3"/>
  <c r="N240" i="3"/>
  <c r="N248" i="3"/>
  <c r="N249" i="3"/>
  <c r="L254" i="3"/>
  <c r="L255" i="3"/>
  <c r="L256" i="3"/>
  <c r="L258" i="3"/>
  <c r="L259" i="3"/>
  <c r="L262" i="3"/>
  <c r="L263" i="3"/>
  <c r="L264" i="3"/>
  <c r="L265" i="3"/>
  <c r="L266" i="3"/>
  <c r="P317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O321" i="3"/>
  <c r="O322" i="3"/>
  <c r="O323" i="3"/>
  <c r="O324" i="3"/>
  <c r="O325" i="3"/>
  <c r="O326" i="3"/>
  <c r="O327" i="3"/>
  <c r="O329" i="3"/>
  <c r="O330" i="3"/>
  <c r="O331" i="3"/>
  <c r="O332" i="3"/>
  <c r="O333" i="3"/>
  <c r="N322" i="3"/>
  <c r="N323" i="3"/>
  <c r="N327" i="3"/>
  <c r="N328" i="3"/>
  <c r="N333" i="3"/>
  <c r="M317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L321" i="3"/>
  <c r="L325" i="3"/>
  <c r="L326" i="3"/>
  <c r="L329" i="3"/>
  <c r="L330" i="3"/>
  <c r="L331" i="3"/>
  <c r="L332" i="3"/>
  <c r="K317" i="3"/>
  <c r="K321" i="3"/>
  <c r="K322" i="3"/>
  <c r="K323" i="3"/>
  <c r="K324" i="3"/>
  <c r="K325" i="3"/>
  <c r="K326" i="3"/>
  <c r="K327" i="3"/>
  <c r="K329" i="3"/>
  <c r="K330" i="3"/>
  <c r="K331" i="3"/>
  <c r="K332" i="3"/>
  <c r="J317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I317" i="3"/>
  <c r="I321" i="3"/>
  <c r="I322" i="3"/>
  <c r="I323" i="3"/>
  <c r="I324" i="3"/>
  <c r="I325" i="3"/>
  <c r="I326" i="3"/>
  <c r="I327" i="3"/>
  <c r="I328" i="3"/>
  <c r="I329" i="3"/>
  <c r="I330" i="3"/>
  <c r="I331" i="3"/>
  <c r="I333" i="3"/>
  <c r="H317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G317" i="3"/>
  <c r="G321" i="3"/>
  <c r="G322" i="3"/>
  <c r="G323" i="3"/>
  <c r="G324" i="3"/>
  <c r="G326" i="3"/>
  <c r="G327" i="3"/>
  <c r="G329" i="3"/>
  <c r="G330" i="3"/>
  <c r="G331" i="3"/>
  <c r="G333" i="3"/>
  <c r="F321" i="3"/>
  <c r="F322" i="3"/>
  <c r="F323" i="3"/>
  <c r="F324" i="3"/>
  <c r="F325" i="3"/>
  <c r="F326" i="3"/>
  <c r="F327" i="3"/>
  <c r="F329" i="3"/>
  <c r="F330" i="3"/>
  <c r="F331" i="3"/>
  <c r="F332" i="3"/>
  <c r="F333" i="3"/>
  <c r="E317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D317" i="3"/>
  <c r="D321" i="3"/>
  <c r="D322" i="3"/>
  <c r="D323" i="3"/>
  <c r="D324" i="3"/>
  <c r="D325" i="3"/>
  <c r="D326" i="3"/>
  <c r="D327" i="3"/>
  <c r="D328" i="3"/>
  <c r="D329" i="3"/>
  <c r="D330" i="3"/>
  <c r="D331" i="3"/>
  <c r="D333" i="3"/>
  <c r="C317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P316" i="3"/>
  <c r="M316" i="3"/>
  <c r="L316" i="3"/>
  <c r="K316" i="3"/>
  <c r="J316" i="3"/>
  <c r="I316" i="3"/>
  <c r="H316" i="3"/>
  <c r="G316" i="3"/>
  <c r="F316" i="3"/>
  <c r="E316" i="3"/>
  <c r="D316" i="3"/>
  <c r="C316" i="3"/>
  <c r="P300" i="3"/>
  <c r="P301" i="3"/>
  <c r="P302" i="3"/>
  <c r="P303" i="3"/>
  <c r="P304" i="3"/>
  <c r="P305" i="3"/>
  <c r="P306" i="3"/>
  <c r="P307" i="3"/>
  <c r="P308" i="3"/>
  <c r="P309" i="3"/>
  <c r="P310" i="3"/>
  <c r="P312" i="3"/>
  <c r="P313" i="3"/>
  <c r="P314" i="3"/>
  <c r="P315" i="3"/>
  <c r="O300" i="3"/>
  <c r="O301" i="3"/>
  <c r="O302" i="3"/>
  <c r="O303" i="3"/>
  <c r="O304" i="3"/>
  <c r="O305" i="3"/>
  <c r="O306" i="3"/>
  <c r="O307" i="3"/>
  <c r="O308" i="3"/>
  <c r="O309" i="3"/>
  <c r="O310" i="3"/>
  <c r="O312" i="3"/>
  <c r="O313" i="3"/>
  <c r="O314" i="3"/>
  <c r="O315" i="3"/>
  <c r="N302" i="3"/>
  <c r="N311" i="3"/>
  <c r="N312" i="3"/>
  <c r="N313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L301" i="3"/>
  <c r="L304" i="3"/>
  <c r="L305" i="3"/>
  <c r="L306" i="3"/>
  <c r="L307" i="3"/>
  <c r="L315" i="3"/>
  <c r="K300" i="3"/>
  <c r="K301" i="3"/>
  <c r="K302" i="3"/>
  <c r="K303" i="3"/>
  <c r="K304" i="3"/>
  <c r="K305" i="3"/>
  <c r="K306" i="3"/>
  <c r="K307" i="3"/>
  <c r="K308" i="3"/>
  <c r="K309" i="3"/>
  <c r="K310" i="3"/>
  <c r="K312" i="3"/>
  <c r="K313" i="3"/>
  <c r="K314" i="3"/>
  <c r="K315" i="3"/>
  <c r="J300" i="3"/>
  <c r="J301" i="3"/>
  <c r="J302" i="3"/>
  <c r="J303" i="3"/>
  <c r="J304" i="3"/>
  <c r="J305" i="3"/>
  <c r="J306" i="3"/>
  <c r="J307" i="3"/>
  <c r="J308" i="3"/>
  <c r="J309" i="3"/>
  <c r="J310" i="3"/>
  <c r="J312" i="3"/>
  <c r="J313" i="3"/>
  <c r="J314" i="3"/>
  <c r="J315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G300" i="3"/>
  <c r="G301" i="3"/>
  <c r="G302" i="3"/>
  <c r="G304" i="3"/>
  <c r="G305" i="3"/>
  <c r="G306" i="3"/>
  <c r="G307" i="3"/>
  <c r="G309" i="3"/>
  <c r="G310" i="3"/>
  <c r="G312" i="3"/>
  <c r="G314" i="3"/>
  <c r="G315" i="3"/>
  <c r="F301" i="3"/>
  <c r="F302" i="3"/>
  <c r="F304" i="3"/>
  <c r="F305" i="3"/>
  <c r="F306" i="3"/>
  <c r="F307" i="3"/>
  <c r="F308" i="3"/>
  <c r="F309" i="3"/>
  <c r="F310" i="3"/>
  <c r="F312" i="3"/>
  <c r="F313" i="3"/>
  <c r="F314" i="3"/>
  <c r="F315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P299" i="3"/>
  <c r="O299" i="3"/>
  <c r="N299" i="3"/>
  <c r="M299" i="3"/>
  <c r="K299" i="3"/>
  <c r="J299" i="3"/>
  <c r="I299" i="3"/>
  <c r="H299" i="3"/>
  <c r="G299" i="3"/>
  <c r="F299" i="3"/>
  <c r="E299" i="3"/>
  <c r="D299" i="3"/>
  <c r="C299" i="3"/>
  <c r="N257" i="3"/>
  <c r="N258" i="3"/>
  <c r="N259" i="3"/>
  <c r="P235" i="3"/>
  <c r="P237" i="3"/>
  <c r="P238" i="3"/>
  <c r="P239" i="3"/>
  <c r="P240" i="3"/>
  <c r="P241" i="3"/>
  <c r="P242" i="3"/>
  <c r="P243" i="3"/>
  <c r="P244" i="3"/>
  <c r="P245" i="3"/>
  <c r="P247" i="3"/>
  <c r="P248" i="3"/>
  <c r="P249" i="3"/>
  <c r="O235" i="3"/>
  <c r="O236" i="3"/>
  <c r="O237" i="3"/>
  <c r="O238" i="3"/>
  <c r="O239" i="3"/>
  <c r="O240" i="3"/>
  <c r="O241" i="3"/>
  <c r="O242" i="3"/>
  <c r="O243" i="3"/>
  <c r="O244" i="3"/>
  <c r="O245" i="3"/>
  <c r="O247" i="3"/>
  <c r="O248" i="3"/>
  <c r="O249" i="3"/>
  <c r="N234" i="3"/>
  <c r="L239" i="3"/>
  <c r="L241" i="3"/>
  <c r="L242" i="3"/>
  <c r="L244" i="3"/>
  <c r="L246" i="3"/>
  <c r="L247" i="3"/>
  <c r="L249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F235" i="3"/>
  <c r="F236" i="3"/>
  <c r="F237" i="3"/>
  <c r="F238" i="3"/>
  <c r="F239" i="3"/>
  <c r="F240" i="3"/>
  <c r="F241" i="3"/>
  <c r="F242" i="3"/>
  <c r="F243" i="3"/>
  <c r="F244" i="3"/>
  <c r="F245" i="3"/>
  <c r="F247" i="3"/>
  <c r="F248" i="3"/>
  <c r="F249" i="3"/>
  <c r="P190" i="3"/>
  <c r="P191" i="3"/>
  <c r="P196" i="3"/>
  <c r="P197" i="3"/>
  <c r="P198" i="3"/>
  <c r="P199" i="3"/>
  <c r="P200" i="3"/>
  <c r="P201" i="3"/>
  <c r="P202" i="3"/>
  <c r="P203" i="3"/>
  <c r="P204" i="3"/>
  <c r="P205" i="3"/>
  <c r="O190" i="3"/>
  <c r="O191" i="3"/>
  <c r="O196" i="3"/>
  <c r="O197" i="3"/>
  <c r="O198" i="3"/>
  <c r="O199" i="3"/>
  <c r="O200" i="3"/>
  <c r="O201" i="3"/>
  <c r="O202" i="3"/>
  <c r="O203" i="3"/>
  <c r="O204" i="3"/>
  <c r="O205" i="3"/>
  <c r="N199" i="3"/>
  <c r="N200" i="3"/>
  <c r="N201" i="3"/>
  <c r="N203" i="3"/>
  <c r="N204" i="3"/>
  <c r="M190" i="3"/>
  <c r="M191" i="3"/>
  <c r="M196" i="3"/>
  <c r="M197" i="3"/>
  <c r="M198" i="3"/>
  <c r="M199" i="3"/>
  <c r="M200" i="3"/>
  <c r="M201" i="3"/>
  <c r="M202" i="3"/>
  <c r="M203" i="3"/>
  <c r="M204" i="3"/>
  <c r="M205" i="3"/>
  <c r="L198" i="3"/>
  <c r="L199" i="3"/>
  <c r="L202" i="3"/>
  <c r="L205" i="3"/>
  <c r="K190" i="3"/>
  <c r="K191" i="3"/>
  <c r="K196" i="3"/>
  <c r="K197" i="3"/>
  <c r="K198" i="3"/>
  <c r="K199" i="3"/>
  <c r="K200" i="3"/>
  <c r="K201" i="3"/>
  <c r="K202" i="3"/>
  <c r="K203" i="3"/>
  <c r="K204" i="3"/>
  <c r="K205" i="3"/>
  <c r="J190" i="3"/>
  <c r="J191" i="3"/>
  <c r="J195" i="3"/>
  <c r="J196" i="3"/>
  <c r="J197" i="3"/>
  <c r="J198" i="3"/>
  <c r="J199" i="3"/>
  <c r="J200" i="3"/>
  <c r="J201" i="3"/>
  <c r="J202" i="3"/>
  <c r="J203" i="3"/>
  <c r="J204" i="3"/>
  <c r="J205" i="3"/>
  <c r="I190" i="3"/>
  <c r="I191" i="3"/>
  <c r="I195" i="3"/>
  <c r="I196" i="3"/>
  <c r="I197" i="3"/>
  <c r="I198" i="3"/>
  <c r="I199" i="3"/>
  <c r="I200" i="3"/>
  <c r="I201" i="3"/>
  <c r="I202" i="3"/>
  <c r="I203" i="3"/>
  <c r="I204" i="3"/>
  <c r="I205" i="3"/>
  <c r="H190" i="3"/>
  <c r="H191" i="3"/>
  <c r="H195" i="3"/>
  <c r="H196" i="3"/>
  <c r="H197" i="3"/>
  <c r="H198" i="3"/>
  <c r="H199" i="3"/>
  <c r="H200" i="3"/>
  <c r="H201" i="3"/>
  <c r="H202" i="3"/>
  <c r="H203" i="3"/>
  <c r="H204" i="3"/>
  <c r="H205" i="3"/>
  <c r="G190" i="3"/>
  <c r="G191" i="3"/>
  <c r="G195" i="3"/>
  <c r="G198" i="3"/>
  <c r="G199" i="3"/>
  <c r="G200" i="3"/>
  <c r="G201" i="3"/>
  <c r="G202" i="3"/>
  <c r="G203" i="3"/>
  <c r="G205" i="3"/>
  <c r="F190" i="3"/>
  <c r="F191" i="3"/>
  <c r="F195" i="3"/>
  <c r="F196" i="3"/>
  <c r="F197" i="3"/>
  <c r="F198" i="3"/>
  <c r="F199" i="3"/>
  <c r="F200" i="3"/>
  <c r="F201" i="3"/>
  <c r="F202" i="3"/>
  <c r="F203" i="3"/>
  <c r="F204" i="3"/>
  <c r="F205" i="3"/>
  <c r="E190" i="3"/>
  <c r="E191" i="3"/>
  <c r="E195" i="3"/>
  <c r="E196" i="3"/>
  <c r="E197" i="3"/>
  <c r="E198" i="3"/>
  <c r="E199" i="3"/>
  <c r="E200" i="3"/>
  <c r="E201" i="3"/>
  <c r="E202" i="3"/>
  <c r="E203" i="3"/>
  <c r="E204" i="3"/>
  <c r="E205" i="3"/>
  <c r="D190" i="3"/>
  <c r="D191" i="3"/>
  <c r="D195" i="3"/>
  <c r="D196" i="3"/>
  <c r="D197" i="3"/>
  <c r="D198" i="3"/>
  <c r="D199" i="3"/>
  <c r="D200" i="3"/>
  <c r="D201" i="3"/>
  <c r="D202" i="3"/>
  <c r="D203" i="3"/>
  <c r="D204" i="3"/>
  <c r="D205" i="3"/>
  <c r="C199" i="3"/>
  <c r="C200" i="3"/>
  <c r="C201" i="3"/>
  <c r="C202" i="3"/>
  <c r="C203" i="3"/>
  <c r="C204" i="3"/>
  <c r="C205" i="3"/>
  <c r="P189" i="3"/>
  <c r="O189" i="3"/>
  <c r="N189" i="3"/>
  <c r="M189" i="3"/>
  <c r="K189" i="3"/>
  <c r="J189" i="3"/>
  <c r="I189" i="3"/>
  <c r="H189" i="3"/>
  <c r="G189" i="3"/>
  <c r="F189" i="3"/>
  <c r="E189" i="3"/>
  <c r="D189" i="3"/>
  <c r="C189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73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73" i="3"/>
  <c r="N186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73" i="3"/>
  <c r="L177" i="3"/>
  <c r="L178" i="3"/>
  <c r="L181" i="3"/>
  <c r="L182" i="3"/>
  <c r="L183" i="3"/>
  <c r="L184" i="3"/>
  <c r="K174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73" i="3"/>
  <c r="G174" i="3"/>
  <c r="G176" i="3"/>
  <c r="G178" i="3"/>
  <c r="G180" i="3"/>
  <c r="G181" i="3"/>
  <c r="G182" i="3"/>
  <c r="G183" i="3"/>
  <c r="G184" i="3"/>
  <c r="G185" i="3"/>
  <c r="G186" i="3"/>
  <c r="G187" i="3"/>
  <c r="G188" i="3"/>
  <c r="G173" i="3"/>
  <c r="F174" i="3"/>
  <c r="F176" i="3"/>
  <c r="F177" i="3"/>
  <c r="F178" i="3"/>
  <c r="F179" i="3"/>
  <c r="F180" i="3"/>
  <c r="F183" i="3"/>
  <c r="F185" i="3"/>
  <c r="F186" i="3"/>
  <c r="F188" i="3"/>
  <c r="F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73" i="3"/>
  <c r="E173" i="3"/>
  <c r="N82" i="3"/>
  <c r="N87" i="3"/>
  <c r="N73" i="3"/>
  <c r="K75" i="3"/>
  <c r="L74" i="3"/>
  <c r="L75" i="3"/>
  <c r="L80" i="3"/>
  <c r="L81" i="3"/>
  <c r="L83" i="3"/>
  <c r="L84" i="3"/>
  <c r="L85" i="3"/>
  <c r="L86" i="3"/>
  <c r="L88" i="3"/>
  <c r="L89" i="3"/>
  <c r="N59" i="3"/>
  <c r="N61" i="3"/>
  <c r="N63" i="3"/>
  <c r="N65" i="3"/>
  <c r="N68" i="3"/>
  <c r="N69" i="3"/>
  <c r="L60" i="3"/>
  <c r="L62" i="3"/>
  <c r="L64" i="3"/>
  <c r="L65" i="3"/>
  <c r="L66" i="3"/>
  <c r="L67" i="3"/>
  <c r="L70" i="3"/>
  <c r="L71" i="3"/>
  <c r="L72" i="3"/>
  <c r="N57" i="3"/>
  <c r="N32" i="3"/>
  <c r="N36" i="3"/>
  <c r="N9" i="3"/>
  <c r="N11" i="3"/>
  <c r="N17" i="3"/>
  <c r="L7" i="3"/>
  <c r="L8" i="3"/>
  <c r="L9" i="3"/>
  <c r="L10" i="3"/>
  <c r="L11" i="3"/>
  <c r="L13" i="3"/>
  <c r="L14" i="3"/>
  <c r="L15" i="3"/>
  <c r="L16" i="3"/>
  <c r="L17" i="3"/>
  <c r="L18" i="3"/>
  <c r="L19" i="3"/>
  <c r="L20" i="3"/>
  <c r="L21" i="3"/>
  <c r="L22" i="3"/>
  <c r="L26" i="3"/>
  <c r="K22" i="3"/>
  <c r="K18" i="3"/>
  <c r="K261" i="3"/>
  <c r="AP2" i="2" l="1"/>
  <c r="F248" i="2"/>
  <c r="Y2" i="2" l="1"/>
  <c r="P8" i="3"/>
  <c r="P9" i="3"/>
  <c r="O8" i="3"/>
  <c r="O9" i="3"/>
  <c r="M8" i="3"/>
  <c r="M9" i="3"/>
  <c r="K8" i="3"/>
  <c r="K9" i="3"/>
  <c r="J8" i="3"/>
  <c r="J9" i="3"/>
  <c r="I8" i="3"/>
  <c r="I9" i="3"/>
  <c r="H8" i="3"/>
  <c r="H9" i="3"/>
  <c r="F9" i="3"/>
  <c r="E8" i="3"/>
  <c r="E9" i="3"/>
  <c r="E7" i="3"/>
  <c r="D8" i="3"/>
  <c r="D9" i="3"/>
  <c r="C8" i="3"/>
  <c r="C9" i="3"/>
  <c r="M235" i="3"/>
  <c r="J235" i="3"/>
  <c r="I235" i="3"/>
  <c r="H235" i="3"/>
  <c r="G235" i="3"/>
  <c r="E235" i="3"/>
  <c r="D235" i="3"/>
  <c r="C235" i="3"/>
  <c r="D310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50" i="3"/>
  <c r="I234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138" i="3"/>
  <c r="I117" i="3"/>
  <c r="I74" i="3"/>
  <c r="I75" i="3"/>
  <c r="I79" i="3"/>
  <c r="I80" i="3"/>
  <c r="I81" i="3"/>
  <c r="I82" i="3"/>
  <c r="I83" i="3"/>
  <c r="I84" i="3"/>
  <c r="I85" i="3"/>
  <c r="I86" i="3"/>
  <c r="I87" i="3"/>
  <c r="I88" i="3"/>
  <c r="I89" i="3"/>
  <c r="I90" i="3"/>
  <c r="I73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37" i="3"/>
  <c r="I38" i="3"/>
  <c r="I36" i="3"/>
  <c r="I19" i="3"/>
  <c r="I20" i="3"/>
  <c r="I21" i="3"/>
  <c r="I22" i="3"/>
  <c r="I26" i="3"/>
  <c r="I27" i="3"/>
  <c r="I28" i="3"/>
  <c r="I29" i="3"/>
  <c r="I30" i="3"/>
  <c r="I31" i="3"/>
  <c r="I32" i="3"/>
  <c r="I33" i="3"/>
  <c r="I34" i="3"/>
  <c r="I35" i="3"/>
  <c r="I18" i="3"/>
  <c r="I7" i="3"/>
  <c r="I10" i="3"/>
  <c r="I11" i="3"/>
  <c r="I12" i="3"/>
  <c r="I13" i="3"/>
  <c r="I14" i="3"/>
  <c r="I15" i="3"/>
  <c r="I16" i="3"/>
  <c r="I17" i="3"/>
  <c r="I6" i="3"/>
  <c r="P138" i="3" l="1"/>
  <c r="O138" i="3"/>
  <c r="M138" i="3"/>
  <c r="K138" i="3"/>
  <c r="J138" i="3"/>
  <c r="H138" i="3"/>
  <c r="G117" i="3"/>
  <c r="F138" i="3"/>
  <c r="C7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6" i="3"/>
  <c r="C6" i="3"/>
  <c r="AD2" i="2"/>
  <c r="AC2" i="2"/>
  <c r="AA2" i="2"/>
  <c r="W2" i="2"/>
  <c r="V2" i="2"/>
  <c r="T2" i="2"/>
  <c r="R2" i="2"/>
  <c r="Q2" i="2"/>
  <c r="P2" i="2"/>
  <c r="O2" i="2"/>
  <c r="N2" i="2"/>
  <c r="M2" i="2"/>
  <c r="L2" i="2"/>
  <c r="H2" i="2"/>
  <c r="G2" i="2"/>
  <c r="E2" i="2"/>
  <c r="D2" i="2"/>
  <c r="C2" i="2"/>
  <c r="F74" i="3" l="1"/>
  <c r="H6" i="3" l="1"/>
  <c r="E234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6" i="3"/>
  <c r="C79" i="3" l="1"/>
  <c r="D79" i="3"/>
  <c r="E79" i="3"/>
  <c r="G79" i="3"/>
  <c r="H79" i="3"/>
  <c r="J79" i="3"/>
  <c r="K79" i="3"/>
  <c r="M79" i="3"/>
  <c r="O79" i="3"/>
  <c r="AL2" i="2" l="1"/>
  <c r="AM2" i="2"/>
  <c r="AN2" i="2"/>
  <c r="AO2" i="2"/>
  <c r="D300" i="3" l="1"/>
  <c r="D301" i="3"/>
  <c r="D302" i="3"/>
  <c r="D303" i="3"/>
  <c r="D304" i="3"/>
  <c r="D305" i="3"/>
  <c r="D306" i="3"/>
  <c r="D307" i="3"/>
  <c r="D308" i="3"/>
  <c r="D309" i="3"/>
  <c r="D311" i="3"/>
  <c r="D312" i="3"/>
  <c r="D313" i="3"/>
  <c r="D314" i="3"/>
  <c r="D315" i="3"/>
  <c r="D257" i="3"/>
  <c r="D258" i="3"/>
  <c r="D259" i="3"/>
  <c r="D260" i="3"/>
  <c r="D261" i="3"/>
  <c r="D262" i="3"/>
  <c r="D263" i="3"/>
  <c r="D264" i="3"/>
  <c r="D265" i="3"/>
  <c r="D266" i="3"/>
  <c r="D234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4" i="3"/>
  <c r="D255" i="3"/>
  <c r="D256" i="3"/>
  <c r="D138" i="3"/>
  <c r="D117" i="3"/>
  <c r="D80" i="3"/>
  <c r="D81" i="3"/>
  <c r="D82" i="3"/>
  <c r="D83" i="3"/>
  <c r="D84" i="3"/>
  <c r="D85" i="3"/>
  <c r="D86" i="3"/>
  <c r="D87" i="3"/>
  <c r="D88" i="3"/>
  <c r="D89" i="3"/>
  <c r="D90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57" i="3"/>
  <c r="D29" i="3"/>
  <c r="D30" i="3"/>
  <c r="D31" i="3"/>
  <c r="D32" i="3"/>
  <c r="D33" i="3"/>
  <c r="D34" i="3"/>
  <c r="D35" i="3"/>
  <c r="D36" i="3"/>
  <c r="D37" i="3"/>
  <c r="D38" i="3"/>
  <c r="D28" i="3"/>
  <c r="D7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6" i="3"/>
  <c r="D27" i="3"/>
  <c r="D6" i="3"/>
  <c r="C257" i="3"/>
  <c r="E257" i="3"/>
  <c r="F257" i="3"/>
  <c r="H257" i="3"/>
  <c r="J257" i="3"/>
  <c r="K257" i="3"/>
  <c r="M257" i="3"/>
  <c r="P257" i="3"/>
  <c r="C258" i="3"/>
  <c r="E258" i="3"/>
  <c r="F258" i="3"/>
  <c r="G258" i="3"/>
  <c r="H258" i="3"/>
  <c r="J258" i="3"/>
  <c r="K258" i="3"/>
  <c r="M258" i="3"/>
  <c r="P258" i="3"/>
  <c r="C259" i="3"/>
  <c r="E259" i="3"/>
  <c r="F259" i="3"/>
  <c r="G259" i="3"/>
  <c r="H259" i="3"/>
  <c r="J259" i="3"/>
  <c r="K259" i="3"/>
  <c r="M259" i="3"/>
  <c r="P259" i="3"/>
  <c r="C260" i="3"/>
  <c r="E260" i="3"/>
  <c r="H260" i="3"/>
  <c r="J260" i="3"/>
  <c r="C261" i="3"/>
  <c r="E261" i="3"/>
  <c r="G261" i="3"/>
  <c r="H261" i="3"/>
  <c r="J261" i="3"/>
  <c r="M261" i="3"/>
  <c r="O261" i="3"/>
  <c r="P261" i="3"/>
  <c r="C262" i="3"/>
  <c r="E262" i="3"/>
  <c r="F262" i="3"/>
  <c r="G262" i="3"/>
  <c r="H262" i="3"/>
  <c r="J262" i="3"/>
  <c r="K262" i="3"/>
  <c r="M262" i="3"/>
  <c r="O262" i="3"/>
  <c r="P262" i="3"/>
  <c r="C263" i="3"/>
  <c r="E263" i="3"/>
  <c r="F263" i="3"/>
  <c r="G263" i="3"/>
  <c r="H263" i="3"/>
  <c r="J263" i="3"/>
  <c r="K263" i="3"/>
  <c r="M263" i="3"/>
  <c r="O263" i="3"/>
  <c r="P263" i="3"/>
  <c r="C264" i="3"/>
  <c r="E264" i="3"/>
  <c r="F264" i="3"/>
  <c r="G264" i="3"/>
  <c r="H264" i="3"/>
  <c r="J264" i="3"/>
  <c r="K264" i="3"/>
  <c r="M264" i="3"/>
  <c r="O264" i="3"/>
  <c r="P264" i="3"/>
  <c r="C265" i="3"/>
  <c r="E265" i="3"/>
  <c r="F265" i="3"/>
  <c r="G265" i="3"/>
  <c r="H265" i="3"/>
  <c r="J265" i="3"/>
  <c r="K265" i="3"/>
  <c r="M265" i="3"/>
  <c r="O265" i="3"/>
  <c r="P265" i="3"/>
  <c r="C266" i="3"/>
  <c r="E266" i="3"/>
  <c r="F266" i="3"/>
  <c r="G266" i="3"/>
  <c r="H266" i="3"/>
  <c r="J266" i="3"/>
  <c r="K266" i="3"/>
  <c r="M266" i="3"/>
  <c r="O266" i="3"/>
  <c r="P266" i="3"/>
  <c r="C234" i="3"/>
  <c r="G234" i="3"/>
  <c r="H234" i="3"/>
  <c r="J234" i="3"/>
  <c r="M234" i="3"/>
  <c r="P234" i="3"/>
  <c r="C236" i="3"/>
  <c r="G236" i="3"/>
  <c r="H236" i="3"/>
  <c r="J236" i="3"/>
  <c r="C237" i="3"/>
  <c r="G237" i="3"/>
  <c r="H237" i="3"/>
  <c r="J237" i="3"/>
  <c r="M237" i="3"/>
  <c r="C238" i="3"/>
  <c r="G238" i="3"/>
  <c r="H238" i="3"/>
  <c r="J238" i="3"/>
  <c r="M238" i="3"/>
  <c r="C239" i="3"/>
  <c r="G239" i="3"/>
  <c r="H239" i="3"/>
  <c r="J239" i="3"/>
  <c r="M239" i="3"/>
  <c r="C240" i="3"/>
  <c r="G240" i="3"/>
  <c r="H240" i="3"/>
  <c r="J240" i="3"/>
  <c r="M240" i="3"/>
  <c r="C241" i="3"/>
  <c r="G241" i="3"/>
  <c r="H241" i="3"/>
  <c r="J241" i="3"/>
  <c r="M241" i="3"/>
  <c r="C242" i="3"/>
  <c r="G242" i="3"/>
  <c r="H242" i="3"/>
  <c r="J242" i="3"/>
  <c r="M242" i="3"/>
  <c r="C243" i="3"/>
  <c r="G243" i="3"/>
  <c r="H243" i="3"/>
  <c r="J243" i="3"/>
  <c r="M243" i="3"/>
  <c r="C244" i="3"/>
  <c r="G244" i="3"/>
  <c r="H244" i="3"/>
  <c r="J244" i="3"/>
  <c r="M244" i="3"/>
  <c r="C245" i="3"/>
  <c r="G245" i="3"/>
  <c r="H245" i="3"/>
  <c r="J245" i="3"/>
  <c r="M245" i="3"/>
  <c r="C246" i="3"/>
  <c r="H246" i="3"/>
  <c r="J246" i="3"/>
  <c r="M246" i="3"/>
  <c r="C247" i="3"/>
  <c r="G247" i="3"/>
  <c r="H247" i="3"/>
  <c r="J247" i="3"/>
  <c r="M247" i="3"/>
  <c r="C248" i="3"/>
  <c r="G248" i="3"/>
  <c r="H248" i="3"/>
  <c r="J248" i="3"/>
  <c r="M248" i="3"/>
  <c r="C249" i="3"/>
  <c r="G249" i="3"/>
  <c r="H249" i="3"/>
  <c r="J249" i="3"/>
  <c r="M249" i="3"/>
  <c r="C250" i="3"/>
  <c r="F250" i="3"/>
  <c r="G250" i="3"/>
  <c r="H250" i="3"/>
  <c r="J250" i="3"/>
  <c r="K250" i="3"/>
  <c r="L250" i="3"/>
  <c r="M250" i="3"/>
  <c r="O250" i="3"/>
  <c r="P250" i="3"/>
  <c r="C254" i="3"/>
  <c r="E254" i="3"/>
  <c r="F254" i="3"/>
  <c r="G254" i="3"/>
  <c r="H254" i="3"/>
  <c r="K254" i="3"/>
  <c r="M254" i="3"/>
  <c r="O254" i="3"/>
  <c r="P254" i="3"/>
  <c r="C255" i="3"/>
  <c r="E255" i="3"/>
  <c r="F255" i="3"/>
  <c r="G255" i="3"/>
  <c r="H255" i="3"/>
  <c r="J255" i="3"/>
  <c r="K255" i="3"/>
  <c r="M255" i="3"/>
  <c r="O255" i="3"/>
  <c r="C256" i="3"/>
  <c r="E256" i="3"/>
  <c r="F256" i="3"/>
  <c r="G256" i="3"/>
  <c r="H256" i="3"/>
  <c r="J256" i="3"/>
  <c r="K256" i="3"/>
  <c r="M256" i="3"/>
  <c r="P256" i="3"/>
  <c r="C138" i="3"/>
  <c r="E138" i="3"/>
  <c r="C117" i="3"/>
  <c r="E117" i="3"/>
  <c r="H117" i="3"/>
  <c r="J117" i="3"/>
  <c r="K117" i="3"/>
  <c r="L117" i="3"/>
  <c r="M117" i="3"/>
  <c r="O117" i="3"/>
  <c r="P117" i="3"/>
  <c r="C80" i="3"/>
  <c r="E80" i="3"/>
  <c r="F80" i="3"/>
  <c r="G80" i="3"/>
  <c r="H80" i="3"/>
  <c r="J80" i="3"/>
  <c r="K80" i="3"/>
  <c r="M80" i="3"/>
  <c r="O80" i="3"/>
  <c r="P80" i="3"/>
  <c r="C81" i="3"/>
  <c r="E81" i="3"/>
  <c r="F81" i="3"/>
  <c r="G81" i="3"/>
  <c r="H81" i="3"/>
  <c r="J81" i="3"/>
  <c r="K81" i="3"/>
  <c r="M81" i="3"/>
  <c r="O81" i="3"/>
  <c r="P81" i="3"/>
  <c r="C82" i="3"/>
  <c r="E82" i="3"/>
  <c r="F82" i="3"/>
  <c r="G82" i="3"/>
  <c r="H82" i="3"/>
  <c r="J82" i="3"/>
  <c r="K82" i="3"/>
  <c r="M82" i="3"/>
  <c r="O82" i="3"/>
  <c r="P82" i="3"/>
  <c r="C83" i="3"/>
  <c r="E83" i="3"/>
  <c r="F83" i="3"/>
  <c r="H83" i="3"/>
  <c r="J83" i="3"/>
  <c r="K83" i="3"/>
  <c r="M83" i="3"/>
  <c r="O83" i="3"/>
  <c r="P83" i="3"/>
  <c r="C84" i="3"/>
  <c r="E84" i="3"/>
  <c r="F84" i="3"/>
  <c r="G84" i="3"/>
  <c r="H84" i="3"/>
  <c r="J84" i="3"/>
  <c r="K84" i="3"/>
  <c r="M84" i="3"/>
  <c r="O84" i="3"/>
  <c r="P84" i="3"/>
  <c r="C85" i="3"/>
  <c r="E85" i="3"/>
  <c r="F85" i="3"/>
  <c r="H85" i="3"/>
  <c r="J85" i="3"/>
  <c r="K85" i="3"/>
  <c r="M85" i="3"/>
  <c r="O85" i="3"/>
  <c r="P85" i="3"/>
  <c r="C86" i="3"/>
  <c r="E86" i="3"/>
  <c r="F86" i="3"/>
  <c r="H86" i="3"/>
  <c r="J86" i="3"/>
  <c r="K86" i="3"/>
  <c r="M86" i="3"/>
  <c r="O86" i="3"/>
  <c r="P86" i="3"/>
  <c r="C87" i="3"/>
  <c r="E87" i="3"/>
  <c r="F87" i="3"/>
  <c r="G87" i="3"/>
  <c r="H87" i="3"/>
  <c r="J87" i="3"/>
  <c r="K87" i="3"/>
  <c r="M87" i="3"/>
  <c r="O87" i="3"/>
  <c r="P87" i="3"/>
  <c r="C88" i="3"/>
  <c r="E88" i="3"/>
  <c r="F88" i="3"/>
  <c r="G88" i="3"/>
  <c r="H88" i="3"/>
  <c r="J88" i="3"/>
  <c r="K88" i="3"/>
  <c r="M88" i="3"/>
  <c r="O88" i="3"/>
  <c r="P88" i="3"/>
  <c r="C89" i="3"/>
  <c r="E89" i="3"/>
  <c r="F89" i="3"/>
  <c r="H89" i="3"/>
  <c r="J89" i="3"/>
  <c r="K89" i="3"/>
  <c r="M89" i="3"/>
  <c r="O89" i="3"/>
  <c r="P89" i="3"/>
  <c r="C90" i="3"/>
  <c r="E90" i="3"/>
  <c r="F90" i="3"/>
  <c r="H90" i="3"/>
  <c r="J90" i="3"/>
  <c r="K90" i="3"/>
  <c r="M90" i="3"/>
  <c r="O90" i="3"/>
  <c r="P90" i="3"/>
  <c r="C58" i="3"/>
  <c r="G58" i="3"/>
  <c r="H58" i="3"/>
  <c r="J58" i="3"/>
  <c r="K58" i="3"/>
  <c r="M58" i="3"/>
  <c r="P58" i="3"/>
  <c r="C59" i="3"/>
  <c r="F59" i="3"/>
  <c r="H59" i="3"/>
  <c r="J59" i="3"/>
  <c r="K59" i="3"/>
  <c r="M59" i="3"/>
  <c r="O59" i="3"/>
  <c r="P59" i="3"/>
  <c r="C60" i="3"/>
  <c r="F60" i="3"/>
  <c r="G60" i="3"/>
  <c r="H60" i="3"/>
  <c r="J60" i="3"/>
  <c r="K60" i="3"/>
  <c r="M60" i="3"/>
  <c r="O60" i="3"/>
  <c r="P60" i="3"/>
  <c r="C61" i="3"/>
  <c r="F61" i="3"/>
  <c r="G61" i="3"/>
  <c r="H61" i="3"/>
  <c r="J61" i="3"/>
  <c r="K61" i="3"/>
  <c r="M61" i="3"/>
  <c r="O61" i="3"/>
  <c r="P61" i="3"/>
  <c r="C62" i="3"/>
  <c r="G62" i="3"/>
  <c r="H62" i="3"/>
  <c r="J62" i="3"/>
  <c r="K62" i="3"/>
  <c r="M62" i="3"/>
  <c r="O62" i="3"/>
  <c r="C63" i="3"/>
  <c r="F63" i="3"/>
  <c r="H63" i="3"/>
  <c r="J63" i="3"/>
  <c r="K63" i="3"/>
  <c r="M63" i="3"/>
  <c r="O63" i="3"/>
  <c r="P63" i="3"/>
  <c r="C64" i="3"/>
  <c r="F64" i="3"/>
  <c r="G64" i="3"/>
  <c r="H64" i="3"/>
  <c r="J64" i="3"/>
  <c r="K64" i="3"/>
  <c r="M64" i="3"/>
  <c r="O64" i="3"/>
  <c r="P64" i="3"/>
  <c r="C65" i="3"/>
  <c r="F65" i="3"/>
  <c r="G65" i="3"/>
  <c r="H65" i="3"/>
  <c r="J65" i="3"/>
  <c r="K65" i="3"/>
  <c r="M65" i="3"/>
  <c r="O65" i="3"/>
  <c r="P65" i="3"/>
  <c r="C66" i="3"/>
  <c r="F66" i="3"/>
  <c r="G66" i="3"/>
  <c r="H66" i="3"/>
  <c r="J66" i="3"/>
  <c r="K66" i="3"/>
  <c r="M66" i="3"/>
  <c r="O66" i="3"/>
  <c r="P66" i="3"/>
  <c r="C67" i="3"/>
  <c r="F67" i="3"/>
  <c r="G67" i="3"/>
  <c r="H67" i="3"/>
  <c r="J67" i="3"/>
  <c r="K67" i="3"/>
  <c r="M67" i="3"/>
  <c r="O67" i="3"/>
  <c r="P67" i="3"/>
  <c r="C68" i="3"/>
  <c r="F68" i="3"/>
  <c r="H68" i="3"/>
  <c r="J68" i="3"/>
  <c r="K68" i="3"/>
  <c r="M68" i="3"/>
  <c r="O68" i="3"/>
  <c r="P68" i="3"/>
  <c r="C69" i="3"/>
  <c r="F69" i="3"/>
  <c r="G69" i="3"/>
  <c r="H69" i="3"/>
  <c r="J69" i="3"/>
  <c r="K69" i="3"/>
  <c r="M69" i="3"/>
  <c r="O69" i="3"/>
  <c r="P69" i="3"/>
  <c r="C70" i="3"/>
  <c r="F70" i="3"/>
  <c r="G70" i="3"/>
  <c r="H70" i="3"/>
  <c r="J70" i="3"/>
  <c r="K70" i="3"/>
  <c r="M70" i="3"/>
  <c r="O70" i="3"/>
  <c r="P70" i="3"/>
  <c r="C71" i="3"/>
  <c r="F71" i="3"/>
  <c r="G71" i="3"/>
  <c r="H71" i="3"/>
  <c r="J71" i="3"/>
  <c r="K71" i="3"/>
  <c r="M71" i="3"/>
  <c r="O71" i="3"/>
  <c r="P71" i="3"/>
  <c r="C72" i="3"/>
  <c r="F72" i="3"/>
  <c r="G72" i="3"/>
  <c r="H72" i="3"/>
  <c r="J72" i="3"/>
  <c r="K72" i="3"/>
  <c r="M72" i="3"/>
  <c r="O72" i="3"/>
  <c r="P72" i="3"/>
  <c r="C73" i="3"/>
  <c r="F73" i="3"/>
  <c r="G73" i="3"/>
  <c r="H73" i="3"/>
  <c r="J73" i="3"/>
  <c r="K73" i="3"/>
  <c r="M73" i="3"/>
  <c r="O73" i="3"/>
  <c r="P73" i="3"/>
  <c r="C74" i="3"/>
  <c r="G74" i="3"/>
  <c r="H74" i="3"/>
  <c r="J74" i="3"/>
  <c r="K74" i="3"/>
  <c r="M74" i="3"/>
  <c r="O74" i="3"/>
  <c r="P74" i="3"/>
  <c r="C75" i="3"/>
  <c r="E75" i="3"/>
  <c r="F75" i="3"/>
  <c r="H75" i="3"/>
  <c r="J75" i="3"/>
  <c r="M75" i="3"/>
  <c r="O75" i="3"/>
  <c r="P75" i="3"/>
  <c r="C57" i="3"/>
  <c r="E57" i="3"/>
  <c r="F57" i="3"/>
  <c r="H57" i="3"/>
  <c r="J57" i="3"/>
  <c r="K57" i="3"/>
  <c r="M57" i="3"/>
  <c r="O57" i="3"/>
  <c r="P57" i="3"/>
  <c r="C29" i="3"/>
  <c r="E29" i="3"/>
  <c r="G29" i="3"/>
  <c r="H29" i="3"/>
  <c r="K29" i="3"/>
  <c r="O29" i="3"/>
  <c r="P29" i="3"/>
  <c r="C30" i="3"/>
  <c r="E30" i="3"/>
  <c r="F30" i="3"/>
  <c r="G30" i="3"/>
  <c r="H30" i="3"/>
  <c r="J30" i="3"/>
  <c r="K30" i="3"/>
  <c r="O30" i="3"/>
  <c r="P30" i="3"/>
  <c r="C31" i="3"/>
  <c r="E31" i="3"/>
  <c r="F31" i="3"/>
  <c r="H31" i="3"/>
  <c r="J31" i="3"/>
  <c r="K31" i="3"/>
  <c r="O31" i="3"/>
  <c r="P31" i="3"/>
  <c r="C32" i="3"/>
  <c r="E32" i="3"/>
  <c r="F32" i="3"/>
  <c r="H32" i="3"/>
  <c r="K32" i="3"/>
  <c r="L32" i="3"/>
  <c r="M32" i="3"/>
  <c r="O32" i="3"/>
  <c r="P32" i="3"/>
  <c r="C33" i="3"/>
  <c r="E33" i="3"/>
  <c r="F33" i="3"/>
  <c r="G33" i="3"/>
  <c r="H33" i="3"/>
  <c r="J33" i="3"/>
  <c r="K33" i="3"/>
  <c r="L33" i="3"/>
  <c r="M33" i="3"/>
  <c r="O33" i="3"/>
  <c r="C34" i="3"/>
  <c r="E34" i="3"/>
  <c r="H34" i="3"/>
  <c r="J34" i="3"/>
  <c r="K34" i="3"/>
  <c r="M34" i="3"/>
  <c r="O34" i="3"/>
  <c r="P34" i="3"/>
  <c r="C35" i="3"/>
  <c r="E35" i="3"/>
  <c r="F35" i="3"/>
  <c r="G35" i="3"/>
  <c r="H35" i="3"/>
  <c r="J35" i="3"/>
  <c r="K35" i="3"/>
  <c r="L35" i="3"/>
  <c r="M35" i="3"/>
  <c r="O35" i="3"/>
  <c r="P35" i="3"/>
  <c r="C36" i="3"/>
  <c r="E36" i="3"/>
  <c r="F36" i="3"/>
  <c r="H36" i="3"/>
  <c r="J36" i="3"/>
  <c r="K36" i="3"/>
  <c r="L36" i="3"/>
  <c r="M36" i="3"/>
  <c r="O36" i="3"/>
  <c r="P36" i="3"/>
  <c r="C37" i="3"/>
  <c r="E37" i="3"/>
  <c r="F37" i="3"/>
  <c r="G37" i="3"/>
  <c r="H37" i="3"/>
  <c r="J37" i="3"/>
  <c r="K37" i="3"/>
  <c r="L37" i="3"/>
  <c r="M37" i="3"/>
  <c r="O37" i="3"/>
  <c r="P37" i="3"/>
  <c r="C38" i="3"/>
  <c r="E38" i="3"/>
  <c r="F38" i="3"/>
  <c r="G38" i="3"/>
  <c r="H38" i="3"/>
  <c r="J38" i="3"/>
  <c r="K38" i="3"/>
  <c r="L38" i="3"/>
  <c r="M38" i="3"/>
  <c r="O38" i="3"/>
  <c r="P38" i="3"/>
  <c r="F7" i="3"/>
  <c r="H7" i="3"/>
  <c r="J7" i="3"/>
  <c r="K7" i="3"/>
  <c r="M7" i="3"/>
  <c r="O7" i="3"/>
  <c r="P7" i="3"/>
  <c r="F10" i="3"/>
  <c r="H10" i="3"/>
  <c r="J10" i="3"/>
  <c r="K10" i="3"/>
  <c r="M10" i="3"/>
  <c r="O10" i="3"/>
  <c r="P10" i="3"/>
  <c r="F11" i="3"/>
  <c r="H11" i="3"/>
  <c r="J11" i="3"/>
  <c r="K11" i="3"/>
  <c r="M11" i="3"/>
  <c r="O11" i="3"/>
  <c r="P11" i="3"/>
  <c r="F12" i="3"/>
  <c r="G12" i="3"/>
  <c r="H12" i="3"/>
  <c r="J12" i="3"/>
  <c r="K12" i="3"/>
  <c r="M12" i="3"/>
  <c r="O12" i="3"/>
  <c r="P12" i="3"/>
  <c r="F13" i="3"/>
  <c r="G13" i="3"/>
  <c r="H13" i="3"/>
  <c r="J13" i="3"/>
  <c r="K13" i="3"/>
  <c r="M13" i="3"/>
  <c r="O13" i="3"/>
  <c r="P13" i="3"/>
  <c r="F14" i="3"/>
  <c r="G14" i="3"/>
  <c r="H14" i="3"/>
  <c r="J14" i="3"/>
  <c r="K14" i="3"/>
  <c r="M14" i="3"/>
  <c r="O14" i="3"/>
  <c r="P14" i="3"/>
  <c r="F15" i="3"/>
  <c r="H15" i="3"/>
  <c r="J15" i="3"/>
  <c r="K15" i="3"/>
  <c r="M15" i="3"/>
  <c r="O15" i="3"/>
  <c r="P15" i="3"/>
  <c r="F16" i="3"/>
  <c r="H16" i="3"/>
  <c r="J16" i="3"/>
  <c r="K16" i="3"/>
  <c r="M16" i="3"/>
  <c r="O16" i="3"/>
  <c r="P16" i="3"/>
  <c r="F17" i="3"/>
  <c r="G17" i="3"/>
  <c r="H17" i="3"/>
  <c r="J17" i="3"/>
  <c r="K17" i="3"/>
  <c r="M17" i="3"/>
  <c r="O17" i="3"/>
  <c r="P17" i="3"/>
  <c r="F18" i="3"/>
  <c r="H18" i="3"/>
  <c r="J18" i="3"/>
  <c r="M18" i="3"/>
  <c r="P18" i="3"/>
  <c r="F19" i="3"/>
  <c r="G19" i="3"/>
  <c r="H19" i="3"/>
  <c r="J19" i="3"/>
  <c r="K19" i="3"/>
  <c r="M19" i="3"/>
  <c r="O19" i="3"/>
  <c r="P19" i="3"/>
  <c r="F20" i="3"/>
  <c r="G20" i="3"/>
  <c r="H20" i="3"/>
  <c r="J20" i="3"/>
  <c r="K20" i="3"/>
  <c r="M20" i="3"/>
  <c r="O20" i="3"/>
  <c r="P20" i="3"/>
  <c r="F21" i="3"/>
  <c r="G21" i="3"/>
  <c r="H21" i="3"/>
  <c r="J21" i="3"/>
  <c r="K21" i="3"/>
  <c r="M21" i="3"/>
  <c r="O21" i="3"/>
  <c r="P21" i="3"/>
  <c r="F22" i="3"/>
  <c r="G22" i="3"/>
  <c r="H22" i="3"/>
  <c r="J22" i="3"/>
  <c r="M22" i="3"/>
  <c r="P22" i="3"/>
  <c r="F26" i="3"/>
  <c r="H26" i="3"/>
  <c r="J26" i="3"/>
  <c r="K26" i="3"/>
  <c r="M26" i="3"/>
  <c r="P26" i="3"/>
  <c r="C27" i="3"/>
  <c r="E27" i="3"/>
  <c r="F27" i="3"/>
  <c r="H27" i="3"/>
  <c r="J27" i="3"/>
  <c r="K27" i="3"/>
  <c r="L27" i="3"/>
  <c r="M27" i="3"/>
  <c r="O27" i="3"/>
  <c r="P27" i="3"/>
  <c r="C28" i="3"/>
  <c r="E28" i="3"/>
  <c r="F28" i="3"/>
  <c r="H28" i="3"/>
  <c r="J28" i="3"/>
  <c r="K28" i="3"/>
  <c r="L28" i="3"/>
  <c r="M28" i="3"/>
  <c r="O28" i="3"/>
  <c r="P28" i="3"/>
  <c r="P6" i="3"/>
  <c r="O6" i="3"/>
  <c r="M6" i="3"/>
  <c r="L6" i="3"/>
  <c r="K6" i="3"/>
  <c r="J6" i="3"/>
  <c r="F6" i="3"/>
  <c r="E6" i="3"/>
  <c r="K2" i="2"/>
  <c r="J2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I2" i="2"/>
  <c r="F2" i="2"/>
  <c r="S2" i="2"/>
  <c r="U2" i="2"/>
  <c r="X2" i="2"/>
  <c r="Z2" i="2"/>
  <c r="AB2" i="2"/>
  <c r="AI2" i="2"/>
  <c r="AK2" i="2"/>
  <c r="AJ2" i="2"/>
  <c r="AH2" i="2"/>
  <c r="AG2" i="2"/>
  <c r="AF2" i="2"/>
  <c r="AE2" i="2"/>
</calcChain>
</file>

<file path=xl/sharedStrings.xml><?xml version="1.0" encoding="utf-8"?>
<sst xmlns="http://schemas.openxmlformats.org/spreadsheetml/2006/main" count="9260" uniqueCount="3718">
  <si>
    <t>No</t>
  </si>
  <si>
    <t>Nomor Pendaftaran</t>
  </si>
  <si>
    <t>NISN</t>
  </si>
  <si>
    <t>Nama</t>
  </si>
  <si>
    <t>Jenis Kelamin</t>
  </si>
  <si>
    <t>Agama</t>
  </si>
  <si>
    <t>Alamat</t>
  </si>
  <si>
    <t>Provinsi</t>
  </si>
  <si>
    <t>Asal Sekolah</t>
  </si>
  <si>
    <t>Alamat Sekolah</t>
  </si>
  <si>
    <t>Prestasi</t>
  </si>
  <si>
    <t>Nama Ayah</t>
  </si>
  <si>
    <t>Pendidikan</t>
  </si>
  <si>
    <t>Pekerjaan</t>
  </si>
  <si>
    <t>Penghasilan</t>
  </si>
  <si>
    <t>Telp</t>
  </si>
  <si>
    <t>Email</t>
  </si>
  <si>
    <t>Nama Ibu</t>
  </si>
  <si>
    <t>Nama Wali</t>
  </si>
  <si>
    <t>Bantul</t>
  </si>
  <si>
    <t>S1</t>
  </si>
  <si>
    <t>PNS</t>
  </si>
  <si>
    <t>DIPLOMA</t>
  </si>
  <si>
    <t>Yogyakarta</t>
  </si>
  <si>
    <t>SDIT Insan Utama</t>
  </si>
  <si>
    <t>Sumaryono</t>
  </si>
  <si>
    <t>Krisnawati</t>
  </si>
  <si>
    <t>Jakarta</t>
  </si>
  <si>
    <t>Brebes</t>
  </si>
  <si>
    <t>Jawa Tengah</t>
  </si>
  <si>
    <t>S2</t>
  </si>
  <si>
    <t>Mataram</t>
  </si>
  <si>
    <t>Wahyu Hidayat</t>
  </si>
  <si>
    <t>Pekalongan</t>
  </si>
  <si>
    <t>Batam</t>
  </si>
  <si>
    <t>SD Muhammadiyah Nitikan</t>
  </si>
  <si>
    <t>Kalimantan Timur</t>
  </si>
  <si>
    <t>Balikpapan</t>
  </si>
  <si>
    <t>Samarinda</t>
  </si>
  <si>
    <t>Jawa Timur</t>
  </si>
  <si>
    <t>Jawa Barat</t>
  </si>
  <si>
    <t>Semarang</t>
  </si>
  <si>
    <t>Tangerang</t>
  </si>
  <si>
    <t>Banten</t>
  </si>
  <si>
    <t>Kalimantan Tengah</t>
  </si>
  <si>
    <t>Surabaya</t>
  </si>
  <si>
    <t>Bandung</t>
  </si>
  <si>
    <t>Banjarmasin</t>
  </si>
  <si>
    <t>Kalimantan Selatan</t>
  </si>
  <si>
    <t>Gresik</t>
  </si>
  <si>
    <t>SD Muhammadiyah Wirobrajan 3</t>
  </si>
  <si>
    <t>Pangkal Pinang</t>
  </si>
  <si>
    <t>Sleman</t>
  </si>
  <si>
    <t>Kulon Progo</t>
  </si>
  <si>
    <t>SD Muhammadiyah Ngijon 1</t>
  </si>
  <si>
    <t>Wonosobo</t>
  </si>
  <si>
    <t>SD MBF Al Adzkiya</t>
  </si>
  <si>
    <t>Banyuwangi</t>
  </si>
  <si>
    <t>SD Muhammadiyah 1 Banyuwangi</t>
  </si>
  <si>
    <t>Kebumen</t>
  </si>
  <si>
    <t>Denpasar</t>
  </si>
  <si>
    <t>Bali</t>
  </si>
  <si>
    <t>SD Muhammadiyah 2 Denpasar</t>
  </si>
  <si>
    <t>Banjarnegara</t>
  </si>
  <si>
    <t>Kota Batam</t>
  </si>
  <si>
    <t>DKI Jakarta</t>
  </si>
  <si>
    <t>Cilacap</t>
  </si>
  <si>
    <t>Kalimantan Barat</t>
  </si>
  <si>
    <t>Petung</t>
  </si>
  <si>
    <t>Sumatera Selatan</t>
  </si>
  <si>
    <t>Bengkulu</t>
  </si>
  <si>
    <t>Batang</t>
  </si>
  <si>
    <t>Bekasi</t>
  </si>
  <si>
    <t>Sidoarjo</t>
  </si>
  <si>
    <t>SD Muhammadiyah 4 Surabaya</t>
  </si>
  <si>
    <t>S3</t>
  </si>
  <si>
    <t>Magelang</t>
  </si>
  <si>
    <t>Parakan</t>
  </si>
  <si>
    <t>Aceh</t>
  </si>
  <si>
    <t>Tarakan</t>
  </si>
  <si>
    <t>Kalimantan Utara</t>
  </si>
  <si>
    <t>Jember</t>
  </si>
  <si>
    <t>Bogor</t>
  </si>
  <si>
    <t>SD Muhammadiyah Pakel</t>
  </si>
  <si>
    <t>Madiun</t>
  </si>
  <si>
    <t>D</t>
  </si>
  <si>
    <t>Lampung</t>
  </si>
  <si>
    <t>Sukoharjo</t>
  </si>
  <si>
    <t>SD Muhammadiyah 2 Bojonegoro</t>
  </si>
  <si>
    <t>Klaten</t>
  </si>
  <si>
    <t>Tegal</t>
  </si>
  <si>
    <t>Magetan</t>
  </si>
  <si>
    <t>SD Muhammadiyah 1 Magetan</t>
  </si>
  <si>
    <t>Banyumas</t>
  </si>
  <si>
    <t>Sragen</t>
  </si>
  <si>
    <t>Erisa Susiana</t>
  </si>
  <si>
    <t>Rifqi Kurniadi Suryanto</t>
  </si>
  <si>
    <t>Bima</t>
  </si>
  <si>
    <t>Papua</t>
  </si>
  <si>
    <t>SDIT Alam Nurul Islam</t>
  </si>
  <si>
    <t>Pekanbaru</t>
  </si>
  <si>
    <t>Purbalingga</t>
  </si>
  <si>
    <t>Purworejo</t>
  </si>
  <si>
    <t>SD Muhammadiyah 1 Alternatif Kota Magelang</t>
  </si>
  <si>
    <t>Lamongan</t>
  </si>
  <si>
    <t>Makassar</t>
  </si>
  <si>
    <t>Sulawesi Selatan</t>
  </si>
  <si>
    <t>SD Muhammadiyah Kutoarjo</t>
  </si>
  <si>
    <t>Palembang</t>
  </si>
  <si>
    <t>Karanganyar</t>
  </si>
  <si>
    <t>Boyolali</t>
  </si>
  <si>
    <t>Temanggung</t>
  </si>
  <si>
    <t>SD Muhammadiyah Sudagaran Wonosobo</t>
  </si>
  <si>
    <t>Arifin</t>
  </si>
  <si>
    <t>SD IT Alam Nurul Islam</t>
  </si>
  <si>
    <t>SD Muhammadiyah Condongcatur</t>
  </si>
  <si>
    <t>SD Muhammadiyah Manyar</t>
  </si>
  <si>
    <t>Kendal</t>
  </si>
  <si>
    <t>Tabalong</t>
  </si>
  <si>
    <t>SD Hasbunallah</t>
  </si>
  <si>
    <t>SD Muhammadiyah Sapen Yogyakarta</t>
  </si>
  <si>
    <t>SD Muhammadiyah Mutihan</t>
  </si>
  <si>
    <t>Sulawesi Tengah</t>
  </si>
  <si>
    <t>Supriyati</t>
  </si>
  <si>
    <t>Pemalang</t>
  </si>
  <si>
    <t>SD Muhammadiyah 30 Poris Jaya</t>
  </si>
  <si>
    <t>Malang</t>
  </si>
  <si>
    <t>Ambon</t>
  </si>
  <si>
    <t>Maluku</t>
  </si>
  <si>
    <t>Salatiga</t>
  </si>
  <si>
    <t>SD Muhammadiyah Bodon</t>
  </si>
  <si>
    <t>SD Muhammadiyah Sokonandi Yogyakarta</t>
  </si>
  <si>
    <t>SD Muhammadiyah Wirobrajan 3 Yogyakarta</t>
  </si>
  <si>
    <t>Padang</t>
  </si>
  <si>
    <t>Tangerang Selatan</t>
  </si>
  <si>
    <t>Garut</t>
  </si>
  <si>
    <t>Tenggarong</t>
  </si>
  <si>
    <t>NIS</t>
  </si>
  <si>
    <t>PARALEL</t>
  </si>
  <si>
    <t>INDUK</t>
  </si>
  <si>
    <t>NAMA SISWA</t>
  </si>
  <si>
    <t>F</t>
  </si>
  <si>
    <t>A</t>
  </si>
  <si>
    <t>G</t>
  </si>
  <si>
    <t>E</t>
  </si>
  <si>
    <t>C</t>
  </si>
  <si>
    <t>B</t>
  </si>
  <si>
    <t xml:space="preserve">N I S </t>
  </si>
  <si>
    <t>Anak Ke</t>
  </si>
  <si>
    <t>KELAHIRAN</t>
  </si>
  <si>
    <t>NAMA ORANG TUA DAN NO TELP./HP</t>
  </si>
  <si>
    <t>PEKERJAAN</t>
  </si>
  <si>
    <t>NO. IJZH</t>
  </si>
  <si>
    <t>Tempat</t>
  </si>
  <si>
    <t>Tanggal</t>
  </si>
  <si>
    <t>Ayah</t>
  </si>
  <si>
    <t>Ibu</t>
  </si>
  <si>
    <t>HP Ibu</t>
  </si>
  <si>
    <t xml:space="preserve"> Ayah</t>
  </si>
  <si>
    <t xml:space="preserve"> Ibu</t>
  </si>
  <si>
    <t>Jepara</t>
  </si>
  <si>
    <t>Kab. Semarang</t>
  </si>
  <si>
    <t>Sampit</t>
  </si>
  <si>
    <t>Lampung Tengah</t>
  </si>
  <si>
    <t>Banjarbaru</t>
  </si>
  <si>
    <t>Wiraswasta</t>
  </si>
  <si>
    <t>Guru</t>
  </si>
  <si>
    <t>Dokter</t>
  </si>
  <si>
    <t>Dosen</t>
  </si>
  <si>
    <t>Sri Utami</t>
  </si>
  <si>
    <t>SD Muhammadiyah Parakan</t>
  </si>
  <si>
    <t>SD Muhammadiyah Paesan</t>
  </si>
  <si>
    <t>SD Muhammadiyah 1 Tenggarong</t>
  </si>
  <si>
    <t>SDIT Assalaam Sanden</t>
  </si>
  <si>
    <t>KET/NO. IJZH</t>
  </si>
  <si>
    <t>SD Birrul Walidain Muhammadiyah Sragen</t>
  </si>
  <si>
    <t>SD Muhammadiyah Pakel Program Plus</t>
  </si>
  <si>
    <t>087838149459</t>
  </si>
  <si>
    <t>082116222281</t>
  </si>
  <si>
    <t>NO</t>
  </si>
  <si>
    <t>TEMPAT LAHIR</t>
  </si>
  <si>
    <t>TANGGAL LAHIR</t>
  </si>
  <si>
    <t>KELURAHAN</t>
  </si>
  <si>
    <t>KECAMATAN</t>
  </si>
  <si>
    <t>Kabupaten/kota</t>
  </si>
  <si>
    <t>Nama WK</t>
  </si>
  <si>
    <t>Jml Saudara</t>
  </si>
  <si>
    <t>KODE POS</t>
  </si>
  <si>
    <t>ALAMAT</t>
  </si>
  <si>
    <t>Agama Wali</t>
  </si>
  <si>
    <t>Agama Ibu</t>
  </si>
  <si>
    <t>Agama Ayah</t>
  </si>
  <si>
    <t>Nama Direktur</t>
  </si>
  <si>
    <t>NBM/NIP.</t>
  </si>
  <si>
    <t>TGL MASUK</t>
  </si>
  <si>
    <t>TAHUN IJAZAH</t>
  </si>
  <si>
    <t>NO IJAZAH</t>
  </si>
  <si>
    <t>DATA SISWA KELAS I / VII A</t>
  </si>
  <si>
    <t>KELAS I / VII A</t>
  </si>
  <si>
    <t>DATA SISWA KELAS I / VII B</t>
  </si>
  <si>
    <t>KELAS I / VII B</t>
  </si>
  <si>
    <t>DATA SISWA KELAS I / VII C</t>
  </si>
  <si>
    <t>KELAS I / VII C</t>
  </si>
  <si>
    <t>DATA SISWA KELAS I / VII D</t>
  </si>
  <si>
    <t>KELAS I / VII D</t>
  </si>
  <si>
    <t>KELAS I / VII E</t>
  </si>
  <si>
    <t>KELAS I / VII F</t>
  </si>
  <si>
    <t>KELAS I / VII G</t>
  </si>
  <si>
    <t>DATA SISWA KELAS I / VII G</t>
  </si>
  <si>
    <t>Alamat Tempat Tinggal</t>
  </si>
  <si>
    <t>Alamat Wali</t>
  </si>
  <si>
    <t>KK</t>
  </si>
  <si>
    <t>TEMPAT LAHIR IBU</t>
  </si>
  <si>
    <t>TGL LAHIR IBU</t>
  </si>
  <si>
    <t>TGL LAHIR AYAH</t>
  </si>
  <si>
    <t>TEMPAT LAHIR AYAH</t>
  </si>
  <si>
    <t>NIK ANAK</t>
  </si>
  <si>
    <t>NIK AYAH</t>
  </si>
  <si>
    <t>NIK IBU</t>
  </si>
  <si>
    <t>TANGGAL LAHIR1</t>
  </si>
  <si>
    <t>NBM WK</t>
  </si>
  <si>
    <t>LS A</t>
  </si>
  <si>
    <t>LS B</t>
  </si>
  <si>
    <t>LS C</t>
  </si>
  <si>
    <t>LSA</t>
  </si>
  <si>
    <t>LSB</t>
  </si>
  <si>
    <t>LSC</t>
  </si>
  <si>
    <t>DATA SISWA KELAS I / VII (Lower Secondary C)</t>
  </si>
  <si>
    <t>-</t>
  </si>
  <si>
    <t>TANGGAL LAHIR2</t>
  </si>
  <si>
    <t>DESA/KELURAHAN</t>
  </si>
  <si>
    <t>DATA SISWA KELAS I / VII F</t>
  </si>
  <si>
    <t>DATA SISWA KELAS I / VII E</t>
  </si>
  <si>
    <t>NO+A:AJ</t>
  </si>
  <si>
    <t>MADRASAH MU'ALLIMIIN MUHAMMADIYAH YOGYAKARTA</t>
  </si>
  <si>
    <t>DATA SISWA KELAS I / VII (Lower Secondary A)</t>
  </si>
  <si>
    <t>DATA SISWA KELAS I / VII (Lower Secondary B)</t>
  </si>
  <si>
    <t>TAHUN PELAJARAN 2026/2027</t>
  </si>
  <si>
    <t>Agha Faeyza Barra</t>
  </si>
  <si>
    <t>Ahmad Ibrahim Al Mahmudi</t>
  </si>
  <si>
    <t>Almer Bahi Mahdy</t>
  </si>
  <si>
    <t>Ammar Abdul Aziz</t>
  </si>
  <si>
    <t>Attaya Fikri Rizqullah</t>
  </si>
  <si>
    <t>Bisma Pragaswara Suprapto</t>
  </si>
  <si>
    <t>Dava Ad Dzikri</t>
  </si>
  <si>
    <t>Dhio Itqon Ilmi Izzulhaqq</t>
  </si>
  <si>
    <t>Fatih Al Faiz</t>
  </si>
  <si>
    <t>Fayzan Ghadi Safaraz</t>
  </si>
  <si>
    <t>H. Muhammad Musthofa El Akhyar AR</t>
  </si>
  <si>
    <t>Hafeez Azmi Muhammad</t>
  </si>
  <si>
    <t>Hakam Naja Hasan</t>
  </si>
  <si>
    <t>Harits Tammam Rahman</t>
  </si>
  <si>
    <t>Ibrohim Rofiq</t>
  </si>
  <si>
    <t>Iman Ashraf Athaillah</t>
  </si>
  <si>
    <t>Khenan Naufal Dary Abiyyu</t>
  </si>
  <si>
    <t>Mikail Ahmad Zaidan</t>
  </si>
  <si>
    <t>Moh. Athariz Chalief Hamidy</t>
  </si>
  <si>
    <t>Muhamad Fathan Sakhi Zaidan</t>
  </si>
  <si>
    <t>Muhammad Azmi An Najah</t>
  </si>
  <si>
    <t>Muhammad Hafis Makarim</t>
  </si>
  <si>
    <t>Muhammad Robii'ul Awwal</t>
  </si>
  <si>
    <t>Radhin Nabil Alauna</t>
  </si>
  <si>
    <t>Rafa Rizki Ramadhansyah Haris</t>
  </si>
  <si>
    <t>Rajendra Zhafran Arsaputra</t>
  </si>
  <si>
    <t>Salman Abqary Haidar Al Hanif</t>
  </si>
  <si>
    <t>Wisanggeni Pamungkas Pamujaning Rheinandy</t>
  </si>
  <si>
    <t>Zidan Al Fatir Siregar</t>
  </si>
  <si>
    <t>A.Dinar Sayuto</t>
  </si>
  <si>
    <t>Adhyastha Ainur Rizky</t>
  </si>
  <si>
    <t>Aditya Giri Reksa Nu’aimi</t>
  </si>
  <si>
    <t>Alaika Syamil Al-Hadzik</t>
  </si>
  <si>
    <t>Arjuna Satria Pradipta</t>
  </si>
  <si>
    <t>Aryatama Febrian Danendra</t>
  </si>
  <si>
    <t>Faiz Fadhlurrahman</t>
  </si>
  <si>
    <t>Faqih Keyaanurasyid</t>
  </si>
  <si>
    <t>Fauzan Nur Hidayat</t>
  </si>
  <si>
    <t>Fazila Akbar Ikhlas</t>
  </si>
  <si>
    <t>Firnas Alfariel</t>
  </si>
  <si>
    <t>Hafizh Nizar Prasetya</t>
  </si>
  <si>
    <t>Ibrahim Al Azzam</t>
  </si>
  <si>
    <t>Ilian Badranaya El Qurafi</t>
  </si>
  <si>
    <t>Kenzo Zafran Al Abiyyu</t>
  </si>
  <si>
    <t>Lintang Mahardika</t>
  </si>
  <si>
    <t>Muhammad Alkhali Dzikri</t>
  </si>
  <si>
    <t>Muhammad Azzam Al Fatih</t>
  </si>
  <si>
    <t>Muhammad Elvin Ishahda</t>
  </si>
  <si>
    <t>Muhammad Farrel Anhar</t>
  </si>
  <si>
    <t>Muhammad Fatih El Ezza</t>
  </si>
  <si>
    <t>Muhammad Ghozi Al Faruqi</t>
  </si>
  <si>
    <t>Naufal Afkar</t>
  </si>
  <si>
    <t>Nirwaseta Putra Purnama</t>
  </si>
  <si>
    <t>Raditya Asyam Adz Dzaqi</t>
  </si>
  <si>
    <t>Rakha Naufal Alfarisi</t>
  </si>
  <si>
    <t>Rifat Inet Firas</t>
  </si>
  <si>
    <t>Sayeed Muhammad 'Alauddin Fakhri</t>
  </si>
  <si>
    <t>Wildan Hawwari</t>
  </si>
  <si>
    <t>Zafran Ilham Sujati</t>
  </si>
  <si>
    <t>Zaky Fakhry Yanto</t>
  </si>
  <si>
    <t>Abdullah Alfaqih</t>
  </si>
  <si>
    <t>Ahlam Zulfadli Firdaus</t>
  </si>
  <si>
    <t>Ahmad Mumtaz Dhiya El Haq</t>
  </si>
  <si>
    <t>Ahmad Zufar Syamaidzar</t>
  </si>
  <si>
    <t>Ahsan Abdullah Nasution</t>
  </si>
  <si>
    <t>Ahsan Rafif Aditya</t>
  </si>
  <si>
    <t>Arsyad Farkhi Ismail</t>
  </si>
  <si>
    <t>Azfar Rayyan Al Farisi</t>
  </si>
  <si>
    <t>Fadlliy Dzaka Triyono</t>
  </si>
  <si>
    <t>Habibie Musthofa Reenosady</t>
  </si>
  <si>
    <t>Hayatamam Al Abra</t>
  </si>
  <si>
    <t>Ibrahim Rizqy Nugroho</t>
  </si>
  <si>
    <t>Kenzie Abdurahman Haziq</t>
  </si>
  <si>
    <t>Khadafi Atha Al Barra</t>
  </si>
  <si>
    <t>Luqman Hakim</t>
  </si>
  <si>
    <t>Maulana Dzaki Husnayain</t>
  </si>
  <si>
    <t>Muhammad Azhar Nazhifurrahman</t>
  </si>
  <si>
    <t>Muhammad Bilal Najmu Tsaqib</t>
  </si>
  <si>
    <t>Muhammad Dhiaa El Haq</t>
  </si>
  <si>
    <t>Muhammad Hanif Adhinugraha</t>
  </si>
  <si>
    <t>Muhammad Ikhsan Fadhilah</t>
  </si>
  <si>
    <t>Muhammad Irsyad Wijaya</t>
  </si>
  <si>
    <t>Muhammad Jibril Assyafi Syaifullah</t>
  </si>
  <si>
    <t>Muhammad Rayhan Ar Rayyan Wijaya</t>
  </si>
  <si>
    <t>Nabiyulloh Ibnu Huda</t>
  </si>
  <si>
    <t>Rafiandra Yusuf Al-Ghifari</t>
  </si>
  <si>
    <t>Raihan Nizar Daniswara</t>
  </si>
  <si>
    <t>Reffa Al-Azhar Subagiyo</t>
  </si>
  <si>
    <t>Wenang Eglo Arto</t>
  </si>
  <si>
    <t>Zhafran Ramadhan</t>
  </si>
  <si>
    <t>Ahmad Amirul A'zam</t>
  </si>
  <si>
    <t>Allardo Sultan Altansyah</t>
  </si>
  <si>
    <t>Anindya Mughni Kalingga</t>
  </si>
  <si>
    <t>Arfa Narendra Nugroho</t>
  </si>
  <si>
    <t>Athariz Zidane Ferdiansyah</t>
  </si>
  <si>
    <t>Atharizz Andistyo Ghiffari</t>
  </si>
  <si>
    <t>Atillah Azfar Rasyid</t>
  </si>
  <si>
    <t>Azmi Hail</t>
  </si>
  <si>
    <t>Azzam Fahrezzi Shaquille</t>
  </si>
  <si>
    <t>Cemal Rizqy Hibatullah Al - Azzam</t>
  </si>
  <si>
    <t>Daniswara Alvis Nurrizqi</t>
  </si>
  <si>
    <t>Dzulfadli Agra Firmansyah</t>
  </si>
  <si>
    <t>Fairel Atharizz Chalief</t>
  </si>
  <si>
    <t>Faith Zirah El Fathir Triono</t>
  </si>
  <si>
    <t>Jaris Jalu Randita</t>
  </si>
  <si>
    <t>Kamaalul Firdaus</t>
  </si>
  <si>
    <t>Kaysan Shahzada Sabih</t>
  </si>
  <si>
    <t>Mifzal Assyauqi Muhammad</t>
  </si>
  <si>
    <t>Muhammad Admiral Atthobari Yatalathof</t>
  </si>
  <si>
    <t>Muhammad Ahnaf Isnandika</t>
  </si>
  <si>
    <t>Muhammad Airlangga Abbyansyah Fajar</t>
  </si>
  <si>
    <t>Muhammad Alfano Abqary Pratama</t>
  </si>
  <si>
    <t>Muhammad Azghan Aushafi Prasetyo</t>
  </si>
  <si>
    <t>Muhammad Bagus Al Farizi</t>
  </si>
  <si>
    <t>Muhammad Fahry</t>
  </si>
  <si>
    <t>Muhammad Nizam Justice Aryansyah</t>
  </si>
  <si>
    <t>Nadzif Azzam Al Vaizi</t>
  </si>
  <si>
    <t>Nararya Rizqi Ananditya</t>
  </si>
  <si>
    <t>Salahuddin Nafis Al Farisi</t>
  </si>
  <si>
    <t>Syamil Ramadhani Saputra</t>
  </si>
  <si>
    <t>Tsaqiif Yaafi' Tri Nugroho</t>
  </si>
  <si>
    <t>Abuwildan Najid Arrasyad</t>
  </si>
  <si>
    <t>Afif Agil Saputra</t>
  </si>
  <si>
    <t>Alief Rohman Hidayat</t>
  </si>
  <si>
    <t>Arsyad Faza El - Rafif</t>
  </si>
  <si>
    <t>Azka Rafif Khafadi</t>
  </si>
  <si>
    <t>Chelsea Safaraz Majiid</t>
  </si>
  <si>
    <t>Daffa Fritzie Alghifari</t>
  </si>
  <si>
    <t>Danes Edgar Abdima Pratama</t>
  </si>
  <si>
    <t>Evan Rafif Firjatullah</t>
  </si>
  <si>
    <t>Faaza Muhammad Widaad</t>
  </si>
  <si>
    <t>Faeyza Azizan Santoso</t>
  </si>
  <si>
    <t>Fardan Rasya Bofatra</t>
  </si>
  <si>
    <t>Hafidz Ramadhani</t>
  </si>
  <si>
    <t>Hamizan Uays Arsy</t>
  </si>
  <si>
    <t>Hamizan Yafiq Azfar</t>
  </si>
  <si>
    <t>Ibrahim Arkaan Dhiya Ulhaq</t>
  </si>
  <si>
    <t>Ihtisyam Al Quds Anas</t>
  </si>
  <si>
    <t>Jinan Kiano Saba</t>
  </si>
  <si>
    <t>Mahatma Putra Insani</t>
  </si>
  <si>
    <t>Muhammad Abdul Rasyid</t>
  </si>
  <si>
    <t>Muhammad Arif Fatikhayat</t>
  </si>
  <si>
    <t>Muhammad Arya Pamenang</t>
  </si>
  <si>
    <t>Muhammad Dhanurendra Abhimata Wihrasto</t>
  </si>
  <si>
    <t>Muhammad Fadlan Kurnia</t>
  </si>
  <si>
    <t>Muhammad Lantang Wirayudha Akbar</t>
  </si>
  <si>
    <t>Muhammad Ziyad Avicenna</t>
  </si>
  <si>
    <t>Nabhan Ghazy Pradipta</t>
  </si>
  <si>
    <t>Randa Kamil Bahta</t>
  </si>
  <si>
    <t>Rayyan Al-Hamdy</t>
  </si>
  <si>
    <t>Syauqi Musyaffa Fikri</t>
  </si>
  <si>
    <t>Acapella Akbar Alhafizh Hartono</t>
  </si>
  <si>
    <t>Aditya Ainurrahman</t>
  </si>
  <si>
    <t>Agna Nizama Khalif Diniy Adz Zaki</t>
  </si>
  <si>
    <t>Ahmad Kenzie Kayana</t>
  </si>
  <si>
    <t>Ahsan El Amin</t>
  </si>
  <si>
    <t>Arakata Aqila Jannahpia</t>
  </si>
  <si>
    <t>Ararya Genius El Hafizh Nugroho</t>
  </si>
  <si>
    <t>Asadulloh Al-Fathnany</t>
  </si>
  <si>
    <t>Aufaa Al Ghifari</t>
  </si>
  <si>
    <t>Bisma Hilal Mahadika Abiyu Haidar</t>
  </si>
  <si>
    <t>Davin Al Nazri</t>
  </si>
  <si>
    <t>Faqih Ibnu Iskandar</t>
  </si>
  <si>
    <t>Hafiz Mursi Ramadhan</t>
  </si>
  <si>
    <t>Hamdan Pandega</t>
  </si>
  <si>
    <t>Kennard Belmiro Asmara</t>
  </si>
  <si>
    <t>Latief Haziq Maulana</t>
  </si>
  <si>
    <t>Lazward Mumtaz Ahmad Adz Dzaky</t>
  </si>
  <si>
    <t>Lionel Ibrahim Althof</t>
  </si>
  <si>
    <t>Luthfi Muhammad Zaky</t>
  </si>
  <si>
    <t>Luvairel Atharizz Calief</t>
  </si>
  <si>
    <t>Muhammad Afadana Elfaza</t>
  </si>
  <si>
    <t>Muhammad Naufal Rahman</t>
  </si>
  <si>
    <t>Muhammad Rioki Alfath</t>
  </si>
  <si>
    <t>Muhammad Roykhan Arkana</t>
  </si>
  <si>
    <t>Rasyid Azka Alvaro</t>
  </si>
  <si>
    <t>Razan Javier Syarof</t>
  </si>
  <si>
    <t>Uwais Naufal El Kamal</t>
  </si>
  <si>
    <t>Yusuf Arfa</t>
  </si>
  <si>
    <t>Zufar Calief Nurdaffa</t>
  </si>
  <si>
    <t>Adam Iskandar</t>
  </si>
  <si>
    <t>Ammar Tejananta Himawan</t>
  </si>
  <si>
    <t>Amsyar Fadhlurrahman Setyawan</t>
  </si>
  <si>
    <t>Arundaya Wisanggeni Ma'arif</t>
  </si>
  <si>
    <t>Bara Putra Pratama</t>
  </si>
  <si>
    <t>Dydan Yusuf Ivander</t>
  </si>
  <si>
    <t>Fa Virendra Ahza</t>
  </si>
  <si>
    <t>Fadhil Akhtar Hartono</t>
  </si>
  <si>
    <t>Fatih Shuja Arkana</t>
  </si>
  <si>
    <t>Hilmi Ar Raihan</t>
  </si>
  <si>
    <t>Hisyam Aufa Syarif</t>
  </si>
  <si>
    <t>Lisan Shidqie</t>
  </si>
  <si>
    <t>Mochammad Fauzan Wardana</t>
  </si>
  <si>
    <t>Muhammad Aksan Al Fatih</t>
  </si>
  <si>
    <t>Muhammad Faeyza Alvaro Ardiansyah</t>
  </si>
  <si>
    <t>Muhammad Marselin Seto Jovanka</t>
  </si>
  <si>
    <t>Muhammad Nur Bilal</t>
  </si>
  <si>
    <t>Muhammad Ozil</t>
  </si>
  <si>
    <t>Muhammad Qoidun Nafi' Al Murtadho</t>
  </si>
  <si>
    <t>Muhammad Syauqi Chusairi</t>
  </si>
  <si>
    <t>Muhammad Tsaqib Azizan Rabbani</t>
  </si>
  <si>
    <t>Muhammad Yafik Ubaidillah</t>
  </si>
  <si>
    <t>Primadona Apriliano Putra Budianto</t>
  </si>
  <si>
    <t>Raditya Candra Arsakha</t>
  </si>
  <si>
    <t>Ravindra Putra Pramudya</t>
  </si>
  <si>
    <t>Riffat Ahsan Al Ghifari</t>
  </si>
  <si>
    <t>Sultan Fizhansyah Fauzi</t>
  </si>
  <si>
    <t>Sulthan Alfaraby Abduh</t>
  </si>
  <si>
    <t>Taj Azri Akmal</t>
  </si>
  <si>
    <t>Yudhistira Putra Prabowo</t>
  </si>
  <si>
    <t>Abid Tsaqif Atha Jati</t>
  </si>
  <si>
    <t>Ahza Danish Fahreza</t>
  </si>
  <si>
    <t>Akhtar Haidar Arief</t>
  </si>
  <si>
    <t>Andik Dwi Prayoga</t>
  </si>
  <si>
    <t>Bilal Abdurrohman Sholih</t>
  </si>
  <si>
    <t>Daffa Saad Rafie</t>
  </si>
  <si>
    <t>Danendra Athallah Zaheen</t>
  </si>
  <si>
    <t>Excellendra Azka Raffaza</t>
  </si>
  <si>
    <t>Fajri Fakhri IW</t>
  </si>
  <si>
    <t>Fikri Nur Fauzan</t>
  </si>
  <si>
    <t>Muhammad Alfath Arroyyan</t>
  </si>
  <si>
    <t>Muhammad Ziyad Akhsan</t>
  </si>
  <si>
    <t>Nara Ganindhira Albar</t>
  </si>
  <si>
    <t>Pangkala Fiqra El Ghazali</t>
  </si>
  <si>
    <t>Pramudya Achsan Kamil</t>
  </si>
  <si>
    <t>Rafa Ulil Azmi</t>
  </si>
  <si>
    <t>Rangga prasetyo anandika</t>
  </si>
  <si>
    <t>Raufa Arkhan Akhtara</t>
  </si>
  <si>
    <t>Abimantrana Keitaro Jevera</t>
  </si>
  <si>
    <t>Agha Faeyza El Rafif</t>
  </si>
  <si>
    <t>Athiillaah Andharu Fatah</t>
  </si>
  <si>
    <t>Daffa Mibras Ghosan</t>
  </si>
  <si>
    <t>Fardan Althaf Firdausi</t>
  </si>
  <si>
    <t>Gaza Raditya Sagoro</t>
  </si>
  <si>
    <t>Haldis Ghazain Rafay Arif</t>
  </si>
  <si>
    <t>Kai Raska Ibrahim</t>
  </si>
  <si>
    <t>Kareem Abraham</t>
  </si>
  <si>
    <t>Muhammad Arizar Reezqyandra</t>
  </si>
  <si>
    <t>Muhammad Haekal Abdullah Andreago</t>
  </si>
  <si>
    <t>Muhammad Raffi Ayman Shah</t>
  </si>
  <si>
    <t>Najmussyafi' Zimamul Haq</t>
  </si>
  <si>
    <t>Rauf Hilmi Munajad</t>
  </si>
  <si>
    <t>Ryuuta Mikan Abdullah</t>
  </si>
  <si>
    <t>Sayyaf Maulavi Barra Al Hafsh</t>
  </si>
  <si>
    <t>Sunan Bumi Al Quraisj</t>
  </si>
  <si>
    <t>Ukail Madani</t>
  </si>
  <si>
    <t>Zaidan Arkaan Adisya</t>
  </si>
  <si>
    <t>Bara Habibi Tama</t>
  </si>
  <si>
    <t>Bilal Geno Al Ghaisan</t>
  </si>
  <si>
    <t>Bilal Hamasah</t>
  </si>
  <si>
    <t>Ibnu Hafidz Elfathin</t>
  </si>
  <si>
    <t>Kenzi Agil Saryoso</t>
  </si>
  <si>
    <t>Muhammad Afif Azizan</t>
  </si>
  <si>
    <t>Muhammad Al Fatih</t>
  </si>
  <si>
    <t>Muhammad Haikal Akram</t>
  </si>
  <si>
    <t>Muhammad Khalifa Ashshiddiq</t>
  </si>
  <si>
    <t>Muhammad Zhafran Mumtaz Usman</t>
  </si>
  <si>
    <t>Naryama Ascarya Rauf</t>
  </si>
  <si>
    <t>Naufal Ahnaf Abqary</t>
  </si>
  <si>
    <t>Nawwar Sukma</t>
  </si>
  <si>
    <t>Prabu Airlangga Wicaksono</t>
  </si>
  <si>
    <t>R. Maheswara Abiyasa Narawata</t>
  </si>
  <si>
    <t>Yuda Prawira Arifin</t>
  </si>
  <si>
    <t>Zulfadhli Muhammad Fayyadh Afkar</t>
  </si>
  <si>
    <t>Laki-laki</t>
  </si>
  <si>
    <t>17 April 2014</t>
  </si>
  <si>
    <t>3525101704140001</t>
  </si>
  <si>
    <t>Islam</t>
  </si>
  <si>
    <t>Jl. Taman Ruby No. 11 RT 008 RW 021 Suci Manyar Gresik Jawa Timur 61151</t>
  </si>
  <si>
    <t>Suci</t>
  </si>
  <si>
    <t>Manyar</t>
  </si>
  <si>
    <t>Rahmat Agus Santoso</t>
  </si>
  <si>
    <t>Tsalis Apriliyah</t>
  </si>
  <si>
    <t>Karyawan Swasta</t>
  </si>
  <si>
    <t>3525102910100006</t>
  </si>
  <si>
    <t>3525040112130001</t>
  </si>
  <si>
    <t>Dsn. Kalisari RT 009 RW 004 Kalipadang Benjeng Gresk Jawa Timur 61172</t>
  </si>
  <si>
    <t>Kalipadang</t>
  </si>
  <si>
    <t>Benjeng</t>
  </si>
  <si>
    <t>Mudiono</t>
  </si>
  <si>
    <t>SLTA</t>
  </si>
  <si>
    <t>Kastini</t>
  </si>
  <si>
    <t>Ibu Rumah Tangga</t>
  </si>
  <si>
    <t>Jl. Tanjung Raja 1 No. 48 RT 002 RW 037 Perak Barat Krembangan Kota Surabaya Jawa Timur 60177</t>
  </si>
  <si>
    <t>Krembangan</t>
  </si>
  <si>
    <t>Perak Barat</t>
  </si>
  <si>
    <t>Kota Surabaya</t>
  </si>
  <si>
    <t>Budiarto</t>
  </si>
  <si>
    <t>Padangsambian Kelod</t>
  </si>
  <si>
    <t>Denpasar Barat</t>
  </si>
  <si>
    <t>Kota Denpasar</t>
  </si>
  <si>
    <t>Aditya Budi Prabowo</t>
  </si>
  <si>
    <t>D-3</t>
  </si>
  <si>
    <t>Sudarwati</t>
  </si>
  <si>
    <t>5171030312120002</t>
  </si>
  <si>
    <t>5171030108130003</t>
  </si>
  <si>
    <t>3525141309140001</t>
  </si>
  <si>
    <t>Dr. Wahidin SH 316 RT 001 RW 003 Randuagung Kebomas Gresik Jawa Timur 61121</t>
  </si>
  <si>
    <t>Kemal Abdi, SE</t>
  </si>
  <si>
    <t>Ririn Aprilianti Astuti, SE</t>
  </si>
  <si>
    <t>3525143003100008</t>
  </si>
  <si>
    <t>2171030604140001</t>
  </si>
  <si>
    <t>Belian</t>
  </si>
  <si>
    <t>Batam Kota</t>
  </si>
  <si>
    <t>Kepulauan Riau</t>
  </si>
  <si>
    <t>Eko Setiono</t>
  </si>
  <si>
    <t>Muntiati</t>
  </si>
  <si>
    <t>81020125130001</t>
  </si>
  <si>
    <t>Perum Mahkota Mutiara Permai RT 003 RW 005 Lodar El Pulau Dullah Selatan Kota Tual Maluku</t>
  </si>
  <si>
    <t>Lodar El</t>
  </si>
  <si>
    <t>Pulau Dullah Selatan</t>
  </si>
  <si>
    <t>Kota Tual</t>
  </si>
  <si>
    <t>Amirudin</t>
  </si>
  <si>
    <t>Rahma Juwita</t>
  </si>
  <si>
    <t>8172021007180002</t>
  </si>
  <si>
    <t>2171102002150002</t>
  </si>
  <si>
    <t>3471082512130001</t>
  </si>
  <si>
    <t>Zainal Arifin</t>
  </si>
  <si>
    <t>Maya Veri Oktavia</t>
  </si>
  <si>
    <t>3471080409000367</t>
  </si>
  <si>
    <t>Fajri Annaafi'u Alfarizi</t>
  </si>
  <si>
    <t>Tuban</t>
  </si>
  <si>
    <t>Dsn. Genengan RT 005 RW 003 Mojomalang Parengan Tuban Jawa Timur 62366</t>
  </si>
  <si>
    <t>Adi Sahyudi</t>
  </si>
  <si>
    <t>Murtiani</t>
  </si>
  <si>
    <t>SLTP</t>
  </si>
  <si>
    <t>3510160703130001</t>
  </si>
  <si>
    <t>Dusun Kopenbayah RT 002 RW 002 Kelir Kalipuro Banyiuwangi Jawa Timur 68455</t>
  </si>
  <si>
    <t>Yenianto Kusumo</t>
  </si>
  <si>
    <t>Terziana Evayanti</t>
  </si>
  <si>
    <t>3510162205190004</t>
  </si>
  <si>
    <t>3471130705130002</t>
  </si>
  <si>
    <t>Satria Syahrie Ramadhana, ST</t>
  </si>
  <si>
    <t>Arsitek</t>
  </si>
  <si>
    <t>Audia Inasa, ST</t>
  </si>
  <si>
    <t>3471131305110003</t>
  </si>
  <si>
    <t>3314041110130001</t>
  </si>
  <si>
    <t>Kedawung Kidul RT 018 RW 004 Kedawung Kedawung Sragen Jawa Tengah 57292</t>
  </si>
  <si>
    <t>Ali Rosyidhi, S.Pd.</t>
  </si>
  <si>
    <t>Rohmawati, S.Si.</t>
  </si>
  <si>
    <t>3314040810180001</t>
  </si>
  <si>
    <t>3402140606130002</t>
  </si>
  <si>
    <t>Muhammad Sulthoni Wibowo</t>
  </si>
  <si>
    <t>Vembri Noor Helia</t>
  </si>
  <si>
    <t>3402141707030080</t>
  </si>
  <si>
    <t>SD Muhamadiyah 1 Balongpanggang Gresik</t>
  </si>
  <si>
    <t>SDN Perak Barat, Surabaya</t>
  </si>
  <si>
    <t>SD Muhammadiyah Manyar Gresik</t>
  </si>
  <si>
    <t>SD Islam Imam Asy-Syafi'i Tual</t>
  </si>
  <si>
    <t>SD Muhamadiyah Wirobrajan 3 Yogyakarta</t>
  </si>
  <si>
    <t>SDIT Hidayatullah</t>
  </si>
  <si>
    <t>SD Muhammadiyah MBS Prambanan</t>
  </si>
  <si>
    <t>Ma'dah Al Manshuroh Rembang Purbalinggag</t>
  </si>
  <si>
    <t>SD Muhammadyah Kutoarjo</t>
  </si>
  <si>
    <t>MIS Karya Pembangunan</t>
  </si>
  <si>
    <t>SD Anak Emas</t>
  </si>
  <si>
    <t>SDIT Al Mustaqim</t>
  </si>
  <si>
    <t>34011103130002</t>
  </si>
  <si>
    <t>Dusun Ngemplak RT 076 RW 025 Kembang Nanggulan Kulon Progo DIY 55671</t>
  </si>
  <si>
    <t>Upiya Al Hasan</t>
  </si>
  <si>
    <t>Anggota DPRD Kab/Kota</t>
  </si>
  <si>
    <t>Tri Indarti</t>
  </si>
  <si>
    <t>3401102407080002</t>
  </si>
  <si>
    <t>3306062803140005</t>
  </si>
  <si>
    <t>Jl. Gatot Subroto No. 461 Dusun Lingkungan 2 RT 003 RW 004 Keseneng Purworejo Purworejo Jawa Tengah 54119</t>
  </si>
  <si>
    <t>Bakhruni Rakhman</t>
  </si>
  <si>
    <t>Yulia Kurniawati</t>
  </si>
  <si>
    <t>3303131207120002</t>
  </si>
  <si>
    <t>Makam RT 001 RW 001 Makam Rembang Purbalingga Jawa Tengah 53356</t>
  </si>
  <si>
    <t>Andy Rovik, S.Ag.</t>
  </si>
  <si>
    <t>Sajatin Muflikhah</t>
  </si>
  <si>
    <t>3303131808070167</t>
  </si>
  <si>
    <t>3306062912170011</t>
  </si>
  <si>
    <t>3306012802140001</t>
  </si>
  <si>
    <t>Munggangsari RT 001 RW 002 Munggangsari Grabag Purworejo Jawa Tengah 54265</t>
  </si>
  <si>
    <t>Sukardi</t>
  </si>
  <si>
    <t>3306011208083003</t>
  </si>
  <si>
    <t>3404052109130001</t>
  </si>
  <si>
    <t>Dusun Kadipiro RT 003 RW 020 Margodadi Seyegan Sleman DIY 55561</t>
  </si>
  <si>
    <t>Wahyu Eko Styawan</t>
  </si>
  <si>
    <t>Meina Liza Nur Evawati</t>
  </si>
  <si>
    <t>3404050410070005</t>
  </si>
  <si>
    <t>3507022602140003</t>
  </si>
  <si>
    <t>Jl. Rembang II/18 GKB RT 001 RW 009 Yosowilangun Manyar Gresik Jawa Timur 61151</t>
  </si>
  <si>
    <t>Suadrmono</t>
  </si>
  <si>
    <t>Malini Roos</t>
  </si>
  <si>
    <t>352100609160011</t>
  </si>
  <si>
    <t>3329150306130002</t>
  </si>
  <si>
    <t>Slatri Tengah RT 001 RW 001 Slatri Larangan Brebes Jawa Tengah 52262</t>
  </si>
  <si>
    <t>Tarmidi</t>
  </si>
  <si>
    <t>Irvi Azizah Halia</t>
  </si>
  <si>
    <t>3329150808120013</t>
  </si>
  <si>
    <t>Kota Magelang</t>
  </si>
  <si>
    <t>3371032402140001</t>
  </si>
  <si>
    <t>Jl. Pemuda 170 B RT 004 RW 009 Kemirirejo Magelang Tengah Kota Magelang Jawa Tengah 56112</t>
  </si>
  <si>
    <t>Moch. Jonny</t>
  </si>
  <si>
    <t>Yulizarti</t>
  </si>
  <si>
    <t>3371030111081453</t>
  </si>
  <si>
    <t>3327131701140002</t>
  </si>
  <si>
    <t>Dusun Bandaran RT 001 RW 002 Rowosari Ulujami Pemalang Jawa Tengah 52371</t>
  </si>
  <si>
    <t>Sudi Raharjo</t>
  </si>
  <si>
    <t>Ida Nafiaty</t>
  </si>
  <si>
    <t>ASN</t>
  </si>
  <si>
    <t>3327132104070055</t>
  </si>
  <si>
    <t>3306082006130002</t>
  </si>
  <si>
    <t>Grantung RT 002 RW 006 Grantung Bayan Purworejo Jawa Tengah 54162</t>
  </si>
  <si>
    <t>Amri Harjono</t>
  </si>
  <si>
    <t>3306080606090002</t>
  </si>
  <si>
    <t>Nur Khasanah</t>
  </si>
  <si>
    <t>Puruk Cahu</t>
  </si>
  <si>
    <t>6212011501140001</t>
  </si>
  <si>
    <t>Jl. KH.A.Dahlan No.02 Beriwit Murung Murung Raya Kalimantan Tengah 73911</t>
  </si>
  <si>
    <t>Ali Muttaqin</t>
  </si>
  <si>
    <t>Perawat</t>
  </si>
  <si>
    <t>6212011803130001</t>
  </si>
  <si>
    <t>5171030301190013</t>
  </si>
  <si>
    <t>Jarod Sudarmaji</t>
  </si>
  <si>
    <t>Siti Bahriyah</t>
  </si>
  <si>
    <t>5171012010130004</t>
  </si>
  <si>
    <t>Jl. Kebo Iwa Utara Gg. I No. 9 Batukandik Padang Sambian Kaja Kota Denpasar Bali 80117</t>
  </si>
  <si>
    <t>Sungguminasa</t>
  </si>
  <si>
    <t>6571022807130001</t>
  </si>
  <si>
    <t>Jl. P. Bunyu No. 30 RT 005 RW 001 Kampung I Skip Tarakan Tengah Kota Tarakan Kalimantan Utara 77122</t>
  </si>
  <si>
    <t>Haris, S.Kep.Ns</t>
  </si>
  <si>
    <t>Rahmawati Rasyid, S.Pd.</t>
  </si>
  <si>
    <t>6473023010110006</t>
  </si>
  <si>
    <t>3311040510130004</t>
  </si>
  <si>
    <t>Pulosari RT 003 RW 004 Gayam Sukoharjo Sukoharjo Jawa Tengah 57514</t>
  </si>
  <si>
    <t>Harun Rochmadi, SE</t>
  </si>
  <si>
    <t>Syafa'atul Etikasari, ST</t>
  </si>
  <si>
    <t>3311042411080007</t>
  </si>
  <si>
    <t>3376022001140001</t>
  </si>
  <si>
    <t>Jl. P. Kemerdekaan Gg 16/32 RT 012 RW 007 Panggung Tegal Timur Tegal Jawa Tengah 52122</t>
  </si>
  <si>
    <t>Teguh Dwi Puji Santoso</t>
  </si>
  <si>
    <t>Neni Hendaryati</t>
  </si>
  <si>
    <t>3376020903110001</t>
  </si>
  <si>
    <t>3402121309130006</t>
  </si>
  <si>
    <t>Jaranan 367 RT 010 Banguntapan Banguntapan Bantul DIY 55198</t>
  </si>
  <si>
    <t>R Hendy Nurcahyo Saputro</t>
  </si>
  <si>
    <t>3402120807080003</t>
  </si>
  <si>
    <t>Rina Nurhayati</t>
  </si>
  <si>
    <t>Kepahiang</t>
  </si>
  <si>
    <t>1708042209130001</t>
  </si>
  <si>
    <t>Jl. Sidodadi RT 010 RW 004 Pasar Ujung Kepahiang Kepahiang Bengkulu 39172</t>
  </si>
  <si>
    <t>Ucok Setia Siregar</t>
  </si>
  <si>
    <t>1708041808090001</t>
  </si>
  <si>
    <t>Mulyaningsih</t>
  </si>
  <si>
    <t>3525041911083089</t>
  </si>
  <si>
    <t>3578151905230013</t>
  </si>
  <si>
    <t>Randuagung</t>
  </si>
  <si>
    <t>Suryodiningratan</t>
  </si>
  <si>
    <t>Mojomalang</t>
  </si>
  <si>
    <t>Kelir</t>
  </si>
  <si>
    <t>Kebomas</t>
  </si>
  <si>
    <t>Mantrijeron</t>
  </si>
  <si>
    <t>Parengan</t>
  </si>
  <si>
    <t>Kalipuro</t>
  </si>
  <si>
    <t>Kota Yogyakarta</t>
  </si>
  <si>
    <t>DIY</t>
  </si>
  <si>
    <t>Kedawung</t>
  </si>
  <si>
    <t>Kembang</t>
  </si>
  <si>
    <t>Keseneng</t>
  </si>
  <si>
    <t>Srimartani</t>
  </si>
  <si>
    <t>Nanggulan</t>
  </si>
  <si>
    <t>Rembang</t>
  </si>
  <si>
    <t>Grabag</t>
  </si>
  <si>
    <t>Muja Muju</t>
  </si>
  <si>
    <t>Umbulharjo</t>
  </si>
  <si>
    <t>Dusun Kwasen RT 001 Srimartani Piyungan Bantul DIY 55792</t>
  </si>
  <si>
    <t>Piyungan</t>
  </si>
  <si>
    <t>Makm</t>
  </si>
  <si>
    <t>Margodadi</t>
  </si>
  <si>
    <t>Larangan</t>
  </si>
  <si>
    <t>Ulujami</t>
  </si>
  <si>
    <t>Bayan</t>
  </si>
  <si>
    <t>Manggarsari</t>
  </si>
  <si>
    <t>Seyegan</t>
  </si>
  <si>
    <t>Yosowilangun</t>
  </si>
  <si>
    <t>Slatri</t>
  </si>
  <si>
    <t>Rowosari</t>
  </si>
  <si>
    <t>Grantung</t>
  </si>
  <si>
    <t>Kemirirejo</t>
  </si>
  <si>
    <t>Magelang Tengah</t>
  </si>
  <si>
    <t>Murung</t>
  </si>
  <si>
    <t>Beriwit</t>
  </si>
  <si>
    <t>Murung Raya</t>
  </si>
  <si>
    <t>Kaliamntan Tengah</t>
  </si>
  <si>
    <t>Batukandik</t>
  </si>
  <si>
    <t>Padang Sambian Kaja</t>
  </si>
  <si>
    <t>Kampung I Skip</t>
  </si>
  <si>
    <t>Tarakan Tengah</t>
  </si>
  <si>
    <t>Kota Tarakan</t>
  </si>
  <si>
    <t>Gayam</t>
  </si>
  <si>
    <t>Panggung</t>
  </si>
  <si>
    <t>Tegal Timur</t>
  </si>
  <si>
    <t>Banguntapan</t>
  </si>
  <si>
    <t>Pasar Ujung</t>
  </si>
  <si>
    <t>SD Muhammadiyah Tabanan</t>
  </si>
  <si>
    <t>SD Muhammadiyah Plus Batam</t>
  </si>
  <si>
    <t>SD KUB Muhammadiyah Purworejo</t>
  </si>
  <si>
    <t>SD Muh Gendol V</t>
  </si>
  <si>
    <t>SD Muhammadiyah Ketanggungan</t>
  </si>
  <si>
    <t>SD Muhammadiyah 2 Bendan</t>
  </si>
  <si>
    <t>SDIT Usamah Kota Tegal</t>
  </si>
  <si>
    <t>SD IT Alkausar</t>
  </si>
  <si>
    <t>15 Januari 2014</t>
  </si>
  <si>
    <t>1 Agustus 2013</t>
  </si>
  <si>
    <t>13 September 2014</t>
  </si>
  <si>
    <t>6 April 2014</t>
  </si>
  <si>
    <t>25 Desember 2013</t>
  </si>
  <si>
    <t>16 Maret 2013</t>
  </si>
  <si>
    <t>7 Maret 2013</t>
  </si>
  <si>
    <t>7 Mei 2013</t>
  </si>
  <si>
    <t>11 Oktober 2013</t>
  </si>
  <si>
    <t>6 Juni 2013</t>
  </si>
  <si>
    <t>11 Maret 2013</t>
  </si>
  <si>
    <t>28 Maret 2014</t>
  </si>
  <si>
    <t>14 Juli 2012</t>
  </si>
  <si>
    <t>28 Februari 2014</t>
  </si>
  <si>
    <t>21 September 2013</t>
  </si>
  <si>
    <t>26 Februari 2014</t>
  </si>
  <si>
    <t>3 Juni 2013</t>
  </si>
  <si>
    <t>24 Februari 2014</t>
  </si>
  <si>
    <t>17 Januari 2014</t>
  </si>
  <si>
    <t>20 Juni 2013</t>
  </si>
  <si>
    <t>20 Oktober 2013</t>
  </si>
  <si>
    <t>28 Juli 2013</t>
  </si>
  <si>
    <t>5 Oktober 2013</t>
  </si>
  <si>
    <t>20 Januari 2014</t>
  </si>
  <si>
    <t>13 September 2013</t>
  </si>
  <si>
    <t>22 September 2013</t>
  </si>
  <si>
    <t>Wates</t>
  </si>
  <si>
    <t>1802152409130002</t>
  </si>
  <si>
    <t>MI Muhammadiyah Sarirejo</t>
  </si>
  <si>
    <t>SDI Mutiara</t>
  </si>
  <si>
    <t>SD Muhammadiyah Kajen Kab. Pekalongan</t>
  </si>
  <si>
    <t>SD Muhammadiyah Banguntapan</t>
  </si>
  <si>
    <t>SD Muhammadiyah Program Khusus Ampel Boyolali</t>
  </si>
  <si>
    <t>SDIT Ummu'l Quro Depok</t>
  </si>
  <si>
    <t>SD PUSRI Palembang</t>
  </si>
  <si>
    <t>MIM Kauman Wiradesa Pekalongan</t>
  </si>
  <si>
    <t>SDS Muhammadiyah 49 Jakarta</t>
  </si>
  <si>
    <t>MI MUHAMMADIYAH WANAYASA BANJARNEGARA JAWA TENGAH</t>
  </si>
  <si>
    <t>SD Hidayatullah Kendari</t>
  </si>
  <si>
    <t>SDIT Arraihan</t>
  </si>
  <si>
    <t>SD Muhammadiyah 9 Panglima Sudirman Malang</t>
  </si>
  <si>
    <t>SD Islam Hidayatullah Semarang</t>
  </si>
  <si>
    <t>MI Maarif Garongan</t>
  </si>
  <si>
    <t>Drs. Andi Komari</t>
  </si>
  <si>
    <t>1802151705050160</t>
  </si>
  <si>
    <t>Sunarti</t>
  </si>
  <si>
    <t>3510030212130002</t>
  </si>
  <si>
    <t>SD Muhammadiyah 12 Glagahagung Banyuwangi</t>
  </si>
  <si>
    <t>Iwan Febrianto</t>
  </si>
  <si>
    <t>Rahmi Nur Aini</t>
  </si>
  <si>
    <t>3510032404110002</t>
  </si>
  <si>
    <t>3525142608130002</t>
  </si>
  <si>
    <t>Syukron Nu'aimi, S.Kom.</t>
  </si>
  <si>
    <t>3525141710130013</t>
  </si>
  <si>
    <t>Pandeglang</t>
  </si>
  <si>
    <t>3601173110120001</t>
  </si>
  <si>
    <t>Ahmad Taftajani</t>
  </si>
  <si>
    <t>Dwi Anggraeni Futurhesa, S.T., M.M.</t>
  </si>
  <si>
    <t>Fitriyani Nurfitroh</t>
  </si>
  <si>
    <t>3601170712120004</t>
  </si>
  <si>
    <t>3520092101090049</t>
  </si>
  <si>
    <t>Ika Puspitasari</t>
  </si>
  <si>
    <t>Hendra Satria Pratama</t>
  </si>
  <si>
    <t>3520090106140001</t>
  </si>
  <si>
    <t>Renges</t>
  </si>
  <si>
    <t>Bekri</t>
  </si>
  <si>
    <t>SD Muhammadiyah Sukajawa</t>
  </si>
  <si>
    <t>Glagahagung</t>
  </si>
  <si>
    <t>Purwoharjo</t>
  </si>
  <si>
    <t>Kedanyang</t>
  </si>
  <si>
    <t>Pari</t>
  </si>
  <si>
    <t>Mandalawangi</t>
  </si>
  <si>
    <t>Bibis</t>
  </si>
  <si>
    <t>Sukomoro</t>
  </si>
  <si>
    <t>3323070402140004</t>
  </si>
  <si>
    <t>Puguh Bagus Narimo</t>
  </si>
  <si>
    <t>3323072709180006</t>
  </si>
  <si>
    <t>Mangupura</t>
  </si>
  <si>
    <t>Kendari</t>
  </si>
  <si>
    <t>3324080803140001</t>
  </si>
  <si>
    <t>1901012912130001</t>
  </si>
  <si>
    <t>5103051502140001</t>
  </si>
  <si>
    <t>3671052508130002</t>
  </si>
  <si>
    <t>3326070812130001</t>
  </si>
  <si>
    <t>3402120803130002</t>
  </si>
  <si>
    <t>3309022011130001</t>
  </si>
  <si>
    <t>3326072009130001</t>
  </si>
  <si>
    <t>3307082601140002</t>
  </si>
  <si>
    <t>3174091706141008</t>
  </si>
  <si>
    <t>5102042101140001</t>
  </si>
  <si>
    <t>1671101805140002</t>
  </si>
  <si>
    <t>6402060505130001</t>
  </si>
  <si>
    <t>3326162206140001</t>
  </si>
  <si>
    <t>3171030509131006</t>
  </si>
  <si>
    <t>3304170601140001</t>
  </si>
  <si>
    <t>7471041511130001</t>
  </si>
  <si>
    <t>3402101210130001</t>
  </si>
  <si>
    <t>3509082510130001</t>
  </si>
  <si>
    <t>3674040610130003</t>
  </si>
  <si>
    <t>3310261310130001</t>
  </si>
  <si>
    <t>3578261608130003</t>
  </si>
  <si>
    <t>3401022602130002</t>
  </si>
  <si>
    <t>3401021902140001</t>
  </si>
  <si>
    <t>3323072810130002</t>
  </si>
  <si>
    <t>Cluster MPR NO. 79 RT 01 RW 01, Kel. Cipondoh, Kec. Cipondoh, Kota Tangerang, Banten</t>
  </si>
  <si>
    <t>Desa Legokkalong RT. 001/RW.004 Kecamatan Karanganyar (51182), Kabupaten Pekalongan, Jawa Tengah</t>
  </si>
  <si>
    <t>The Orchid Regency No D5, Kukusan, Beji, Depok, Jawa Barat</t>
  </si>
  <si>
    <t>Jl. Danau Aji No.24 RT.11 Kel. Melayu, Kec. Tenggarong, Kutai Kartanegara, Kalimantan Timur</t>
  </si>
  <si>
    <t>Wanayasa RT 1 RW 1 Wanayasa Banjarnegara Jawa Tengah</t>
  </si>
  <si>
    <t>Gejayan, RT 12, Girirejo, Imogiri, Bantul, DIY</t>
  </si>
  <si>
    <t>Jl. Sekopek No. 12 Desa Sarirejo Kecamatan Kaliwungu Kabupaten Kendal Propinsi Jawa Tengah</t>
  </si>
  <si>
    <t>Jl.Melati l no 257 Kel Taman bunga kec Gerunggang kota Pangkal Pinang</t>
  </si>
  <si>
    <t>Jl Lingkar timur udayana no 8 Jimbaran Kuta selatan Badung Bali</t>
  </si>
  <si>
    <t>Jl. KH. Maulana Hasanudin No. 48, Kel. Poris Jaya, Kec. Batu Ceper, Kota Tangerang, Prov. Banten</t>
  </si>
  <si>
    <t>Jalan Diponegoro - Sidokerti Kecamatan kajen, Kabupaten Pekalongan, Jawa Tengah</t>
  </si>
  <si>
    <t>Jl Wonosari km 5 Ketandan Banguntapan Bantul</t>
  </si>
  <si>
    <t>Tegalsari,Urutsewu,Ampel,Boyolali</t>
  </si>
  <si>
    <t>JL. Diponegoro No. 754 Kajen Kabupaten Pekalongan</t>
  </si>
  <si>
    <t>Jl. Sidomulyo No.9 Wonosobo, Jawa Tengah</t>
  </si>
  <si>
    <t>Jalan H. Sinda No 54 RT 09 RW 04, Beji, Depok, Jawa Barat 16421</t>
  </si>
  <si>
    <t>Jl. HALMAHERA NO.24 DENPASAR</t>
  </si>
  <si>
    <t>Jl mayor zen</t>
  </si>
  <si>
    <t>Jl. Danau Aji No.57 RT. 33 Kelurahan Melayu Kecamatan Tenggarong</t>
  </si>
  <si>
    <t>Jl. Pendidikan II No.4 RT.9 RW.5 Kauman wiradesa pekalongan</t>
  </si>
  <si>
    <t>Jalan H. Ung Dalam No.429 13, RT.13/RW.2, Utan Panjang, Kec. Kemayoran, Kota Jakarta Pusat, Daerah Khusus Ibukota Jakarta 10650</t>
  </si>
  <si>
    <t>MI Muhammadiyah</t>
  </si>
  <si>
    <t>Jl. Jend. A.H. Nasution No. 8, Kecamatan Kambu, Kota Kendari</t>
  </si>
  <si>
    <t>Sumber Batikan, Bantul, DIY</t>
  </si>
  <si>
    <t>JL. R. TUMENGGUNG SURYO NO.5 MALANG</t>
  </si>
  <si>
    <t>JL. Durian Selatan I No.6 Srondol Wetan, Kec. Banyumanik, Kota Semarang</t>
  </si>
  <si>
    <t>jl. Tlapak doro no 19 Tonggalan</t>
  </si>
  <si>
    <t>JL. PUCANG ANOM NO. 93 SURABAYA</t>
  </si>
  <si>
    <t>Ngentak Kidul, Garongan, Panjatan, Kulon Progo, 55655</t>
  </si>
  <si>
    <t>Wonosidi Lor, Wates, Kulon Progo</t>
  </si>
  <si>
    <t>Jl. Raya Kedu Km.2 Campursari, Bulu, Temanggung</t>
  </si>
  <si>
    <t>JL: BRAWIJAYA NO:07 SUKAJAWA BUMIRATU NUBAN LAMPUNG TENGAH</t>
  </si>
  <si>
    <t>Jl. KH Marzuki no. 5 Jatiluhur, Glagahagung, Purwoharjo, Banyuwangi</t>
  </si>
  <si>
    <t>Jl. Amuntai No 01 GKB Gresik</t>
  </si>
  <si>
    <t>Cukir, diwek, jombang, jatim</t>
  </si>
  <si>
    <t>Jl. M.H. Thamrin No.18 Magetan Telp. (0351) 897384</t>
  </si>
  <si>
    <t>Jl. Raya Kedu KM 2 Campursari, Bulu, Temanggung 56253</t>
  </si>
  <si>
    <t>Jl. Kedungpring No.21, Wates, Kedungpring, Kec. Balongpanggang, Kabupaten Gresik, Jawa Timur 61173, Indonesia</t>
  </si>
  <si>
    <t>Jl. Pulau Nias No. 39 C Tabanan</t>
  </si>
  <si>
    <t>Jalan Amuntai no 1 Yosowilangun Manyar Gresik</t>
  </si>
  <si>
    <t>BTN koperasi Tual</t>
  </si>
  <si>
    <t>Jl. Gatotkaca No.19A, Wirobrajan, Kota Yogyakarta, Derah Istimewa Yogyakarta 55252</t>
  </si>
  <si>
    <t>Jln untung Suropati no 44 A-D, Bojonegoro, Jawa Timur</t>
  </si>
  <si>
    <t>Jln. Jaksa Agung Suprapto No.60, Penganjuran, kec.Banyuwangi, Kabupaten Banyuwangi, Jawa Timur 68416</t>
  </si>
  <si>
    <t>Jalan Palagan Tentara Pelajar KM 14.5, Balong, Donoharjo, Ngaglik, Sleman, Daerah Istimewa Yogyakarta</t>
  </si>
  <si>
    <t>Jln. Batanghari, Sragen Tengah, Sragen, Jawa Tengah</t>
  </si>
  <si>
    <t>Jl. Piyungan Km. 2 Marangan Bokoharjo Prambanan Sleman</t>
  </si>
  <si>
    <t>Jl. Kliwonan II No.10, Kutoarjo, Purworejo, Kabupaten Purworejo, Jawa Tengah 54251</t>
  </si>
  <si>
    <t>Jl. Amuntai 01 GKB Gresik - Jawa Timur 61151, Telp : (031) 3959349 Fax : (031) 3954826</t>
  </si>
  <si>
    <t>Jalan Jend A.Yani 104 Dukuhturi Ketanggungan Brebes</t>
  </si>
  <si>
    <t>Jl.Tidar no.21 A Kota Magelang</t>
  </si>
  <si>
    <t>Jl KH. Ahmad Dahlan Puruk Cahu, Kec. Murung Kab. Murung Raya Kalimantan Tengah</t>
  </si>
  <si>
    <t>Jl Buana Raya No 99X Denpasar-Bali</t>
  </si>
  <si>
    <t>Jalan Pulai Irian Kelurahan Kampung 1 Skip RT 002 Kecematan Tarakan Tengah Kota Tarakan</t>
  </si>
  <si>
    <t>Jalan Notowinatan Gunungketur Yogya</t>
  </si>
  <si>
    <t>Jl. Surabayan RT 01 / 14 Kelurahan Panggung Kota Tegal Jawa Tengah 52122</t>
  </si>
  <si>
    <t>Jl. Lingkungan 4 Desa Westkust Baru, Kabupaten Kepahiang</t>
  </si>
  <si>
    <t>Khaerul Anwar</t>
  </si>
  <si>
    <t>Dedek Agus Kurniawan</t>
  </si>
  <si>
    <t>Zaitul Ikhlas, S.T.</t>
  </si>
  <si>
    <t>Juni Sudarwanto</t>
  </si>
  <si>
    <t>Sudarsono</t>
  </si>
  <si>
    <t>Didik Agus Setiawan, S.T.</t>
  </si>
  <si>
    <t>Wahyu Wening Priyambodo</t>
  </si>
  <si>
    <t>Hidayatu Taufiq</t>
  </si>
  <si>
    <t>Budi Yuliardi</t>
  </si>
  <si>
    <t>M. Fatkhul Huda</t>
  </si>
  <si>
    <t>Muhammad Irfan</t>
  </si>
  <si>
    <t>Surya Purnama</t>
  </si>
  <si>
    <t>Moch. Wijianto</t>
  </si>
  <si>
    <t>Aang Anshorullah</t>
  </si>
  <si>
    <t>R. Agung Kisworo</t>
  </si>
  <si>
    <t>Rachmat Sujati</t>
  </si>
  <si>
    <t>Yanto</t>
  </si>
  <si>
    <t>Pegawai Swasta</t>
  </si>
  <si>
    <t>SMA/SMK/MA</t>
  </si>
  <si>
    <t>Tidak Bekerja</t>
  </si>
  <si>
    <t>Guru/Dosen</t>
  </si>
  <si>
    <t>SMP/MTs</t>
  </si>
  <si>
    <t>Lain-lain</t>
  </si>
  <si>
    <t>Darul Akhiroh</t>
  </si>
  <si>
    <t>Nofa Yasibel FN</t>
  </si>
  <si>
    <t>Kristin Andriani</t>
  </si>
  <si>
    <t>Retno Harjanti, S.Pd.</t>
  </si>
  <si>
    <t>Annisa astriani</t>
  </si>
  <si>
    <t>Ratih Dwi Pamungkas</t>
  </si>
  <si>
    <t>Heni Ika Pratiwi, S.Pd</t>
  </si>
  <si>
    <t>Lisa Maulida</t>
  </si>
  <si>
    <t>Iftitah Hanif Nur Iman</t>
  </si>
  <si>
    <t>Ninik Nurjanah</t>
  </si>
  <si>
    <t>Fajar Khotimah</t>
  </si>
  <si>
    <t>Nurma Yunita</t>
  </si>
  <si>
    <t>Sri Hartini</t>
  </si>
  <si>
    <t>Alif Nuril Azizah</t>
  </si>
  <si>
    <t>Nur Eka Sukmawati</t>
  </si>
  <si>
    <t>Pertiwi Endah Pamungkas</t>
  </si>
  <si>
    <t>Yulia Khoirunnisa</t>
  </si>
  <si>
    <t>Giyatun</t>
  </si>
  <si>
    <t>0857 2858 9195</t>
  </si>
  <si>
    <t>5jt-10jt</t>
  </si>
  <si>
    <t>&gt;10jt</t>
  </si>
  <si>
    <t>3jt-5jt</t>
  </si>
  <si>
    <t>1jt-3jt</t>
  </si>
  <si>
    <t>&lt; 500rb</t>
  </si>
  <si>
    <t>500-1jt</t>
  </si>
  <si>
    <t>Muaro Jambi</t>
  </si>
  <si>
    <t>Daya Asri</t>
  </si>
  <si>
    <t>Pringsewu</t>
  </si>
  <si>
    <t>Cilegon</t>
  </si>
  <si>
    <t>Surakarta</t>
  </si>
  <si>
    <t>3404042508130001</t>
  </si>
  <si>
    <t>1505071312130001</t>
  </si>
  <si>
    <t>3404102009080002</t>
  </si>
  <si>
    <t>3404062402140002</t>
  </si>
  <si>
    <t>3404071303140001</t>
  </si>
  <si>
    <t>1812022503130001</t>
  </si>
  <si>
    <t>3307092407130001</t>
  </si>
  <si>
    <t>3401070410130001</t>
  </si>
  <si>
    <t>3404061902130002</t>
  </si>
  <si>
    <t>1371112906130001</t>
  </si>
  <si>
    <t>1810022103140003</t>
  </si>
  <si>
    <t>3323090104140001</t>
  </si>
  <si>
    <t>3323031708130001</t>
  </si>
  <si>
    <t>6402130712130001</t>
  </si>
  <si>
    <t>3174101505141008</t>
  </si>
  <si>
    <t>3672031410130003</t>
  </si>
  <si>
    <t>3471031311130002</t>
  </si>
  <si>
    <t>3372042705130002</t>
  </si>
  <si>
    <t>3175091104131006</t>
  </si>
  <si>
    <t>3471122005130001</t>
  </si>
  <si>
    <t>6402061211140004</t>
  </si>
  <si>
    <t>3404131801140001</t>
  </si>
  <si>
    <t>3515122206130002</t>
  </si>
  <si>
    <t>3307082405130002</t>
  </si>
  <si>
    <t>3305080911130001</t>
  </si>
  <si>
    <t>6473010408130002</t>
  </si>
  <si>
    <t>Jalur 3 A RT 06, Desa Suka Makmur, Kecamatan Sungai Bahar, Kabupaten Muaro Jambi, JAMBI</t>
  </si>
  <si>
    <t>Karang Tengah Lor RT 12 RW 06 Margosari Pengasih Kulon Progo Yogyakarta</t>
  </si>
  <si>
    <t>Tlodas RT.01 / RW.02, Botoputih, Tembarak, Temanggung</t>
  </si>
  <si>
    <t>Gondang Ngisor RT 9 RW 2 Kel. Manggong Kec. Ngadirejo Kab. Temanggung Jawa Tengah</t>
  </si>
  <si>
    <t>Jalan Mutiara No.62 kelurahan Demangan kecamatan Gondokusuman 55221</t>
  </si>
  <si>
    <t>Jl.beton rt01 rw07 , Sewu, Jebres, Surakarta,Jawa Tengah, 57123</t>
  </si>
  <si>
    <t>Krapyak Wetan RT 11 Panggung harjo Sewon Bantul</t>
  </si>
  <si>
    <t>Sucen Triharjo Sleman</t>
  </si>
  <si>
    <t>Desa Wonokarang RT.01 RW. 01 Balongbendo Bendo Sidoarjo Jawa Timur</t>
  </si>
  <si>
    <t>Kalicecep RT 15 RW 03 bejiarum kertek Wonosobo</t>
  </si>
  <si>
    <t>Jitar Dukuh, Sumberarum, Moyudan, Sleman, DIY</t>
  </si>
  <si>
    <t>Desa Bakti Mulya Kecamatan Sungai Bahar Kabupaten Muaro Jambi</t>
  </si>
  <si>
    <t>SD Muhammadiyah Nitikan Yk</t>
  </si>
  <si>
    <t>Kranon, Nitikan, Umbulharjo, Yogyakarta</t>
  </si>
  <si>
    <t>SDIT Luqman Al Hakim Sleman</t>
  </si>
  <si>
    <t>Jl. Palagan Tentara Pelajar No.52, Sedan, Sariharjo, Kec. Ngaglik, Kabupaten Sleman, Daerah Istimewa Yogyakarta 55165</t>
  </si>
  <si>
    <t>MI Islamiyah 03 Kota Madiun</t>
  </si>
  <si>
    <t>Jl. Podang No. 27A, Nambangan Kidul, Kec. Manguharjo, Kota Madiun Prov. Jawa Timur</t>
  </si>
  <si>
    <t>SD Budi Mulia Muhammadiyah Adiwerna</t>
  </si>
  <si>
    <t>SDIT Mutiara Insani</t>
  </si>
  <si>
    <t>Jeronan X, Bulak Lor Pandowan, Brosot, Galur, Kulon Progo, Yogyakarta</t>
  </si>
  <si>
    <t>Wonosidi Lor, Wates, Kulon Progo, Yogyakarta</t>
  </si>
  <si>
    <t>MI Muhammadiyah Purwodadi, Tembarak, Temanggung.</t>
  </si>
  <si>
    <t>SDIT JABAL NUR</t>
  </si>
  <si>
    <t>GAMPING LOR, AMBARKETAWANG, KEC. GAMPING, SLEMAN, YOGYAKARTA 55294</t>
  </si>
  <si>
    <t>SD Muhammadiyah Purin</t>
  </si>
  <si>
    <t>Jl Tentara Pelajar Purin, Patebon Kendal</t>
  </si>
  <si>
    <t>SDIT Cahaya Madani Pringsewu Lampung</t>
  </si>
  <si>
    <t>JL. Imam Bonjol Gg. Kauman No. 1 Faaresuk Timur Kecamatan Pringsewu</t>
  </si>
  <si>
    <t>Jl. Raya Kedu Km.2 Campursari Kecamatan Bulu Kabupaten Temanggung</t>
  </si>
  <si>
    <t>SD IT Cahaya Insani Temanggung</t>
  </si>
  <si>
    <t>Jl. Dewi Sartika No. 5C Kowangan Temanggung</t>
  </si>
  <si>
    <t>MI Muhammadiyah samboja</t>
  </si>
  <si>
    <t>RT. 1 Kel. Sungai Seluang Kec. Samboja</t>
  </si>
  <si>
    <t>SDIT Al Hikmah Cipayung Depok Jabar</t>
  </si>
  <si>
    <t>Jl.H Muhidin No.114 Rt.01/02 Cipayung Jaya Depok Jabar</t>
  </si>
  <si>
    <t>Jl. Langon No. 5, RT.RW. 05/01, Mekarsari, Pulomerak, Kota Cilegon</t>
  </si>
  <si>
    <t>SDIT Luqman Hakim Jogjakarta</t>
  </si>
  <si>
    <t>Gg. Delima No.2, Muja Muju, Kec. Umbulharjo, Kota Yogyakarta, Daerah Istimewa Yogyakarta 55165</t>
  </si>
  <si>
    <t>SD Muhammadiyah1 ketelan Surakarta</t>
  </si>
  <si>
    <t>Jl. Kartini No.1, RT.01/RW.09, Ketelan, Kec. Banjarsari, Kota Surakarta, Jawa Tengah 57132</t>
  </si>
  <si>
    <t>MIN 2 Karanganyar</t>
  </si>
  <si>
    <t>Kragan RT 02 RW 04, Kel. Kragan, Kec. Gondangrejo, Karanganyar, Jawa Tengah</t>
  </si>
  <si>
    <t>SD Muhammadiyah Jogokariyan</t>
  </si>
  <si>
    <t>Jln. Jogokariyan No. 77A Mantrijeron Yogyakarta, D. I. Yogyakarta</t>
  </si>
  <si>
    <t>SD Muhammadiyah GKB 2 Gresik</t>
  </si>
  <si>
    <t>JLN PERJUANGAN 09 NO.22 RT.01 KEL. SEMPAJA SELATAN, KEC. SAMARINDA UTARA, KOTA SAMARINDA, KALTIM</t>
  </si>
  <si>
    <t>SD Islam Terpadu Bakti Insani</t>
  </si>
  <si>
    <t>Srimulyo,Triharjo,Sleman,Yogyakarta</t>
  </si>
  <si>
    <t>BAKUNGTEMENGGUNGAN BALONGBENDO SIDOARJO JAWA TIMUR</t>
  </si>
  <si>
    <t>KOMPLEK MASJID AL-HIKMAH CAMPURSARI KERTEK WONOSOBO</t>
  </si>
  <si>
    <t>Sekolah Dasar Islam Al Furqan</t>
  </si>
  <si>
    <t>Jalan Raya kambalan Kode Pos 54392, Telp 0287661220</t>
  </si>
  <si>
    <t>Jalan Pulau Irian, Kampung Satu SKIP, Kecamatan Tarakan Tengah, Kota Tarakan, Provinsi Kalimantan Utara. </t>
  </si>
  <si>
    <t>Alfin Dimas Nasution</t>
  </si>
  <si>
    <t>Aditya wahyu Erlangga</t>
  </si>
  <si>
    <t>Abddul Ghofar Ismail MM</t>
  </si>
  <si>
    <t>M. Maulana Rizqy</t>
  </si>
  <si>
    <t>Untung Rosadi</t>
  </si>
  <si>
    <t>Erwin Susetyo</t>
  </si>
  <si>
    <t>Ardianto</t>
  </si>
  <si>
    <t>Rangga Apriandika</t>
  </si>
  <si>
    <t>Aldino Prajanto</t>
  </si>
  <si>
    <t>Sulistyo</t>
  </si>
  <si>
    <t>Abdul Somad</t>
  </si>
  <si>
    <t>R. Teguh Adhi Nugraha, S. P</t>
  </si>
  <si>
    <t>Muhammad Sarqoni</t>
  </si>
  <si>
    <t>Agus Supriyanto</t>
  </si>
  <si>
    <t>Miftah Syaiful Huda, S. PdI (Alm)</t>
  </si>
  <si>
    <t>Jemikun</t>
  </si>
  <si>
    <t>Dinar Daniswara</t>
  </si>
  <si>
    <t>Subagiyo</t>
  </si>
  <si>
    <t>Ani Musagil</t>
  </si>
  <si>
    <t>Rahmat</t>
  </si>
  <si>
    <t>TNI/Polri</t>
  </si>
  <si>
    <t>Kusmiyati</t>
  </si>
  <si>
    <t>Ratih Andini</t>
  </si>
  <si>
    <t>Fani Mardina Cahyani</t>
  </si>
  <si>
    <t>Netty Amanati S.Pd.</t>
  </si>
  <si>
    <t>Al Fadillah Rhoziana</t>
  </si>
  <si>
    <t>Meri aprida</t>
  </si>
  <si>
    <t>Dwi Astuti Rini</t>
  </si>
  <si>
    <t>Uun Rismawati</t>
  </si>
  <si>
    <t>Peni Shoffiyati</t>
  </si>
  <si>
    <t>Eka Aprilia</t>
  </si>
  <si>
    <t>Nur Rahma Yuliani</t>
  </si>
  <si>
    <t>Deby Widia Anggrainy</t>
  </si>
  <si>
    <t>Siti Hamdanah</t>
  </si>
  <si>
    <t>Mila Emiliawati</t>
  </si>
  <si>
    <t>Ayu Diana Sartika</t>
  </si>
  <si>
    <t>Siska Wijayanti</t>
  </si>
  <si>
    <t>Fitri Rachmawati, S. Pd.</t>
  </si>
  <si>
    <t>Khairun Nisak</t>
  </si>
  <si>
    <t>Meirintasari</t>
  </si>
  <si>
    <t>Rusiyam</t>
  </si>
  <si>
    <t>Endarsih</t>
  </si>
  <si>
    <t>Kasna</t>
  </si>
  <si>
    <t>Dokter/Bidan/Perawat</t>
  </si>
  <si>
    <t>Depok</t>
  </si>
  <si>
    <t>Nganjuk</t>
  </si>
  <si>
    <t>3276021401140003</t>
  </si>
  <si>
    <t>3671051809130004</t>
  </si>
  <si>
    <t>3471081911130001</t>
  </si>
  <si>
    <t>3519070507130001</t>
  </si>
  <si>
    <t>5271022505140004</t>
  </si>
  <si>
    <t>3471141312130001</t>
  </si>
  <si>
    <t>3276031806130001</t>
  </si>
  <si>
    <t>3404131408130005</t>
  </si>
  <si>
    <t>3578171112130002</t>
  </si>
  <si>
    <t>3402150411130001</t>
  </si>
  <si>
    <t>3306070102140002</t>
  </si>
  <si>
    <t>3525022504140003</t>
  </si>
  <si>
    <t>3328101302140003</t>
  </si>
  <si>
    <t>3324082901140001</t>
  </si>
  <si>
    <t>3175041301141003</t>
  </si>
  <si>
    <t>3374062107130001</t>
  </si>
  <si>
    <t>1401061205130002</t>
  </si>
  <si>
    <t>3471142511130001</t>
  </si>
  <si>
    <t>3402161003140003</t>
  </si>
  <si>
    <t>3327010512130001</t>
  </si>
  <si>
    <t>7471030601140001</t>
  </si>
  <si>
    <t>6472062407130001</t>
  </si>
  <si>
    <t>3305100104140001</t>
  </si>
  <si>
    <t>3322172504140001</t>
  </si>
  <si>
    <t>3307060406140004</t>
  </si>
  <si>
    <t>6104161112130005</t>
  </si>
  <si>
    <t>3471072207140001</t>
  </si>
  <si>
    <t>3304050506130002</t>
  </si>
  <si>
    <t>Jl. Shello Blok L No.11 RT 009 RW 08 Cipondoh, Kota Tangerang, Banten</t>
  </si>
  <si>
    <t>Grojogan Rt 2 Wirokerten Banguntapan Bantul</t>
  </si>
  <si>
    <t>Sidomulyo rt 03 rw 27, Trimulyo, Sleman, Yogyakarta</t>
  </si>
  <si>
    <t>Mrisen Dk.Geneng RT 07 Panggungharjo Sewon Bantul Yogyakarta</t>
  </si>
  <si>
    <t>Kauman Kidul RT 4 RW 5 Sarirejo Kaliwungu Kendal</t>
  </si>
  <si>
    <t>Kisik RT 01, Gedongsari, Wijirejo, Pandak, Bantul</t>
  </si>
  <si>
    <t>Krajan Barat Rt 01 Rw 03 Desa Banyumudal Kecamatan Moga Kabupaten Pemalang Jawa Tengah</t>
  </si>
  <si>
    <t>Losari RT01 RW02 Wonorejo Selomerto Wonosobo</t>
  </si>
  <si>
    <t>Surobayan RT 8, Argomulyo, Sedayu, Bantul</t>
  </si>
  <si>
    <t>Ahmad Arif fadlil</t>
  </si>
  <si>
    <t>Antoni Alexander</t>
  </si>
  <si>
    <t>Cholillul Rohman</t>
  </si>
  <si>
    <t>Ferdian Adi Nugroho</t>
  </si>
  <si>
    <t>Pramudhita F</t>
  </si>
  <si>
    <t>Sulistiyono</t>
  </si>
  <si>
    <t>Kardhafi Ramli</t>
  </si>
  <si>
    <t>Faisal Anis</t>
  </si>
  <si>
    <t>Fauzan Rifqi</t>
  </si>
  <si>
    <t>Amang Muazam, M. Pd. I</t>
  </si>
  <si>
    <t>Ahmad Nurhidayad</t>
  </si>
  <si>
    <t>Frandy Firmansyah</t>
  </si>
  <si>
    <t>Nanang Triono</t>
  </si>
  <si>
    <t>Rizal Faiqurohman</t>
  </si>
  <si>
    <t>Firdaus Muhammad</t>
  </si>
  <si>
    <t>Edi Suswanto</t>
  </si>
  <si>
    <t>Hantiyo Seran, S.E.</t>
  </si>
  <si>
    <t>Nazarudin Latif</t>
  </si>
  <si>
    <t>Noor Rakhman Ufrianto</t>
  </si>
  <si>
    <t>Sutrisno</t>
  </si>
  <si>
    <t>Teguh Hadi Prasetyo</t>
  </si>
  <si>
    <t>Samsul Arifin</t>
  </si>
  <si>
    <t>Hendri Fathul Muslim</t>
  </si>
  <si>
    <t>Dwi Aditya Nugroho</t>
  </si>
  <si>
    <t>Hairul Asri Ar</t>
  </si>
  <si>
    <t>Taufan Saputra</t>
  </si>
  <si>
    <t>Nur Hikmah</t>
  </si>
  <si>
    <t>Rt. Tanti Marlina Listiowati</t>
  </si>
  <si>
    <t>Ellyn Caresza</t>
  </si>
  <si>
    <t>Arnis Perwita</t>
  </si>
  <si>
    <t>Risty K</t>
  </si>
  <si>
    <t>B Ika Apriandini</t>
  </si>
  <si>
    <t>Fitri Maulidah Rahmawati</t>
  </si>
  <si>
    <t>Hanipah</t>
  </si>
  <si>
    <t>Arum Huda Nurjanatun</t>
  </si>
  <si>
    <t>Indah Lestari S. Pd.</t>
  </si>
  <si>
    <t>Restu Asih Kusumaningrum</t>
  </si>
  <si>
    <t>Dwi Rachmaningsih</t>
  </si>
  <si>
    <t>Faradibah Anggraini</t>
  </si>
  <si>
    <t>Anin Eka Sulistyawati</t>
  </si>
  <si>
    <t>Nur Hidayatul Fitriyah</t>
  </si>
  <si>
    <t>Widiawati</t>
  </si>
  <si>
    <t>Dr. Nikken Prima Puspita</t>
  </si>
  <si>
    <t>Fithriatus Shalihah</t>
  </si>
  <si>
    <t>Fitri An Nisaa</t>
  </si>
  <si>
    <t>Ika Farisia</t>
  </si>
  <si>
    <t>Amalia Kusuma Wardhani</t>
  </si>
  <si>
    <t>Iken Dwi Puspitorini</t>
  </si>
  <si>
    <t>Dwi Retno Nugraheni</t>
  </si>
  <si>
    <t>Anis Hidayah Saraswati</t>
  </si>
  <si>
    <t>Ajeng Agustin Primastiwi</t>
  </si>
  <si>
    <t>Ika Purwanasari</t>
  </si>
  <si>
    <t>Jl.surabayan kota Tegal</t>
  </si>
  <si>
    <t>Muhamadiyah 4 denpasar</t>
  </si>
  <si>
    <t>Jl. Maulana Hasabuddin No.65 Poris Jaya, Kota Tangerang, Banten</t>
  </si>
  <si>
    <t>Wirobrajan</t>
  </si>
  <si>
    <t>Jl. Mondorakan, Bodon, Jagalan, Kec Banguntapan Kab. Bantul 55192</t>
  </si>
  <si>
    <t>Gg. Rajiman UH V Blok UH V No.627, Pandeyan, Kec. Umbulharjo, Kota Yogyakarta</t>
  </si>
  <si>
    <t>SD Muhammadiyah Sokonandi 1</t>
  </si>
  <si>
    <t>Jalan Notowinatan Gunungketur Pakualaman Yogykarta</t>
  </si>
  <si>
    <t>SD Muhammadiyah Bayan</t>
  </si>
  <si>
    <t>Jln. Baselo Km. 01 Desa Jono Kec. Bayan Kab.Purworejo</t>
  </si>
  <si>
    <t>SD Muhammadiyah Mantaran</t>
  </si>
  <si>
    <t>Mantaran, Trimulyo, Sleman, Sleman, Yogyakarta</t>
  </si>
  <si>
    <t>SD Muhammadiyah 10 Surabaya</t>
  </si>
  <si>
    <t>Jl. Sidoyoso IX / 14 - 16</t>
  </si>
  <si>
    <t>SD Muhammadiyah Karangkajen Yogyakarta</t>
  </si>
  <si>
    <t>Karangkajen Yogyakarta</t>
  </si>
  <si>
    <t>MI Progresif Bumi Shalawat</t>
  </si>
  <si>
    <t>Jl. Kliwonan II No.10, Kutoarjo, Purworejo, Kabupaten Purworejo, Jawa Tengah</t>
  </si>
  <si>
    <t>Jl. KH Kholil no 90 Gresik Jawa Timur 61115</t>
  </si>
  <si>
    <t>MIS Luqman Al Hakim</t>
  </si>
  <si>
    <t>JL. Gajahmada No. 77 RT 04 RW 06 Kalisapu, Slawi, Kabupaten Tegal</t>
  </si>
  <si>
    <t>Jl Sekopek No 21 Kaliwungu, Sarirejo, Kec. Kaliwungu, Kabupaten Kendal</t>
  </si>
  <si>
    <t>SD Muhammadiyah 24 Jakarta</t>
  </si>
  <si>
    <t>Jl.Balai Pustaka Barat No.2 Rawamangun Kecamatan Pulogadung Kotamadya Jakarta Timur Provinsi DKI Jakarta</t>
  </si>
  <si>
    <t>PKBM Bangun Bangsa (Kuttab Al Fatih Semarang)</t>
  </si>
  <si>
    <t>Jl. Banget Prasetya No 216, Bangetayu Kulon Genuk, Semarang, Indonesia</t>
  </si>
  <si>
    <t>SD Unggulan 'Aisyiyah Bantul</t>
  </si>
  <si>
    <t>Jl. Wakhid Hasyim No.60 Sanggrahan Ringinharjo Bantul</t>
  </si>
  <si>
    <t>SD Muhammadiyah Trisigan</t>
  </si>
  <si>
    <t>Trisigan Murtigading Sanden Bantul</t>
  </si>
  <si>
    <t>SD MUHAMMADIYAH PRAMBANAN</t>
  </si>
  <si>
    <t>Jalan Prambanan-Piyungan, Bokoharjo, Prambanan, Sleman, DIY</t>
  </si>
  <si>
    <t>MI Muhammadiyah Banyumudal</t>
  </si>
  <si>
    <t>JL.Raya Moga, Pulosari KM. 2, Banyumudal Moga 52354</t>
  </si>
  <si>
    <t>SD IT Anak Sholeh Sedayu</t>
  </si>
  <si>
    <t>Bandut Lor, Argorejo, Kec. Sedayu, Kabupaten Bantul, Daerah Istimewa Yogyakarta 55752</t>
  </si>
  <si>
    <t>SD Negeri 004 balikpapan selatan</t>
  </si>
  <si>
    <t>Jl. Taman Sepinggan XI RT. 33 Kelurahan Sepinggan Kecamatan Balikpapan Selatan</t>
  </si>
  <si>
    <t>SD IT Jabal Nur</t>
  </si>
  <si>
    <t>Jl.PEMUDA NO 14, KUTOWINANGUN, KEBUMEN</t>
  </si>
  <si>
    <t>Jln.bangak-simo km7 sambi boyolali</t>
  </si>
  <si>
    <t>SD muhamadiyah Sudagaran Wonosobo</t>
  </si>
  <si>
    <t>JL. TOSARI NO 9, WONOSOBO</t>
  </si>
  <si>
    <t>MIN Kayong Utara</t>
  </si>
  <si>
    <t>Desa Sutera, Sukadana, Kayong Utara, Kalimantan Barat</t>
  </si>
  <si>
    <t>SD Budi Mulia Dua Sedayu</t>
  </si>
  <si>
    <t>Jl. Wates No.KM 10, Kaliurang, Argomulyo, Kec. Sedayu, Kabupaten Bantul, Daerah Istimewa Yogyakarta 55752</t>
  </si>
  <si>
    <t>Jl. Abu Bakar No. 9 Desa Petambakan, Kec. Madukara , Kab. Banjarnegara, Prov Jawa Tengah, Kode Pos 53482 Telp (0286) 592732</t>
  </si>
  <si>
    <t>Pagar Alam</t>
  </si>
  <si>
    <t>Kayuagung</t>
  </si>
  <si>
    <t>Luwuk</t>
  </si>
  <si>
    <t>Sorong</t>
  </si>
  <si>
    <t>Sengkang</t>
  </si>
  <si>
    <t>Kulon progo</t>
  </si>
  <si>
    <t>Jombang</t>
  </si>
  <si>
    <t>1672012907140001</t>
  </si>
  <si>
    <t>1602212604140001</t>
  </si>
  <si>
    <t>3314122306130001</t>
  </si>
  <si>
    <t>3326162812130001</t>
  </si>
  <si>
    <t>7201200108140001</t>
  </si>
  <si>
    <t>3326081312130002</t>
  </si>
  <si>
    <t>9105010000000000</t>
  </si>
  <si>
    <t>3308132606130002</t>
  </si>
  <si>
    <t>3307051908130001</t>
  </si>
  <si>
    <t>3304062307130002</t>
  </si>
  <si>
    <t>3329043005130001</t>
  </si>
  <si>
    <t>6472030709130001</t>
  </si>
  <si>
    <t>3304060302140001</t>
  </si>
  <si>
    <t>3510050405140002</t>
  </si>
  <si>
    <t>3372052309130003</t>
  </si>
  <si>
    <t>3519123108130002</t>
  </si>
  <si>
    <t>3308101511130003</t>
  </si>
  <si>
    <t>3327032210130001</t>
  </si>
  <si>
    <t>3402122310130002</t>
  </si>
  <si>
    <t>7313063004140004</t>
  </si>
  <si>
    <t>3401071211130001</t>
  </si>
  <si>
    <t>3320041101140001</t>
  </si>
  <si>
    <t>3674050704141001</t>
  </si>
  <si>
    <t>3404131406140001</t>
  </si>
  <si>
    <t>3525143108140002</t>
  </si>
  <si>
    <t>3171031107141001</t>
  </si>
  <si>
    <t>3174042612131007</t>
  </si>
  <si>
    <t>3404120311130002</t>
  </si>
  <si>
    <t>3517190210130004</t>
  </si>
  <si>
    <t>Jl.Mesjid Abubakar Asshiddiq Kp.Mekar Jaya Rt.24 Rw.07 Kelurahan Pagar Alam kecamatan Pagar Alam utara kota Pagar Alam Sumsel 31512</t>
  </si>
  <si>
    <t>Sukasari kab.ogan Komering Ilir kec.mesuji raya Palembang</t>
  </si>
  <si>
    <t>Jalan KPR Dusun Serui</t>
  </si>
  <si>
    <t>Mayungan RT 5 Potorono Banguntapan Bantul</t>
  </si>
  <si>
    <t>Dk. Beran RT 06 RW 04 Cilibur Paguyangan Brebes</t>
  </si>
  <si>
    <t>Jl. Patianom No. 33 Kuala Jelai, Kec. Jelai, Kab. Sukamara, Kalimantan Tengah</t>
  </si>
  <si>
    <t>Perum Kowangan Utama, Gang Apel,Blok C No 8,Kowangan, Temanggung, Jawa Tengah</t>
  </si>
  <si>
    <t>Jl. Melon Lembah Asri 001/001 Mantenan Mertoyudan Magelang</t>
  </si>
  <si>
    <t>DESA BELIK RT 09 RW 01 KECAMATAN BELIK KABUPATEN PEMALANG PROVINSI JAWA TENGAH</t>
  </si>
  <si>
    <t>Pengasih RT03 RW01 Pengasih Pengasih Kulonprogo 55652</t>
  </si>
  <si>
    <t>Jl. Kauman II RT 003 RW 002, Desa Kuanyar, Kecamatan Mayong, Kabupaten Jepara, Propinsi Jawa Tengah, Indonesia, 59465</t>
  </si>
  <si>
    <t>Dsn.Sumberbendo 8/5 Ds.Jogoroto Kec.Jogoroto Kab Jombang Jawa Timur</t>
  </si>
  <si>
    <t>Herlianto</t>
  </si>
  <si>
    <t>Hery Hidayat</t>
  </si>
  <si>
    <t>R. Widdya Bagus Dwi Handoko</t>
  </si>
  <si>
    <t>Sudarmadji</t>
  </si>
  <si>
    <t>Ariady Hafid</t>
  </si>
  <si>
    <t>Abdul Ghofar</t>
  </si>
  <si>
    <t>Jefree Fahana</t>
  </si>
  <si>
    <t>Makmur Santoso</t>
  </si>
  <si>
    <t>Wibowo Saputro Nugroho</t>
  </si>
  <si>
    <t>Asep Purwo Yudi Utomo</t>
  </si>
  <si>
    <t>Poniran</t>
  </si>
  <si>
    <t>Wimbo Adie Prihantoro</t>
  </si>
  <si>
    <t>Anas Hilal</t>
  </si>
  <si>
    <t>Wartijo</t>
  </si>
  <si>
    <t>H. Jati Prihantono</t>
  </si>
  <si>
    <t>Iwa Kurnia S.kom</t>
  </si>
  <si>
    <t>Lutfi Verdian Akbar</t>
  </si>
  <si>
    <t>Rudi Purnawan</t>
  </si>
  <si>
    <t>Sedek Bahta</t>
  </si>
  <si>
    <t>Priyono</t>
  </si>
  <si>
    <t>Fikri Mubarok</t>
  </si>
  <si>
    <t>Petani/Peternak</t>
  </si>
  <si>
    <t>Pensiunan</t>
  </si>
  <si>
    <t>Pengacara/Jaksa/Hakim/Notaris</t>
  </si>
  <si>
    <t>Ika Yana Prihandini</t>
  </si>
  <si>
    <t>Dwi Lestari</t>
  </si>
  <si>
    <t>Ainun Na'imatun</t>
  </si>
  <si>
    <t>Nur Aeni</t>
  </si>
  <si>
    <t>Sri Sofiyati Hafsah</t>
  </si>
  <si>
    <t>Evie Rahmi Syahrul</t>
  </si>
  <si>
    <t>Ima Wuni Wulandari</t>
  </si>
  <si>
    <t>Septina kurniasari</t>
  </si>
  <si>
    <t>Tsania Husna Dzakiyyah</t>
  </si>
  <si>
    <t>Eli Yuliati</t>
  </si>
  <si>
    <t>Zulfa Nur Rohmah</t>
  </si>
  <si>
    <t>Rossi Galih Kesuma</t>
  </si>
  <si>
    <t>Ninin Kurnia Rahmayanti</t>
  </si>
  <si>
    <t>Kurniawati</t>
  </si>
  <si>
    <t>Anis Martaviatin</t>
  </si>
  <si>
    <t>Diah Anung Putri Yanti</t>
  </si>
  <si>
    <t>Hj. Suci Mulyani</t>
  </si>
  <si>
    <t>dr.Farah Khiyatie</t>
  </si>
  <si>
    <t>Bikan Aulia Noor Rachmani El Zulba</t>
  </si>
  <si>
    <t>Imroatus Sa'adah</t>
  </si>
  <si>
    <t>Azizah Clarissa Randa</t>
  </si>
  <si>
    <t>Sampuni</t>
  </si>
  <si>
    <t>Lily Suprapti</t>
  </si>
  <si>
    <t>SD/MI</t>
  </si>
  <si>
    <t>Gang Astra Dalam RT. 13 RW.05 Kel. Tumbak Ulas Kec. Pagar Alam Selatan Kota Pagar Alam Prov. Sumatera Selatan</t>
  </si>
  <si>
    <t>SD N 1 Sukasari</t>
  </si>
  <si>
    <t>Jl Meranti IV, Desa Suka Sari, Kecamatan Mesuji Raya, Kabupaten Ogan Ilir, 30683</t>
  </si>
  <si>
    <t>Jl. Gabugan-Sumberlawang KM.1, Trombol, Ketro, Tanon, Sragen, Jawa Tengah 57277</t>
  </si>
  <si>
    <t>MI Muhammadiyah Kauman Wiradesa Kab. Pekalongan</t>
  </si>
  <si>
    <t>Jln.Pendidikan II Rt.009 Rw.005 Kauman Wiradesa Kab. Pekalongan</t>
  </si>
  <si>
    <t>Jl Yos sudarso, Karaton, Luwuk, Kabupaten Banggai, Sulawesi Tengah</t>
  </si>
  <si>
    <t>Jl. Diponegoro No.754 Kajen Kab. Pekalongan</t>
  </si>
  <si>
    <t>SD Yapis Serui</t>
  </si>
  <si>
    <t>Bandongan Magelang Jawa Tengah</t>
  </si>
  <si>
    <t>SD MBF aladzkiya wonosobo</t>
  </si>
  <si>
    <t>JL PASUKAN RONGGOLAW,PAGER KUKUH ,WONOSOBO 56311</t>
  </si>
  <si>
    <t>SD Muhammadiyah Pakel Yogyakarta</t>
  </si>
  <si>
    <t>Jalan Pakel Baru No 40 Sorosutan Umbulharjo, Yogyakarta 55162.</t>
  </si>
  <si>
    <t>SD Islam ta'alumul huda</t>
  </si>
  <si>
    <t>Jl. Hj. Siti Aminah, Dukuhturi, Kec, Bumiayu, Kab Brebes</t>
  </si>
  <si>
    <t>SDIT Insan Mulia Kota Semarang</t>
  </si>
  <si>
    <t>Jl. Beringin Raya Kampung Pungkruk, Rt.05 Rw.09, Kel. Tambakaji, Kec. Ngaliyan, Kota Semarang</t>
  </si>
  <si>
    <t>Jl Bahari Karanganom Weleri Kendal</t>
  </si>
  <si>
    <t>SDIT Mutiara Hati Semarang</t>
  </si>
  <si>
    <t>Jl. Koesbijono Tjondrowibowo, RT. 03/ 05 Patemon, Gunungpati, Kota Semarang. (50229)</t>
  </si>
  <si>
    <t>SDN Kuala Jelai 1</t>
  </si>
  <si>
    <t>Jl.Abdul Majid Kuala Jelai</t>
  </si>
  <si>
    <t>SDIT Cahaya Insani Temanggung</t>
  </si>
  <si>
    <t>Jl Dewi Sartika No. 5 C Kertosari, Temanggung, Jawa Tengah</t>
  </si>
  <si>
    <t>MI Muhammadiyah Caruban</t>
  </si>
  <si>
    <t>JL.SUMATRA NO 11, KRAJAN. Desa/Kelurahan, : KRAJAN. Kecamatan/Kota (LN), : KEC. MEJAYAN, Kab. MADIUN</t>
  </si>
  <si>
    <t>Jl. Tidar No. 21a Magersari Magelang Selatan Kota Magelang</t>
  </si>
  <si>
    <t>JALAN KALPATARU TIMUR NO. 47,DESA BELIK, KEC BELIK, KAB . PEMALANG</t>
  </si>
  <si>
    <t>Jln kranon nitikan uh 6 RT 45 RW 11 sorosutan Umbulharjo Yogyakarta 55162</t>
  </si>
  <si>
    <t>Teddaopu, Kec. Tempe, Kabupaten Wajo, Sulawesi Selatan 90912</t>
  </si>
  <si>
    <t>SD IT Ibnu Mas ud</t>
  </si>
  <si>
    <t>Beji, RT 01 RW 02 Wates, Kulon Progo</t>
  </si>
  <si>
    <t>SD Islam Terpadu Sultan Agung 05 Kriyan, Jepara, Jawa Tengah, Indonesia.</t>
  </si>
  <si>
    <t>Jl. Raya Gotri Welahan, Kriyan, Kalinyamatan, Jepara, Jawa Tengah, Indonesia.</t>
  </si>
  <si>
    <t>Madrasah Pembangunan UIN Jakarta</t>
  </si>
  <si>
    <t>Jalan Ibnu Taimia IV Kompleks UIN Syarif Hidayatullah JAKARTA</t>
  </si>
  <si>
    <t>SD Muhammadiyah Domban 4</t>
  </si>
  <si>
    <t>Panggeran, Triharjo Sleman</t>
  </si>
  <si>
    <t>Jln. Amuntai No 1 GKB Gresik</t>
  </si>
  <si>
    <t>JL SINANJER SDN 1 CLAPAR MADUKARA BANJARNEGARA</t>
  </si>
  <si>
    <t>SDN Rawajati 08</t>
  </si>
  <si>
    <t>Komplek Kalibata Indah - Jl. Semangka RT 015 RW 006 Kel. Rawajati Kec.Pancoran Jakarta Selatan</t>
  </si>
  <si>
    <t>Jongkang, Sariharjo, Ngaglik, Sleman, DIY</t>
  </si>
  <si>
    <t>MI Muhammadiyah 03 Jogoroto</t>
  </si>
  <si>
    <t>Jl. Raya Jogoroto no.78. Desa/Kelurahan: JOGOROTO, Kecamatan: KEC. JOGOROTO, KAB. JOMBANG, PROV. JAWA TIMUR</t>
  </si>
  <si>
    <t>Balangan</t>
  </si>
  <si>
    <t>Karawang</t>
  </si>
  <si>
    <t>3323180810130001</t>
  </si>
  <si>
    <t>3471131710130001</t>
  </si>
  <si>
    <t>6311060907140002</t>
  </si>
  <si>
    <t>3374150902140002</t>
  </si>
  <si>
    <t>3402010201140001</t>
  </si>
  <si>
    <t>3402022704140001</t>
  </si>
  <si>
    <t>3404030512130001</t>
  </si>
  <si>
    <t>1671032107140004</t>
  </si>
  <si>
    <t>3507182301130001</t>
  </si>
  <si>
    <t>3404011002140002</t>
  </si>
  <si>
    <t>3404092509130001</t>
  </si>
  <si>
    <t>3175022108131002</t>
  </si>
  <si>
    <t>3372051211130002</t>
  </si>
  <si>
    <t>3404071807140003</t>
  </si>
  <si>
    <t>6105012204140002</t>
  </si>
  <si>
    <t>3404153008130001</t>
  </si>
  <si>
    <t>3310031408130003</t>
  </si>
  <si>
    <t>3525101001140002</t>
  </si>
  <si>
    <t>3308202511130001</t>
  </si>
  <si>
    <t>3304060902140003</t>
  </si>
  <si>
    <t>3215010509130001</t>
  </si>
  <si>
    <t>3404071312120002</t>
  </si>
  <si>
    <t>3325111409130001</t>
  </si>
  <si>
    <t>3471102608130002</t>
  </si>
  <si>
    <t>3323080206140001</t>
  </si>
  <si>
    <t>3404041209130003</t>
  </si>
  <si>
    <t>Jambenom 01/02,Larangan Luwok, Bejen, Temanggung</t>
  </si>
  <si>
    <t>Nitikan UH.6/488.RT.48.RW.12.Sorosutan Umbulharjo Yokyakarta 55162</t>
  </si>
  <si>
    <t>Jl.Merdeka RT.VI RW.III No.23 Kelurahan Paringin Kota Kecamatan Paringin Kabupaten Balangan Provinsi Kalimantan Selatan</t>
  </si>
  <si>
    <t>Pandana Merdeka Blok P26 Bringin, Ngaliyan, Semarang</t>
  </si>
  <si>
    <t>Peleman Kidul RT 09, Bangunjiwo, Kasihan , Bantul DIY</t>
  </si>
  <si>
    <t>Grogol Tempel Kadisoka, Rt 06 Rw 02, Purwomartani, Kalasan, Sleman, DIY</t>
  </si>
  <si>
    <t>Pundung RT07 RW27 Nogotirto Gamping Sleman Yogyakarta</t>
  </si>
  <si>
    <t>Macanan rt 06 rw 23 Madurejo Prambanan Sleman Yogyakarta</t>
  </si>
  <si>
    <t>Trukan Rt 04 Rw 02 Selomartani Kalasan Sleman Yogyakarta 55571</t>
  </si>
  <si>
    <t>Jl. Kaliurang KM. 7 No. 33 A Kolombo RT 4 RW 58 Joho Condongcatur Depok Sleman</t>
  </si>
  <si>
    <t>Lungguhrejo Wonokerto Turi Sleman</t>
  </si>
  <si>
    <t>Nglipar Lor 04/03, Nglipar, Nglipar, Gunungkidul, D. I. Yogyakarta</t>
  </si>
  <si>
    <t>Parakancanggah rt02 rw10 Banjarnegara Jawa Tengah</t>
  </si>
  <si>
    <t>Jatirasa tengah no 37 RT 01/05 Karangpawitan, Karawang Barat, Karawang, Jawa Barat</t>
  </si>
  <si>
    <t>Jl Yos Sudarso Pungkursari RT 5/8 No 15 Karangasem Utara Batang Jawa Tengah</t>
  </si>
  <si>
    <t>Perumahan Suvarna Sutera Cluster Fedora Park 2 no 18 Sindang jaya warna Kerta tangerang</t>
  </si>
  <si>
    <t>Padon RT.03 RW.029 Sendangrejo Minggir Sleman Yogyakarta</t>
  </si>
  <si>
    <t>jln raya kedu km 2, Candimulyo, Bulu, Temanggung</t>
  </si>
  <si>
    <t>Jl. Pakel Baru No. 40 Sorosutan Umbul Harjo Yogyakarta</t>
  </si>
  <si>
    <t>SDI Al-Istiqomah</t>
  </si>
  <si>
    <t>Jl.Lingkar RT.XI Kelurahan Paringin Kota Kecamatan Paringin Kabupaten Balangan Provinsi Kalimantan Selatan</t>
  </si>
  <si>
    <t>SD Islam Hidayatullah</t>
  </si>
  <si>
    <t>Jl. Durian Selatan I No.6, Srondol Wetan, Kec. Banyumanik, Kota Semarang, Jawa Tengah</t>
  </si>
  <si>
    <t>Jl. Ring Road Barat, Cambahan, Nogotirto, Gamping, Sleman, Yogyakarta 55292</t>
  </si>
  <si>
    <t>Pucanganom III Dk. 14 Murtigading Sanden Bantul Yogyakarta 55763</t>
  </si>
  <si>
    <t>SD Muhammadiyah Ngijon 2</t>
  </si>
  <si>
    <t>Sermo, Sumberarum, Kec. Moyudan, Kabupaten Sleman, Daerah Istimewa Yogyakarta</t>
  </si>
  <si>
    <t>Jl. KH Wahid Hasyim lr Kedukan RT 21 RW 05 Kel 5 ULU Kec SU satu Palembang</t>
  </si>
  <si>
    <t>SD Negeri Maguwoharjo 1</t>
  </si>
  <si>
    <t>Nanggulan, Maguwoharjo, Kec. Depok, Kab. Sleman, Yogyakarta.</t>
  </si>
  <si>
    <t>PUNDUNG CAMBAHAN NOGOTIRTO GAMPING SLEMAN YOGYAKARTA</t>
  </si>
  <si>
    <t>SD Muhammadiyah MBS prambanan</t>
  </si>
  <si>
    <t>Jl. Piyungan KM 2 Marangan Bokoharjo Prambanan Sleman DIY</t>
  </si>
  <si>
    <t>Sdit alauliya 1 balikpapan</t>
  </si>
  <si>
    <t>SD Muhammadiyah Prambanan</t>
  </si>
  <si>
    <t>Jl.Prambanan Piyungan Ringinsari Prambanan Sleman Yogyakarta 55572</t>
  </si>
  <si>
    <t>SD Islam Al Fajar Bekasi</t>
  </si>
  <si>
    <t>Jl. Swatantra V No.1, RT.005/RW.002, Jatirasa, Kec. Jatiasih, Kota Bekasi, Jawa Barat 17424</t>
  </si>
  <si>
    <t>JL.TARUMANEGARA Gg.GALUH 1 ,KEL.BANYUANYAR,KEC.BANJARSARI,KOTA SURAKARTA</t>
  </si>
  <si>
    <t>di Jalan Notowinatan, Gunung Ketur, Kec. Pakualaman, Kota Yogyakarta, D.I. Yogyakarta.Kursus online terbaik</t>
  </si>
  <si>
    <t>Dukuh Samiran, Dusun II, Gondang, Kec. Kebonarum, Kabupaten Klaten, Jawa Tengah 57486</t>
  </si>
  <si>
    <t>SD Muhammadiyah Mantaran Sleman DIY</t>
  </si>
  <si>
    <t>Mantaran Trimulyo Sleman</t>
  </si>
  <si>
    <t>SD Aisyiyah Full Day Wedi</t>
  </si>
  <si>
    <t>Irobangsan, Wedi, Klaten</t>
  </si>
  <si>
    <t>SD Muhammadiyah Manyar (SDMM)</t>
  </si>
  <si>
    <t>Jalan Amuntai no 01 Gresik Kota Baru</t>
  </si>
  <si>
    <t>SD Muhammadiyah Kuwarasan</t>
  </si>
  <si>
    <t>Kuwarasan, Kedungkeris, Nglipar, Gunungkidul, D. I. Yogyakarta.</t>
  </si>
  <si>
    <t>SDIT Pertama Hati</t>
  </si>
  <si>
    <t>Jl abu bakar no.9 petambakan madukara Banjarnegara Jawa Tengah</t>
  </si>
  <si>
    <t>SDS Muhammadiyah 1 Karawang</t>
  </si>
  <si>
    <t>JL SYEH QURO,KOMPLEK MESJID DARUSSALAM RT 002/001,DESA ADIARSA TIMUR,KEC KARAWANG TIMUR,KAB KARAWANG JAWA BARAT</t>
  </si>
  <si>
    <t>JL WIRATAMA 27 TEGALREJO YOGYAKARTA</t>
  </si>
  <si>
    <t>SDTQ AL Bayan</t>
  </si>
  <si>
    <t>Jl Kresna Raya Gg Permata RT 05/01 Ds Pasekaran Kec. Batang Kab. Batang</t>
  </si>
  <si>
    <t>SDIT Granada tangerang</t>
  </si>
  <si>
    <t>JL Kimulud no 20 karawaci tangerang</t>
  </si>
  <si>
    <t>SDIT Cahaya Insani Parakan</t>
  </si>
  <si>
    <t>Dsn. Mekarsari, Mekarsari, Mandisari, Kec. Parakan, Kabupaten Temanggung, Jawa Tengah 56254</t>
  </si>
  <si>
    <t>SD Muhammadiyah Kasuran Seyegan</t>
  </si>
  <si>
    <t>Jingin, Margomulyo, Seyegan, Sleman DIY</t>
  </si>
  <si>
    <t>Barwanto</t>
  </si>
  <si>
    <t>Zaki Mubarak</t>
  </si>
  <si>
    <t>Jauhari Ahmad</t>
  </si>
  <si>
    <t>Arief Wibowo</t>
  </si>
  <si>
    <t>Nurhadi Sapto Nugroho</t>
  </si>
  <si>
    <t>Alm.Imam Hudaya</t>
  </si>
  <si>
    <t>Muhammad Yasin</t>
  </si>
  <si>
    <t>Sarwidi Supanggih</t>
  </si>
  <si>
    <t>Riris Wijananto</t>
  </si>
  <si>
    <t>Dany Aryanto</t>
  </si>
  <si>
    <t>Rusli</t>
  </si>
  <si>
    <t>Prima Luqman Prasetya</t>
  </si>
  <si>
    <t>Awan Asmara Frima</t>
  </si>
  <si>
    <t>Ahmad Maftuhin</t>
  </si>
  <si>
    <t>Teguh Prasetyo</t>
  </si>
  <si>
    <t>Tri Rahmad Subagyo</t>
  </si>
  <si>
    <t>Bachtiar Qomarudin</t>
  </si>
  <si>
    <t>Andri Rukmi Kurnianto</t>
  </si>
  <si>
    <t>Faried Rochman Hakim</t>
  </si>
  <si>
    <t>Moch Lukman</t>
  </si>
  <si>
    <t>Andi Handoyo</t>
  </si>
  <si>
    <t>Nur Rochmad</t>
  </si>
  <si>
    <t>Etik Suwarni</t>
  </si>
  <si>
    <t>Sartini</t>
  </si>
  <si>
    <t>Mardhatina Diniy</t>
  </si>
  <si>
    <t>Annisa Fitria Emmuty</t>
  </si>
  <si>
    <t>Pipit Utami</t>
  </si>
  <si>
    <t>Ratnawati</t>
  </si>
  <si>
    <t>Sujimah</t>
  </si>
  <si>
    <t>Ummi Kalsum</t>
  </si>
  <si>
    <t>Yuni Sulistyawati</t>
  </si>
  <si>
    <t>Nasifah Nurlaela</t>
  </si>
  <si>
    <t>Daswati Rofiatun Sahifah</t>
  </si>
  <si>
    <t>Lita hambeg tri p</t>
  </si>
  <si>
    <t>Wikanti Iffah Juliani</t>
  </si>
  <si>
    <t>Nurulita Aditya Safitri</t>
  </si>
  <si>
    <t>Nanik Arkiyah</t>
  </si>
  <si>
    <t>Sari Sri Lestari</t>
  </si>
  <si>
    <t>Leni Triastuti</t>
  </si>
  <si>
    <t>Miranti Mekar Asri</t>
  </si>
  <si>
    <t>Wahyu Wulandari</t>
  </si>
  <si>
    <t>Luthfina Fatimah Hapsari</t>
  </si>
  <si>
    <t>Dina Hardiana Rahmanti</t>
  </si>
  <si>
    <t>Rina Fadzillah</t>
  </si>
  <si>
    <t>Fetri kurnianingsih</t>
  </si>
  <si>
    <t>Lusi Indriyani</t>
  </si>
  <si>
    <t>Rahmalia Andini</t>
  </si>
  <si>
    <t>Fitriana Ambarwati</t>
  </si>
  <si>
    <t>Dewi Cahya Ningrum</t>
  </si>
  <si>
    <t>Purwakarta</t>
  </si>
  <si>
    <t>Kulonprogo</t>
  </si>
  <si>
    <t>Kab. Bantul</t>
  </si>
  <si>
    <t>Timika</t>
  </si>
  <si>
    <t>Aceh Teanggara</t>
  </si>
  <si>
    <t>3402080311130002</t>
  </si>
  <si>
    <t>3306071608130001</t>
  </si>
  <si>
    <t>3404020802140001</t>
  </si>
  <si>
    <t>3404062403140002</t>
  </si>
  <si>
    <t>3402060807130001</t>
  </si>
  <si>
    <t>3374102111130004</t>
  </si>
  <si>
    <t>3306062204130002</t>
  </si>
  <si>
    <t>3216082507140005</t>
  </si>
  <si>
    <t>3578282106130001</t>
  </si>
  <si>
    <t>3374122207130003</t>
  </si>
  <si>
    <t>3471092110130003</t>
  </si>
  <si>
    <t>7371122505890008</t>
  </si>
  <si>
    <t>3214013101140001</t>
  </si>
  <si>
    <t>3401030210130001</t>
  </si>
  <si>
    <t>3175100902141005</t>
  </si>
  <si>
    <t>3404042111130002</t>
  </si>
  <si>
    <t>3402172105130002</t>
  </si>
  <si>
    <t>6371031903140002</t>
  </si>
  <si>
    <t>3304030501140001</t>
  </si>
  <si>
    <t>3402122404140002</t>
  </si>
  <si>
    <t>3307091706130002</t>
  </si>
  <si>
    <t>3324080204140002</t>
  </si>
  <si>
    <t>9109012808130003</t>
  </si>
  <si>
    <t>3174101101141004</t>
  </si>
  <si>
    <t>1102042502140002</t>
  </si>
  <si>
    <t>3275092301130001</t>
  </si>
  <si>
    <t>Deresan Ringinharjo Bantul rt 07 , Bantul, Bantul, Bantul, Daerah Istimewa Yogyakarta</t>
  </si>
  <si>
    <t>Jalan Palagan Tentara Pelajar Km 8.5 Perum Griya Sekawan no 3 Mudal no 50 Sariharjo Ngaglik Sleman</t>
  </si>
  <si>
    <t>Warak Kidul RT 05/ RW 10, Sumberadi, Mlati, Sleman, DIY</t>
  </si>
  <si>
    <t>Tegallayang 10 RT 06, caturharjo, Pandak, Bantul</t>
  </si>
  <si>
    <t>Kec. Kedungwuni Kab. Pekalongan</t>
  </si>
  <si>
    <t>Cabean, Panggungharjo, Sewon, Bantul</t>
  </si>
  <si>
    <t>Kp Purnawarman Selatan RT 18 RW 13 kelurahan Sindang kasih kecamatan Purwakarta kabupaten Purwakarta</t>
  </si>
  <si>
    <t>Wirobrajan RT 40 RW 09, Yogyakarta</t>
  </si>
  <si>
    <t>Sunggingan RT 03 RW 12, Sendangrejo, Minggir, Sleman, Yogyakarta</t>
  </si>
  <si>
    <t>Bandut Kidul Rt 40 Argorejo Sedayu Bantul</t>
  </si>
  <si>
    <t>Jl. Sutoyo S Gg Purnawirawan No. 78 Rt.15 Rw. 001, Kelurahan Pelambuan Banjarmasin 70118</t>
  </si>
  <si>
    <t>Puri wirokerten asri b14 glondong wirokerten Banguntapan Bantul</t>
  </si>
  <si>
    <t>Sekopek Wetan Rt 08/Rw 01 Ds. Sarirejo Kec. Kaliwungu Kab. Kendal</t>
  </si>
  <si>
    <t>Dususn gayam RT.38 Argosari, Sedayu, Bantul, DIY</t>
  </si>
  <si>
    <t>Iskandarta</t>
  </si>
  <si>
    <t>Aris Himawan</t>
  </si>
  <si>
    <t>Ari Setyawan</t>
  </si>
  <si>
    <t>Faqih Ma'arif</t>
  </si>
  <si>
    <t>Mizan Suryanto</t>
  </si>
  <si>
    <t>Daniasmara Hardiyanto</t>
  </si>
  <si>
    <t>Dr. Teguh Hadi Prayitno,M.M.,M.Hum</t>
  </si>
  <si>
    <t>Wachid Agus Wijiantoro</t>
  </si>
  <si>
    <t>Gunawan Budianto</t>
  </si>
  <si>
    <t>Fauzi Oktavima</t>
  </si>
  <si>
    <t>Amri Hana Muhammad</t>
  </si>
  <si>
    <t>Akbar H Aksan</t>
  </si>
  <si>
    <t>Deki Ardiansyah</t>
  </si>
  <si>
    <t>Afrizal</t>
  </si>
  <si>
    <t>Byna Susanto</t>
  </si>
  <si>
    <t>Setyo Eko Widodo</t>
  </si>
  <si>
    <t>Febriyanto</t>
  </si>
  <si>
    <t>Fauzi Firmansyah</t>
  </si>
  <si>
    <t>Berianto laoli</t>
  </si>
  <si>
    <t>Rinaldi Dinar</t>
  </si>
  <si>
    <t>Ari Prabowo</t>
  </si>
  <si>
    <t>Wuri Adiyanti</t>
  </si>
  <si>
    <t>Tejaningrum</t>
  </si>
  <si>
    <t>Anyta Nur Wulan</t>
  </si>
  <si>
    <t>Ratih Andi K</t>
  </si>
  <si>
    <t>Nur Fitri Luthfiah</t>
  </si>
  <si>
    <t>Dysa Martina</t>
  </si>
  <si>
    <t>Prehanita Agung Wijayanti, S.S</t>
  </si>
  <si>
    <t>Utami Naning Apriyanti</t>
  </si>
  <si>
    <t>Desi Indriasari</t>
  </si>
  <si>
    <t>Dr. Murtaqiatusholihat</t>
  </si>
  <si>
    <t>Ria Putri Wulandari</t>
  </si>
  <si>
    <t>Dian Kamalia Kholidah</t>
  </si>
  <si>
    <t>Tri Mulyowati S.KM.M.Sc</t>
  </si>
  <si>
    <t>Haslindayani</t>
  </si>
  <si>
    <t>Windi Astuti</t>
  </si>
  <si>
    <t>Wulan Pangestu Ningsih</t>
  </si>
  <si>
    <t>Rahmi</t>
  </si>
  <si>
    <t>Surip Safutri</t>
  </si>
  <si>
    <t>Anna Nurkhaeni</t>
  </si>
  <si>
    <t>Arry Widya Purnamasari</t>
  </si>
  <si>
    <t>Alin Sri Endar Puspitawati Suprihatingsing</t>
  </si>
  <si>
    <t>Ismiyati</t>
  </si>
  <si>
    <t>Ima Nurfajriyah</t>
  </si>
  <si>
    <t>Anna Widiasari</t>
  </si>
  <si>
    <t>dr. Mecca Lestina Arsy, MARS</t>
  </si>
  <si>
    <t>Siti Rohmah</t>
  </si>
  <si>
    <t>Richana Asih Susilo</t>
  </si>
  <si>
    <t>Tdk Sekolah</t>
  </si>
  <si>
    <t>Gemahan, Ringinharjo, Kec. Bantul, Kabupaten Bantul, Daerah Istimewa Yogyakarta 55712</t>
  </si>
  <si>
    <t>Kampus I : Jl. Kliwonan no. II Kutoarjo, Kampus II : Jl. Kauman Kutoarjo</t>
  </si>
  <si>
    <t>Ring Road Utara Gorongan Condongcatur Depok sSeman</t>
  </si>
  <si>
    <t>SD N 01 Kalibakung</t>
  </si>
  <si>
    <t>Jln. Kalibakung, Kecamatan Balapulang, Kabupaten Tegal, Provinsi Jawa Tengah, 52464</t>
  </si>
  <si>
    <t>SD IT Assalam Sanden</t>
  </si>
  <si>
    <t>Pucanganom, Murtigading, Kecamatan Sanden, Kabupaten Bantul, Daerah Istimewa Yogyakarta.</t>
  </si>
  <si>
    <t>SDIT Tunas Harapan Semarang</t>
  </si>
  <si>
    <t>Jl. Tunas Harapan No.1 Perum Tulus Harapan Blok C, Kel. Sendangmulyo, Kec. Tembalang, Kota Semarang, Jawa Tengah 50272</t>
  </si>
  <si>
    <t>SDIT Nurul Istiqlal</t>
  </si>
  <si>
    <t>SDIT Salsabila 4 Jetis</t>
  </si>
  <si>
    <t>Dusun Pangkah, Sumberagung, Kecamatan Jetis, Kabupaten Bantul, DI.Yogyakarta</t>
  </si>
  <si>
    <t>Ds Telagamurni RT 001/009 Cikarang Barat bekasi</t>
  </si>
  <si>
    <t>SD Muhammadiyah 11 Surabaya</t>
  </si>
  <si>
    <t>Jl Dupak Bangunsari 35-41 Surabaya</t>
  </si>
  <si>
    <t>SDIT Mutiara Hati Semarang, Jl Koesbijono Tjondrowibowo RT 01 Rw 05 Patemon Gunungpati Kota Semarang</t>
  </si>
  <si>
    <t>Clolo RT 01 RW 05, Kel. Banjarsari, Kec. Banjarsari, Surakarta</t>
  </si>
  <si>
    <t>MI Arifah</t>
  </si>
  <si>
    <t>Gowa</t>
  </si>
  <si>
    <t>SDIT NURUL HIKMAH 3 PURWAKARTA</t>
  </si>
  <si>
    <t>GG ciung RT 09 RW 10 kelurahan Nagri kidul kecamatan Purwakarta kabupaten Purwakarta Jawa Barat</t>
  </si>
  <si>
    <t>SD MUHAMMADIYYAH MUTIAN WATES</t>
  </si>
  <si>
    <t>SD MUHAMMADIYYAH MUTIAN ALAMAT WONOSIDO LOR WATES, KULON PROGO, YOGYAKARTA</t>
  </si>
  <si>
    <t>SD Muhammadiyah wirobrajan 3</t>
  </si>
  <si>
    <t>SD Muhammadiyah Purwodiningratan</t>
  </si>
  <si>
    <t>Kp. Purwodiningratan, Ngupasan, Yogyakarta</t>
  </si>
  <si>
    <t>JARAKAN, SENDANG REJO, MINGGIR SLEMAN, YOGYAKARTA</t>
  </si>
  <si>
    <t>Jln wates km 10,argomulyo,sedayu bantul55753</t>
  </si>
  <si>
    <t>SDIT Nurul Fikri Banjarmasin</t>
  </si>
  <si>
    <t>Jl. Cempaka Raya Komplek Agraria Gang 03 Perum Wijaya Lestari I - Basirih, Banjarmasin Barat, Kota Banjarmasin 70245</t>
  </si>
  <si>
    <t>Purwareja Klampok, Kec. Purwareja Klampok, Kab. Banjarnegara, Jawa Tengah.</t>
  </si>
  <si>
    <t>Gg. Ganyong No.3, RT.002/RW.kertopaten, Kepuh Kulon, Wirokerten, Kec. Banguntapan, Kabupaten Bantul, Daerah Istimewa Yogyakarta 55194</t>
  </si>
  <si>
    <t>Sudagaran wonosobo jawa tengah</t>
  </si>
  <si>
    <t>Sudagaran Wonosobo</t>
  </si>
  <si>
    <t>SDIT AL Kautsar Tosari Brangsong Kendal</t>
  </si>
  <si>
    <t>Tosari RT.03 RW. 02, Kecamatan Brangsong Kab. Kendal</t>
  </si>
  <si>
    <t>SDIT Anak Sholeh Sedayu</t>
  </si>
  <si>
    <t>Gunung Bulu, Bandut Lor, Argorejo, Sedayu, Bantul, D.I. Yogyakarta</t>
  </si>
  <si>
    <t>jl raya kedu- parakan km 2, kalisat , sawah . gandurejo , kec bulu ,kab temanggung, jawa tengah</t>
  </si>
  <si>
    <t>jl. A. Yani Gg. Mesjid Marhamah Lingk. I Desa Terandam Kec. Babussalam Kab. Aceh Tenggara 24651</t>
  </si>
  <si>
    <t>SD Muhammadiyah Hajjah Nuriyah</t>
  </si>
  <si>
    <t>Jl. A. Yani, Loktabat Utara, Kec. Banjarbaru Utara, Kota Banjar Baru, Kalimantan Selatan 70714</t>
  </si>
  <si>
    <t>3471142203140001</t>
  </si>
  <si>
    <t>Perumahan Bunga Alam Residence Blok D14 Kebumen Jawa Tengah</t>
  </si>
  <si>
    <t>SDIT Al-Madinah Kebumen Jawa Tengah</t>
  </si>
  <si>
    <t>Jl. Tentara Pelajar 48 Kompleks Islamic Center Kembaran Kebumen Jawa Tengah</t>
  </si>
  <si>
    <t>Arianom Jati Pamungkas</t>
  </si>
  <si>
    <t>Dian Sinta Anggraini</t>
  </si>
  <si>
    <t>3404071611130005</t>
  </si>
  <si>
    <t>Jl. Kapas No 5A Semaki, Umbulharjo, Yogyakarta</t>
  </si>
  <si>
    <t>Sunarto Wakit</t>
  </si>
  <si>
    <t>3307020304140002</t>
  </si>
  <si>
    <t>Kapulogo Tengah Rt 07/ Rw 03, Kapulogo, Kepil, Wonosobo</t>
  </si>
  <si>
    <t>SD Negeri 1 Gadingrejo</t>
  </si>
  <si>
    <t>Dompon, Gadingrejo, Kepil</t>
  </si>
  <si>
    <t>Arif Biyanto</t>
  </si>
  <si>
    <t>Amin Khoirul Musliana</t>
  </si>
  <si>
    <t>3402010206140001</t>
  </si>
  <si>
    <t>Prembulan Rt.18/Rw.08, Pandowan, Galur, Kulonprogo, DI Yogyakarta</t>
  </si>
  <si>
    <t>SD Unggulan 'Aisyiyah Pandak</t>
  </si>
  <si>
    <t>37HG+M48, Ngabean, Triharjo, Kec. Pandak, Kabupaten Bantul, Daerah Istimewa Yogyakarta</t>
  </si>
  <si>
    <t>Amir Suprapto</t>
  </si>
  <si>
    <t>Suprapti</t>
  </si>
  <si>
    <t>3404071305130002</t>
  </si>
  <si>
    <t>Dian Siti Komariyah</t>
  </si>
  <si>
    <t>di Jl. Cendrawasih Rt 14 Rw 27, Banguntapan, Kec. Banguntapan, Kab. Bantul, D.I. Yogyakarta.</t>
  </si>
  <si>
    <t>6203011004140002</t>
  </si>
  <si>
    <t>Jalan Melati No 59 RT 29 RW 03 Kel. Selat Tengah Kec. Selat Kuala Kapuas</t>
  </si>
  <si>
    <t>SDIT Al-Amin Kuala Kapuas</t>
  </si>
  <si>
    <t>Jl. Pemuda Km 1,5 Gg 2</t>
  </si>
  <si>
    <t>Alm Irfan Syarif Wahyudi</t>
  </si>
  <si>
    <t>Aulia Madina</t>
  </si>
  <si>
    <t>SLEMAN</t>
  </si>
  <si>
    <t>3301220107140001</t>
  </si>
  <si>
    <t>Perumahan Pertamina Donan Jl.Klandasan IV no.71 Cilacap, Jateng 53221</t>
  </si>
  <si>
    <t>Jl.Masjid no.4 Sidanegara, Cilacap</t>
  </si>
  <si>
    <t>Ayu Wenning Gayatrie</t>
  </si>
  <si>
    <t>3404123004140003</t>
  </si>
  <si>
    <t>JL. KENARI NO.10, SRIMULYO, TRIHARJO, SLEMAN, YOGYAKARTA</t>
  </si>
  <si>
    <t>3173050904141006</t>
  </si>
  <si>
    <t>Griya Sakinah 2 / B2 Karanganyar Gedongan Colomadu Karanganyar Jawa Tengah</t>
  </si>
  <si>
    <t>SDTQ AL ABIDIN SURAKARTA Jl. Tarumanegara Gg. Galuh 1 Banyuanyar Banjarsari Surakarta</t>
  </si>
  <si>
    <t>Soleh Ismuni</t>
  </si>
  <si>
    <t>Bina Sugiyanti</t>
  </si>
  <si>
    <t>3313152109130001</t>
  </si>
  <si>
    <t>Nuryadi</t>
  </si>
  <si>
    <t>Aulia Nuriyana, SE</t>
  </si>
  <si>
    <t>3313150602170001</t>
  </si>
  <si>
    <t>6207012903140002</t>
  </si>
  <si>
    <t>Jl. Budi Utomo Kel. Kuala Pembuang 2 Kec. Seruyan Hilir Kab. Seruyan Kalteng</t>
  </si>
  <si>
    <t>Edy Suryono</t>
  </si>
  <si>
    <t>Desy Embun Kejora</t>
  </si>
  <si>
    <t>3374152703130003</t>
  </si>
  <si>
    <t>JL Durian Selatan 1/ VI Srondol Wetan Kecamatan Banyumanik Kota Semarang</t>
  </si>
  <si>
    <t>3329050204140001</t>
  </si>
  <si>
    <t>RT 1 RW 1 Desa Wanareja Kec Sirampog Kab Brebes Jawa Tengah 52272</t>
  </si>
  <si>
    <t>SD Negeri 1 Wanareja</t>
  </si>
  <si>
    <t>Jalan Lapangan No 1 Desa Wanareja Kec Sirampog Kab Brebes Jawa Tengah 52272</t>
  </si>
  <si>
    <t>Suryo Albar</t>
  </si>
  <si>
    <t>Wanti Widyastuti</t>
  </si>
  <si>
    <t>3275102906130002</t>
  </si>
  <si>
    <t>Metland Transyogi Cluster Samara Blok TJXIB 09</t>
  </si>
  <si>
    <t>SD Muhammadiyah 1 Cileungsi</t>
  </si>
  <si>
    <t>Perum PTSC Jl. Anggrek No. 25 Cileungsi 16820 Kabupaten Bogor</t>
  </si>
  <si>
    <t>Agung Rahmat Gunawan</t>
  </si>
  <si>
    <t>Arissa</t>
  </si>
  <si>
    <t>3402161802140003</t>
  </si>
  <si>
    <t>Jalan Menukan No.2 Brontokusuman, Mergangsan, Yogyakarta</t>
  </si>
  <si>
    <t>Syaiful Harjanto</t>
  </si>
  <si>
    <t>Anna Kurniawati</t>
  </si>
  <si>
    <t>3671050205130004</t>
  </si>
  <si>
    <t>Jl. KH Maulana Hasanudin RT 003/007, Poris Jaya, Kec. Batuceper, Kota Tangerang, Banten</t>
  </si>
  <si>
    <t>Yusriati Istiqomah</t>
  </si>
  <si>
    <t>3201012807131001</t>
  </si>
  <si>
    <t>SD Daarut Tauhiid</t>
  </si>
  <si>
    <t>JL. Cugugur Girang No.33 Kp. Pangsor RT.03 RW.07 Ds. Cigugur Girang Kec. Parongpong Kab. Bandung Barat Prov. Jawa Barat</t>
  </si>
  <si>
    <t>Yudi Yanuar</t>
  </si>
  <si>
    <t>Puri Andarini</t>
  </si>
  <si>
    <t>5206023009130002</t>
  </si>
  <si>
    <t>Jl. Letjen Sutoyo No. 5 RT 001 RW 016 Mojosongo Jebres Kota Surakarta Jawa Tengah 57127</t>
  </si>
  <si>
    <t>Wahyudin</t>
  </si>
  <si>
    <t>Notaris</t>
  </si>
  <si>
    <t>Balun RT 04 RW 02 Ds. Kumpulrejo Kec. Kaliwungu Kab. Kendal Jawa Tengah 51372</t>
  </si>
  <si>
    <t>1901012110100002</t>
  </si>
  <si>
    <t>3324082606120005</t>
  </si>
  <si>
    <t>5103051204080029</t>
  </si>
  <si>
    <t>081392486559</t>
  </si>
  <si>
    <t>085225555166</t>
  </si>
  <si>
    <t>3671050811070567</t>
  </si>
  <si>
    <t>Andriva Vintri Asmoro</t>
  </si>
  <si>
    <t>Syafa'atun</t>
  </si>
  <si>
    <t>3326070608110003</t>
  </si>
  <si>
    <t>3402121505040148</t>
  </si>
  <si>
    <t>3309022107100003</t>
  </si>
  <si>
    <t>3326070707110001</t>
  </si>
  <si>
    <t>3307082603130005</t>
  </si>
  <si>
    <t>3174090305111042</t>
  </si>
  <si>
    <t>5102041609140001</t>
  </si>
  <si>
    <t>Diploma</t>
  </si>
  <si>
    <t>Karyawan BUMN</t>
  </si>
  <si>
    <t>1671100102120008</t>
  </si>
  <si>
    <t>Isnoviwan Tatar, A.Md.</t>
  </si>
  <si>
    <t>Ellya Tika Musdalifah, S.Pd.</t>
  </si>
  <si>
    <t>6402062410090009</t>
  </si>
  <si>
    <t>Chumaeroh</t>
  </si>
  <si>
    <t>3326261101110039</t>
  </si>
  <si>
    <t>H. Akbar Kurniawan, Lc.</t>
  </si>
  <si>
    <t>3171032803111022</t>
  </si>
  <si>
    <t>3304170202100002</t>
  </si>
  <si>
    <t>BTN. Zarindah Kendari Blok E.3 RT 031 RW 010 Baruga Baruga Kota Kendari Sulawesi Tenggara 93116</t>
  </si>
  <si>
    <t>Abdul Hamid, S.Pd., MM</t>
  </si>
  <si>
    <t>Mirnayasa Lanasu, S.Pd.</t>
  </si>
  <si>
    <t>7471033007190005</t>
  </si>
  <si>
    <t>3402101811080002</t>
  </si>
  <si>
    <t>3573032510180015</t>
  </si>
  <si>
    <t>3674040304140021</t>
  </si>
  <si>
    <t>3310261006130002</t>
  </si>
  <si>
    <t>Jambusari RT002 RW007 Kertek, Kecamatan Kertek, Kabupten Wonosobo Jawa Tengah</t>
  </si>
  <si>
    <t>Jl. Buana Raya Gg. Artha Buana No.3 Padangsambian Denpasar Barat Kota Denpasar Bali 80119</t>
  </si>
  <si>
    <t>3578262708090001</t>
  </si>
  <si>
    <t>Dondong Rt 48 Rw 21, Bendungan, Wates, Kulon Progo, DIY, 55651</t>
  </si>
  <si>
    <t>3401022304090003</t>
  </si>
  <si>
    <t>3401021701140005</t>
  </si>
  <si>
    <t>Tambak Rt.13 Rw 06 Triharjo, Wates Kulon Progo, DIY 55651</t>
  </si>
  <si>
    <t>Gabugan RT. 004 RW. 010 Tegalsari Kedu Temanggung Jawa Tengah</t>
  </si>
  <si>
    <t>3323072103140004</t>
  </si>
  <si>
    <t>3323030103130001</t>
  </si>
  <si>
    <t>Perum Banteng 3 jalan Argopuro no 45 Manukan Condong Catur Sleman Yogyakarta</t>
  </si>
  <si>
    <t>Sdit Salsabila Klaseman</t>
  </si>
  <si>
    <t>Klaseman Sinduharjo Ngaglik Sleman</t>
  </si>
  <si>
    <t>Abimanyu Agung Nugroho</t>
  </si>
  <si>
    <t>Susi Wahyu Aristiyani</t>
  </si>
  <si>
    <t>3175022005141003</t>
  </si>
  <si>
    <t>SD Muhammadiyah 12 Pamulang</t>
  </si>
  <si>
    <t>Jalan Suka Kencana No.29 Pamulang Barat - Pamulang - Kota Tangerang Selatan - Banten</t>
  </si>
  <si>
    <t>Chairudin</t>
  </si>
  <si>
    <t>Febyari Nurhayati Sofyan</t>
  </si>
  <si>
    <t>3404070604130005</t>
  </si>
  <si>
    <t>SD Muhammadiyah 2 Alternatif Kota Magelang</t>
  </si>
  <si>
    <t>Jl Jeruk Selatan I No 30 A RT 05/RW 08 Sanden, Kramat Selatan, Kecamatan Magelang Utara Kota Magelang, Jawa Tengah, 56115</t>
  </si>
  <si>
    <t>Sugeng Budi Solihan</t>
  </si>
  <si>
    <t>Idha Nurhayati</t>
  </si>
  <si>
    <t>3307071209130001</t>
  </si>
  <si>
    <t>SD MBF Al Adzkiya wonosobo</t>
  </si>
  <si>
    <t>Jln.Pasukan Ronggolawe,Pager kukuh,Wonosobo 56311</t>
  </si>
  <si>
    <t>Efi Novarita</t>
  </si>
  <si>
    <t>3308082512130001</t>
  </si>
  <si>
    <t>Karaharjan Gunungpring Muntilan Magelang</t>
  </si>
  <si>
    <t>Bina Anak Soleh (BIAS) Muntilan</t>
  </si>
  <si>
    <t>Jl. Puskesmas no 130 Tamanagung Muntilan</t>
  </si>
  <si>
    <t>Muhammad Husni Sholikhin</t>
  </si>
  <si>
    <t>Citra Ningrum Agustina</t>
  </si>
  <si>
    <t>3304062608130003</t>
  </si>
  <si>
    <t>SD Adzkia Banjarnegara</t>
  </si>
  <si>
    <t>Kelurahan Wangon RT 02/04 Banjarnegara</t>
  </si>
  <si>
    <t>Heryudhanto Sagoro</t>
  </si>
  <si>
    <t>Ari Eka Fisri</t>
  </si>
  <si>
    <t>Kota Madiun</t>
  </si>
  <si>
    <t>3577010903140002</t>
  </si>
  <si>
    <t>SD Muhammadiyah Kota Madiun</t>
  </si>
  <si>
    <t>Jl. Raya Ponorogo - Madiun No.3, Josenan, Kec. Taman, Kota Madiun, Jawa Timur 63135</t>
  </si>
  <si>
    <t>Pita Anjarsari</t>
  </si>
  <si>
    <t>3327012702140001</t>
  </si>
  <si>
    <t>Banyumudal, Moga, Pemalang</t>
  </si>
  <si>
    <t>Muhammad Tirta Kusuma</t>
  </si>
  <si>
    <t>Okky Oktavia</t>
  </si>
  <si>
    <t>3374143011130003</t>
  </si>
  <si>
    <t>SDS Muhammadiyah 06 Tebet Jakarta Selatan</t>
  </si>
  <si>
    <t>Jl. Tebet Timur Raya No.565 Tebet Jaksel</t>
  </si>
  <si>
    <t>Prasetiya Aditama</t>
  </si>
  <si>
    <t>Annisa Daniati</t>
  </si>
  <si>
    <t>6309062512130001</t>
  </si>
  <si>
    <t>Komplek Swadharma Lestari Indah No. 1 RT. IX Kelurahan Mabu'un Kecamatan Murung Pudak Kabupaten Tabalong, Kalimantan Selatan</t>
  </si>
  <si>
    <t>Yunizarrahman</t>
  </si>
  <si>
    <t>Rima Noor Indah</t>
  </si>
  <si>
    <t>3471060610130003</t>
  </si>
  <si>
    <t>SD Muhammadiyah Kauman Yogyakarta</t>
  </si>
  <si>
    <t>Kauman GM I / NO:374 Ngupasan Gondomanan 55122</t>
  </si>
  <si>
    <t>Muhammad Fuad,. S.E,. MSc</t>
  </si>
  <si>
    <t>Nuril Frida Beta,. S.E</t>
  </si>
  <si>
    <t>3308201003140004</t>
  </si>
  <si>
    <t>Jln.Dirham rt 06 rw 07 Jetis Pancuranmas Secang Magelang</t>
  </si>
  <si>
    <t>SDIT Ihsanul Fikri 1 kota Magelang</t>
  </si>
  <si>
    <t>Jl Jeruk Timur V Sanden Kramat Selatan,Magelang Utara Kota Magelang</t>
  </si>
  <si>
    <t>Dharma Subrata</t>
  </si>
  <si>
    <t>Yetti Fitriyana</t>
  </si>
  <si>
    <t>Kisaran</t>
  </si>
  <si>
    <t>1209161010130001</t>
  </si>
  <si>
    <t>SDIT Ar Rahmah Jakarta</t>
  </si>
  <si>
    <t>Jl. Duren Sawit Barat II No.2 Blok F Komplek PTB Duren Sawit</t>
  </si>
  <si>
    <t>Dimas Aryo Wibisono</t>
  </si>
  <si>
    <t>Tiara Yuko Astagini</t>
  </si>
  <si>
    <t>3374113008140003</t>
  </si>
  <si>
    <t>Jl Cemara Raya no 5 rt 1 rw 17. Padangsari Banyumanik Semarang 50267</t>
  </si>
  <si>
    <t>Jl Durian Selatan I/6 Srondol Wetan Banyumanik Semarang 50235</t>
  </si>
  <si>
    <t>Choir Munajad</t>
  </si>
  <si>
    <t>Hanum Maharsi Narhadini</t>
  </si>
  <si>
    <t>3402083105130003</t>
  </si>
  <si>
    <t>Manding Kidul Rt 07 Trirenggo Bantul</t>
  </si>
  <si>
    <t>GEMAHAN RINGINHARJO BANTUL</t>
  </si>
  <si>
    <t>Nugroho Danisworo</t>
  </si>
  <si>
    <t>Hesty Purwaningdyah Linggarjati</t>
  </si>
  <si>
    <t>3471131908130002</t>
  </si>
  <si>
    <t>Jl. Pandeyan No.11 Umbulharjo Yogyakarta 55161</t>
  </si>
  <si>
    <t>SDIT Al Khairaat Yogyakarta</t>
  </si>
  <si>
    <t>Jl. Veteran Gg. Madukoro, Umbulharjo, Yogyakarta</t>
  </si>
  <si>
    <t>Fadlun Amin</t>
  </si>
  <si>
    <t>Fatiya Malik</t>
  </si>
  <si>
    <t>3509212110130002</t>
  </si>
  <si>
    <t>SD Alam Arrohmah Malang</t>
  </si>
  <si>
    <t>Jl. Jambu No.1 Semanding, SUmbersekar, Dau. Kabupaten Malang, Jawa Timur</t>
  </si>
  <si>
    <t>(Almarhum) Quraisj Wachdin</t>
  </si>
  <si>
    <t>Ginanjar Putri Nastiti</t>
  </si>
  <si>
    <t>3507232703130002</t>
  </si>
  <si>
    <t>SD Islam Sabilillah Malang</t>
  </si>
  <si>
    <t>Jl. Ahmad Yani No.15, Blimbing, Kec. Blimbing, Kota Malang, Jawa Timur</t>
  </si>
  <si>
    <t>Ramliyanto</t>
  </si>
  <si>
    <t>Lilyana Apriliyanti</t>
  </si>
  <si>
    <t>3515161010130005</t>
  </si>
  <si>
    <t>Jl. Tidar No.21a, Magersari, Kec. Magelang Sel., Kota Magelang, Jawa Tengah</t>
  </si>
  <si>
    <t>Jatirejo, rt. 5 rw. 1 Glagahagung, Purwoharjo, Banyuwangi 68483</t>
  </si>
  <si>
    <t>Perum GKGA Blok S No. 30 Kedanyang, Kebomas, Gresik, Jawa Timur</t>
  </si>
  <si>
    <t>Sanggrahan 1/7 Mojotengah, Kedu, Temanggung Jawa Tengah</t>
  </si>
  <si>
    <t>Mojotengah</t>
  </si>
  <si>
    <t>Kedu</t>
  </si>
  <si>
    <t>Kumpulrejo</t>
  </si>
  <si>
    <t>Kaliwungu</t>
  </si>
  <si>
    <t>Gabek</t>
  </si>
  <si>
    <t>Benoa</t>
  </si>
  <si>
    <t>Selindung Baru</t>
  </si>
  <si>
    <t>Kep. Bangka Belitung</t>
  </si>
  <si>
    <t>Kota Pangkal Pinang</t>
  </si>
  <si>
    <t>Perumahan Pengadilan No 02 RT 5 Selindung Baru Gabek Pangkal Pinang Bangka Belitung</t>
  </si>
  <si>
    <t>Perum. Puri Kampial Benoa Kuta Selatan Badung Bali</t>
  </si>
  <si>
    <t>Kuta Selatan</t>
  </si>
  <si>
    <t>Badung</t>
  </si>
  <si>
    <t>Cipondoh</t>
  </si>
  <si>
    <t>Gladagsari</t>
  </si>
  <si>
    <t>Kota Tangerang</t>
  </si>
  <si>
    <t>Legokkalong</t>
  </si>
  <si>
    <t>Gg.Sembrani 2 No 370 Jaranan RT 10 RW 41 Banguntapan Bantul DIY</t>
  </si>
  <si>
    <t>Kaligentong</t>
  </si>
  <si>
    <t>Banjarejo</t>
  </si>
  <si>
    <t>Kertek</t>
  </si>
  <si>
    <t>Kukusan</t>
  </si>
  <si>
    <t>Kalidoni</t>
  </si>
  <si>
    <t>Beji</t>
  </si>
  <si>
    <t>Kota Depok</t>
  </si>
  <si>
    <t>Padangsambian</t>
  </si>
  <si>
    <t>Sungaiselincah</t>
  </si>
  <si>
    <t>Kota Palembang</t>
  </si>
  <si>
    <t>Melayu</t>
  </si>
  <si>
    <t>Petukangan</t>
  </si>
  <si>
    <t>Serdang</t>
  </si>
  <si>
    <t>Wanayasa</t>
  </si>
  <si>
    <t>Kutai Kartanegara</t>
  </si>
  <si>
    <t>Kota Kendari</t>
  </si>
  <si>
    <t>Tajinan</t>
  </si>
  <si>
    <t>Kaliamntan Timur</t>
  </si>
  <si>
    <t>Ds. Petukangan RT.3 RW.1 Wiradesa Pekalongan Jawa Tengah</t>
  </si>
  <si>
    <t>Wiradesa</t>
  </si>
  <si>
    <t>Girirejo</t>
  </si>
  <si>
    <t>Sumbersuko</t>
  </si>
  <si>
    <t>Kemayoran</t>
  </si>
  <si>
    <t>Baruga</t>
  </si>
  <si>
    <t>Jakarta Pusat</t>
  </si>
  <si>
    <t>Sulawesi Tenggara</t>
  </si>
  <si>
    <t>Imogiri</t>
  </si>
  <si>
    <t>Banyumanik</t>
  </si>
  <si>
    <t>Kota Semarang</t>
  </si>
  <si>
    <t>Kota Malang</t>
  </si>
  <si>
    <t>Perum D'griya Satya B7, Jl. Hamid Rusdi RT 8/RW 2, Sumbersuko, Tajinan, Kabupaten Malang Jawa Timur</t>
  </si>
  <si>
    <t>Pudak payung</t>
  </si>
  <si>
    <t>Jurugan</t>
  </si>
  <si>
    <t>Kalijudan</t>
  </si>
  <si>
    <t>Klaten Selatan</t>
  </si>
  <si>
    <t>Mulyorejo</t>
  </si>
  <si>
    <t>Bendungan</t>
  </si>
  <si>
    <t>Triharjo</t>
  </si>
  <si>
    <t>Tegalsari</t>
  </si>
  <si>
    <t>3404040407110001</t>
  </si>
  <si>
    <t>1505071103084560</t>
  </si>
  <si>
    <t>3471070807130003</t>
  </si>
  <si>
    <t>3402162203170001</t>
  </si>
  <si>
    <t>Eko Heri Setiyanto</t>
  </si>
  <si>
    <t>Perum Griya Taman Asri Blok B 704 Jl Griya Taman Asri Pandowohardjo Sleman DIY</t>
  </si>
  <si>
    <t>3404062511110013</t>
  </si>
  <si>
    <t>3471071704260002</t>
  </si>
  <si>
    <t>3328142110130001</t>
  </si>
  <si>
    <t>Tembok Luwung RT 007 RW 002 Tembok Luwung Adiwerna Tegal Jawa Tengah 52194</t>
  </si>
  <si>
    <t>3328110309220003</t>
  </si>
  <si>
    <t>3401050108180001</t>
  </si>
  <si>
    <t>3401073012100001</t>
  </si>
  <si>
    <t>Jlegong RT 004 RW 006 Pagerkukuh Wonosobo Wonosobo Jawa Tengah 56314</t>
  </si>
  <si>
    <t>Yuli Triyono</t>
  </si>
  <si>
    <t>3307091105090006</t>
  </si>
  <si>
    <t>3323080607140002</t>
  </si>
  <si>
    <t>3323081606120005</t>
  </si>
  <si>
    <t>3324080201190002</t>
  </si>
  <si>
    <t>1810012804160003</t>
  </si>
  <si>
    <t>3323092010090002</t>
  </si>
  <si>
    <t>Jianto</t>
  </si>
  <si>
    <t>3323032612120001</t>
  </si>
  <si>
    <t>Gunung Pasir No.80 RT 005 Kampung Lama Samboja Kutai Kartanegara Kalimantan Timur</t>
  </si>
  <si>
    <t>6402131411073763</t>
  </si>
  <si>
    <t>3174102107100004</t>
  </si>
  <si>
    <t>3672030110090002</t>
  </si>
  <si>
    <t>3471032301030065</t>
  </si>
  <si>
    <t>3372042506130008</t>
  </si>
  <si>
    <t>3175091801093167</t>
  </si>
  <si>
    <t>3471122502200003</t>
  </si>
  <si>
    <t>3573030803140001</t>
  </si>
  <si>
    <t>Jln Topaz XI no 1 pondok permata suci gresik</t>
  </si>
  <si>
    <t>3573030806120012</t>
  </si>
  <si>
    <t>6402061509140017</t>
  </si>
  <si>
    <t>Adhi Wahyu Wijaya, SE</t>
  </si>
  <si>
    <t>Ricky Destanty Santoso</t>
  </si>
  <si>
    <t>3404132110130001</t>
  </si>
  <si>
    <t>3515121109090001</t>
  </si>
  <si>
    <t>3307081501081422</t>
  </si>
  <si>
    <t>Dusun Kauman RT 004 RW 002 Wergonayan Mirit Kebumen Jawa Tengah 54395</t>
  </si>
  <si>
    <t>3305082811130003</t>
  </si>
  <si>
    <t>6571011302260001</t>
  </si>
  <si>
    <t>Jl.Kaligung no.01. RT 004 RW 004 Panggung Tegal Timur Kota Tegal Jawa Tengah</t>
  </si>
  <si>
    <t>3376022205140002</t>
  </si>
  <si>
    <t>5171031110130003</t>
  </si>
  <si>
    <t>Jl. Gunung Mas IIA/3 DPS. BRI/Link. Dukuh Sari Padang Sambian Kaja Denpasar Barat Kota Denpasar Bali</t>
  </si>
  <si>
    <t>5171030507070404</t>
  </si>
  <si>
    <t>3671052503100025</t>
  </si>
  <si>
    <t>Jl. Arjuno no 20B RT 010 RW 004 Wirobrajan Wirobrajan Kota Yogyakarta DIY</t>
  </si>
  <si>
    <t>3471081209110007</t>
  </si>
  <si>
    <t>3519071009130001</t>
  </si>
  <si>
    <t>5271020603086899</t>
  </si>
  <si>
    <t>3471140309020261</t>
  </si>
  <si>
    <t>3306020402190003</t>
  </si>
  <si>
    <t>3404131309130005</t>
  </si>
  <si>
    <t>Bulak Banteng Wetan 14 no 9 RT 003 RW 008 Sidotopo Wetan Kenjeran Kota Surabaya Jawa Timur</t>
  </si>
  <si>
    <t>3578170101082892</t>
  </si>
  <si>
    <t>3402152510160006</t>
  </si>
  <si>
    <t>3303040101140004</t>
  </si>
  <si>
    <t>s1</t>
  </si>
  <si>
    <t>3303040601150001</t>
  </si>
  <si>
    <t>3306071208083567</t>
  </si>
  <si>
    <t>3525022509140001</t>
  </si>
  <si>
    <t>Jl. Musi RT 012 RW 004 Slawi Wetan Slawi Tegal Jawa Tengah</t>
  </si>
  <si>
    <t>3328102207130011</t>
  </si>
  <si>
    <t>33240820704230003</t>
  </si>
  <si>
    <t>3175042312160001</t>
  </si>
  <si>
    <t>3374062106120002</t>
  </si>
  <si>
    <t>3402061206230010</t>
  </si>
  <si>
    <t>Ngentak RT 04 Dukuh 01 Murtigading Sanden Bantul DIY</t>
  </si>
  <si>
    <t>3471141208100001</t>
  </si>
  <si>
    <t>3402160111120003</t>
  </si>
  <si>
    <t>3327011102140002</t>
  </si>
  <si>
    <t>Puri Argomulyo Asri No 07 Plawonan Argomulyo Sedayu Bantul DIY</t>
  </si>
  <si>
    <t>3402170404180005</t>
  </si>
  <si>
    <t>6472062711077994</t>
  </si>
  <si>
    <t>Riyadh</t>
  </si>
  <si>
    <t>3305162810130001''</t>
  </si>
  <si>
    <t>Patra Graha Bangunjiwo No.A1 Dusun Sribitan RT 003 Bangunjiwo Kasihan Bantul DIY</t>
  </si>
  <si>
    <t>3402161006240010</t>
  </si>
  <si>
    <t>3305101504140005</t>
  </si>
  <si>
    <t>Dsn. Miri RT 011 RW 003 ,Papringan, Kaliwungu, Semarang Jawa Tengah</t>
  </si>
  <si>
    <t>3322170505140002</t>
  </si>
  <si>
    <t>3305120711110004</t>
  </si>
  <si>
    <t xml:space="preserve">Jl. Bhayangkara Komp Villa Anugrtah 1 No B.19 RT 018 RW 004 Sutera Sukadana Kayong Utara Kalimantan Barat </t>
  </si>
  <si>
    <t>6111011312180004</t>
  </si>
  <si>
    <t>3402171809150001</t>
  </si>
  <si>
    <t>3304050903051233</t>
  </si>
  <si>
    <t>1672011003140010</t>
  </si>
  <si>
    <t>3314120111110008</t>
  </si>
  <si>
    <t>16022117040820003</t>
  </si>
  <si>
    <t>3326162105120002</t>
  </si>
  <si>
    <t>7201200612130002</t>
  </si>
  <si>
    <t>3326080602070006</t>
  </si>
  <si>
    <t>Jalan KPR Dusun RT 001 RW 002 Famboaman Amotaurei Kepulauan Yapen Papua</t>
  </si>
  <si>
    <t>91505012107090010</t>
  </si>
  <si>
    <t>Godegan RT 001 RW 002 Ngargosoko Kaliangkirik Magelang Jawa Tengah</t>
  </si>
  <si>
    <t>3308062803150003</t>
  </si>
  <si>
    <t>3307053008100001</t>
  </si>
  <si>
    <t>3402122408180003</t>
  </si>
  <si>
    <t>3329042702120006</t>
  </si>
  <si>
    <t>3402082801160002</t>
  </si>
  <si>
    <t>3324120508130001</t>
  </si>
  <si>
    <t>3324120805120002</t>
  </si>
  <si>
    <t>3374120608220001</t>
  </si>
  <si>
    <t>6208021507110001</t>
  </si>
  <si>
    <t>Dusun Kenep RT 017 RW 004 Sumbersari Saradan Madiun Jawa Timur</t>
  </si>
  <si>
    <t>3519122803070272</t>
  </si>
  <si>
    <t>3308100509190011</t>
  </si>
  <si>
    <t>3327031207080001</t>
  </si>
  <si>
    <t>Kragilan RT 04 Tamanan Banguntapan Bantul DIY</t>
  </si>
  <si>
    <t>3402120410040001</t>
  </si>
  <si>
    <t>Dusun Cempalagi RT 001 RW 001 Campalagi Tempe Wajo Sulawesi Selatan 90911</t>
  </si>
  <si>
    <t>7313060504220002</t>
  </si>
  <si>
    <t>3401072112090006</t>
  </si>
  <si>
    <t>3320040310070003</t>
  </si>
  <si>
    <t>3674052201104215</t>
  </si>
  <si>
    <t>Temulawak RT 001 RW 036 Triharjo Sleman Sleman DIY</t>
  </si>
  <si>
    <t>3404130705140006</t>
  </si>
  <si>
    <t>Jln. Kapten Darmosugondo Gg XII No 53 RT 006 RW 002 Indro Kebomas Gresik Jawa Timur</t>
  </si>
  <si>
    <t>3525140602120006</t>
  </si>
  <si>
    <t>3171032805121019</t>
  </si>
  <si>
    <t>3174040611131009</t>
  </si>
  <si>
    <t>Rt.09.Rw.27, Nglempong Sari, Sariharjo, Ngaglik, Sleman DIY</t>
  </si>
  <si>
    <t>3404123001070010</t>
  </si>
  <si>
    <t>3517192006100002</t>
  </si>
  <si>
    <t>Sendangarum</t>
  </si>
  <si>
    <t>Adiwerna</t>
  </si>
  <si>
    <t>Lendah</t>
  </si>
  <si>
    <t>Minggir</t>
  </si>
  <si>
    <t>Kasihan</t>
  </si>
  <si>
    <t>Tamanan</t>
  </si>
  <si>
    <t>Nambangan Lor</t>
  </si>
  <si>
    <t>Bumirejo</t>
  </si>
  <si>
    <t>Suka Makmur</t>
  </si>
  <si>
    <t>Tembok Luwung</t>
  </si>
  <si>
    <t>Sungai Bahar</t>
  </si>
  <si>
    <t>Jambi</t>
  </si>
  <si>
    <t>Ngestiharjo</t>
  </si>
  <si>
    <t>Pandowoharjo</t>
  </si>
  <si>
    <t>Jalan Manis Raya, Perumahan Green Garden Asri Blok A no.8, RT 70 RW 16, Nambangan Lor, Manguharjo, Kota Madiun Jawa Timur</t>
  </si>
  <si>
    <t>Mangunharjo</t>
  </si>
  <si>
    <t>Carikan RT 001 RW 002, Bumirejo, Lendah, Kulon Progo DIY</t>
  </si>
  <si>
    <t>Pengasih</t>
  </si>
  <si>
    <t>Tembarak</t>
  </si>
  <si>
    <t>Pagerkukuh</t>
  </si>
  <si>
    <t>Botoputih</t>
  </si>
  <si>
    <t>Margosari</t>
  </si>
  <si>
    <t>Ngadirejo</t>
  </si>
  <si>
    <t>Samboja</t>
  </si>
  <si>
    <t>Kowangan</t>
  </si>
  <si>
    <t>Cipayung</t>
  </si>
  <si>
    <t>Sidoarum</t>
  </si>
  <si>
    <t>Godean</t>
  </si>
  <si>
    <t>Sarirejo</t>
  </si>
  <si>
    <t>Manggong</t>
  </si>
  <si>
    <t>Jalan Tani Pringsewu Barat kec. Pringsewu Kab. Pringsewu Lampung</t>
  </si>
  <si>
    <t>Pringsewu Barat</t>
  </si>
  <si>
    <t>Perum Kowangan Utama blok A No. 7 RT 003/005 Kowangan Temanggung Jawa Tengah</t>
  </si>
  <si>
    <t>Sewu</t>
  </si>
  <si>
    <t>Kampung Lama</t>
  </si>
  <si>
    <t>Gondangrejo</t>
  </si>
  <si>
    <t>Sewon</t>
  </si>
  <si>
    <t>Blok Rambutan No.99 RT.01 RW.04 Cipayung Depok Jawa Barat</t>
  </si>
  <si>
    <t>Demangan</t>
  </si>
  <si>
    <t>Gondokusuman</t>
  </si>
  <si>
    <t>Kota Cilegon</t>
  </si>
  <si>
    <t>Pulomerak</t>
  </si>
  <si>
    <t>Kota Surakarta</t>
  </si>
  <si>
    <t>Mekarsari</t>
  </si>
  <si>
    <t>Jebres</t>
  </si>
  <si>
    <t>Bulurejo</t>
  </si>
  <si>
    <t>Gunungrejo RT 07 RW 07 Bulurejo, kecamatan Gondangrejo, Karanganyar Jawa Tengah 57188</t>
  </si>
  <si>
    <t>Panggungharjo</t>
  </si>
  <si>
    <t>Sukarame</t>
  </si>
  <si>
    <t>Bendo</t>
  </si>
  <si>
    <t>Mirit</t>
  </si>
  <si>
    <t>Balongbendo</t>
  </si>
  <si>
    <t>Wergonayan</t>
  </si>
  <si>
    <t>Bejiarum</t>
  </si>
  <si>
    <t>, JL. KH. Dewantara Rt.12  Kelurahan Karang balik, Tarakan, Tarakan Barat, Kalimantan Utara</t>
  </si>
  <si>
    <t>Karang Balik</t>
  </si>
  <si>
    <t>Tarakan Barat</t>
  </si>
  <si>
    <t>Kota Tegal</t>
  </si>
  <si>
    <t>Kotagede</t>
  </si>
  <si>
    <t>Wirokerten</t>
  </si>
  <si>
    <t>Warungboto</t>
  </si>
  <si>
    <t>Kaligondang</t>
  </si>
  <si>
    <t>Prenggan</t>
  </si>
  <si>
    <t>Tinalan 510 Prenggan Kotagede Kota Yogyakarta DIY</t>
  </si>
  <si>
    <t>Warungboto, Umbulharjo, Kota Yogyakarta DIY</t>
  </si>
  <si>
    <t>Desa Tanjung Rt.03 Rw.01 No.02, kec. Ngombol, Kab. Purworejo Jawa Tengah</t>
  </si>
  <si>
    <t>Trimulyo</t>
  </si>
  <si>
    <t>Ngombol</t>
  </si>
  <si>
    <t>Kenjeran</t>
  </si>
  <si>
    <t>Tanjung</t>
  </si>
  <si>
    <t>Kidul</t>
  </si>
  <si>
    <t>Sidotopo Wetan</t>
  </si>
  <si>
    <t>Penolih</t>
  </si>
  <si>
    <t>Slawi</t>
  </si>
  <si>
    <t>Murtigading</t>
  </si>
  <si>
    <t>Argomulyo</t>
  </si>
  <si>
    <t>Bangunjiwo</t>
  </si>
  <si>
    <t>Gumawang</t>
  </si>
  <si>
    <t>Saradan</t>
  </si>
  <si>
    <t>Tempe</t>
  </si>
  <si>
    <t>Sariharjo</t>
  </si>
  <si>
    <t>Purwomartani</t>
  </si>
  <si>
    <t>Nogotirto</t>
  </si>
  <si>
    <t>Madurejo</t>
  </si>
  <si>
    <t>Selomartani</t>
  </si>
  <si>
    <t>Cucukan</t>
  </si>
  <si>
    <t>Gunungkidul</t>
  </si>
  <si>
    <t>Sendangrejo</t>
  </si>
  <si>
    <t>Sumberadi</t>
  </si>
  <si>
    <t>Argosari</t>
  </si>
  <si>
    <t>Galur</t>
  </si>
  <si>
    <t>Colomadu</t>
  </si>
  <si>
    <t>Serua</t>
  </si>
  <si>
    <t>Secang</t>
  </si>
  <si>
    <t>Pandeyan</t>
  </si>
  <si>
    <t>Desa penusupan RT 2 RW 9 Kel. Penolih Kec. Kaligondang Purbalingga Jawa Tengah 53391</t>
  </si>
  <si>
    <t>Condongsari</t>
  </si>
  <si>
    <t>Banyuurip</t>
  </si>
  <si>
    <t>Pucung</t>
  </si>
  <si>
    <t>Dusun Kampung Desa Pucung Kecamatan Balongpanggang Gresik 61173 Jawa Timur</t>
  </si>
  <si>
    <t>Balongpanggung</t>
  </si>
  <si>
    <t>Jakarta Timur</t>
  </si>
  <si>
    <t>Slawi Wetan</t>
  </si>
  <si>
    <t>Pandak</t>
  </si>
  <si>
    <t>Kramatjati</t>
  </si>
  <si>
    <t>Wijirejo</t>
  </si>
  <si>
    <t>Batu Ampar</t>
  </si>
  <si>
    <t>Sanden</t>
  </si>
  <si>
    <t>Sedayu</t>
  </si>
  <si>
    <t>Jl.Batu Bulat II No.40B Rt.018 Rw.005 Kelurahan Batu Ampar, Kecamatan Kramatjati, Jakarta Timur DKI Jakarta</t>
  </si>
  <si>
    <t>Palebon</t>
  </si>
  <si>
    <t>Pedurungan</t>
  </si>
  <si>
    <t>Moga</t>
  </si>
  <si>
    <t>Prambanan</t>
  </si>
  <si>
    <t>Kebondalem Kidul</t>
  </si>
  <si>
    <t>Banyumudal</t>
  </si>
  <si>
    <t>Kota Balikpapan</t>
  </si>
  <si>
    <t>Sepinggan</t>
  </si>
  <si>
    <t>Balikpapam Selatan</t>
  </si>
  <si>
    <t>Wonorejo</t>
  </si>
  <si>
    <t>Selomerto</t>
  </si>
  <si>
    <t>Babadsari</t>
  </si>
  <si>
    <t>Kutowinangun</t>
  </si>
  <si>
    <t>Papringan</t>
  </si>
  <si>
    <t>Kayong Utara</t>
  </si>
  <si>
    <t>Sukadana</t>
  </si>
  <si>
    <t>Sutera</t>
  </si>
  <si>
    <t>Bawang</t>
  </si>
  <si>
    <t>Sukasari</t>
  </si>
  <si>
    <t>Mesuji Raya</t>
  </si>
  <si>
    <t>Banggai</t>
  </si>
  <si>
    <t>Jono</t>
  </si>
  <si>
    <t>Tanon</t>
  </si>
  <si>
    <t>Kajen</t>
  </si>
  <si>
    <t>Kalierang</t>
  </si>
  <si>
    <t>Kompo</t>
  </si>
  <si>
    <t>Jl. P. Masalembo, Kel. Kompo, Kec. Luwuk Selatan , Kab. Banggai Sulawesi Tengah</t>
  </si>
  <si>
    <t>Luwuk Selatan</t>
  </si>
  <si>
    <t>Lingk. Bandungan Wetan Rt.11 Rw.03 Kelurahan Kajen Kec. Kajen Kab. Pekalongan Jawa Tengah</t>
  </si>
  <si>
    <t>Famboaman</t>
  </si>
  <si>
    <t>Amptaurei</t>
  </si>
  <si>
    <t>Kep. Yapen</t>
  </si>
  <si>
    <t>Ngargosoko</t>
  </si>
  <si>
    <t>Kaliangkrik</t>
  </si>
  <si>
    <t>Puri candi bogang blok E4. Kalierang. Selomerto. Wonosobo Jawa Tengah</t>
  </si>
  <si>
    <t>Potorono</t>
  </si>
  <si>
    <t>Paguyangan</t>
  </si>
  <si>
    <t>Cilibur</t>
  </si>
  <si>
    <t>Mertoyudan</t>
  </si>
  <si>
    <t>Wonosari</t>
  </si>
  <si>
    <t>Ngaliyan</t>
  </si>
  <si>
    <t>Sukamara</t>
  </si>
  <si>
    <t>Jalan Bukit Beringin Barat No. B-47, RT10 RW14, Kel. Wonosari, Kec. Ngaliyan, Kota Semarang Jawa Tengah</t>
  </si>
  <si>
    <t>Weleri</t>
  </si>
  <si>
    <t>Sambongsari</t>
  </si>
  <si>
    <t>Ngijo</t>
  </si>
  <si>
    <t>Gunungpati</t>
  </si>
  <si>
    <t>Jl. Puntan Gg. Gusdur 1 no.7 RT 2/RW 1, kelurahan Ngijo, kecamatan Gunungpati, Kota Semarang Jawa Tengah</t>
  </si>
  <si>
    <t>Kuala Jelai</t>
  </si>
  <si>
    <t>Jelai</t>
  </si>
  <si>
    <t>Sumbersari</t>
  </si>
  <si>
    <t>Belik</t>
  </si>
  <si>
    <t>Wajo</t>
  </si>
  <si>
    <t>Campalagi</t>
  </si>
  <si>
    <t>Kuanyar</t>
  </si>
  <si>
    <t>Mayong</t>
  </si>
  <si>
    <t xml:space="preserve">Jl.H.Juanda Gg Saman rt 05/01 no.60 Gintung Cempaka Putih Ciputat Timur Kota Tangerang Selatan Banten </t>
  </si>
  <si>
    <t>Cempaka Putih</t>
  </si>
  <si>
    <t>Ciputat Timur</t>
  </si>
  <si>
    <t>Kota Tangerang Selatan</t>
  </si>
  <si>
    <t>Indro</t>
  </si>
  <si>
    <t>Jakarta Selatan</t>
  </si>
  <si>
    <t>Cilebut Barat</t>
  </si>
  <si>
    <t>Sukaraja</t>
  </si>
  <si>
    <t>Kota Bogor</t>
  </si>
  <si>
    <t>Pejaten Timur</t>
  </si>
  <si>
    <t>Pasar Minggu</t>
  </si>
  <si>
    <t>Ngaglik</t>
  </si>
  <si>
    <t>Bejen</t>
  </si>
  <si>
    <t>Sorosutan</t>
  </si>
  <si>
    <t>Jogoroto</t>
  </si>
  <si>
    <t>Luwok</t>
  </si>
  <si>
    <t>Bringin</t>
  </si>
  <si>
    <t>Tirtoadi</t>
  </si>
  <si>
    <t>Mlati</t>
  </si>
  <si>
    <t>Paringin</t>
  </si>
  <si>
    <t>Jetis RT 4 RW 32, Tirtoadi, Mlati, Sleman DIY</t>
  </si>
  <si>
    <t>3471070404050098</t>
  </si>
  <si>
    <t>Arif Hartono</t>
  </si>
  <si>
    <t>3323182805120001</t>
  </si>
  <si>
    <t>3471130107100007</t>
  </si>
  <si>
    <t>6311061406100006</t>
  </si>
  <si>
    <t>3374152410130010</t>
  </si>
  <si>
    <t>3402012808230003</t>
  </si>
  <si>
    <t>3402022706110002</t>
  </si>
  <si>
    <t>3404032701220003</t>
  </si>
  <si>
    <t>1671031802150001</t>
  </si>
  <si>
    <t>3404101201160007</t>
  </si>
  <si>
    <t>3404092901130002</t>
  </si>
  <si>
    <t>Jl. Bunyu No 716 RT 34 Karang Jati Balikpapan Tengah Kota Balikpapan Kalimantan Timur</t>
  </si>
  <si>
    <t>3402012808130003</t>
  </si>
  <si>
    <t>3402123012140003</t>
  </si>
  <si>
    <t>31750230111212027</t>
  </si>
  <si>
    <t>3372051105100047</t>
  </si>
  <si>
    <t>3404072908120018</t>
  </si>
  <si>
    <t>3310080903170006</t>
  </si>
  <si>
    <t>3404151012100002</t>
  </si>
  <si>
    <t>3310030902150002</t>
  </si>
  <si>
    <t>Muhammad Adib Keenan Wahyudianto</t>
  </si>
  <si>
    <t>3525142505150004</t>
  </si>
  <si>
    <t>3403021601150003</t>
  </si>
  <si>
    <t>3215011806090032</t>
  </si>
  <si>
    <t>3404012212160007</t>
  </si>
  <si>
    <t>3325111902240023</t>
  </si>
  <si>
    <t>Ade Barkah</t>
  </si>
  <si>
    <t>3674033001140010</t>
  </si>
  <si>
    <t>3471100309130001</t>
  </si>
  <si>
    <t>3323081806140001</t>
  </si>
  <si>
    <t>3404042110130001</t>
  </si>
  <si>
    <t>3402082812060009</t>
  </si>
  <si>
    <t>3306071103110002</t>
  </si>
  <si>
    <t>3404022704090001</t>
  </si>
  <si>
    <t>3404060209130009</t>
  </si>
  <si>
    <t>3402061807120002</t>
  </si>
  <si>
    <t>3322150404130001</t>
  </si>
  <si>
    <t>3374101212054148</t>
  </si>
  <si>
    <t>3310160110130002</t>
  </si>
  <si>
    <t>Budi Hartono</t>
  </si>
  <si>
    <t>3310161107130001</t>
  </si>
  <si>
    <t>3471070410130001</t>
  </si>
  <si>
    <t>3471072211100007</t>
  </si>
  <si>
    <t>Triagus Setiawan</t>
  </si>
  <si>
    <t>3402152904260002</t>
  </si>
  <si>
    <t>3216083003120009</t>
  </si>
  <si>
    <t>3578282207110003</t>
  </si>
  <si>
    <t>Mochamad Taufik Nur Sapto Wardono</t>
  </si>
  <si>
    <t>3471090105090117</t>
  </si>
  <si>
    <t>3374121809130001</t>
  </si>
  <si>
    <t>Jl. Biring Romang IV Blok I No. 38 RT 002 RW 001 Manggala Manggala Kota Makassar Sulawesi Selatan 90234</t>
  </si>
  <si>
    <t>7371120512011133</t>
  </si>
  <si>
    <t>3214010701130001</t>
  </si>
  <si>
    <t>340130411210002</t>
  </si>
  <si>
    <t>3175101301098464</t>
  </si>
  <si>
    <t>3404041602080034</t>
  </si>
  <si>
    <t>3402170110140004</t>
  </si>
  <si>
    <t>6371030304130013</t>
  </si>
  <si>
    <t>3304030706130001</t>
  </si>
  <si>
    <t>3402122502140002</t>
  </si>
  <si>
    <t>Sukur</t>
  </si>
  <si>
    <t>3307092303090003</t>
  </si>
  <si>
    <t>330709081110001</t>
  </si>
  <si>
    <t>3307092009110001</t>
  </si>
  <si>
    <t>Mohammad Taufani Sofa Raharja</t>
  </si>
  <si>
    <t>3324082807090002</t>
  </si>
  <si>
    <t>3402170107220004</t>
  </si>
  <si>
    <t>Perum Sebening Embun RT 003 RW 0002 Tegalurung Bulu Temanggung Jawa Tengah</t>
  </si>
  <si>
    <t>3323011206240001</t>
  </si>
  <si>
    <t>1102042110090001</t>
  </si>
  <si>
    <t>3404043103150001</t>
  </si>
  <si>
    <t>3323030112100001</t>
  </si>
  <si>
    <t>3175022101190008</t>
  </si>
  <si>
    <t>3404071505130012</t>
  </si>
  <si>
    <t>3471142703140004</t>
  </si>
  <si>
    <t>3404071702120012</t>
  </si>
  <si>
    <t>3307023112150005</t>
  </si>
  <si>
    <t>3402010911040010</t>
  </si>
  <si>
    <t>3404081306240004</t>
  </si>
  <si>
    <t>6203010809220003</t>
  </si>
  <si>
    <t>3301221208110002</t>
  </si>
  <si>
    <t>3404121109130010</t>
  </si>
  <si>
    <t>3173050501091827</t>
  </si>
  <si>
    <t>6207010910080001</t>
  </si>
  <si>
    <t>3374150205130007</t>
  </si>
  <si>
    <t>3329053012130003</t>
  </si>
  <si>
    <t>3275101310170012</t>
  </si>
  <si>
    <t>Niten DK X RT 006 Tirtonirmolo Kasihan Bantul DIY</t>
  </si>
  <si>
    <t>3402161604140009</t>
  </si>
  <si>
    <t>3671051706130056</t>
  </si>
  <si>
    <t>5206021012130003</t>
  </si>
  <si>
    <t>3217021510150011</t>
  </si>
  <si>
    <t>Garung rt 14 rw 05 butuh kalikajar Wonosobo Jawa Tengah</t>
  </si>
  <si>
    <t>3307070605090003</t>
  </si>
  <si>
    <t>3308081103100020</t>
  </si>
  <si>
    <t>3304061308110005</t>
  </si>
  <si>
    <t>Arif Sugianto</t>
  </si>
  <si>
    <t>3577031501200002</t>
  </si>
  <si>
    <t>Banyumudal, RT02 RW 07, Moga, Pemalang Jawa Tengah</t>
  </si>
  <si>
    <t>3327012706140003</t>
  </si>
  <si>
    <t>3174080610141003</t>
  </si>
  <si>
    <t>6309061905110007</t>
  </si>
  <si>
    <t>3471061603090055</t>
  </si>
  <si>
    <t>3308202805140009</t>
  </si>
  <si>
    <t>1271031903180003</t>
  </si>
  <si>
    <t>3374110206140012</t>
  </si>
  <si>
    <t>3402082005150003</t>
  </si>
  <si>
    <t>3323021912050292</t>
  </si>
  <si>
    <t>Jl. Kalimantan X/ 20 RT 002 RW 028 Sumbersari Sumbersari Jember Jawa Timur</t>
  </si>
  <si>
    <t>3509210901190008</t>
  </si>
  <si>
    <t>3507231508060002</t>
  </si>
  <si>
    <t>3578020812170001</t>
  </si>
  <si>
    <t>3402050701130001</t>
  </si>
  <si>
    <t>SD Unggulan Aisyiyah Bantul</t>
  </si>
  <si>
    <t>Jln. Wakhid Hasyim no.60 Bantul Yogyakarta</t>
  </si>
  <si>
    <t>Kuat Robby Nugroho</t>
  </si>
  <si>
    <t>Hepi Susanti</t>
  </si>
  <si>
    <t>3301221708130001</t>
  </si>
  <si>
    <t>JL MASJID NO. 04 SIDANEGARA, CILACAP</t>
  </si>
  <si>
    <t>6372052912130002</t>
  </si>
  <si>
    <t>Jl.Perambaian III Gg.Nangka 1 No.29A - Sungai Ulin - Kota Banjarbaru- Kalimantan Selatan</t>
  </si>
  <si>
    <t>SD Muhammadiyah Hj.Nuriyah</t>
  </si>
  <si>
    <t>Komplek masjid Hj.Nuriyah Jl.A.Yani Km 32 Loktabat Utara- Kota Banjarbaru Kalimantan Selatan</t>
  </si>
  <si>
    <t>Heryuntari Dian Cahyani</t>
  </si>
  <si>
    <t>Penajam Paser Utara</t>
  </si>
  <si>
    <t>6409011409130005</t>
  </si>
  <si>
    <t>SDIT Nurul Hikmah</t>
  </si>
  <si>
    <t>Jl H. Tatta Km.07 Kel. Nipah-nipah Kec. Penajam Kab. Penajam Paser Utara</t>
  </si>
  <si>
    <t>3372052810130007</t>
  </si>
  <si>
    <t>jl. Pakel Baru, Sorosutan, Umbulharjo</t>
  </si>
  <si>
    <t>Ragil Saryoso</t>
  </si>
  <si>
    <t>Diane Angreni Puspitasari</t>
  </si>
  <si>
    <t>Sendawar</t>
  </si>
  <si>
    <t>6407201903140001</t>
  </si>
  <si>
    <t>Kampung Melak Kecamatan Melak Kabupaten Kutai Barat</t>
  </si>
  <si>
    <t>3328150802140004</t>
  </si>
  <si>
    <t>Jl. Bimokurdo no.33, kec. Gondokusuman, Yogyakarta, DIY</t>
  </si>
  <si>
    <t>Umar Syarif</t>
  </si>
  <si>
    <t>Rini astuti</t>
  </si>
  <si>
    <t>6371022206140001</t>
  </si>
  <si>
    <t>kota magelang</t>
  </si>
  <si>
    <t>3371022405130002</t>
  </si>
  <si>
    <t>Jalan Bumi Mas Raya Komp Handayani Banjarmasin Kalimantan Selatan</t>
  </si>
  <si>
    <t>Chairan Asyhadi</t>
  </si>
  <si>
    <t>Shofia Hayati (Alm)</t>
  </si>
  <si>
    <t>Jl. Duku 5 no 9 Perum Korpri RT002/RW010 Kramat Selatan, Magelang Utara, Kota Magelang, Jawa Tengah 56115</t>
  </si>
  <si>
    <t>SDIT Tahfidzul Quran Ihsanul Fikri 2 Kota Magelang</t>
  </si>
  <si>
    <t>Jurangombo Sel., Kec. Magelang Sel., Kota Magelang, Jawa Tengah 56123</t>
  </si>
  <si>
    <t>Bowo Ristiyono</t>
  </si>
  <si>
    <t>Siti Nur Arbiyah</t>
  </si>
  <si>
    <t>Usman Arif Murtopo</t>
  </si>
  <si>
    <t>Rina Fauziah</t>
  </si>
  <si>
    <t>3404010906130003</t>
  </si>
  <si>
    <t>Jalan Gatutkaca 19A Wirobrajan Yogyakarta</t>
  </si>
  <si>
    <t>Agus Amin Syaifuddin</t>
  </si>
  <si>
    <t>Nur Azizah Uswatun Hasanah</t>
  </si>
  <si>
    <t>3672012204140001</t>
  </si>
  <si>
    <t>JL. Cendana Timur, Kelurahan Padoang-Doangan, Kecamatan Pangkajene, Pangkep Kabupaten Pangkajene Dan Kepulauan Provinsi Sulawesi Selatan</t>
  </si>
  <si>
    <t>3524150409130001</t>
  </si>
  <si>
    <t>Desa Solokuro RT 001/RW 001, kecamatan Solokuro, kabupaten Lamongan, provinsi Jawa Timur</t>
  </si>
  <si>
    <t>MI Muhammadiyah 02 Solokuro</t>
  </si>
  <si>
    <t>Jl.HM.Shodiq No 7 Solokuro Lamongan Jawa Timur 62265</t>
  </si>
  <si>
    <t>Munadlifah</t>
  </si>
  <si>
    <t>3173070808131003</t>
  </si>
  <si>
    <t>Talaga Bestari Cluster The Hills blok BH 10. Kabupaten Tangerang</t>
  </si>
  <si>
    <t>Al Azhar Syifa Budi Talaga Bestari</t>
  </si>
  <si>
    <t>Jl. Jungle Boulevard no. 1 Perum Talaga Bestari, Desa Cibadak, Kec. Cikupa, Kab. Tangerang, Banten</t>
  </si>
  <si>
    <t>Handarbeni Setio Wicaksono</t>
  </si>
  <si>
    <t>Nurdiyah Ratnani</t>
  </si>
  <si>
    <t>3471020403140001</t>
  </si>
  <si>
    <t>Jl. Pasukan Ronggolawe, Sirandu, Pagerkukuh, Kec. Wonosobo, Kabupaten Wonosobo, Jawa Tengah 56311</t>
  </si>
  <si>
    <t>3205060509130002</t>
  </si>
  <si>
    <t>Kp Pungkur RT 02 Rw 01 Pamekarsari Banyuresmi Garut Jawa Barat</t>
  </si>
  <si>
    <t>SDN 2 Pamekarsari</t>
  </si>
  <si>
    <t>Kp Pungkur Desa Pamekarsari Kecamatan Banyuresmi Kabupaten Garut Jawa Barat</t>
  </si>
  <si>
    <t>Maman Sulaeman</t>
  </si>
  <si>
    <t>3402051401130001</t>
  </si>
  <si>
    <t>3301221307170008</t>
  </si>
  <si>
    <t>6372052703140006</t>
  </si>
  <si>
    <t>6409012208130012</t>
  </si>
  <si>
    <t>3471081809230003</t>
  </si>
  <si>
    <t>6407201706080012</t>
  </si>
  <si>
    <t>3471030212150003</t>
  </si>
  <si>
    <t>6371021201080019</t>
  </si>
  <si>
    <t>3371023110087787</t>
  </si>
  <si>
    <t>3308080702140001</t>
  </si>
  <si>
    <t>Carikan RT 001 RW 002 Gondosuli Muntilan Magelang Jawa Tengah 56451</t>
  </si>
  <si>
    <t>3308081403120005</t>
  </si>
  <si>
    <t>3404013006110005</t>
  </si>
  <si>
    <t>3672010209130002</t>
  </si>
  <si>
    <t>Ali Makhfudi, S.Ag., SH</t>
  </si>
  <si>
    <t>3524152508108286</t>
  </si>
  <si>
    <t>3173072712111033</t>
  </si>
  <si>
    <t>3471021307110001</t>
  </si>
  <si>
    <t>Rizqi Suryanata</t>
  </si>
  <si>
    <t>3273140506130001</t>
  </si>
  <si>
    <t>Jl. Neglasari RT 004 RW 004 Sukapada Cibeunying Kidul Kota Bandung Jawa Barat 40125</t>
  </si>
  <si>
    <t>Faliq Mubarok</t>
  </si>
  <si>
    <t>Hilda Rosdiana</t>
  </si>
  <si>
    <t>3273142802200001</t>
  </si>
  <si>
    <t>Metro</t>
  </si>
  <si>
    <t>1804071610130003</t>
  </si>
  <si>
    <t>Jl. Sisingamangaraja No. 72 Yogyakarta RT 043 RW 011 Brontokusuman Mergangsan Kota Yogyakarta DIY</t>
  </si>
  <si>
    <t>3471090212200001</t>
  </si>
  <si>
    <t>3205061711070735</t>
  </si>
  <si>
    <t>Gadingan</t>
  </si>
  <si>
    <t>Sumberagung</t>
  </si>
  <si>
    <t>Ketalo RT 1 Gadingsari Sanden Bantul DIY</t>
  </si>
  <si>
    <t>Kaliduren 1 RT 02/RW 17, Sumberagung, Moyudan Sleman DIY</t>
  </si>
  <si>
    <t>Moyudan</t>
  </si>
  <si>
    <t>Gamping</t>
  </si>
  <si>
    <t>Kalasan</t>
  </si>
  <si>
    <t>Condongcatur</t>
  </si>
  <si>
    <t>Sentosa</t>
  </si>
  <si>
    <t>Lorong Pribadi No. 439 RT 010 RW 003 Sentosa Seberang Ulu Dua Kota Palembang Sumatera Selatan 30265</t>
  </si>
  <si>
    <t>Seberang Ulu Dua</t>
  </si>
  <si>
    <t>Karang Jati</t>
  </si>
  <si>
    <t>Balikpapan Tengah</t>
  </si>
  <si>
    <t>Wonokerto</t>
  </si>
  <si>
    <t>Turi</t>
  </si>
  <si>
    <t>Sukorejo</t>
  </si>
  <si>
    <t>Perumahan Legenda Wisata, Cluster Lumihous, Blok V6-10, Gunung Putri, Bogor Jawa Barat</t>
  </si>
  <si>
    <t>Gunung Putri</t>
  </si>
  <si>
    <t>Nagrak</t>
  </si>
  <si>
    <t>Banjarsari</t>
  </si>
  <si>
    <t>Jogonalan</t>
  </si>
  <si>
    <t>Cucukan RT 003 RW 006 Wonoboyo Jogonalan Klaten Jawa Tengah</t>
  </si>
  <si>
    <t>Wedi</t>
  </si>
  <si>
    <t>Pacalan Rt 03 Rw 05 Sukorejo Wedi Klaten Jawa Tengah</t>
  </si>
  <si>
    <t>Jl.Permata Utara no 24 Graha Bunder Asri RT 001 RW 005 Kembangan Kebomas Gresik Jawa Timur</t>
  </si>
  <si>
    <t>Kembangan</t>
  </si>
  <si>
    <t>Nglipar</t>
  </si>
  <si>
    <t>Parakancanggah</t>
  </si>
  <si>
    <t>Karawang Barat</t>
  </si>
  <si>
    <t>Karangpawitan</t>
  </si>
  <si>
    <t>Banyuraden</t>
  </si>
  <si>
    <t>Pungkursari</t>
  </si>
  <si>
    <t>Wanakerta</t>
  </si>
  <si>
    <t>Sindang Jaya</t>
  </si>
  <si>
    <t>Ngupasan</t>
  </si>
  <si>
    <t>Gondomanan</t>
  </si>
  <si>
    <t>Jl. Kauman no.44 Rt.45 / Rw.12 Ngupasan Gondomanan Kota Yogyakarta DIY</t>
  </si>
  <si>
    <t>Campursalam Rt02 Rw01 Parakan, Kabupaten Temanggung Jawa Tengah</t>
  </si>
  <si>
    <t>Borokulon</t>
  </si>
  <si>
    <t>Campursalam</t>
  </si>
  <si>
    <t>Ringinharjo</t>
  </si>
  <si>
    <t>Perum Pepabri no.25 Borokulon Banyuurip Purworejo Jawa Tengah</t>
  </si>
  <si>
    <t>Tembalang</t>
  </si>
  <si>
    <t>Sidomulyo</t>
  </si>
  <si>
    <t>Kedungwuni</t>
  </si>
  <si>
    <t>Delanggu</t>
  </si>
  <si>
    <t>Caturharjo</t>
  </si>
  <si>
    <t>Jl. Bukit Teratai I no 35A Perumnas Sendang Mulyo, Tembalang, Semarang Jawa Tengah</t>
  </si>
  <si>
    <t>Sendang Mulyo</t>
  </si>
  <si>
    <t>Geneng,Sidomulyo,Delanggu Klaten Jawa Tengah</t>
  </si>
  <si>
    <t>Perum Metland Cibitung Blok AF 1 No 1 RT 002 RW 022 Telagamurni Cikarang Barat Bekasi Jawa Barat</t>
  </si>
  <si>
    <t>Telagamurni</t>
  </si>
  <si>
    <t>Cikarang Barat</t>
  </si>
  <si>
    <t>Jl. Genting 3 no. 15 RT 002 RW 003 Genting Kalianak Asemrowo Kota Surabaya Jawa Timur</t>
  </si>
  <si>
    <t>Genting Kalianak</t>
  </si>
  <si>
    <t>Asemrowo</t>
  </si>
  <si>
    <t>Manggala</t>
  </si>
  <si>
    <t>Kota Makassar</t>
  </si>
  <si>
    <t>Perum Green Village 25 RT 08 RW 03 Ngijo Gunungpati Kota Semarang Jawa Tengah 50228</t>
  </si>
  <si>
    <t>Perumahan graha mitra berseri Blok D3 wonorejo gondangrejo karanganyar Jawa Tengah</t>
  </si>
  <si>
    <t>Katanganyar</t>
  </si>
  <si>
    <t>Sindang Kasih</t>
  </si>
  <si>
    <t>Bojong</t>
  </si>
  <si>
    <t>Panjatan</t>
  </si>
  <si>
    <t>Pelambuan</t>
  </si>
  <si>
    <t>Pondok Permai Tamantirta 2, Cluster 1 blok C37, Bangunjiwo, Kasihan, Bantul DIY</t>
  </si>
  <si>
    <t>Argorejo</t>
  </si>
  <si>
    <t>Mandiraja</t>
  </si>
  <si>
    <t>Banjarmasin Barat</t>
  </si>
  <si>
    <t>Kota Banjarmasin</t>
  </si>
  <si>
    <t>Panggisari Rt 05 Rw 01 kec. Mandiraja Kab. Banjarnegara Jawa Tengah</t>
  </si>
  <si>
    <t>Panggisari</t>
  </si>
  <si>
    <t>Krasak</t>
  </si>
  <si>
    <t>Tegalurung</t>
  </si>
  <si>
    <t>Wonolelo</t>
  </si>
  <si>
    <t>Sribit Rt 3 Rw 3 Desa Wonolelo Kec Wonosobo Kab Wonosobo Jawa Tengah</t>
  </si>
  <si>
    <t>Krasak mojotengah Wonosobo Jawa Tengah</t>
  </si>
  <si>
    <t>Bulu</t>
  </si>
  <si>
    <t>Kapulogo</t>
  </si>
  <si>
    <t>lingk 1 strak pisang jl.a.yani no 14 Kota kutacane Babussalam Aceh Tenggara Aceh</t>
  </si>
  <si>
    <t>Kota Kutacane</t>
  </si>
  <si>
    <t>Babussalam</t>
  </si>
  <si>
    <t>Aceh Tenggara</t>
  </si>
  <si>
    <t>Griya Pinus Lestari Blok G.3 Loktabat utara, Banjarbaru Utara, Kota Banjarbaru kalimantan Selatan</t>
  </si>
  <si>
    <t>Loktabat Utara</t>
  </si>
  <si>
    <t>Banjarbaru Utara</t>
  </si>
  <si>
    <t>Kota Banjarbaru</t>
  </si>
  <si>
    <t>Kepil</t>
  </si>
  <si>
    <t>Kembaran</t>
  </si>
  <si>
    <t>Pandowan</t>
  </si>
  <si>
    <t>Berbah</t>
  </si>
  <si>
    <t>Sendangtirto</t>
  </si>
  <si>
    <t>Maredan RT 004 RW 040 , Sendangtirto Berbah Sleman DIY</t>
  </si>
  <si>
    <t>Selat Tengah</t>
  </si>
  <si>
    <t>Selat</t>
  </si>
  <si>
    <t>Kapuas</t>
  </si>
  <si>
    <t>Cilacap Tengah</t>
  </si>
  <si>
    <t>Sidanegara</t>
  </si>
  <si>
    <t>Kedungjeruk</t>
  </si>
  <si>
    <t>Mojogedang</t>
  </si>
  <si>
    <t>Gedongan</t>
  </si>
  <si>
    <t>Mlandang Rt 03/06, Kedungjeruk, Mojogedang, Karanganyar Jawa Tengah</t>
  </si>
  <si>
    <t>Jln. Dr. Adam Malik Kel. Kuala Pembuang II Kec. Seruyan Hilir Kab. Seruyan Kalimantan Tengah</t>
  </si>
  <si>
    <t>Seruyan</t>
  </si>
  <si>
    <t>Seruyan Hilir</t>
  </si>
  <si>
    <t>Kuala Pembuang II</t>
  </si>
  <si>
    <t>Srondol Wetan</t>
  </si>
  <si>
    <t>Wanareja</t>
  </si>
  <si>
    <t>Sirampog</t>
  </si>
  <si>
    <t>Parongpong</t>
  </si>
  <si>
    <t>Cileungsi Kidul</t>
  </si>
  <si>
    <t>Cileungsi</t>
  </si>
  <si>
    <t>Tirtonirmolo</t>
  </si>
  <si>
    <t>Mojosongo</t>
  </si>
  <si>
    <t>Bandung Barat</t>
  </si>
  <si>
    <t>Cihideung</t>
  </si>
  <si>
    <t>Muntilan</t>
  </si>
  <si>
    <t>Sokanandi</t>
  </si>
  <si>
    <t>Green Serua Residence Blok F2 Serua Ciputat Kota Tangerang Selatan Banten</t>
  </si>
  <si>
    <t>Ciputat</t>
  </si>
  <si>
    <t>Gunungpring</t>
  </si>
  <si>
    <t>Madyocondro</t>
  </si>
  <si>
    <t>Butuh</t>
  </si>
  <si>
    <t>Kalikajar</t>
  </si>
  <si>
    <t>Perum Limbangan Baru Jl Sedap Malam No 1 Sokanandi Banjarnegara Jawa Tengah</t>
  </si>
  <si>
    <t>Perum Omah Banjar A3 Banjarejo Kecamatan Taman Kota Madiun Jawa Timur</t>
  </si>
  <si>
    <t>Taman Kuto</t>
  </si>
  <si>
    <t>Jl. Jafar 99F RT9 RW2 Balekambang Kramat Jati Jakarta Timur DKI Jakarta</t>
  </si>
  <si>
    <t>Balekambang</t>
  </si>
  <si>
    <t>Kramat Jati</t>
  </si>
  <si>
    <t>Murung Pudak</t>
  </si>
  <si>
    <t>Kota Jakarta Timur</t>
  </si>
  <si>
    <t>Pembataan</t>
  </si>
  <si>
    <t>Pancuranmas</t>
  </si>
  <si>
    <t>Padangsari</t>
  </si>
  <si>
    <t>Komplek Buaran Baru Jl. Kobra II No F2 Duren Sawit Jakarta Timur DKI Jakarta</t>
  </si>
  <si>
    <t>Duren Sawit</t>
  </si>
  <si>
    <t>Penajam</t>
  </si>
  <si>
    <t>Bambanglipuro</t>
  </si>
  <si>
    <t>Baciro</t>
  </si>
  <si>
    <t>Karangploso</t>
  </si>
  <si>
    <t>Girimoyo</t>
  </si>
  <si>
    <t>Kramat Selatan</t>
  </si>
  <si>
    <t>Magelang Utara</t>
  </si>
  <si>
    <t>Kutai Barat</t>
  </si>
  <si>
    <t>Sungai Ulin</t>
  </si>
  <si>
    <t>Jalan propinsi RT 10 Kel. Petung Kec. Penajam Kab. Penajam Paser Utara Kalimantan Timur</t>
  </si>
  <si>
    <t>Jl.imogiri barat, perumahan Green Jalimbar no C11 Bibis Timbulharjo Sewon Bantul DIY</t>
  </si>
  <si>
    <t>Timbulharjo</t>
  </si>
  <si>
    <t>Sekolaq Oday</t>
  </si>
  <si>
    <t>Sekolaq Darat</t>
  </si>
  <si>
    <t>Jl. Melati wetan no. 26, Baciro, Gondokusuman Kota Yogyakarta DIY</t>
  </si>
  <si>
    <t>Gondosuli</t>
  </si>
  <si>
    <t>Balecatur</t>
  </si>
  <si>
    <t>Sungai Lulut</t>
  </si>
  <si>
    <t>Banjarmasin Timur</t>
  </si>
  <si>
    <t>Cibeunying Kidul</t>
  </si>
  <si>
    <t>Pangkajene</t>
  </si>
  <si>
    <t>Padoang Doangan</t>
  </si>
  <si>
    <t>Pangkajene dan Kepulauan (Pangkep)</t>
  </si>
  <si>
    <t>Solokuro</t>
  </si>
  <si>
    <t>Sindang Jaya/Cikujpa</t>
  </si>
  <si>
    <t>Mangunrejo</t>
  </si>
  <si>
    <t>Mangunan, mangunrejo, Kalikajar wonosobo Jawa Tengah</t>
  </si>
  <si>
    <t>Kota Bandung</t>
  </si>
  <si>
    <t>Sukapada</t>
  </si>
  <si>
    <t>Mergangsan</t>
  </si>
  <si>
    <t>Brontokusuman</t>
  </si>
  <si>
    <t>Banyuresmi</t>
  </si>
  <si>
    <t>Pamekarsari</t>
  </si>
  <si>
    <t>Dusun 1 Madiun RT/RW: 002/001.Rengas Bekri Lampung Tengah Lampung</t>
  </si>
  <si>
    <t>Jl. Padang Kartika I No. 20 DPS, BR/Link. Teges Padangsambian Kelod Denpasar Barat Kota Denpasar Bali</t>
  </si>
  <si>
    <t>Kp. Pari Utara RT 004 RW 007 Pari Mandalawangi Pandeglang Jawa Barat</t>
  </si>
  <si>
    <t>Dk Lumbungan RT 001 RW 001 Desa Bibis 01 /01 Sukomoro Magetan Jawa Timur</t>
  </si>
  <si>
    <t>Dk. Kelinggihan Perum GPI Tanjungsari Blok E2 No 1 Banjarejo Karanganyar Pekalongan Jawa Tengah</t>
  </si>
  <si>
    <t>Dukuh Prigen, RT/RW: 04/07, Kaligentong, Gladagsari, Boyolali, Jawa Tengah</t>
  </si>
  <si>
    <t>Jl.Mayor Zen lr.Abadi no 28a RT.03/RW.02  Sungaiselincah Kalidoni Kota Palembang Sumatera Selatan</t>
  </si>
  <si>
    <t>Jl. Siroto Residence No.11 RT/RW 08/07 Pudak Payung, Banyumanik, Kota Semarang Jawa Tengah</t>
  </si>
  <si>
    <t>Trunuh Jurugan 001/003 Klaten Selatan, Klaten Jawa Tengah</t>
  </si>
  <si>
    <t>JL. Kaliudan No. 104 SBY RT 004 RW 002 Kalijudan Mulyorejo Kota Surabaya Jawa Timur 60114</t>
  </si>
  <si>
    <t>Ngijon, RT. 01. /RW. 15, Sendangarun, Minggir, Sleman, DIY</t>
  </si>
  <si>
    <t>Perum SBI, Blok M/228, RT 10, Ngestiharjo, Kasihan, Bantul, DIY</t>
  </si>
  <si>
    <t>Kemutug Rt01, Tamanan, Banguntapan,Bantul DIY</t>
  </si>
  <si>
    <t>JL. Margo Arum No 6A, Krapyak, Sidoarum. Godean, Sleman, DIY</t>
  </si>
  <si>
    <t>Perum Graha Raya 2 No 570 Rt 007/011, Sarirejo, Kaliwungu, Kendal, Jawa Tengah</t>
  </si>
  <si>
    <t>Link. Sukamaju RT 001 RW 006 Mekasrsari Pulomerak Kota Cilegon Bamten</t>
  </si>
  <si>
    <t>3523091603130001</t>
  </si>
  <si>
    <t>0141962152</t>
  </si>
  <si>
    <t>0138659690</t>
  </si>
  <si>
    <t>0137676177</t>
  </si>
  <si>
    <t>0144148854</t>
  </si>
  <si>
    <t>0142430159</t>
  </si>
  <si>
    <t>0134521478</t>
  </si>
  <si>
    <t>0134004761</t>
  </si>
  <si>
    <t>0137232042</t>
  </si>
  <si>
    <t>0139069142</t>
  </si>
  <si>
    <t>0139187067</t>
  </si>
  <si>
    <t>0137725694</t>
  </si>
  <si>
    <t>0123456789</t>
  </si>
  <si>
    <t>0144447319</t>
  </si>
  <si>
    <t>0139050887</t>
  </si>
  <si>
    <t>0143617273</t>
  </si>
  <si>
    <t>0132358490</t>
  </si>
  <si>
    <t>0144213525</t>
  </si>
  <si>
    <t>0147465826</t>
  </si>
  <si>
    <t>0135724276</t>
  </si>
  <si>
    <t>0145818658</t>
  </si>
  <si>
    <t>0136071579</t>
  </si>
  <si>
    <t>0139327713</t>
  </si>
  <si>
    <t>0146837414</t>
  </si>
  <si>
    <t>0133991847</t>
  </si>
  <si>
    <t>0138441363</t>
  </si>
  <si>
    <t>0133560377</t>
  </si>
  <si>
    <t>0135118007</t>
  </si>
  <si>
    <t>0148293199</t>
  </si>
  <si>
    <t>0141529403</t>
  </si>
  <si>
    <t>0145534375</t>
  </si>
  <si>
    <t>0131096085</t>
  </si>
  <si>
    <t>0138664148</t>
  </si>
  <si>
    <t>0132988146</t>
  </si>
  <si>
    <t>0131427276</t>
  </si>
  <si>
    <t>0133460461</t>
  </si>
  <si>
    <t>0138375740</t>
  </si>
  <si>
    <t>0143449422</t>
  </si>
  <si>
    <t>0148544577</t>
  </si>
  <si>
    <t>0145138271</t>
  </si>
  <si>
    <t>0149673486</t>
  </si>
  <si>
    <t>0138615660</t>
  </si>
  <si>
    <t>0144272200</t>
  </si>
  <si>
    <t>0139767742</t>
  </si>
  <si>
    <t>0145570812</t>
  </si>
  <si>
    <t>0132361160</t>
  </si>
  <si>
    <t>0132487752</t>
  </si>
  <si>
    <t>0134002093</t>
  </si>
  <si>
    <t>0138436582</t>
  </si>
  <si>
    <t>0133579034</t>
  </si>
  <si>
    <t>0145272080</t>
  </si>
  <si>
    <t>0137554038</t>
  </si>
  <si>
    <t>0133710880</t>
  </si>
  <si>
    <t>0133068278</t>
  </si>
  <si>
    <t>0141719637</t>
  </si>
  <si>
    <t>0144333421</t>
  </si>
  <si>
    <t>0135174627</t>
  </si>
  <si>
    <t>0131468905</t>
  </si>
  <si>
    <t>0138865646</t>
  </si>
  <si>
    <t>0134333794</t>
  </si>
  <si>
    <t>0129631772</t>
  </si>
  <si>
    <t>0133082547</t>
  </si>
  <si>
    <t>0141028916</t>
  </si>
  <si>
    <t>0142020609</t>
  </si>
  <si>
    <t>0132556509</t>
  </si>
  <si>
    <t>0138346222</t>
  </si>
  <si>
    <t>0143211215</t>
  </si>
  <si>
    <t>0135310873</t>
  </si>
  <si>
    <t>0138313709</t>
  </si>
  <si>
    <t>0133893858</t>
  </si>
  <si>
    <t>0146052377</t>
  </si>
  <si>
    <t>0141918615</t>
  </si>
  <si>
    <t>0132626534</t>
  </si>
  <si>
    <t>0138273662</t>
  </si>
  <si>
    <t>0139369736</t>
  </si>
  <si>
    <t>0132374625</t>
  </si>
  <si>
    <t>0131342010</t>
  </si>
  <si>
    <t>0141639352</t>
  </si>
  <si>
    <t>0124769254</t>
  </si>
  <si>
    <t>0132631942</t>
  </si>
  <si>
    <t>0133386408</t>
  </si>
  <si>
    <t>0135542274</t>
  </si>
  <si>
    <t>0135518734</t>
  </si>
  <si>
    <t>0146112012</t>
  </si>
  <si>
    <t>0144939076</t>
  </si>
  <si>
    <t>0143468907</t>
  </si>
  <si>
    <t>0145236574</t>
  </si>
  <si>
    <t>0144325053</t>
  </si>
  <si>
    <t>0147990334</t>
  </si>
  <si>
    <t>0138927744</t>
  </si>
  <si>
    <t>0131164379</t>
  </si>
  <si>
    <t>0132701925</t>
  </si>
  <si>
    <t>0144334927</t>
  </si>
  <si>
    <t>0142025965</t>
  </si>
  <si>
    <t>0137626621</t>
  </si>
  <si>
    <t>0133269133</t>
  </si>
  <si>
    <t>0143163855</t>
  </si>
  <si>
    <t>0148132613</t>
  </si>
  <si>
    <t>0142119059</t>
  </si>
  <si>
    <t>0135346296</t>
  </si>
  <si>
    <t>0141674792</t>
  </si>
  <si>
    <t>0138690025</t>
  </si>
  <si>
    <t>0143121728</t>
  </si>
  <si>
    <t>0149036978</t>
  </si>
  <si>
    <t>0132330755</t>
  </si>
  <si>
    <t>0136082890</t>
  </si>
  <si>
    <t>0136751740</t>
  </si>
  <si>
    <t>0134929445</t>
  </si>
  <si>
    <t>0139173873</t>
  </si>
  <si>
    <t>0134644132</t>
  </si>
  <si>
    <t>0134402411</t>
  </si>
  <si>
    <t>0137225595</t>
  </si>
  <si>
    <t>0138023729</t>
  </si>
  <si>
    <t>0145617855</t>
  </si>
  <si>
    <t>0148324190</t>
  </si>
  <si>
    <t>0133338949</t>
  </si>
  <si>
    <t>0139635381</t>
  </si>
  <si>
    <t>0137163799</t>
  </si>
  <si>
    <t>0131036270</t>
  </si>
  <si>
    <t>0146300636</t>
  </si>
  <si>
    <t>0142486187</t>
  </si>
  <si>
    <t>0144740059</t>
  </si>
  <si>
    <t>0148185222</t>
  </si>
  <si>
    <t>0138158648</t>
  </si>
  <si>
    <t>0138699898</t>
  </si>
  <si>
    <t>0137655050</t>
  </si>
  <si>
    <t>0139496509</t>
  </si>
  <si>
    <t>0129758535</t>
  </si>
  <si>
    <t>0148169252</t>
  </si>
  <si>
    <t>0144344793</t>
  </si>
  <si>
    <t>0131959527</t>
  </si>
  <si>
    <t>0144185383</t>
  </si>
  <si>
    <t>0149694871</t>
  </si>
  <si>
    <t>0131638143</t>
  </si>
  <si>
    <t>0138525161</t>
  </si>
  <si>
    <t>0143455461</t>
  </si>
  <si>
    <t>0132620545</t>
  </si>
  <si>
    <t>0133881621</t>
  </si>
  <si>
    <t>0135748134</t>
  </si>
  <si>
    <t>0133081704</t>
  </si>
  <si>
    <t>0144950770</t>
  </si>
  <si>
    <t>0133770822</t>
  </si>
  <si>
    <t>0145860261</t>
  </si>
  <si>
    <t>0131846190</t>
  </si>
  <si>
    <t>0143892092</t>
  </si>
  <si>
    <t>0125821698</t>
  </si>
  <si>
    <t>0139934333</t>
  </si>
  <si>
    <t>0134045600</t>
  </si>
  <si>
    <t>0133696677</t>
  </si>
  <si>
    <t>0149798482</t>
  </si>
  <si>
    <t>0135297432</t>
  </si>
  <si>
    <t>0147559625</t>
  </si>
  <si>
    <t>0138150319</t>
  </si>
  <si>
    <t>0147752340</t>
  </si>
  <si>
    <t>0149571316</t>
  </si>
  <si>
    <t>0137477920</t>
  </si>
  <si>
    <t>0157179162</t>
  </si>
  <si>
    <t>0134787250</t>
  </si>
  <si>
    <t>0133321299</t>
  </si>
  <si>
    <t>0133299661</t>
  </si>
  <si>
    <t>0136496374</t>
  </si>
  <si>
    <t>0134314264</t>
  </si>
  <si>
    <t>0143079739</t>
  </si>
  <si>
    <t>0132780482</t>
  </si>
  <si>
    <t>0138653220</t>
  </si>
  <si>
    <t>0148185802</t>
  </si>
  <si>
    <t>0144899890</t>
  </si>
  <si>
    <t>0143597976</t>
  </si>
  <si>
    <t>0131352101</t>
  </si>
  <si>
    <t>0138990611</t>
  </si>
  <si>
    <t>0149834368</t>
  </si>
  <si>
    <t>0138648562</t>
  </si>
  <si>
    <t>0148834993</t>
  </si>
  <si>
    <t>0141331002</t>
  </si>
  <si>
    <t>0132968411</t>
  </si>
  <si>
    <t>0142571651</t>
  </si>
  <si>
    <t>0138780394</t>
  </si>
  <si>
    <t>0142991389</t>
  </si>
  <si>
    <t>0145961987</t>
  </si>
  <si>
    <t>0149219254</t>
  </si>
  <si>
    <t>0143753655</t>
  </si>
  <si>
    <t>0144850481</t>
  </si>
  <si>
    <t>0134079176</t>
  </si>
  <si>
    <t>0145768647</t>
  </si>
  <si>
    <t>0137161908</t>
  </si>
  <si>
    <t>0202101751</t>
  </si>
  <si>
    <t>0142828531</t>
  </si>
  <si>
    <t>0131563783</t>
  </si>
  <si>
    <t>0134571342</t>
  </si>
  <si>
    <t>0139602445</t>
  </si>
  <si>
    <t>0135087807</t>
  </si>
  <si>
    <t>013901281</t>
  </si>
  <si>
    <t>0135763892</t>
  </si>
  <si>
    <t>0138894469</t>
  </si>
  <si>
    <t>0131528503</t>
  </si>
  <si>
    <t>0148519799</t>
  </si>
  <si>
    <t>0147235018</t>
  </si>
  <si>
    <t>0135306186</t>
  </si>
  <si>
    <t>0135855421</t>
  </si>
  <si>
    <t>0145287117</t>
  </si>
  <si>
    <t>0144252996</t>
  </si>
  <si>
    <t>0133821645</t>
  </si>
  <si>
    <t>0135397252</t>
  </si>
  <si>
    <t>0138262745</t>
  </si>
  <si>
    <t>0134943887</t>
  </si>
  <si>
    <t>0132201310</t>
  </si>
  <si>
    <t>0133849476</t>
  </si>
  <si>
    <t>0139383900</t>
  </si>
  <si>
    <t>0145355846</t>
  </si>
  <si>
    <t>0146440382</t>
  </si>
  <si>
    <t>0137868105</t>
  </si>
  <si>
    <t>0149198663</t>
  </si>
  <si>
    <t>0135614337</t>
  </si>
  <si>
    <t>0145346821</t>
  </si>
  <si>
    <t>0137629101</t>
  </si>
  <si>
    <t>0133231819</t>
  </si>
  <si>
    <t>0137621548</t>
  </si>
  <si>
    <t>Jl. Flamboyan No. 49 RT.13 Sukarame Tenggarong Kutai Kartanegara Kalimantan Timur</t>
  </si>
  <si>
    <t>Dk Dusun Demangan RT 05 RW 03, Condongsari Banyuurip Purworejo Jawa Tengah</t>
  </si>
  <si>
    <t>Ngangkruk Kebondalem Kidul Prambanan Klaten Jawa Tengah</t>
  </si>
  <si>
    <t>JL. Sepinggan Asri Utara IV Blok G No.08 RT 45 Balikpapan Selatan Kota Balikpapan</t>
  </si>
  <si>
    <t>Dukuh Gumenter RT01 RW01, Babadsari Kutowinangun Kebumen Jawa Tengah</t>
  </si>
  <si>
    <t>Desa Bawang RT 01 RW O5, Kec. Bawang Kab. Banjarnegara Jawa Tengah</t>
  </si>
  <si>
    <t>Margorejo RT 07 RW 02, Jono Tanon Sragen Jawa Tengah 57277</t>
  </si>
  <si>
    <t>Jln Mayjend Sutoyo Gg.4 No 109 Rt.003 Rw.001 Kelurahan Gumawang Wiradesa Kab. Pekalongan</t>
  </si>
  <si>
    <t>Sambongsari RT 03/ RW 01 Weleri Kendal Jawa Tengah</t>
  </si>
  <si>
    <t>Jalan Batumerah IV No. 47 RT 009 RW 02 Pejaten Timur Pasar Minggu, Jakarta Selatan DKI Jakarta</t>
  </si>
  <si>
    <t>Griya Cilebut Asri 2 Blok C11 Jl. Kp. Batu Gede Cilebut Sukaraja Bogor Jawa Barat</t>
  </si>
  <si>
    <t>Clolo RT02 RW05, Banjarsari Kec. Banjarsari Kota Surakarta Jawa Tengah</t>
  </si>
  <si>
    <t>Perum Kejati No 6 Geplakan Banyuraden Gamping Sleman DIY</t>
  </si>
  <si>
    <t>Pedukuhan VII Ngaran Lor Bojong RT 06 RW 013 Panjatan Kulon Progo DIY</t>
  </si>
  <si>
    <t>Jomblangan RT 12 BLOK C No 20 Banguntapan Bantul DIY</t>
  </si>
  <si>
    <t>Karangmloko RT 3 RW 18 Sariharjo Ngaglik Sleman DIY</t>
  </si>
  <si>
    <t>Jl Padat Karya Komplek Griya Bumi Selatan No. 10 RT 10. Kel Pembataan Kec Murung Pudak Kab Tabalong, Kalimantan Selatan</t>
  </si>
  <si>
    <t>Jl.Kauman No.44 RT:45 RW:12 Ngupasan Gondomanan Kota Yogyakarta DIY</t>
  </si>
  <si>
    <t>Jl. Jeruk Timur III NO.16 RT.002 RW.006, Kramat Selatan Magelang Utara Kota Magelang Jawa Tengah</t>
  </si>
  <si>
    <t>Perumahan Citra Merapi No F1 RT 03 RW 05, Sidanegara Cilacap Tengah Kab. Cilacap Jawa Tengah</t>
  </si>
  <si>
    <t>Jl. Matahari Padoang Doangan Pangkajene Kab. Pangkajene dan Kepualauan Sulawesi Selatan</t>
  </si>
  <si>
    <t>Jl. Amuntai No.1 GKB Gresik</t>
  </si>
  <si>
    <t xml:space="preserve"> Perumahan Kurnia Djaja Alam Jl. Kutilang Raya Kel. Belian Kec. Batam Kota - Batam Prov. Kepri - Indonesia</t>
  </si>
  <si>
    <t>Jl, Kurinci No.2 Pekalongan</t>
  </si>
  <si>
    <t>MIS Perguruan Muallimat</t>
  </si>
  <si>
    <t>SD IT Qurani Adh-Dhuhaa Pangkal Pinang</t>
  </si>
  <si>
    <t>SD Mhammadiyah Kajen</t>
  </si>
  <si>
    <t>SD Muhammadiyah Tonggalan Klaten</t>
  </si>
  <si>
    <t>SD Muhammadiyah Mutihan Wates</t>
  </si>
  <si>
    <t>MI Bina Umat</t>
  </si>
  <si>
    <t>SD IT Al Irsyad Serambi Makkah</t>
  </si>
  <si>
    <t>SDIT Luqman Al Hakim 2 Yogyakarta</t>
  </si>
  <si>
    <t>Sumanto</t>
  </si>
  <si>
    <t>MIN 1 Kota Cilegon</t>
  </si>
  <si>
    <t>SD Integral Luqman Al-Hakim Samarinda</t>
  </si>
  <si>
    <t>SD Muhammadiyah 10 Balongbendo Sidoarjo</t>
  </si>
  <si>
    <t>MIM Kertek Wonosobo</t>
  </si>
  <si>
    <t>SDIT Al Mustaqim Tarakan</t>
  </si>
  <si>
    <t>SDIT Al-Khairaat</t>
  </si>
  <si>
    <t>SD Muhammadiyah 2 Gresik</t>
  </si>
  <si>
    <t>SD Muhammadiyah Kutowinangun</t>
  </si>
  <si>
    <t>SDIT Alfalaah Sambi Boyolali</t>
  </si>
  <si>
    <t>SDIT Permata Hati Banjarnegara</t>
  </si>
  <si>
    <t>SD Islam Bunayya</t>
  </si>
  <si>
    <t>SD Birul Walidain Muhamadiyah Tanon Sragen</t>
  </si>
  <si>
    <t>SDIT Madani Luwuk</t>
  </si>
  <si>
    <t>SDIT Muhammadiyah Bandongan Magelang</t>
  </si>
  <si>
    <t>SD IT Ulul Albab Weleri Kendal</t>
  </si>
  <si>
    <t>SD Muhammadiyah Belik</t>
  </si>
  <si>
    <t>UPTD SDN 15 Teddaopu</t>
  </si>
  <si>
    <t>SDN 1 Clapar Madukara Banjaranegara</t>
  </si>
  <si>
    <t>SD IT Taruna Al-Quran</t>
  </si>
  <si>
    <t>SDIT Mushab Bin Umair</t>
  </si>
  <si>
    <t>SDIQ Al Abidin Surakarta</t>
  </si>
  <si>
    <t>SD Al Hasna</t>
  </si>
  <si>
    <t>SD Tegalrejo 2</t>
  </si>
  <si>
    <t>SDIT Lukman Al Hakim Yogyakarta</t>
  </si>
  <si>
    <t>SD Islam AlAzhar 38 Bantul</t>
  </si>
  <si>
    <t>MIS. Mathlaul Ulum</t>
  </si>
  <si>
    <t>SDIT Alifsmart Surakarta</t>
  </si>
  <si>
    <t>Sekolah Al Qur'an Insan Quantum</t>
  </si>
  <si>
    <t>SD IT Mutiara Hati Purworejo Klampok Banjarnegara</t>
  </si>
  <si>
    <t>PKBM STQ Telaga Ilmu</t>
  </si>
  <si>
    <t>SD Muhammadiyah Parakan Temanggung</t>
  </si>
  <si>
    <t>SDS Muhamadiyah</t>
  </si>
  <si>
    <t>SD Muh Sokonandi</t>
  </si>
  <si>
    <t>SDIT Al Muthiin</t>
  </si>
  <si>
    <t>SDIT BIAS Cilacap</t>
  </si>
  <si>
    <t>SD Muhamadiyah Sleman</t>
  </si>
  <si>
    <t>SDTQ Al Abidin Surakarta</t>
  </si>
  <si>
    <t>MI Sudirman Munggur</t>
  </si>
  <si>
    <t>SDIT Annajiyah</t>
  </si>
  <si>
    <t>SD slam Hidayatullah Semarang</t>
  </si>
  <si>
    <t>SD Islam Al Azhar 38 Bantul</t>
  </si>
  <si>
    <t>SDIT Bina Anak Sholeh Cilacap</t>
  </si>
  <si>
    <t>SD Muhammadiyah 1 Melak</t>
  </si>
  <si>
    <t>SD IT Ukuwah Banjarmasin</t>
  </si>
  <si>
    <t>SD Islam Terpadu Al-Fatih Pangkep</t>
  </si>
  <si>
    <t>SD MBF Al Adzkiya Wonosobo</t>
  </si>
  <si>
    <t>SD Muhammadiyah Karangkajen</t>
  </si>
  <si>
    <t>Irwan Susanto</t>
  </si>
  <si>
    <t>Sarip Nuruchman</t>
  </si>
  <si>
    <t>Rahmad Dzulkarnain, SHI</t>
  </si>
  <si>
    <t>Barid Setiawan</t>
  </si>
  <si>
    <t>Bachtiar Dwi Kurniawan</t>
  </si>
  <si>
    <t>Hartady Nugroho</t>
  </si>
  <si>
    <t>Oman Fathurrohman</t>
  </si>
  <si>
    <t>Baqi Pradana</t>
  </si>
  <si>
    <t>Hasanudin</t>
  </si>
  <si>
    <t>Ade Putra Fajar</t>
  </si>
  <si>
    <t>Dwi Riyanto</t>
  </si>
  <si>
    <t>Abdul Azis</t>
  </si>
  <si>
    <t>Ambar Tri Setyo Yuwono, S. Pd</t>
  </si>
  <si>
    <t>Bambang Susilarsa</t>
  </si>
  <si>
    <t>Adhe Indrayana</t>
  </si>
  <si>
    <t>Sugeng Nur Singgih</t>
  </si>
  <si>
    <t>Amin Sudarmo</t>
  </si>
  <si>
    <t>Rochali</t>
  </si>
  <si>
    <t>Rustam Abdul Gani</t>
  </si>
  <si>
    <t>Tavif Hendrasetiawan, SH., MM</t>
  </si>
  <si>
    <t>Eko Andri Saputra</t>
  </si>
  <si>
    <t>Nanang Sulistyo,SH</t>
  </si>
  <si>
    <t>Oki Wastriyanto</t>
  </si>
  <si>
    <t>Tri Cahyo Adhyaksa</t>
  </si>
  <si>
    <t>Al A'rof Kamal</t>
  </si>
  <si>
    <t>Sigit Santoso</t>
  </si>
  <si>
    <t>Sunarto</t>
  </si>
  <si>
    <t>Moh Shoim Khusyairi</t>
  </si>
  <si>
    <t>Eko Budianto</t>
  </si>
  <si>
    <t>Almarhum Shaleh Achmad S</t>
  </si>
  <si>
    <t>Kresna Andri Wibowo</t>
  </si>
  <si>
    <t>Muhammad Royanul Firdaus</t>
  </si>
  <si>
    <t>Daryatmo</t>
  </si>
  <si>
    <t>Edy Kuswoyo</t>
  </si>
  <si>
    <t>Dody Budi Prabowo</t>
  </si>
  <si>
    <t>Bodan Septana Rikky</t>
  </si>
  <si>
    <t>Ilman</t>
  </si>
  <si>
    <t>Dwi Wahyu Cahyono</t>
  </si>
  <si>
    <t>Sasli Rais</t>
  </si>
  <si>
    <t>Mutakhir</t>
  </si>
  <si>
    <t>R. Haryo Jagad Panuntun</t>
  </si>
  <si>
    <t>M. Subchan Zaenal</t>
  </si>
  <si>
    <t>Dwi Yuliana</t>
  </si>
  <si>
    <t>Wiwin Susilawati</t>
  </si>
  <si>
    <t>Hikmatul Uyun</t>
  </si>
  <si>
    <t>Laila Saidah</t>
  </si>
  <si>
    <t>Husnul Haqoh</t>
  </si>
  <si>
    <t>Mamik Fatayatur Rohmah</t>
  </si>
  <si>
    <t>Intan Delima Nur Bashirah</t>
  </si>
  <si>
    <t>Desi Nor Hidayah</t>
  </si>
  <si>
    <t>Inna Mutmainnah</t>
  </si>
  <si>
    <t>Nur Husna Hakim</t>
  </si>
  <si>
    <t>Ary Puspitaningrum</t>
  </si>
  <si>
    <t>Erwinda Fitriana</t>
  </si>
  <si>
    <t>Wiwik Supriyati</t>
  </si>
  <si>
    <t>Vaiza Chusila Chisma</t>
  </si>
  <si>
    <t>Suprihatun, S. Pd</t>
  </si>
  <si>
    <t>Hijramayasari Hasan</t>
  </si>
  <si>
    <t>Eriya Adha Usana Badar</t>
  </si>
  <si>
    <t>Komariyah</t>
  </si>
  <si>
    <t>Sri Hartati</t>
  </si>
  <si>
    <t>Kusningrum Marsi Pujiastuti</t>
  </si>
  <si>
    <t>Yayu Mutmainah</t>
  </si>
  <si>
    <t>Lia Sukmayanti, A.Md.Keb</t>
  </si>
  <si>
    <t>Shinta Martiana</t>
  </si>
  <si>
    <t>Fitri Atmani</t>
  </si>
  <si>
    <t>Umi Habibah</t>
  </si>
  <si>
    <t>Dina Oktiana</t>
  </si>
  <si>
    <t>Muthmainah Fajar</t>
  </si>
  <si>
    <t>Beti Nur Anggraini</t>
  </si>
  <si>
    <t>Dwi Hestu Anindita</t>
  </si>
  <si>
    <t>Bentika Sukmawati</t>
  </si>
  <si>
    <t>Hening Syafitri Sulistyoningsih</t>
  </si>
  <si>
    <t>Diandra Irnantiasa</t>
  </si>
  <si>
    <t>Indrayanni</t>
  </si>
  <si>
    <t>Lia Indah Khatarisna</t>
  </si>
  <si>
    <t>Nur Faidah Munir</t>
  </si>
  <si>
    <t>Suryati</t>
  </si>
  <si>
    <t>Dyah Purwaningsih</t>
  </si>
  <si>
    <t>24 September 2013</t>
  </si>
  <si>
    <t>2 Desember 2013</t>
  </si>
  <si>
    <t>26 Agustus 2013</t>
  </si>
  <si>
    <t>31 Oktober 2012</t>
  </si>
  <si>
    <t>1 Juni 2014</t>
  </si>
  <si>
    <t>4 Februari 2014</t>
  </si>
  <si>
    <t>8 Maret 2014</t>
  </si>
  <si>
    <t>29 Desember 2013</t>
  </si>
  <si>
    <t>15 Februari 2014</t>
  </si>
  <si>
    <t>25 Agustus 2013</t>
  </si>
  <si>
    <t>8 Desember 2013</t>
  </si>
  <si>
    <t>8 Maret 2013</t>
  </si>
  <si>
    <t>20 November 2013</t>
  </si>
  <si>
    <t>20 September 2013</t>
  </si>
  <si>
    <t>26 Januari 2014</t>
  </si>
  <si>
    <t>17 Juni 2014</t>
  </si>
  <si>
    <t>21 Januari 2014</t>
  </si>
  <si>
    <t>18 Mei 2014</t>
  </si>
  <si>
    <t>5 Mei 2013</t>
  </si>
  <si>
    <t>22 Juni 2014</t>
  </si>
  <si>
    <t>5 September 2013</t>
  </si>
  <si>
    <t>6 Januari 2014</t>
  </si>
  <si>
    <t>15 November 2013</t>
  </si>
  <si>
    <t>12 Oktober 2013</t>
  </si>
  <si>
    <t>25 Oktober 2013</t>
  </si>
  <si>
    <t>6 Oktober 2013</t>
  </si>
  <si>
    <t>13 Oktober 2013</t>
  </si>
  <si>
    <t>16 Agustus 2013</t>
  </si>
  <si>
    <t>26 Februari 2013</t>
  </si>
  <si>
    <t>19 Februari 2014</t>
  </si>
  <si>
    <t>28 Oktober 2013</t>
  </si>
  <si>
    <t>13 Desember 2013</t>
  </si>
  <si>
    <t>8 Juli 2013</t>
  </si>
  <si>
    <t>6 Juni 2014</t>
  </si>
  <si>
    <t>13 Maret 2014</t>
  </si>
  <si>
    <t>21 Oktober 2013</t>
  </si>
  <si>
    <t>JL. Panda Timur III No. 39. Palebon. Pedurungan. Kota Semarang. Jawa Tengah</t>
  </si>
  <si>
    <t>Bendungan Jago, No. 36 RT 005 RW 001, Kel Serdang, Kec Kemayoran, Jakarta Pusat DKI Jakarta 10650</t>
  </si>
  <si>
    <t>Kavling UPI, Jl. Sukamulya Endah IV Nomor 1 RT 2 RW 3 Kampung Sukamulya Cihideung Parongpong Bandung Barat Jawa Barat</t>
  </si>
  <si>
    <t>Dsn. Jomblang RT001/RW009, Jl. H. Abu BakrinKec. Secang, Magelang, Jawa Tengah 56195</t>
  </si>
  <si>
    <t>085101387222</t>
  </si>
  <si>
    <t>081553167008</t>
  </si>
  <si>
    <t>08131515040</t>
  </si>
  <si>
    <t>083119033255</t>
  </si>
  <si>
    <t>081330258061</t>
  </si>
  <si>
    <t>08976811172</t>
  </si>
  <si>
    <t>08114788789</t>
  </si>
  <si>
    <t>0811252558</t>
  </si>
  <si>
    <t>081331829897</t>
  </si>
  <si>
    <t>085233309357</t>
  </si>
  <si>
    <t>085228857100</t>
  </si>
  <si>
    <t>081329054541</t>
  </si>
  <si>
    <t>08562804943</t>
  </si>
  <si>
    <t>087838541666</t>
  </si>
  <si>
    <t>08122725844</t>
  </si>
  <si>
    <t>082136706557</t>
  </si>
  <si>
    <t>085729775253</t>
  </si>
  <si>
    <t>083890636270</t>
  </si>
  <si>
    <t>08151608608</t>
  </si>
  <si>
    <t>081299933381</t>
  </si>
  <si>
    <t>08121550098</t>
  </si>
  <si>
    <t>085742807672</t>
  </si>
  <si>
    <t>081225473936</t>
  </si>
  <si>
    <t>085822533716</t>
  </si>
  <si>
    <t>087860126186</t>
  </si>
  <si>
    <t>085242428149</t>
  </si>
  <si>
    <t>088216120266</t>
  </si>
  <si>
    <t>08157928486</t>
  </si>
  <si>
    <t>085249306242</t>
  </si>
  <si>
    <t>085758020276</t>
  </si>
  <si>
    <t>081265574907</t>
  </si>
  <si>
    <t>081336514635</t>
  </si>
  <si>
    <t>085648863552</t>
  </si>
  <si>
    <t>08175110285</t>
  </si>
  <si>
    <t>085784551253</t>
  </si>
  <si>
    <t>08112541644</t>
  </si>
  <si>
    <t>081568446117</t>
  </si>
  <si>
    <t>082176450731</t>
  </si>
  <si>
    <t>081933019764</t>
  </si>
  <si>
    <t>081323290948</t>
  </si>
  <si>
    <t>08156916863</t>
  </si>
  <si>
    <t>087767637148</t>
  </si>
  <si>
    <t>081329107966</t>
  </si>
  <si>
    <t>081271612016</t>
  </si>
  <si>
    <t>081326031773</t>
  </si>
  <si>
    <t>08129556343</t>
  </si>
  <si>
    <t>081380310605</t>
  </si>
  <si>
    <t>081271519478</t>
  </si>
  <si>
    <t>081346657772</t>
  </si>
  <si>
    <t>081225744693</t>
  </si>
  <si>
    <t>087788104691</t>
  </si>
  <si>
    <t>085227972611</t>
  </si>
  <si>
    <t>085241564341</t>
  </si>
  <si>
    <t>081256549002</t>
  </si>
  <si>
    <t>082302189982</t>
  </si>
  <si>
    <t>081327460480</t>
  </si>
  <si>
    <t>083846111111</t>
  </si>
  <si>
    <t>081553841766</t>
  </si>
  <si>
    <t>081328302399</t>
  </si>
  <si>
    <t>085726495266</t>
  </si>
  <si>
    <t>081328864579</t>
  </si>
  <si>
    <t>081578545789</t>
  </si>
  <si>
    <t>082371572244</t>
  </si>
  <si>
    <t>08157940860</t>
  </si>
  <si>
    <t>085228077752</t>
  </si>
  <si>
    <t>081215895307</t>
  </si>
  <si>
    <t>081328720050</t>
  </si>
  <si>
    <t>085865251503</t>
  </si>
  <si>
    <t>081328372297</t>
  </si>
  <si>
    <t>081226805706</t>
  </si>
  <si>
    <t>081325691645</t>
  </si>
  <si>
    <t>085642642311</t>
  </si>
  <si>
    <t>08121550917</t>
  </si>
  <si>
    <t>081227906381</t>
  </si>
  <si>
    <t>081279635086</t>
  </si>
  <si>
    <t>089507640988</t>
  </si>
  <si>
    <t>081911308206</t>
  </si>
  <si>
    <t>081349508890</t>
  </si>
  <si>
    <t>081285665132</t>
  </si>
  <si>
    <t>085920036832</t>
  </si>
  <si>
    <t>081327992798</t>
  </si>
  <si>
    <t>081225888877</t>
  </si>
  <si>
    <t>081292922299</t>
  </si>
  <si>
    <t>081333003001</t>
  </si>
  <si>
    <t>085250677550</t>
  </si>
  <si>
    <t>081392001667</t>
  </si>
  <si>
    <t>081938456345</t>
  </si>
  <si>
    <t>085291146676</t>
  </si>
  <si>
    <t>085728562026</t>
  </si>
  <si>
    <t>081257218455</t>
  </si>
  <si>
    <t>081803976391</t>
  </si>
  <si>
    <t>082145373113</t>
  </si>
  <si>
    <t>085814857474</t>
  </si>
  <si>
    <t>081351939042</t>
  </si>
  <si>
    <t>082323055916</t>
  </si>
  <si>
    <t>087886738383</t>
  </si>
  <si>
    <t>081804038091</t>
  </si>
  <si>
    <t>08111800809</t>
  </si>
  <si>
    <t>087839156875</t>
  </si>
  <si>
    <t>085258416164</t>
  </si>
  <si>
    <t>08122741334</t>
  </si>
  <si>
    <t>082142045083</t>
  </si>
  <si>
    <t>082136552052</t>
  </si>
  <si>
    <t>081334040848</t>
  </si>
  <si>
    <t>08562750718</t>
  </si>
  <si>
    <t>081393747899</t>
  </si>
  <si>
    <t>087882867684</t>
  </si>
  <si>
    <t>081392083765</t>
  </si>
  <si>
    <t>081238077003</t>
  </si>
  <si>
    <t>085878075476</t>
  </si>
  <si>
    <t>085799156089</t>
  </si>
  <si>
    <t>085225861530</t>
  </si>
  <si>
    <t>085398994316</t>
  </si>
  <si>
    <t>081350014007</t>
  </si>
  <si>
    <t>087728681826</t>
  </si>
  <si>
    <t>082235786498</t>
  </si>
  <si>
    <t>083842704779</t>
  </si>
  <si>
    <t>085643334949</t>
  </si>
  <si>
    <t>085215430531</t>
  </si>
  <si>
    <t>081394390864</t>
  </si>
  <si>
    <t>081327155642</t>
  </si>
  <si>
    <t>082182257757</t>
  </si>
  <si>
    <t>082260888443</t>
  </si>
  <si>
    <t>081210432345</t>
  </si>
  <si>
    <t>085713792374</t>
  </si>
  <si>
    <t>085233076040</t>
  </si>
  <si>
    <t>085842390208</t>
  </si>
  <si>
    <t>081259962679</t>
  </si>
  <si>
    <t>085326455552</t>
  </si>
  <si>
    <t>085227199464</t>
  </si>
  <si>
    <t>081314196044</t>
  </si>
  <si>
    <t>088801968059</t>
  </si>
  <si>
    <t>082137674786</t>
  </si>
  <si>
    <t>08122906183</t>
  </si>
  <si>
    <t>085640240001</t>
  </si>
  <si>
    <t>082255337214</t>
  </si>
  <si>
    <t>083128854748</t>
  </si>
  <si>
    <t>08119705089</t>
  </si>
  <si>
    <t>08211622281</t>
  </si>
  <si>
    <t>081327849410</t>
  </si>
  <si>
    <t>0895609734466</t>
  </si>
  <si>
    <t>085242521234</t>
  </si>
  <si>
    <t>081355128061</t>
  </si>
  <si>
    <t>082138151999</t>
  </si>
  <si>
    <t>081314446810</t>
  </si>
  <si>
    <t>08122118546</t>
  </si>
  <si>
    <t>082146784785</t>
  </si>
  <si>
    <t>085718350205</t>
  </si>
  <si>
    <t>085194881881</t>
  </si>
  <si>
    <t>081947073865</t>
  </si>
  <si>
    <t>081216308422</t>
  </si>
  <si>
    <t>081365492994</t>
  </si>
  <si>
    <t>08123893624</t>
  </si>
  <si>
    <t>081348799107</t>
  </si>
  <si>
    <t>081225825860</t>
  </si>
  <si>
    <t>081238693253</t>
  </si>
  <si>
    <t>08121590620</t>
  </si>
  <si>
    <t>081325021991</t>
  </si>
  <si>
    <t>085228571448</t>
  </si>
  <si>
    <t>082140340385</t>
  </si>
  <si>
    <t>085228841792</t>
  </si>
  <si>
    <t>081329006446</t>
  </si>
  <si>
    <t>081350580538</t>
  </si>
  <si>
    <t>088218089336</t>
  </si>
  <si>
    <t>087877240208</t>
  </si>
  <si>
    <t>085642393432</t>
  </si>
  <si>
    <t>081332291107</t>
  </si>
  <si>
    <t>081351450768</t>
  </si>
  <si>
    <t>087839287090</t>
  </si>
  <si>
    <t>081567659342</t>
  </si>
  <si>
    <t>08121705521</t>
  </si>
  <si>
    <t>087834187100</t>
  </si>
  <si>
    <t>082225747576</t>
  </si>
  <si>
    <t>081385695819</t>
  </si>
  <si>
    <t>081227384363</t>
  </si>
  <si>
    <t>085290014684</t>
  </si>
  <si>
    <t>08119401428</t>
  </si>
  <si>
    <t>0818468648</t>
  </si>
  <si>
    <t>081328326180</t>
  </si>
  <si>
    <t>081931743956</t>
  </si>
  <si>
    <t>085176955277</t>
  </si>
  <si>
    <t>081578082046</t>
  </si>
  <si>
    <t>081319488184</t>
  </si>
  <si>
    <t>085643533853</t>
  </si>
  <si>
    <t>085640316922</t>
  </si>
  <si>
    <t>087831473351</t>
  </si>
  <si>
    <t>085647246155</t>
  </si>
  <si>
    <t>081216949204</t>
  </si>
  <si>
    <t>081281027205</t>
  </si>
  <si>
    <t>081331991696</t>
  </si>
  <si>
    <t>085641111175</t>
  </si>
  <si>
    <t>081392203798</t>
  </si>
  <si>
    <t>08114614977</t>
  </si>
  <si>
    <t>087786577331</t>
  </si>
  <si>
    <t>088226907071</t>
  </si>
  <si>
    <t>087713599438</t>
  </si>
  <si>
    <t>085697495551</t>
  </si>
  <si>
    <t>0895363577599</t>
  </si>
  <si>
    <t>081328727977</t>
  </si>
  <si>
    <t>08115114855</t>
  </si>
  <si>
    <t>082315556189</t>
  </si>
  <si>
    <t>087838511752</t>
  </si>
  <si>
    <t>081327220418</t>
  </si>
  <si>
    <t>082323897270</t>
  </si>
  <si>
    <t>081225414827</t>
  </si>
  <si>
    <t>082226688626</t>
  </si>
  <si>
    <t>085210492270</t>
  </si>
  <si>
    <t>081973123269</t>
  </si>
  <si>
    <t>082124298836</t>
  </si>
  <si>
    <t>081578781906</t>
  </si>
  <si>
    <t>085743038072</t>
  </si>
  <si>
    <t>081391042679</t>
  </si>
  <si>
    <t>081229074334</t>
  </si>
  <si>
    <t>089528239705</t>
  </si>
  <si>
    <t>085251512992</t>
  </si>
  <si>
    <t>085647711611</t>
  </si>
  <si>
    <t>081227505150</t>
  </si>
  <si>
    <t>081218279950</t>
  </si>
  <si>
    <t>085247691010</t>
  </si>
  <si>
    <t>08122889052</t>
  </si>
  <si>
    <t>085292255551</t>
  </si>
  <si>
    <t>081350505806</t>
  </si>
  <si>
    <t>081386574757</t>
  </si>
  <si>
    <t>081333317012</t>
  </si>
  <si>
    <t>082322606116</t>
  </si>
  <si>
    <t>08568585595</t>
  </si>
  <si>
    <t>0895630461499</t>
  </si>
  <si>
    <t>08113030344</t>
  </si>
  <si>
    <t>081317101353</t>
  </si>
  <si>
    <t>081392118821</t>
  </si>
  <si>
    <t>085728111551</t>
  </si>
  <si>
    <t>081226652886</t>
  </si>
  <si>
    <t>082116000076</t>
  </si>
  <si>
    <t>08562556060</t>
  </si>
  <si>
    <t>082118211339</t>
  </si>
  <si>
    <t>081154502479</t>
  </si>
  <si>
    <t>08176441999</t>
  </si>
  <si>
    <t>081255502077</t>
  </si>
  <si>
    <t>085216097337</t>
  </si>
  <si>
    <t>085713395355</t>
  </si>
  <si>
    <t>085807225855</t>
  </si>
  <si>
    <t>082221231226</t>
  </si>
  <si>
    <t>082122266689</t>
  </si>
  <si>
    <t>081333855333</t>
  </si>
  <si>
    <t>087843898424</t>
  </si>
  <si>
    <t>081350829292</t>
  </si>
  <si>
    <t>081328006565</t>
  </si>
  <si>
    <t>081220971612</t>
  </si>
  <si>
    <t>081258296777</t>
  </si>
  <si>
    <t>08995933388</t>
  </si>
  <si>
    <t>082148113883</t>
  </si>
  <si>
    <t>085385409353</t>
  </si>
  <si>
    <t>082150000690</t>
  </si>
  <si>
    <t>085842769323</t>
  </si>
  <si>
    <t>08113500738</t>
  </si>
  <si>
    <t>082134983237</t>
  </si>
  <si>
    <t>081299971016</t>
  </si>
  <si>
    <t>081357491000</t>
  </si>
  <si>
    <t>081903622349</t>
  </si>
  <si>
    <t>081392552673</t>
  </si>
  <si>
    <t>082133833923</t>
  </si>
  <si>
    <t>082321076750</t>
  </si>
  <si>
    <t>081259296871</t>
  </si>
  <si>
    <t>085101680518</t>
  </si>
  <si>
    <t>081310624679</t>
  </si>
  <si>
    <t>087862216787</t>
  </si>
  <si>
    <t>0895365035007</t>
  </si>
  <si>
    <t>085355754132</t>
  </si>
  <si>
    <t>085243565031</t>
  </si>
  <si>
    <t>082134400101</t>
  </si>
  <si>
    <t>085105738899</t>
  </si>
  <si>
    <t>085117790414</t>
  </si>
  <si>
    <t>08128024194</t>
  </si>
  <si>
    <t>085227446034</t>
  </si>
  <si>
    <t>08174106005</t>
  </si>
  <si>
    <t>087739092799</t>
  </si>
  <si>
    <t>081227851780</t>
  </si>
  <si>
    <t>087875434796</t>
  </si>
  <si>
    <t>083840730422</t>
  </si>
  <si>
    <t>081259592221</t>
  </si>
  <si>
    <t>081914142349</t>
  </si>
  <si>
    <t>081392277669</t>
  </si>
  <si>
    <t>089665776364</t>
  </si>
  <si>
    <t>085328222169</t>
  </si>
  <si>
    <t>081348217239</t>
  </si>
  <si>
    <t>082237599179</t>
  </si>
  <si>
    <t>08115404830</t>
  </si>
  <si>
    <t>085747880931</t>
  </si>
  <si>
    <t>085642917002</t>
  </si>
  <si>
    <t>087738850678</t>
  </si>
  <si>
    <t>082374999433</t>
  </si>
  <si>
    <t>081235145960</t>
  </si>
  <si>
    <t>08123187400</t>
  </si>
  <si>
    <t>083874280713</t>
  </si>
  <si>
    <t>083845690758</t>
  </si>
  <si>
    <t>082314901669</t>
  </si>
  <si>
    <t>085640202990</t>
  </si>
  <si>
    <t>081279356726</t>
  </si>
  <si>
    <t>081936292006</t>
  </si>
  <si>
    <t>085124400510</t>
  </si>
  <si>
    <t>085842051572</t>
  </si>
  <si>
    <t>085877334484</t>
  </si>
  <si>
    <t>081325333227</t>
  </si>
  <si>
    <t>08157727540</t>
  </si>
  <si>
    <t>081283131455</t>
  </si>
  <si>
    <t>08128710035</t>
  </si>
  <si>
    <t>081353399606</t>
  </si>
  <si>
    <t>081374167197</t>
  </si>
  <si>
    <t>085250001700</t>
  </si>
  <si>
    <t>085848888981</t>
  </si>
  <si>
    <t>087788842994</t>
  </si>
  <si>
    <t>08112610461</t>
  </si>
  <si>
    <t>085241939488</t>
  </si>
  <si>
    <t>081327173611</t>
  </si>
  <si>
    <t>085337286997</t>
  </si>
  <si>
    <t>085694940700</t>
  </si>
  <si>
    <t>088210581111</t>
  </si>
  <si>
    <t>08563455039</t>
  </si>
  <si>
    <t>081328700750</t>
  </si>
  <si>
    <t>085712253930</t>
  </si>
  <si>
    <t>081229919229</t>
  </si>
  <si>
    <t>085877674820</t>
  </si>
  <si>
    <t>081392254960</t>
  </si>
  <si>
    <t>085642306368</t>
  </si>
  <si>
    <t>085228807012</t>
  </si>
  <si>
    <t>081388588507</t>
  </si>
  <si>
    <t>081904084530</t>
  </si>
  <si>
    <t>085842279111</t>
  </si>
  <si>
    <t>082137119859</t>
  </si>
  <si>
    <t>082220355854</t>
  </si>
  <si>
    <t>085806112715</t>
  </si>
  <si>
    <t>087723394965</t>
  </si>
  <si>
    <t>085274556988</t>
  </si>
  <si>
    <t>081328224220</t>
  </si>
  <si>
    <t>08122770057</t>
  </si>
  <si>
    <t>085228000821</t>
  </si>
  <si>
    <t>081350249392</t>
  </si>
  <si>
    <t>081311095194</t>
  </si>
  <si>
    <t>082112471307</t>
  </si>
  <si>
    <t>081390354336</t>
  </si>
  <si>
    <t>082286754848</t>
  </si>
  <si>
    <t>0812962521</t>
  </si>
  <si>
    <t>085643060551</t>
  </si>
  <si>
    <t>082230669911</t>
  </si>
  <si>
    <t>085285634056</t>
  </si>
  <si>
    <t>08562936886</t>
  </si>
  <si>
    <t>08121637275</t>
  </si>
  <si>
    <t>0882006219425</t>
  </si>
  <si>
    <t>081391737179</t>
  </si>
  <si>
    <t>081314683232</t>
  </si>
  <si>
    <t>087848622497</t>
  </si>
  <si>
    <t>088222250887</t>
  </si>
  <si>
    <t>089514015857</t>
  </si>
  <si>
    <t>081333504200</t>
  </si>
  <si>
    <t>085228441187</t>
  </si>
  <si>
    <t>081999908383</t>
  </si>
  <si>
    <t>081804048010</t>
  </si>
  <si>
    <t>08111885709</t>
  </si>
  <si>
    <t>082147114411</t>
  </si>
  <si>
    <t>085230795449</t>
  </si>
  <si>
    <t>081328384411</t>
  </si>
  <si>
    <t>082141675407</t>
  </si>
  <si>
    <t>081227271300</t>
  </si>
  <si>
    <t>08563662951</t>
  </si>
  <si>
    <t>082225081979</t>
  </si>
  <si>
    <t>081932279999</t>
  </si>
  <si>
    <t>081328390700</t>
  </si>
  <si>
    <t>081280384272</t>
  </si>
  <si>
    <t>085780107617</t>
  </si>
  <si>
    <t>085743312959</t>
  </si>
  <si>
    <t>085700414566</t>
  </si>
  <si>
    <t>082189454412</t>
  </si>
  <si>
    <t>081347220915</t>
  </si>
  <si>
    <t>085935667444</t>
  </si>
  <si>
    <t>081915005460</t>
  </si>
  <si>
    <t>085888583659</t>
  </si>
  <si>
    <t>082313111817</t>
  </si>
  <si>
    <t>085325252280</t>
  </si>
  <si>
    <t>081218913625</t>
  </si>
  <si>
    <t>081327091347</t>
  </si>
  <si>
    <t>081279810847</t>
  </si>
  <si>
    <t>085380092995</t>
  </si>
  <si>
    <t>081329337878</t>
  </si>
  <si>
    <t>085740093292</t>
  </si>
  <si>
    <t>085328888983</t>
  </si>
  <si>
    <t>081542377471</t>
  </si>
  <si>
    <t>085244950589</t>
  </si>
  <si>
    <t>081211914131</t>
  </si>
  <si>
    <t>085227890231</t>
  </si>
  <si>
    <t>085643299997</t>
  </si>
  <si>
    <t>082324832006</t>
  </si>
  <si>
    <t>081261611709</t>
  </si>
  <si>
    <t>081225675225</t>
  </si>
  <si>
    <t>085640511000</t>
  </si>
  <si>
    <t>082282953114</t>
  </si>
  <si>
    <t>088216248741</t>
  </si>
  <si>
    <t>082338033317</t>
  </si>
  <si>
    <t>087838271896</t>
  </si>
  <si>
    <t>08989007579</t>
  </si>
  <si>
    <t>081342418744</t>
  </si>
  <si>
    <t>08112655338</t>
  </si>
  <si>
    <t>082227554216</t>
  </si>
  <si>
    <t>081290218383</t>
  </si>
  <si>
    <t>081227005551</t>
  </si>
  <si>
    <t>081332724291</t>
  </si>
  <si>
    <t>081389909752</t>
  </si>
  <si>
    <t>081312585086</t>
  </si>
  <si>
    <t>085101807824</t>
  </si>
  <si>
    <t>08122546161</t>
  </si>
  <si>
    <t>08816564404</t>
  </si>
  <si>
    <t>082325055044</t>
  </si>
  <si>
    <t>081253302964</t>
  </si>
  <si>
    <t>081225000272</t>
  </si>
  <si>
    <t>0895385376559</t>
  </si>
  <si>
    <t>081328348020</t>
  </si>
  <si>
    <t>0896-7158-88</t>
  </si>
  <si>
    <t>081277770228</t>
  </si>
  <si>
    <t>082140340386</t>
  </si>
  <si>
    <t>085292820660</t>
  </si>
  <si>
    <t>085742371715</t>
  </si>
  <si>
    <t>085246700727</t>
  </si>
  <si>
    <t>087739497201</t>
  </si>
  <si>
    <t>087854785408</t>
  </si>
  <si>
    <t>085801655685</t>
  </si>
  <si>
    <t>08121556696</t>
  </si>
  <si>
    <t>085642340901</t>
  </si>
  <si>
    <t>085329676034</t>
  </si>
  <si>
    <t>085643070721</t>
  </si>
  <si>
    <t>082140279040</t>
  </si>
  <si>
    <t>087739151100</t>
  </si>
  <si>
    <t>085385377575</t>
  </si>
  <si>
    <t>081381118237</t>
  </si>
  <si>
    <t>08558905318</t>
  </si>
  <si>
    <t>081225676330</t>
  </si>
  <si>
    <t>085693068716</t>
  </si>
  <si>
    <t>081392059335</t>
  </si>
  <si>
    <t>081905200672</t>
  </si>
  <si>
    <t>082296852453</t>
  </si>
  <si>
    <t>081578872005</t>
  </si>
  <si>
    <t>081380550887</t>
  </si>
  <si>
    <t>085742412347</t>
  </si>
  <si>
    <t>082314700423</t>
  </si>
  <si>
    <t>081325134122</t>
  </si>
  <si>
    <t>081392250228</t>
  </si>
  <si>
    <t>085643788989</t>
  </si>
  <si>
    <t>087787620884</t>
  </si>
  <si>
    <t>08563326584</t>
  </si>
  <si>
    <t>08562946477</t>
  </si>
  <si>
    <t>087836880232</t>
  </si>
  <si>
    <t>08114613789</t>
  </si>
  <si>
    <t>087779994188</t>
  </si>
  <si>
    <t>081227180332</t>
  </si>
  <si>
    <t>085693431317</t>
  </si>
  <si>
    <t>089652951221</t>
  </si>
  <si>
    <t>081228407810</t>
  </si>
  <si>
    <t>081251969990</t>
  </si>
  <si>
    <t>081326465064</t>
  </si>
  <si>
    <t>081227035559</t>
  </si>
  <si>
    <t>085292168456</t>
  </si>
  <si>
    <t>085225195315</t>
  </si>
  <si>
    <t>081328917845</t>
  </si>
  <si>
    <t>081288803507</t>
  </si>
  <si>
    <t>085278883550</t>
  </si>
  <si>
    <t>081265498333</t>
  </si>
  <si>
    <t>085695780009</t>
  </si>
  <si>
    <t>08122789934</t>
  </si>
  <si>
    <t>085719552381</t>
  </si>
  <si>
    <t>085293611700</t>
  </si>
  <si>
    <t>081390390057</t>
  </si>
  <si>
    <t>085647647666</t>
  </si>
  <si>
    <t>08112997268</t>
  </si>
  <si>
    <t>081226299474</t>
  </si>
  <si>
    <t>085251719666</t>
  </si>
  <si>
    <t>08112571318</t>
  </si>
  <si>
    <t>085290898235</t>
  </si>
  <si>
    <t>082124163166</t>
  </si>
  <si>
    <t>085225529409</t>
  </si>
  <si>
    <t>08974178512</t>
  </si>
  <si>
    <t>085336562516</t>
  </si>
  <si>
    <t>085695088544</t>
  </si>
  <si>
    <t>089519401341</t>
  </si>
  <si>
    <t>08113030355</t>
  </si>
  <si>
    <t>081227759702</t>
  </si>
  <si>
    <t>081327575683</t>
  </si>
  <si>
    <t>081210167778</t>
  </si>
  <si>
    <t>08122759752</t>
  </si>
  <si>
    <t>082143219119</t>
  </si>
  <si>
    <t>085842749426</t>
  </si>
  <si>
    <t>081390400301</t>
  </si>
  <si>
    <t>081349700483</t>
  </si>
  <si>
    <t>0817534421</t>
  </si>
  <si>
    <t>08116927788</t>
  </si>
  <si>
    <t>081226250090</t>
  </si>
  <si>
    <t>08121571126</t>
  </si>
  <si>
    <t>081226026026</t>
  </si>
  <si>
    <t>08123357471</t>
  </si>
  <si>
    <t>085730412362</t>
  </si>
  <si>
    <t>081910766777</t>
  </si>
  <si>
    <t>081382797342</t>
  </si>
  <si>
    <t>081348606161</t>
  </si>
  <si>
    <t>085247522616</t>
  </si>
  <si>
    <t>08996555550</t>
  </si>
  <si>
    <t>0812580627</t>
  </si>
  <si>
    <t>085540103576</t>
  </si>
  <si>
    <t>0811500690</t>
  </si>
  <si>
    <t>08122742881</t>
  </si>
  <si>
    <t>081931769898</t>
  </si>
  <si>
    <t>085255668909</t>
  </si>
  <si>
    <t>081332288885</t>
  </si>
  <si>
    <t>08112606464</t>
  </si>
  <si>
    <t>082138253334</t>
  </si>
  <si>
    <t>085221432900</t>
  </si>
  <si>
    <t>111202623357944</t>
  </si>
  <si>
    <t>Muhammad Irfan Syihab, S.Hum.</t>
  </si>
  <si>
    <t>Dr. Mhd. Lailan Arqam, M.Pd.</t>
  </si>
  <si>
    <t>-/895 833</t>
  </si>
  <si>
    <t>Husnan Wadi, S.H.I., M.P.I.</t>
  </si>
  <si>
    <t>Fajar Nurahman, S.Pd.</t>
  </si>
  <si>
    <t>Muhammad Rifki Hidayat, S.Ag.</t>
  </si>
  <si>
    <t>R. Arief Toto Purwandaru, S.Pd.</t>
  </si>
  <si>
    <t>Lilik Wijayanto, S.Pd.</t>
  </si>
  <si>
    <t>Ahmad Afifuddin Syarif, S.Pd.</t>
  </si>
  <si>
    <t>Syahda Agustian Supriyanto, S.Pd.</t>
  </si>
  <si>
    <t>Yusup Siradz, S.Pd.I., M.S.I.</t>
  </si>
  <si>
    <t>Muhammad Faisal Fakhrurozi, S.Pd.</t>
  </si>
  <si>
    <t>13 Juli 2026</t>
  </si>
  <si>
    <t>1 Desember 2013</t>
  </si>
  <si>
    <t>25 Maret 2013</t>
  </si>
  <si>
    <t>24 Juli 2013</t>
  </si>
  <si>
    <t>4 Oktober 2013</t>
  </si>
  <si>
    <t>6 Juli 2013</t>
  </si>
  <si>
    <t>19 Februari 2013</t>
  </si>
  <si>
    <t>29 Juni 2013</t>
  </si>
  <si>
    <t>21 Maret 2014</t>
  </si>
  <si>
    <t>1 April 2014</t>
  </si>
  <si>
    <t>17 Agustus 2013</t>
  </si>
  <si>
    <t>7 Desember 2013</t>
  </si>
  <si>
    <t>15 Mei 2014</t>
  </si>
  <si>
    <t>14 Oktober 2013</t>
  </si>
  <si>
    <t>13 November 2013</t>
  </si>
  <si>
    <t>27 Mei 2013</t>
  </si>
  <si>
    <t>11 April 2013</t>
  </si>
  <si>
    <t>20 Mei 2013</t>
  </si>
  <si>
    <t>12 November 2014</t>
  </si>
  <si>
    <t>18 Januari 2014</t>
  </si>
  <si>
    <t>22 Juni 2013</t>
  </si>
  <si>
    <t>24 Mei 2013</t>
  </si>
  <si>
    <t>9 November 2013</t>
  </si>
  <si>
    <t>4 Agustus 2013</t>
  </si>
  <si>
    <t>14 Januari 2014</t>
  </si>
  <si>
    <t>18 September 2013</t>
  </si>
  <si>
    <t>19 November 2013</t>
  </si>
  <si>
    <t>5 Juli 2013</t>
  </si>
  <si>
    <t>25 Mei 2014</t>
  </si>
  <si>
    <t>18 Juni 2013</t>
  </si>
  <si>
    <t>14 Agustus 2013</t>
  </si>
  <si>
    <t>11 Desember 2013</t>
  </si>
  <si>
    <t>4 November 2013</t>
  </si>
  <si>
    <t>1 Januari 2014</t>
  </si>
  <si>
    <t>1 Februari 2014</t>
  </si>
  <si>
    <t>25 April 2014</t>
  </si>
  <si>
    <t>13 Februari 2014</t>
  </si>
  <si>
    <t>29 Januari 2014</t>
  </si>
  <si>
    <t>13 Januari 2014</t>
  </si>
  <si>
    <t>21 Juli 2013</t>
  </si>
  <si>
    <t>12 Mei 2013</t>
  </si>
  <si>
    <t>25 November 2013</t>
  </si>
  <si>
    <t>10 Maret 2014</t>
  </si>
  <si>
    <t>5 Desember 2014</t>
  </si>
  <si>
    <t>4 Juni 2014</t>
  </si>
  <si>
    <t>22 Juli 2014</t>
  </si>
  <si>
    <t>5 Juni 2013</t>
  </si>
  <si>
    <t>29 Juli 2014</t>
  </si>
  <si>
    <t>26 April 2014</t>
  </si>
  <si>
    <t>23 Juni 2013</t>
  </si>
  <si>
    <t>28 Desember 2013</t>
  </si>
  <si>
    <t>1 Agustus 2014</t>
  </si>
  <si>
    <t>12 Januari 2014</t>
  </si>
  <si>
    <t>26 Juni 2013</t>
  </si>
  <si>
    <t>19 Agustus 2013</t>
  </si>
  <si>
    <t>19 Juli 2013</t>
  </si>
  <si>
    <t>30 Mei 2013</t>
  </si>
  <si>
    <t>7 September 2013</t>
  </si>
  <si>
    <t>5 Agustus 2013</t>
  </si>
  <si>
    <t>3 Februari 2014</t>
  </si>
  <si>
    <t>4 Mei 2014</t>
  </si>
  <si>
    <t>23 September 2013</t>
  </si>
  <si>
    <t>31 Agustus 2013</t>
  </si>
  <si>
    <t>22 Oktober 2013</t>
  </si>
  <si>
    <t>23 Oktober 2013</t>
  </si>
  <si>
    <t>30 April 2014</t>
  </si>
  <si>
    <t>12 November 2013</t>
  </si>
  <si>
    <t>11 Januari 2014</t>
  </si>
  <si>
    <t>7 April 2014</t>
  </si>
  <si>
    <t>14 Juni 2014</t>
  </si>
  <si>
    <t>31 Agustus 2014</t>
  </si>
  <si>
    <t>11 Juli 2014</t>
  </si>
  <si>
    <t>26 Desember 2013</t>
  </si>
  <si>
    <t>3 November 2013</t>
  </si>
  <si>
    <t>2 Oktober 2013</t>
  </si>
  <si>
    <t>8 Oktober 2113</t>
  </si>
  <si>
    <t>17 Oktober 2013</t>
  </si>
  <si>
    <t>9 April 2014</t>
  </si>
  <si>
    <t>3 Desember 2013</t>
  </si>
  <si>
    <t>4 Januari 2014</t>
  </si>
  <si>
    <t>27 April 2014</t>
  </si>
  <si>
    <t>5 Desember 2013</t>
  </si>
  <si>
    <t>21 Juli 2014</t>
  </si>
  <si>
    <t>23 Januari 2013</t>
  </si>
  <si>
    <t>10 Februari 2014</t>
  </si>
  <si>
    <t>25 September 2013</t>
  </si>
  <si>
    <t>16 Juli 2013</t>
  </si>
  <si>
    <t>21 Agustus 2013</t>
  </si>
  <si>
    <t>18 Juli 2014</t>
  </si>
  <si>
    <t>22 April 2014</t>
  </si>
  <si>
    <t>30 Agustus 2013</t>
  </si>
  <si>
    <t>10 Januari 2014</t>
  </si>
  <si>
    <t>9 Februari 2014</t>
  </si>
  <si>
    <t>17 Desember 2012</t>
  </si>
  <si>
    <t>14 September 2013</t>
  </si>
  <si>
    <t>9 September 2013</t>
  </si>
  <si>
    <t>367403090913006</t>
  </si>
  <si>
    <t>2 Juni 2014</t>
  </si>
  <si>
    <t>12 September 2013</t>
  </si>
  <si>
    <t>8 Februari 2014</t>
  </si>
  <si>
    <t>24 Maret 2014</t>
  </si>
  <si>
    <t>22 April 2013</t>
  </si>
  <si>
    <t>21 November 2013</t>
  </si>
  <si>
    <t>1 Oktober 2013</t>
  </si>
  <si>
    <t>25 Juli 2014</t>
  </si>
  <si>
    <t>21 Juni 2013</t>
  </si>
  <si>
    <t>22 Juli 2013</t>
  </si>
  <si>
    <t>13 Mei 2014</t>
  </si>
  <si>
    <t>31 Januari 2014</t>
  </si>
  <si>
    <t>21 Mei 2013</t>
  </si>
  <si>
    <t>19 Maret 2014</t>
  </si>
  <si>
    <t>5 Januari 2014</t>
  </si>
  <si>
    <t>24 April 2014</t>
  </si>
  <si>
    <t>17 Juni 2013</t>
  </si>
  <si>
    <t>8 November 2013</t>
  </si>
  <si>
    <t>2 April 2014</t>
  </si>
  <si>
    <t>28 Agustus 2013</t>
  </si>
  <si>
    <t>25 Februari 2014</t>
  </si>
  <si>
    <t>22 Maret 2014</t>
  </si>
  <si>
    <t>16 November 2013</t>
  </si>
  <si>
    <t>3 April 2014</t>
  </si>
  <si>
    <t>13 Mei 2013</t>
  </si>
  <si>
    <t>10 April 2014</t>
  </si>
  <si>
    <t>1 Juli 2014</t>
  </si>
  <si>
    <t>29 Maret 2014</t>
  </si>
  <si>
    <t>27 Maret 2013</t>
  </si>
  <si>
    <t>13 Juni 2013</t>
  </si>
  <si>
    <t>18 Februari 2014</t>
  </si>
  <si>
    <t>2 Mei 2013</t>
  </si>
  <si>
    <t>30 September 2013</t>
  </si>
  <si>
    <t>1 Maret 2013</t>
  </si>
  <si>
    <t>20 Mei 2014</t>
  </si>
  <si>
    <t>6 April 2013</t>
  </si>
  <si>
    <t>9 Maret 2014</t>
  </si>
  <si>
    <t>27 Februari 2014</t>
  </si>
  <si>
    <t>30 November 2013</t>
  </si>
  <si>
    <t>10 Oktober 2013</t>
  </si>
  <si>
    <t>30 Agustus 2014</t>
  </si>
  <si>
    <t>31 Mei 2013</t>
  </si>
  <si>
    <t>7 Januari 2013</t>
  </si>
  <si>
    <t>7 Februari 2014</t>
  </si>
  <si>
    <t>9 Juni 2013</t>
  </si>
  <si>
    <t>4 September 2013</t>
  </si>
  <si>
    <t>8 Agustus 2013</t>
  </si>
  <si>
    <t>4 Maret 2014</t>
  </si>
  <si>
    <t>16 Oktober 2013</t>
  </si>
  <si>
    <t>Jl. KH Maulana Hasanudin Gg. Gudig 2 RT 07/01 No.15 Kel. Cipondoh Kec.Cipondoh Kota Tangerang - Banten</t>
  </si>
  <si>
    <t>Jln Mediatama no.17 Taman Setiabudi Kel. Srondol Wetan Kec. Banyumanik Kota Semarang Jawa Tengah</t>
  </si>
  <si>
    <t>Perumahan Pesanggrahan Pratama, Jl. Ampel Pratama III, D3-No.5 Karangploso, Kabn Malang, Jawa Timur</t>
  </si>
  <si>
    <t>Jl Pramuka Komp Rahayu Pembina 3 RIL/39 RT 023 RW 002 Sungai Lulut Banjarmasin Timur Kota Banjarmasin Kalsel</t>
  </si>
  <si>
    <t>Perum Korpri Blok F No 15 RT 005 Kel, Sekolaq Oday Kec, Sekolaq Darat Kutai Barat Kaltim</t>
  </si>
  <si>
    <t>Ngentak Palihan Rt 02 Sidomulyo Bambanglipuro Bantul DIY</t>
  </si>
  <si>
    <t>Pasekan Lor RT 03 RW 03 Balecatur Gamping Sleman DIY</t>
  </si>
  <si>
    <t>Perum Marbela Extention Blok G1 No. 6 RT 003 RW 039 Belian Batam Kota Kota Batam Kep. Riau</t>
  </si>
  <si>
    <t>Minggiran MJ 2/1482 B RT 056 RW 015 Suryodiningratan Mantrijeron Kota Yogyakarta DIY</t>
  </si>
  <si>
    <t>Jl. Kenari, Gg. Tanjung VII/37.B RT 006 RW 002 Muja Muju Umbulharo Kota Yogyakarta DIY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</si>
</sst>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-&quot;Rp&quot;* #,##0_-;\-&quot;Rp&quot;* #,##0_-;_-&quot;Rp&quot;* &quot;-&quot;_-;_-@_-"/>
    <numFmt numFmtId="164" formatCode="[$-409]d\-mmm\-yy;@"/>
    <numFmt numFmtId="165" formatCode="[$-421]dd\ mmmm\ yyyy;@"/>
    <numFmt numFmtId="166" formatCode="yyyy\-mm\-dd;@"/>
    <numFmt numFmtId="167" formatCode="dd/mm/yyyy;@"/>
    <numFmt numFmtId="168" formatCode="d/m/yyyy"/>
    <numFmt numFmtId="169" formatCode="&quot;0&quot;#"/>
    <numFmt numFmtId="170" formatCode="d/mm/yyyy;@"/>
  </numFmts>
  <fonts count="44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Swis721 Cn BT"/>
      <family val="2"/>
    </font>
    <font>
      <sz val="11"/>
      <color theme="1"/>
      <name val="Calibri Light"/>
      <family val="1"/>
      <scheme val="major"/>
    </font>
    <font>
      <sz val="10"/>
      <color theme="1"/>
      <name val="Cambria"/>
      <family val="1"/>
    </font>
    <font>
      <sz val="11"/>
      <color theme="1"/>
      <name val="Cambria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0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4"/>
      <name val="Bodoni MT Black"/>
      <family val="1"/>
    </font>
    <font>
      <sz val="9"/>
      <color theme="1"/>
      <name val="Times New Roman"/>
      <family val="1"/>
    </font>
    <font>
      <b/>
      <sz val="10"/>
      <color theme="1"/>
      <name val="Times New Roman"/>
      <family val="1"/>
    </font>
    <font>
      <u/>
      <sz val="11"/>
      <color theme="10"/>
      <name val="Calibri"/>
      <family val="2"/>
      <charset val="1"/>
      <scheme val="minor"/>
    </font>
    <font>
      <u/>
      <sz val="11"/>
      <color theme="10"/>
      <name val="Times New Roman"/>
      <family val="1"/>
    </font>
    <font>
      <sz val="8"/>
      <name val="Calibri"/>
      <family val="2"/>
      <charset val="1"/>
      <scheme val="minor"/>
    </font>
    <font>
      <sz val="8"/>
      <color theme="1"/>
      <name val="Times New Roman"/>
      <family val="1"/>
    </font>
    <font>
      <sz val="11"/>
      <color rgb="FF000000"/>
      <name val="Times New Roman"/>
      <family val="1"/>
    </font>
    <font>
      <sz val="10"/>
      <color rgb="FFFF0000"/>
      <name val="Calibri"/>
      <family val="2"/>
      <scheme val="minor"/>
    </font>
    <font>
      <sz val="8"/>
      <color rgb="FF000000"/>
      <name val="Times New Roman"/>
      <family val="1"/>
    </font>
    <font>
      <sz val="12"/>
      <color indexed="8"/>
      <name val="Times New Roman"/>
      <family val="1"/>
    </font>
    <font>
      <sz val="12"/>
      <name val="Times New Roman"/>
      <family val="1"/>
    </font>
    <font>
      <sz val="12"/>
      <color theme="1"/>
      <name val="Calibri"/>
      <family val="2"/>
      <charset val="1"/>
      <scheme val="minor"/>
    </font>
    <font>
      <u/>
      <sz val="12"/>
      <color theme="10"/>
      <name val="Times New Roman"/>
      <family val="1"/>
    </font>
    <font>
      <sz val="9"/>
      <color rgb="FF000000"/>
      <name val="Times New Roman"/>
      <family val="1"/>
    </font>
    <font>
      <u/>
      <sz val="12"/>
      <color theme="10"/>
      <name val="Calibri"/>
      <family val="2"/>
      <charset val="1"/>
      <scheme val="minor"/>
    </font>
    <font>
      <sz val="12"/>
      <name val="Calibri"/>
      <family val="2"/>
      <charset val="1"/>
      <scheme val="minor"/>
    </font>
    <font>
      <sz val="10"/>
      <color theme="1"/>
      <name val="Calibri"/>
      <family val="2"/>
      <charset val="1"/>
      <scheme val="minor"/>
    </font>
    <font>
      <sz val="10"/>
      <name val="Times New Roman"/>
      <family val="1"/>
    </font>
    <font>
      <b/>
      <sz val="11"/>
      <color theme="1"/>
      <name val="Cambria"/>
      <family val="1"/>
    </font>
    <font>
      <b/>
      <sz val="11"/>
      <name val="Cambria"/>
      <family val="1"/>
    </font>
    <font>
      <b/>
      <sz val="10"/>
      <color theme="1"/>
      <name val="Cambria"/>
      <family val="1"/>
    </font>
    <font>
      <b/>
      <sz val="9"/>
      <color theme="1"/>
      <name val="Cambria"/>
      <family val="1"/>
    </font>
    <font>
      <b/>
      <sz val="10"/>
      <name val="Cambria"/>
      <family val="1"/>
    </font>
    <font>
      <b/>
      <sz val="12"/>
      <color theme="1"/>
      <name val="Cambria"/>
      <family val="1"/>
    </font>
    <font>
      <b/>
      <sz val="16"/>
      <color theme="1"/>
      <name val="Cambria"/>
      <family val="1"/>
    </font>
  </fonts>
  <fills count="22">
    <fill>
      <patternFill patternType="none"/>
    </fill>
    <fill>
      <patternFill patternType="gray125"/>
    </fill>
    <fill>
      <patternFill patternType="solid">
        <fgColor rgb="FFCCEC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419">
    <xf numFmtId="0" fontId="0" fillId="0" borderId="0" xfId="0"/>
    <xf numFmtId="0" fontId="6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/>
    </xf>
    <xf numFmtId="0" fontId="6" fillId="0" borderId="0" xfId="0" applyFont="1"/>
    <xf numFmtId="1" fontId="6" fillId="0" borderId="0" xfId="0" applyNumberFormat="1" applyFont="1" applyAlignment="1">
      <alignment horizontal="center"/>
    </xf>
    <xf numFmtId="1" fontId="6" fillId="0" borderId="0" xfId="0" applyNumberFormat="1" applyFont="1"/>
    <xf numFmtId="0" fontId="6" fillId="0" borderId="0" xfId="0" applyFont="1" applyAlignment="1">
      <alignment wrapText="1"/>
    </xf>
    <xf numFmtId="0" fontId="6" fillId="0" borderId="1" xfId="0" applyFont="1" applyBorder="1" applyAlignment="1">
      <alignment vertical="center"/>
    </xf>
    <xf numFmtId="1" fontId="8" fillId="0" borderId="4" xfId="0" applyNumberFormat="1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 readingOrder="1"/>
    </xf>
    <xf numFmtId="0" fontId="4" fillId="0" borderId="0" xfId="0" applyFont="1"/>
    <xf numFmtId="0" fontId="10" fillId="4" borderId="4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6" borderId="4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11" borderId="4" xfId="0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1" fillId="0" borderId="0" xfId="0" applyFont="1" applyProtection="1">
      <protection locked="0"/>
    </xf>
    <xf numFmtId="0" fontId="12" fillId="0" borderId="0" xfId="0" applyFont="1" applyAlignment="1">
      <alignment horizontal="center" vertical="center"/>
    </xf>
    <xf numFmtId="0" fontId="6" fillId="0" borderId="0" xfId="0" applyFont="1" applyAlignment="1">
      <alignment horizontal="center" wrapText="1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wrapText="1"/>
    </xf>
    <xf numFmtId="0" fontId="15" fillId="0" borderId="4" xfId="0" applyFont="1" applyBorder="1" applyAlignment="1">
      <alignment horizontal="center" vertical="center"/>
    </xf>
    <xf numFmtId="1" fontId="16" fillId="0" borderId="4" xfId="0" applyNumberFormat="1" applyFont="1" applyBorder="1" applyAlignment="1">
      <alignment horizontal="center" vertical="center"/>
    </xf>
    <xf numFmtId="0" fontId="17" fillId="0" borderId="4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5" fillId="0" borderId="4" xfId="0" applyFont="1" applyBorder="1" applyAlignment="1">
      <alignment vertical="center" wrapText="1"/>
    </xf>
    <xf numFmtId="49" fontId="15" fillId="0" borderId="4" xfId="0" applyNumberFormat="1" applyFont="1" applyBorder="1" applyAlignment="1">
      <alignment vertical="center"/>
    </xf>
    <xf numFmtId="0" fontId="15" fillId="0" borderId="0" xfId="0" applyFont="1" applyAlignment="1">
      <alignment vertical="center" wrapText="1"/>
    </xf>
    <xf numFmtId="0" fontId="15" fillId="0" borderId="0" xfId="0" applyFont="1" applyAlignment="1">
      <alignment vertical="center"/>
    </xf>
    <xf numFmtId="0" fontId="15" fillId="0" borderId="3" xfId="0" applyFont="1" applyBorder="1" applyAlignment="1">
      <alignment vertical="center" wrapText="1"/>
    </xf>
    <xf numFmtId="0" fontId="15" fillId="0" borderId="0" xfId="0" applyFont="1" applyAlignment="1">
      <alignment horizontal="center" vertical="center"/>
    </xf>
    <xf numFmtId="1" fontId="16" fillId="0" borderId="0" xfId="0" applyNumberFormat="1" applyFont="1" applyAlignment="1">
      <alignment horizontal="center" vertical="center"/>
    </xf>
    <xf numFmtId="0" fontId="17" fillId="0" borderId="0" xfId="0" applyFont="1" applyAlignment="1">
      <alignment vertical="center" wrapText="1"/>
    </xf>
    <xf numFmtId="49" fontId="15" fillId="0" borderId="0" xfId="0" applyNumberFormat="1" applyFont="1" applyAlignment="1">
      <alignment vertical="center"/>
    </xf>
    <xf numFmtId="49" fontId="15" fillId="0" borderId="4" xfId="0" applyNumberFormat="1" applyFont="1" applyBorder="1" applyAlignment="1">
      <alignment horizontal="center" vertical="center" wrapText="1"/>
    </xf>
    <xf numFmtId="1" fontId="6" fillId="0" borderId="0" xfId="0" applyNumberFormat="1" applyFont="1" applyAlignment="1">
      <alignment vertical="center" wrapText="1"/>
    </xf>
    <xf numFmtId="49" fontId="15" fillId="12" borderId="4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49" fontId="6" fillId="0" borderId="0" xfId="0" applyNumberFormat="1" applyFont="1"/>
    <xf numFmtId="0" fontId="6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vertical="center"/>
    </xf>
    <xf numFmtId="0" fontId="6" fillId="0" borderId="0" xfId="0" applyFont="1" applyAlignment="1">
      <alignment vertical="center" wrapText="1"/>
    </xf>
    <xf numFmtId="0" fontId="6" fillId="0" borderId="0" xfId="0" applyFont="1" applyAlignment="1">
      <alignment vertical="center"/>
    </xf>
    <xf numFmtId="0" fontId="6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" fontId="6" fillId="0" borderId="7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6" fillId="13" borderId="0" xfId="0" applyFont="1" applyFill="1" applyAlignment="1">
      <alignment vertical="center"/>
    </xf>
    <xf numFmtId="0" fontId="7" fillId="0" borderId="4" xfId="0" applyFont="1" applyBorder="1" applyAlignment="1">
      <alignment vertical="center" wrapText="1"/>
    </xf>
    <xf numFmtId="0" fontId="18" fillId="0" borderId="5" xfId="0" applyFont="1" applyBorder="1" applyProtection="1">
      <protection locked="0"/>
    </xf>
    <xf numFmtId="0" fontId="6" fillId="0" borderId="1" xfId="0" applyFont="1" applyBorder="1" applyAlignment="1">
      <alignment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164" fontId="6" fillId="0" borderId="0" xfId="0" applyNumberFormat="1" applyFont="1" applyAlignment="1">
      <alignment horizontal="center"/>
    </xf>
    <xf numFmtId="0" fontId="6" fillId="0" borderId="3" xfId="0" applyFont="1" applyBorder="1" applyAlignment="1">
      <alignment vertical="center" wrapText="1"/>
    </xf>
    <xf numFmtId="0" fontId="18" fillId="0" borderId="5" xfId="0" applyFont="1" applyBorder="1" applyAlignment="1" applyProtection="1">
      <alignment horizontal="center"/>
      <protection locked="0"/>
    </xf>
    <xf numFmtId="1" fontId="6" fillId="0" borderId="8" xfId="0" applyNumberFormat="1" applyFont="1" applyBorder="1" applyAlignment="1">
      <alignment horizontal="center" vertical="center"/>
    </xf>
    <xf numFmtId="1" fontId="6" fillId="0" borderId="15" xfId="0" applyNumberFormat="1" applyFont="1" applyBorder="1" applyAlignment="1">
      <alignment horizontal="center" vertical="center"/>
    </xf>
    <xf numFmtId="1" fontId="6" fillId="0" borderId="4" xfId="0" applyNumberFormat="1" applyFont="1" applyBorder="1" applyAlignment="1">
      <alignment horizontal="center" vertical="center"/>
    </xf>
    <xf numFmtId="1" fontId="15" fillId="0" borderId="4" xfId="0" applyNumberFormat="1" applyFont="1" applyBorder="1" applyAlignment="1">
      <alignment horizontal="center" vertical="center" wrapText="1"/>
    </xf>
    <xf numFmtId="49" fontId="6" fillId="0" borderId="4" xfId="0" applyNumberFormat="1" applyFont="1" applyBorder="1" applyAlignment="1">
      <alignment vertical="center" wrapText="1"/>
    </xf>
    <xf numFmtId="49" fontId="6" fillId="0" borderId="0" xfId="0" applyNumberFormat="1" applyFont="1" applyAlignment="1">
      <alignment wrapText="1"/>
    </xf>
    <xf numFmtId="49" fontId="5" fillId="0" borderId="11" xfId="0" applyNumberFormat="1" applyFont="1" applyBorder="1" applyAlignment="1">
      <alignment horizontal="center" vertical="center" wrapText="1"/>
    </xf>
    <xf numFmtId="49" fontId="6" fillId="0" borderId="11" xfId="0" applyNumberFormat="1" applyFont="1" applyBorder="1" applyAlignment="1">
      <alignment vertical="center" wrapText="1"/>
    </xf>
    <xf numFmtId="49" fontId="6" fillId="0" borderId="9" xfId="0" applyNumberFormat="1" applyFont="1" applyBorder="1" applyAlignment="1">
      <alignment vertical="center" wrapText="1"/>
    </xf>
    <xf numFmtId="49" fontId="6" fillId="0" borderId="2" xfId="0" applyNumberFormat="1" applyFont="1" applyBorder="1" applyAlignment="1">
      <alignment vertical="center" wrapText="1"/>
    </xf>
    <xf numFmtId="0" fontId="5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49" fontId="20" fillId="0" borderId="4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 wrapText="1"/>
    </xf>
    <xf numFmtId="49" fontId="15" fillId="0" borderId="0" xfId="0" applyNumberFormat="1" applyFont="1" applyAlignment="1">
      <alignment horizontal="center" wrapText="1"/>
    </xf>
    <xf numFmtId="49" fontId="15" fillId="0" borderId="4" xfId="0" applyNumberFormat="1" applyFont="1" applyBorder="1" applyAlignment="1">
      <alignment vertical="center" wrapText="1"/>
    </xf>
    <xf numFmtId="164" fontId="15" fillId="0" borderId="4" xfId="0" applyNumberFormat="1" applyFont="1" applyBorder="1" applyAlignment="1">
      <alignment vertical="center" wrapText="1"/>
    </xf>
    <xf numFmtId="49" fontId="15" fillId="0" borderId="0" xfId="0" applyNumberFormat="1" applyFont="1" applyAlignment="1">
      <alignment wrapText="1"/>
    </xf>
    <xf numFmtId="0" fontId="15" fillId="0" borderId="0" xfId="0" applyFont="1" applyAlignment="1">
      <alignment wrapText="1"/>
    </xf>
    <xf numFmtId="164" fontId="15" fillId="0" borderId="0" xfId="0" applyNumberFormat="1" applyFont="1" applyAlignment="1">
      <alignment wrapText="1"/>
    </xf>
    <xf numFmtId="0" fontId="15" fillId="0" borderId="4" xfId="0" applyFont="1" applyBorder="1" applyAlignment="1">
      <alignment horizontal="center" vertical="center" wrapText="1"/>
    </xf>
    <xf numFmtId="164" fontId="15" fillId="0" borderId="4" xfId="0" applyNumberFormat="1" applyFont="1" applyBorder="1" applyAlignment="1">
      <alignment horizontal="center" vertical="center" wrapText="1"/>
    </xf>
    <xf numFmtId="1" fontId="8" fillId="0" borderId="4" xfId="0" applyNumberFormat="1" applyFont="1" applyBorder="1" applyAlignment="1">
      <alignment horizontal="center" vertical="center" wrapText="1"/>
    </xf>
    <xf numFmtId="0" fontId="17" fillId="0" borderId="4" xfId="0" applyFont="1" applyBorder="1" applyAlignment="1">
      <alignment vertical="center"/>
    </xf>
    <xf numFmtId="49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0" fontId="6" fillId="0" borderId="7" xfId="0" applyFont="1" applyBorder="1" applyAlignment="1">
      <alignment vertical="center" wrapText="1"/>
    </xf>
    <xf numFmtId="0" fontId="5" fillId="0" borderId="8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" fontId="5" fillId="0" borderId="7" xfId="0" applyNumberFormat="1" applyFont="1" applyBorder="1" applyAlignment="1">
      <alignment horizontal="center" vertical="center" wrapText="1"/>
    </xf>
    <xf numFmtId="0" fontId="6" fillId="0" borderId="11" xfId="0" applyFont="1" applyBorder="1" applyAlignment="1">
      <alignment vertical="center" wrapText="1"/>
    </xf>
    <xf numFmtId="49" fontId="6" fillId="0" borderId="4" xfId="0" applyNumberFormat="1" applyFont="1" applyBorder="1" applyAlignment="1">
      <alignment horizontal="left" vertical="center"/>
    </xf>
    <xf numFmtId="0" fontId="14" fillId="0" borderId="7" xfId="0" applyFont="1" applyBorder="1" applyAlignment="1">
      <alignment vertical="center" wrapText="1"/>
    </xf>
    <xf numFmtId="0" fontId="15" fillId="0" borderId="4" xfId="0" applyFont="1" applyBorder="1" applyAlignment="1">
      <alignment horizontal="left" vertical="center" wrapText="1"/>
    </xf>
    <xf numFmtId="0" fontId="24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  <xf numFmtId="1" fontId="16" fillId="14" borderId="4" xfId="0" applyNumberFormat="1" applyFont="1" applyFill="1" applyBorder="1" applyAlignment="1">
      <alignment horizontal="center" vertical="center"/>
    </xf>
    <xf numFmtId="49" fontId="19" fillId="14" borderId="4" xfId="0" applyNumberFormat="1" applyFont="1" applyFill="1" applyBorder="1" applyAlignment="1">
      <alignment horizontal="center" vertical="center" wrapText="1"/>
    </xf>
    <xf numFmtId="0" fontId="17" fillId="14" borderId="4" xfId="0" applyFont="1" applyFill="1" applyBorder="1" applyAlignment="1">
      <alignment vertical="center" wrapText="1"/>
    </xf>
    <xf numFmtId="0" fontId="7" fillId="14" borderId="4" xfId="0" applyFont="1" applyFill="1" applyBorder="1" applyAlignment="1">
      <alignment vertical="center" wrapText="1"/>
    </xf>
    <xf numFmtId="0" fontId="6" fillId="14" borderId="1" xfId="0" applyFont="1" applyFill="1" applyBorder="1" applyAlignment="1">
      <alignment vertical="center" wrapText="1"/>
    </xf>
    <xf numFmtId="0" fontId="15" fillId="14" borderId="4" xfId="0" applyFont="1" applyFill="1" applyBorder="1" applyAlignment="1">
      <alignment vertical="center" wrapText="1"/>
    </xf>
    <xf numFmtId="164" fontId="15" fillId="14" borderId="4" xfId="0" applyNumberFormat="1" applyFont="1" applyFill="1" applyBorder="1" applyAlignment="1">
      <alignment vertical="center" wrapText="1"/>
    </xf>
    <xf numFmtId="49" fontId="15" fillId="14" borderId="4" xfId="0" applyNumberFormat="1" applyFont="1" applyFill="1" applyBorder="1" applyAlignment="1">
      <alignment vertical="center" wrapText="1"/>
    </xf>
    <xf numFmtId="49" fontId="6" fillId="14" borderId="11" xfId="0" applyNumberFormat="1" applyFont="1" applyFill="1" applyBorder="1" applyAlignment="1">
      <alignment vertical="center" wrapText="1"/>
    </xf>
    <xf numFmtId="0" fontId="6" fillId="14" borderId="4" xfId="0" applyFont="1" applyFill="1" applyBorder="1" applyAlignment="1">
      <alignment vertical="center" wrapText="1"/>
    </xf>
    <xf numFmtId="0" fontId="25" fillId="4" borderId="16" xfId="0" applyFont="1" applyFill="1" applyBorder="1" applyAlignment="1">
      <alignment vertical="center"/>
    </xf>
    <xf numFmtId="1" fontId="6" fillId="4" borderId="4" xfId="0" applyNumberFormat="1" applyFont="1" applyFill="1" applyBorder="1" applyAlignment="1">
      <alignment horizontal="center" vertical="center"/>
    </xf>
    <xf numFmtId="49" fontId="6" fillId="0" borderId="4" xfId="0" applyNumberFormat="1" applyFont="1" applyBorder="1" applyAlignment="1">
      <alignment horizontal="center" vertical="center" wrapText="1"/>
    </xf>
    <xf numFmtId="1" fontId="5" fillId="0" borderId="3" xfId="0" applyNumberFormat="1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center" wrapText="1"/>
    </xf>
    <xf numFmtId="0" fontId="6" fillId="0" borderId="0" xfId="0" applyFont="1" applyAlignment="1">
      <alignment horizontal="left"/>
    </xf>
    <xf numFmtId="49" fontId="17" fillId="0" borderId="4" xfId="0" applyNumberFormat="1" applyFont="1" applyBorder="1" applyAlignment="1">
      <alignment vertical="center" wrapText="1"/>
    </xf>
    <xf numFmtId="49" fontId="19" fillId="0" borderId="0" xfId="0" applyNumberFormat="1" applyFont="1" applyAlignment="1">
      <alignment horizontal="center" vertical="center" wrapText="1"/>
    </xf>
    <xf numFmtId="1" fontId="15" fillId="0" borderId="0" xfId="0" applyNumberFormat="1" applyFont="1" applyAlignment="1">
      <alignment horizontal="center" vertical="center" wrapText="1"/>
    </xf>
    <xf numFmtId="0" fontId="10" fillId="15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6" fillId="0" borderId="0" xfId="0" applyFont="1" applyAlignment="1">
      <alignment horizontal="left" wrapText="1"/>
    </xf>
    <xf numFmtId="165" fontId="8" fillId="0" borderId="4" xfId="0" quotePrefix="1" applyNumberFormat="1" applyFont="1" applyBorder="1" applyAlignment="1">
      <alignment horizontal="center" vertical="center"/>
    </xf>
    <xf numFmtId="1" fontId="16" fillId="0" borderId="4" xfId="0" applyNumberFormat="1" applyFont="1" applyBorder="1" applyAlignment="1">
      <alignment horizontal="center" vertical="center" wrapText="1"/>
    </xf>
    <xf numFmtId="1" fontId="16" fillId="0" borderId="13" xfId="0" applyNumberFormat="1" applyFont="1" applyBorder="1" applyAlignment="1">
      <alignment horizontal="center" vertical="center" wrapText="1"/>
    </xf>
    <xf numFmtId="165" fontId="6" fillId="0" borderId="4" xfId="0" quotePrefix="1" applyNumberFormat="1" applyFont="1" applyBorder="1" applyAlignment="1">
      <alignment horizontal="center" vertical="center"/>
    </xf>
    <xf numFmtId="49" fontId="15" fillId="0" borderId="4" xfId="0" quotePrefix="1" applyNumberFormat="1" applyFont="1" applyBorder="1" applyAlignment="1">
      <alignment vertical="center"/>
    </xf>
    <xf numFmtId="49" fontId="15" fillId="0" borderId="4" xfId="0" quotePrefix="1" applyNumberFormat="1" applyFont="1" applyBorder="1" applyAlignment="1">
      <alignment horizontal="center" vertical="center"/>
    </xf>
    <xf numFmtId="14" fontId="15" fillId="0" borderId="4" xfId="0" applyNumberFormat="1" applyFont="1" applyBorder="1" applyAlignment="1">
      <alignment horizontal="center" vertical="center" wrapText="1"/>
    </xf>
    <xf numFmtId="14" fontId="17" fillId="0" borderId="4" xfId="0" applyNumberFormat="1" applyFont="1" applyBorder="1" applyAlignment="1">
      <alignment horizontal="center" vertical="center" wrapText="1"/>
    </xf>
    <xf numFmtId="0" fontId="17" fillId="0" borderId="4" xfId="0" applyFont="1" applyBorder="1" applyAlignment="1">
      <alignment horizontal="left" vertical="center" wrapText="1"/>
    </xf>
    <xf numFmtId="14" fontId="15" fillId="0" borderId="0" xfId="0" applyNumberFormat="1" applyFont="1" applyAlignment="1">
      <alignment horizontal="center" vertical="center" wrapText="1"/>
    </xf>
    <xf numFmtId="49" fontId="15" fillId="0" borderId="0" xfId="0" quotePrefix="1" applyNumberFormat="1" applyFont="1" applyAlignment="1">
      <alignment vertical="center"/>
    </xf>
    <xf numFmtId="14" fontId="17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vertical="center" wrapText="1"/>
    </xf>
    <xf numFmtId="0" fontId="27" fillId="0" borderId="0" xfId="0" applyFont="1" applyAlignment="1">
      <alignment vertical="center" wrapText="1"/>
    </xf>
    <xf numFmtId="1" fontId="6" fillId="0" borderId="1" xfId="0" applyNumberFormat="1" applyFont="1" applyBorder="1" applyAlignment="1">
      <alignment vertical="center" wrapText="1"/>
    </xf>
    <xf numFmtId="0" fontId="0" fillId="14" borderId="0" xfId="0" applyFill="1"/>
    <xf numFmtId="0" fontId="15" fillId="0" borderId="4" xfId="0" quotePrefix="1" applyFont="1" applyBorder="1" applyAlignment="1">
      <alignment vertical="center"/>
    </xf>
    <xf numFmtId="1" fontId="15" fillId="0" borderId="4" xfId="0" quotePrefix="1" applyNumberFormat="1" applyFont="1" applyBorder="1" applyAlignment="1">
      <alignment vertical="center"/>
    </xf>
    <xf numFmtId="1" fontId="19" fillId="0" borderId="4" xfId="0" applyNumberFormat="1" applyFont="1" applyBorder="1" applyAlignment="1">
      <alignment horizontal="center" vertical="center" wrapText="1"/>
    </xf>
    <xf numFmtId="1" fontId="15" fillId="0" borderId="4" xfId="0" applyNumberFormat="1" applyFont="1" applyBorder="1" applyAlignment="1">
      <alignment vertical="center"/>
    </xf>
    <xf numFmtId="0" fontId="15" fillId="0" borderId="4" xfId="0" quotePrefix="1" applyFont="1" applyBorder="1" applyAlignment="1">
      <alignment vertical="center" wrapText="1"/>
    </xf>
    <xf numFmtId="1" fontId="19" fillId="14" borderId="4" xfId="0" applyNumberFormat="1" applyFont="1" applyFill="1" applyBorder="1" applyAlignment="1">
      <alignment vertical="center" wrapText="1"/>
    </xf>
    <xf numFmtId="1" fontId="19" fillId="0" borderId="1" xfId="0" applyNumberFormat="1" applyFont="1" applyBorder="1" applyAlignment="1">
      <alignment vertical="center"/>
    </xf>
    <xf numFmtId="164" fontId="5" fillId="0" borderId="13" xfId="0" applyNumberFormat="1" applyFont="1" applyBorder="1" applyAlignment="1">
      <alignment horizontal="center" vertical="center" wrapText="1"/>
    </xf>
    <xf numFmtId="49" fontId="5" fillId="0" borderId="13" xfId="0" applyNumberFormat="1" applyFont="1" applyBorder="1" applyAlignment="1">
      <alignment horizontal="center" vertical="center" wrapText="1"/>
    </xf>
    <xf numFmtId="49" fontId="20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16" fillId="0" borderId="4" xfId="0" applyFont="1" applyBorder="1" applyAlignment="1">
      <alignment vertical="center"/>
    </xf>
    <xf numFmtId="166" fontId="6" fillId="0" borderId="4" xfId="0" applyNumberFormat="1" applyFont="1" applyBorder="1" applyAlignment="1">
      <alignment horizontal="center" vertical="center" wrapText="1"/>
    </xf>
    <xf numFmtId="165" fontId="6" fillId="0" borderId="4" xfId="0" quotePrefix="1" applyNumberFormat="1" applyFont="1" applyBorder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9" borderId="4" xfId="0" applyFont="1" applyFill="1" applyBorder="1" applyAlignment="1">
      <alignment horizontal="center" vertical="center" wrapText="1"/>
    </xf>
    <xf numFmtId="0" fontId="10" fillId="10" borderId="4" xfId="0" applyFont="1" applyFill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/>
    </xf>
    <xf numFmtId="0" fontId="6" fillId="14" borderId="4" xfId="0" applyFont="1" applyFill="1" applyBorder="1" applyAlignment="1">
      <alignment horizontal="center" vertical="center"/>
    </xf>
    <xf numFmtId="0" fontId="6" fillId="14" borderId="0" xfId="0" applyFont="1" applyFill="1" applyAlignment="1">
      <alignment vertical="center" wrapText="1"/>
    </xf>
    <xf numFmtId="1" fontId="16" fillId="14" borderId="4" xfId="0" applyNumberFormat="1" applyFont="1" applyFill="1" applyBorder="1" applyAlignment="1">
      <alignment horizontal="center" vertical="center" wrapText="1"/>
    </xf>
    <xf numFmtId="1" fontId="6" fillId="14" borderId="7" xfId="0" applyNumberFormat="1" applyFont="1" applyFill="1" applyBorder="1" applyAlignment="1">
      <alignment horizontal="center" vertical="center"/>
    </xf>
    <xf numFmtId="49" fontId="15" fillId="14" borderId="4" xfId="0" applyNumberFormat="1" applyFont="1" applyFill="1" applyBorder="1" applyAlignment="1">
      <alignment horizontal="center" vertical="center" wrapText="1"/>
    </xf>
    <xf numFmtId="0" fontId="7" fillId="14" borderId="4" xfId="0" applyFont="1" applyFill="1" applyBorder="1" applyAlignment="1">
      <alignment horizontal="left" vertical="center" wrapText="1"/>
    </xf>
    <xf numFmtId="0" fontId="6" fillId="14" borderId="0" xfId="0" applyFont="1" applyFill="1" applyAlignment="1">
      <alignment vertical="center"/>
    </xf>
    <xf numFmtId="1" fontId="6" fillId="14" borderId="4" xfId="0" applyNumberFormat="1" applyFont="1" applyFill="1" applyBorder="1" applyAlignment="1">
      <alignment horizontal="center" vertical="center"/>
    </xf>
    <xf numFmtId="49" fontId="6" fillId="14" borderId="2" xfId="0" applyNumberFormat="1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16" fillId="0" borderId="4" xfId="0" applyFont="1" applyBorder="1" applyAlignment="1">
      <alignment vertical="center" wrapText="1"/>
    </xf>
    <xf numFmtId="0" fontId="6" fillId="14" borderId="0" xfId="0" applyFont="1" applyFill="1" applyAlignment="1">
      <alignment wrapText="1"/>
    </xf>
    <xf numFmtId="0" fontId="0" fillId="14" borderId="4" xfId="0" applyFill="1" applyBorder="1"/>
    <xf numFmtId="0" fontId="0" fillId="0" borderId="4" xfId="0" applyBorder="1"/>
    <xf numFmtId="0" fontId="6" fillId="14" borderId="0" xfId="0" applyFont="1" applyFill="1"/>
    <xf numFmtId="1" fontId="19" fillId="14" borderId="4" xfId="0" applyNumberFormat="1" applyFont="1" applyFill="1" applyBorder="1" applyAlignment="1">
      <alignment horizontal="center" vertical="center" wrapText="1"/>
    </xf>
    <xf numFmtId="0" fontId="15" fillId="0" borderId="1" xfId="0" quotePrefix="1" applyFont="1" applyBorder="1" applyAlignment="1">
      <alignment vertical="center" wrapText="1"/>
    </xf>
    <xf numFmtId="14" fontId="15" fillId="0" borderId="4" xfId="0" quotePrefix="1" applyNumberFormat="1" applyFont="1" applyBorder="1" applyAlignment="1">
      <alignment horizontal="center" vertical="center" wrapText="1"/>
    </xf>
    <xf numFmtId="1" fontId="15" fillId="0" borderId="4" xfId="0" quotePrefix="1" applyNumberFormat="1" applyFont="1" applyBorder="1" applyAlignment="1">
      <alignment vertical="center" wrapText="1"/>
    </xf>
    <xf numFmtId="1" fontId="15" fillId="0" borderId="0" xfId="0" quotePrefix="1" applyNumberFormat="1" applyFont="1" applyAlignment="1">
      <alignment vertical="center"/>
    </xf>
    <xf numFmtId="1" fontId="15" fillId="0" borderId="4" xfId="0" quotePrefix="1" applyNumberFormat="1" applyFont="1" applyBorder="1" applyAlignment="1">
      <alignment horizontal="center" vertical="center" wrapText="1"/>
    </xf>
    <xf numFmtId="1" fontId="19" fillId="0" borderId="0" xfId="0" applyNumberFormat="1" applyFont="1" applyAlignment="1">
      <alignment horizontal="center" vertical="center" wrapText="1"/>
    </xf>
    <xf numFmtId="49" fontId="17" fillId="0" borderId="0" xfId="0" applyNumberFormat="1" applyFont="1" applyAlignment="1">
      <alignment vertical="center" wrapText="1"/>
    </xf>
    <xf numFmtId="1" fontId="15" fillId="0" borderId="0" xfId="0" applyNumberFormat="1" applyFont="1" applyAlignment="1">
      <alignment vertical="center"/>
    </xf>
    <xf numFmtId="1" fontId="15" fillId="0" borderId="0" xfId="0" quotePrefix="1" applyNumberFormat="1" applyFont="1" applyAlignment="1">
      <alignment vertical="center" wrapText="1"/>
    </xf>
    <xf numFmtId="49" fontId="15" fillId="0" borderId="6" xfId="0" applyNumberFormat="1" applyFont="1" applyBorder="1" applyAlignment="1">
      <alignment vertical="center" wrapText="1"/>
    </xf>
    <xf numFmtId="49" fontId="15" fillId="14" borderId="6" xfId="0" applyNumberFormat="1" applyFont="1" applyFill="1" applyBorder="1" applyAlignment="1">
      <alignment vertical="center" wrapText="1"/>
    </xf>
    <xf numFmtId="0" fontId="5" fillId="14" borderId="3" xfId="0" applyFont="1" applyFill="1" applyBorder="1" applyAlignment="1">
      <alignment horizontal="center" vertical="center" wrapText="1"/>
    </xf>
    <xf numFmtId="49" fontId="5" fillId="0" borderId="3" xfId="0" applyNumberFormat="1" applyFont="1" applyBorder="1" applyAlignment="1">
      <alignment horizontal="center" vertical="center" wrapText="1"/>
    </xf>
    <xf numFmtId="0" fontId="22" fillId="0" borderId="4" xfId="1" applyFont="1" applyBorder="1" applyAlignment="1">
      <alignment vertical="center" wrapText="1"/>
    </xf>
    <xf numFmtId="1" fontId="6" fillId="0" borderId="12" xfId="0" applyNumberFormat="1" applyFont="1" applyBorder="1" applyAlignment="1">
      <alignment horizontal="center" vertical="center"/>
    </xf>
    <xf numFmtId="1" fontId="6" fillId="0" borderId="11" xfId="0" applyNumberFormat="1" applyFont="1" applyBorder="1" applyAlignment="1">
      <alignment horizontal="center" vertical="center"/>
    </xf>
    <xf numFmtId="1" fontId="6" fillId="14" borderId="11" xfId="0" applyNumberFormat="1" applyFont="1" applyFill="1" applyBorder="1" applyAlignment="1">
      <alignment horizontal="center" vertical="center"/>
    </xf>
    <xf numFmtId="1" fontId="6" fillId="0" borderId="9" xfId="0" applyNumberFormat="1" applyFont="1" applyBorder="1" applyAlignment="1">
      <alignment horizontal="center" vertical="center"/>
    </xf>
    <xf numFmtId="1" fontId="6" fillId="0" borderId="2" xfId="0" applyNumberFormat="1" applyFont="1" applyBorder="1" applyAlignment="1">
      <alignment horizontal="center" vertical="center"/>
    </xf>
    <xf numFmtId="1" fontId="6" fillId="14" borderId="2" xfId="0" applyNumberFormat="1" applyFont="1" applyFill="1" applyBorder="1" applyAlignment="1">
      <alignment horizontal="center" vertical="center"/>
    </xf>
    <xf numFmtId="1" fontId="6" fillId="0" borderId="10" xfId="0" applyNumberFormat="1" applyFont="1" applyBorder="1" applyAlignment="1">
      <alignment horizontal="center" vertical="center"/>
    </xf>
    <xf numFmtId="0" fontId="6" fillId="14" borderId="4" xfId="0" applyFont="1" applyFill="1" applyBorder="1" applyAlignment="1">
      <alignment horizontal="left" vertical="center" wrapText="1" indent="2"/>
    </xf>
    <xf numFmtId="0" fontId="0" fillId="16" borderId="4" xfId="0" applyFill="1" applyBorder="1"/>
    <xf numFmtId="0" fontId="0" fillId="17" borderId="4" xfId="0" applyFill="1" applyBorder="1"/>
    <xf numFmtId="0" fontId="29" fillId="14" borderId="4" xfId="1" applyFont="1" applyFill="1" applyBorder="1" applyAlignment="1">
      <alignment vertical="center" wrapText="1"/>
    </xf>
    <xf numFmtId="0" fontId="31" fillId="14" borderId="4" xfId="1" applyFont="1" applyFill="1" applyBorder="1" applyAlignment="1">
      <alignment vertical="center" wrapText="1"/>
    </xf>
    <xf numFmtId="0" fontId="30" fillId="0" borderId="4" xfId="0" applyFont="1" applyBorder="1" applyAlignment="1">
      <alignment vertical="center" wrapText="1"/>
    </xf>
    <xf numFmtId="1" fontId="8" fillId="14" borderId="4" xfId="0" applyNumberFormat="1" applyFont="1" applyFill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3" xfId="0" applyFont="1" applyBorder="1" applyAlignment="1">
      <alignment vertical="center" wrapText="1"/>
    </xf>
    <xf numFmtId="1" fontId="8" fillId="0" borderId="13" xfId="0" applyNumberFormat="1" applyFont="1" applyBorder="1" applyAlignment="1">
      <alignment horizontal="center" vertical="center"/>
    </xf>
    <xf numFmtId="0" fontId="7" fillId="0" borderId="13" xfId="0" applyFont="1" applyBorder="1" applyAlignment="1">
      <alignment vertical="center" wrapText="1"/>
    </xf>
    <xf numFmtId="0" fontId="6" fillId="0" borderId="13" xfId="0" applyFont="1" applyBorder="1" applyAlignment="1">
      <alignment horizontal="left" vertical="center" wrapText="1"/>
    </xf>
    <xf numFmtId="0" fontId="6" fillId="14" borderId="13" xfId="0" applyFont="1" applyFill="1" applyBorder="1" applyAlignment="1">
      <alignment vertical="center" wrapText="1"/>
    </xf>
    <xf numFmtId="0" fontId="15" fillId="0" borderId="13" xfId="0" applyFont="1" applyBorder="1" applyAlignment="1">
      <alignment horizontal="center" vertical="center"/>
    </xf>
    <xf numFmtId="49" fontId="15" fillId="14" borderId="0" xfId="0" applyNumberFormat="1" applyFont="1" applyFill="1" applyAlignment="1">
      <alignment wrapText="1"/>
    </xf>
    <xf numFmtId="0" fontId="15" fillId="14" borderId="0" xfId="0" applyFont="1" applyFill="1" applyAlignment="1">
      <alignment wrapText="1"/>
    </xf>
    <xf numFmtId="164" fontId="15" fillId="14" borderId="0" xfId="0" applyNumberFormat="1" applyFont="1" applyFill="1" applyAlignment="1">
      <alignment wrapText="1"/>
    </xf>
    <xf numFmtId="0" fontId="7" fillId="0" borderId="17" xfId="0" applyFont="1" applyBorder="1" applyAlignment="1">
      <alignment vertical="center" wrapText="1"/>
    </xf>
    <xf numFmtId="0" fontId="7" fillId="0" borderId="18" xfId="0" applyFont="1" applyBorder="1" applyAlignment="1">
      <alignment vertical="center" wrapText="1"/>
    </xf>
    <xf numFmtId="0" fontId="30" fillId="14" borderId="4" xfId="0" applyFont="1" applyFill="1" applyBorder="1" applyAlignment="1">
      <alignment vertical="center" wrapText="1"/>
    </xf>
    <xf numFmtId="0" fontId="6" fillId="18" borderId="4" xfId="0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vertical="center" wrapText="1"/>
    </xf>
    <xf numFmtId="0" fontId="8" fillId="0" borderId="4" xfId="0" applyFont="1" applyBorder="1" applyAlignment="1">
      <alignment vertical="center" wrapText="1"/>
    </xf>
    <xf numFmtId="0" fontId="21" fillId="0" borderId="4" xfId="1" applyBorder="1" applyAlignment="1">
      <alignment vertical="center" wrapText="1"/>
    </xf>
    <xf numFmtId="0" fontId="14" fillId="0" borderId="4" xfId="0" applyFont="1" applyBorder="1" applyAlignment="1">
      <alignment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6" fillId="0" borderId="4" xfId="0" quotePrefix="1" applyFont="1" applyBorder="1" applyAlignment="1">
      <alignment vertical="center" wrapText="1"/>
    </xf>
    <xf numFmtId="0" fontId="6" fillId="0" borderId="13" xfId="0" applyFont="1" applyBorder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0" fontId="29" fillId="0" borderId="4" xfId="0" applyFont="1" applyBorder="1" applyAlignment="1">
      <alignment vertical="center" wrapText="1"/>
    </xf>
    <xf numFmtId="0" fontId="6" fillId="19" borderId="4" xfId="0" applyFont="1" applyFill="1" applyBorder="1" applyAlignment="1">
      <alignment vertical="center"/>
    </xf>
    <xf numFmtId="0" fontId="6" fillId="18" borderId="4" xfId="0" applyFont="1" applyFill="1" applyBorder="1" applyAlignment="1">
      <alignment vertical="center"/>
    </xf>
    <xf numFmtId="0" fontId="6" fillId="18" borderId="4" xfId="0" applyFont="1" applyFill="1" applyBorder="1" applyAlignment="1">
      <alignment vertical="center" wrapText="1"/>
    </xf>
    <xf numFmtId="0" fontId="6" fillId="19" borderId="4" xfId="0" applyFont="1" applyFill="1" applyBorder="1" applyAlignment="1">
      <alignment vertical="center" wrapText="1"/>
    </xf>
    <xf numFmtId="0" fontId="6" fillId="19" borderId="4" xfId="0" quotePrefix="1" applyFont="1" applyFill="1" applyBorder="1" applyAlignment="1">
      <alignment vertical="center"/>
    </xf>
    <xf numFmtId="0" fontId="6" fillId="19" borderId="4" xfId="0" applyFont="1" applyFill="1" applyBorder="1" applyAlignment="1">
      <alignment horizontal="left" vertical="center"/>
    </xf>
    <xf numFmtId="0" fontId="6" fillId="18" borderId="4" xfId="0" applyFont="1" applyFill="1" applyBorder="1" applyAlignment="1">
      <alignment horizontal="left" vertical="center"/>
    </xf>
    <xf numFmtId="0" fontId="6" fillId="18" borderId="4" xfId="0" applyFont="1" applyFill="1" applyBorder="1" applyAlignment="1">
      <alignment horizontal="left" vertical="center" wrapText="1"/>
    </xf>
    <xf numFmtId="49" fontId="6" fillId="14" borderId="4" xfId="0" applyNumberFormat="1" applyFont="1" applyFill="1" applyBorder="1" applyAlignment="1">
      <alignment horizontal="left" vertical="center"/>
    </xf>
    <xf numFmtId="14" fontId="7" fillId="0" borderId="4" xfId="0" applyNumberFormat="1" applyFont="1" applyBorder="1" applyAlignment="1">
      <alignment horizontal="left" vertical="center" wrapText="1"/>
    </xf>
    <xf numFmtId="49" fontId="6" fillId="14" borderId="4" xfId="0" applyNumberFormat="1" applyFont="1" applyFill="1" applyBorder="1" applyAlignment="1">
      <alignment horizontal="left" vertical="center" wrapText="1"/>
    </xf>
    <xf numFmtId="49" fontId="6" fillId="0" borderId="13" xfId="0" applyNumberFormat="1" applyFont="1" applyBorder="1" applyAlignment="1">
      <alignment horizontal="left" vertical="center"/>
    </xf>
    <xf numFmtId="3" fontId="6" fillId="0" borderId="4" xfId="0" applyNumberFormat="1" applyFont="1" applyBorder="1" applyAlignment="1">
      <alignment vertical="center" wrapText="1"/>
    </xf>
    <xf numFmtId="3" fontId="6" fillId="14" borderId="4" xfId="0" applyNumberFormat="1" applyFont="1" applyFill="1" applyBorder="1" applyAlignment="1">
      <alignment vertical="center" wrapText="1"/>
    </xf>
    <xf numFmtId="0" fontId="4" fillId="14" borderId="0" xfId="0" applyFont="1" applyFill="1"/>
    <xf numFmtId="0" fontId="6" fillId="14" borderId="0" xfId="0" applyFont="1" applyFill="1" applyAlignment="1">
      <alignment horizontal="center" wrapText="1"/>
    </xf>
    <xf numFmtId="0" fontId="6" fillId="14" borderId="0" xfId="0" applyFont="1" applyFill="1" applyAlignment="1">
      <alignment horizontal="center"/>
    </xf>
    <xf numFmtId="1" fontId="6" fillId="14" borderId="0" xfId="0" applyNumberFormat="1" applyFont="1" applyFill="1"/>
    <xf numFmtId="164" fontId="6" fillId="14" borderId="0" xfId="0" applyNumberFormat="1" applyFont="1" applyFill="1" applyAlignment="1">
      <alignment horizontal="center"/>
    </xf>
    <xf numFmtId="164" fontId="6" fillId="14" borderId="0" xfId="0" applyNumberFormat="1" applyFont="1" applyFill="1" applyAlignment="1">
      <alignment horizontal="center" vertical="center"/>
    </xf>
    <xf numFmtId="49" fontId="6" fillId="14" borderId="0" xfId="0" applyNumberFormat="1" applyFont="1" applyFill="1" applyAlignment="1">
      <alignment horizontal="center"/>
    </xf>
    <xf numFmtId="49" fontId="15" fillId="14" borderId="0" xfId="0" applyNumberFormat="1" applyFont="1" applyFill="1" applyAlignment="1">
      <alignment horizontal="center" wrapText="1"/>
    </xf>
    <xf numFmtId="0" fontId="6" fillId="14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left"/>
    </xf>
    <xf numFmtId="0" fontId="6" fillId="14" borderId="0" xfId="0" applyFont="1" applyFill="1" applyAlignment="1">
      <alignment horizontal="left" wrapText="1"/>
    </xf>
    <xf numFmtId="49" fontId="6" fillId="14" borderId="0" xfId="0" applyNumberFormat="1" applyFont="1" applyFill="1" applyAlignment="1">
      <alignment wrapText="1"/>
    </xf>
    <xf numFmtId="49" fontId="6" fillId="14" borderId="0" xfId="0" applyNumberFormat="1" applyFont="1" applyFill="1"/>
    <xf numFmtId="0" fontId="6" fillId="14" borderId="7" xfId="0" applyFont="1" applyFill="1" applyBorder="1" applyAlignment="1">
      <alignment vertical="center" wrapText="1"/>
    </xf>
    <xf numFmtId="0" fontId="17" fillId="0" borderId="4" xfId="0" quotePrefix="1" applyFont="1" applyBorder="1" applyAlignment="1">
      <alignment vertical="center" wrapText="1"/>
    </xf>
    <xf numFmtId="1" fontId="8" fillId="0" borderId="4" xfId="0" quotePrefix="1" applyNumberFormat="1" applyFont="1" applyBorder="1" applyAlignment="1">
      <alignment horizontal="center" vertical="center" wrapText="1"/>
    </xf>
    <xf numFmtId="1" fontId="16" fillId="0" borderId="4" xfId="0" quotePrefix="1" applyNumberFormat="1" applyFont="1" applyBorder="1" applyAlignment="1">
      <alignment horizontal="center" vertical="center" wrapText="1"/>
    </xf>
    <xf numFmtId="1" fontId="26" fillId="14" borderId="4" xfId="0" quotePrefix="1" applyNumberFormat="1" applyFont="1" applyFill="1" applyBorder="1" applyAlignment="1">
      <alignment horizontal="center" vertical="center" wrapText="1"/>
    </xf>
    <xf numFmtId="1" fontId="16" fillId="14" borderId="4" xfId="0" quotePrefix="1" applyNumberFormat="1" applyFont="1" applyFill="1" applyBorder="1" applyAlignment="1">
      <alignment horizontal="center" vertical="center" wrapText="1"/>
    </xf>
    <xf numFmtId="1" fontId="16" fillId="0" borderId="14" xfId="0" quotePrefix="1" applyNumberFormat="1" applyFont="1" applyBorder="1" applyAlignment="1">
      <alignment horizontal="center" vertical="center" wrapText="1"/>
    </xf>
    <xf numFmtId="0" fontId="7" fillId="0" borderId="21" xfId="0" applyFont="1" applyBorder="1" applyAlignment="1">
      <alignment vertical="center" wrapText="1"/>
    </xf>
    <xf numFmtId="0" fontId="7" fillId="0" borderId="22" xfId="0" applyFont="1" applyBorder="1" applyAlignment="1">
      <alignment vertical="center" wrapText="1"/>
    </xf>
    <xf numFmtId="0" fontId="7" fillId="0" borderId="19" xfId="0" applyFont="1" applyBorder="1" applyAlignment="1">
      <alignment vertical="center" wrapText="1"/>
    </xf>
    <xf numFmtId="0" fontId="6" fillId="0" borderId="14" xfId="0" applyFont="1" applyBorder="1" applyAlignment="1">
      <alignment horizontal="center" vertical="center"/>
    </xf>
    <xf numFmtId="0" fontId="28" fillId="14" borderId="4" xfId="0" applyFont="1" applyFill="1" applyBorder="1" applyAlignment="1">
      <alignment horizontal="center" vertical="center"/>
    </xf>
    <xf numFmtId="0" fontId="29" fillId="0" borderId="17" xfId="0" applyFont="1" applyBorder="1" applyAlignment="1">
      <alignment wrapText="1"/>
    </xf>
    <xf numFmtId="0" fontId="29" fillId="0" borderId="18" xfId="0" applyFont="1" applyBorder="1" applyAlignment="1">
      <alignment wrapText="1"/>
    </xf>
    <xf numFmtId="0" fontId="29" fillId="0" borderId="19" xfId="0" applyFont="1" applyBorder="1" applyAlignment="1">
      <alignment wrapText="1"/>
    </xf>
    <xf numFmtId="0" fontId="29" fillId="0" borderId="22" xfId="0" applyFont="1" applyBorder="1" applyAlignment="1">
      <alignment wrapText="1"/>
    </xf>
    <xf numFmtId="0" fontId="29" fillId="20" borderId="17" xfId="0" applyFont="1" applyFill="1" applyBorder="1" applyAlignment="1">
      <alignment wrapText="1"/>
    </xf>
    <xf numFmtId="0" fontId="29" fillId="21" borderId="18" xfId="0" applyFont="1" applyFill="1" applyBorder="1" applyAlignment="1">
      <alignment wrapText="1"/>
    </xf>
    <xf numFmtId="0" fontId="29" fillId="20" borderId="18" xfId="0" applyFont="1" applyFill="1" applyBorder="1" applyAlignment="1">
      <alignment wrapText="1"/>
    </xf>
    <xf numFmtId="0" fontId="29" fillId="14" borderId="18" xfId="0" applyFont="1" applyFill="1" applyBorder="1" applyAlignment="1">
      <alignment wrapText="1"/>
    </xf>
    <xf numFmtId="0" fontId="29" fillId="20" borderId="4" xfId="0" applyFont="1" applyFill="1" applyBorder="1" applyAlignment="1">
      <alignment wrapText="1"/>
    </xf>
    <xf numFmtId="0" fontId="1" fillId="0" borderId="4" xfId="0" applyFont="1" applyBorder="1" applyAlignment="1">
      <alignment vertical="center" wrapText="1"/>
    </xf>
    <xf numFmtId="167" fontId="16" fillId="0" borderId="4" xfId="0" applyNumberFormat="1" applyFont="1" applyBorder="1" applyAlignment="1">
      <alignment vertical="center"/>
    </xf>
    <xf numFmtId="1" fontId="6" fillId="11" borderId="4" xfId="0" applyNumberFormat="1" applyFont="1" applyFill="1" applyBorder="1" applyAlignment="1">
      <alignment horizontal="center" vertical="center"/>
    </xf>
    <xf numFmtId="0" fontId="25" fillId="11" borderId="16" xfId="0" applyFont="1" applyFill="1" applyBorder="1" applyAlignment="1">
      <alignment vertical="center"/>
    </xf>
    <xf numFmtId="1" fontId="6" fillId="8" borderId="4" xfId="0" applyNumberFormat="1" applyFont="1" applyFill="1" applyBorder="1" applyAlignment="1">
      <alignment horizontal="center" vertical="center"/>
    </xf>
    <xf numFmtId="0" fontId="25" fillId="8" borderId="16" xfId="0" applyFont="1" applyFill="1" applyBorder="1" applyAlignment="1">
      <alignment vertical="center"/>
    </xf>
    <xf numFmtId="1" fontId="6" fillId="7" borderId="4" xfId="0" applyNumberFormat="1" applyFont="1" applyFill="1" applyBorder="1" applyAlignment="1">
      <alignment horizontal="center" vertical="center"/>
    </xf>
    <xf numFmtId="0" fontId="25" fillId="7" borderId="16" xfId="0" applyFont="1" applyFill="1" applyBorder="1" applyAlignment="1">
      <alignment vertical="center"/>
    </xf>
    <xf numFmtId="0" fontId="6" fillId="0" borderId="1" xfId="0" applyFont="1" applyBorder="1" applyAlignment="1">
      <alignment horizontal="left" vertical="center" wrapText="1"/>
    </xf>
    <xf numFmtId="0" fontId="6" fillId="19" borderId="4" xfId="0" applyFont="1" applyFill="1" applyBorder="1" applyAlignment="1">
      <alignment horizontal="left" vertical="center" wrapText="1"/>
    </xf>
    <xf numFmtId="0" fontId="25" fillId="0" borderId="4" xfId="0" applyFont="1" applyBorder="1" applyAlignment="1">
      <alignment vertical="center" wrapText="1"/>
    </xf>
    <xf numFmtId="0" fontId="27" fillId="0" borderId="1" xfId="0" applyFont="1" applyBorder="1" applyAlignment="1">
      <alignment horizontal="center" vertical="center" wrapText="1"/>
    </xf>
    <xf numFmtId="1" fontId="27" fillId="0" borderId="1" xfId="0" applyNumberFormat="1" applyFont="1" applyBorder="1" applyAlignment="1">
      <alignment horizontal="center" vertical="center" wrapText="1"/>
    </xf>
    <xf numFmtId="0" fontId="2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14" fontId="27" fillId="0" borderId="1" xfId="0" applyNumberFormat="1" applyFont="1" applyBorder="1" applyAlignment="1">
      <alignment horizontal="left" vertical="center" wrapText="1"/>
    </xf>
    <xf numFmtId="168" fontId="27" fillId="0" borderId="1" xfId="0" applyNumberFormat="1" applyFont="1" applyBorder="1" applyAlignment="1">
      <alignment horizontal="left" vertical="center" wrapText="1"/>
    </xf>
    <xf numFmtId="168" fontId="7" fillId="0" borderId="1" xfId="0" applyNumberFormat="1" applyFont="1" applyBorder="1" applyAlignment="1">
      <alignment horizontal="right" vertical="center" wrapText="1"/>
    </xf>
    <xf numFmtId="14" fontId="7" fillId="0" borderId="1" xfId="0" applyNumberFormat="1" applyFont="1" applyBorder="1" applyAlignment="1">
      <alignment horizontal="right" vertical="center" wrapText="1"/>
    </xf>
    <xf numFmtId="0" fontId="7" fillId="14" borderId="1" xfId="0" applyFont="1" applyFill="1" applyBorder="1" applyAlignment="1">
      <alignment horizontal="left" vertical="center" wrapText="1"/>
    </xf>
    <xf numFmtId="11" fontId="2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1" fontId="7" fillId="0" borderId="1" xfId="0" applyNumberFormat="1" applyFont="1" applyBorder="1" applyAlignment="1">
      <alignment horizontal="center" vertical="center" wrapText="1"/>
    </xf>
    <xf numFmtId="11" fontId="7" fillId="0" borderId="1" xfId="0" applyNumberFormat="1" applyFont="1" applyBorder="1" applyAlignment="1">
      <alignment horizontal="left" vertical="center" wrapText="1"/>
    </xf>
    <xf numFmtId="0" fontId="25" fillId="0" borderId="1" xfId="0" applyFont="1" applyBorder="1" applyAlignment="1">
      <alignment horizontal="center" vertical="center" wrapText="1"/>
    </xf>
    <xf numFmtId="169" fontId="7" fillId="0" borderId="1" xfId="0" applyNumberFormat="1" applyFont="1" applyBorder="1" applyAlignment="1">
      <alignment horizontal="center" vertical="center" wrapText="1"/>
    </xf>
    <xf numFmtId="169" fontId="7" fillId="0" borderId="1" xfId="0" applyNumberFormat="1" applyFont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27" fillId="14" borderId="1" xfId="0" applyFont="1" applyFill="1" applyBorder="1" applyAlignment="1">
      <alignment horizontal="center" vertical="center" wrapText="1"/>
    </xf>
    <xf numFmtId="0" fontId="27" fillId="0" borderId="3" xfId="0" applyFont="1" applyBorder="1" applyAlignment="1">
      <alignment horizontal="center" vertical="center" wrapText="1"/>
    </xf>
    <xf numFmtId="1" fontId="16" fillId="0" borderId="13" xfId="0" applyNumberFormat="1" applyFont="1" applyBorder="1" applyAlignment="1">
      <alignment horizontal="center" vertical="center"/>
    </xf>
    <xf numFmtId="1" fontId="19" fillId="0" borderId="13" xfId="0" applyNumberFormat="1" applyFont="1" applyBorder="1" applyAlignment="1">
      <alignment horizontal="center" vertical="center" wrapText="1"/>
    </xf>
    <xf numFmtId="0" fontId="17" fillId="0" borderId="13" xfId="0" applyFont="1" applyBorder="1" applyAlignment="1">
      <alignment vertical="center" wrapText="1"/>
    </xf>
    <xf numFmtId="1" fontId="15" fillId="0" borderId="13" xfId="0" applyNumberFormat="1" applyFont="1" applyBorder="1" applyAlignment="1">
      <alignment horizontal="center" vertical="center" wrapText="1"/>
    </xf>
    <xf numFmtId="14" fontId="15" fillId="0" borderId="13" xfId="0" applyNumberFormat="1" applyFont="1" applyBorder="1" applyAlignment="1">
      <alignment horizontal="center" vertical="center" wrapText="1"/>
    </xf>
    <xf numFmtId="1" fontId="15" fillId="0" borderId="13" xfId="0" quotePrefix="1" applyNumberFormat="1" applyFont="1" applyBorder="1" applyAlignment="1">
      <alignment vertical="center"/>
    </xf>
    <xf numFmtId="1" fontId="15" fillId="0" borderId="13" xfId="0" quotePrefix="1" applyNumberFormat="1" applyFont="1" applyBorder="1" applyAlignment="1">
      <alignment vertical="center" wrapText="1"/>
    </xf>
    <xf numFmtId="0" fontId="32" fillId="0" borderId="1" xfId="0" applyFont="1" applyBorder="1" applyAlignment="1">
      <alignment horizontal="left" vertical="center" wrapText="1"/>
    </xf>
    <xf numFmtId="0" fontId="29" fillId="0" borderId="18" xfId="0" applyFont="1" applyBorder="1" applyAlignment="1">
      <alignment vertical="center" wrapText="1"/>
    </xf>
    <xf numFmtId="0" fontId="15" fillId="14" borderId="4" xfId="0" applyFont="1" applyFill="1" applyBorder="1" applyAlignment="1">
      <alignment horizontal="center" vertical="center"/>
    </xf>
    <xf numFmtId="0" fontId="33" fillId="14" borderId="4" xfId="1" applyFont="1" applyFill="1" applyBorder="1" applyAlignment="1">
      <alignment vertical="center" wrapText="1"/>
    </xf>
    <xf numFmtId="49" fontId="6" fillId="14" borderId="4" xfId="0" applyNumberFormat="1" applyFont="1" applyFill="1" applyBorder="1" applyAlignment="1">
      <alignment vertical="center" wrapText="1"/>
    </xf>
    <xf numFmtId="164" fontId="6" fillId="14" borderId="4" xfId="0" applyNumberFormat="1" applyFont="1" applyFill="1" applyBorder="1" applyAlignment="1">
      <alignment vertical="center" wrapText="1"/>
    </xf>
    <xf numFmtId="164" fontId="6" fillId="0" borderId="4" xfId="0" applyNumberFormat="1" applyFont="1" applyBorder="1" applyAlignment="1">
      <alignment vertical="center" wrapText="1"/>
    </xf>
    <xf numFmtId="14" fontId="7" fillId="14" borderId="1" xfId="0" applyNumberFormat="1" applyFont="1" applyFill="1" applyBorder="1" applyAlignment="1">
      <alignment horizontal="right" vertical="center" wrapText="1"/>
    </xf>
    <xf numFmtId="0" fontId="7" fillId="14" borderId="1" xfId="0" applyFont="1" applyFill="1" applyBorder="1" applyAlignment="1">
      <alignment horizontal="center" vertical="center" wrapText="1"/>
    </xf>
    <xf numFmtId="168" fontId="7" fillId="14" borderId="1" xfId="0" applyNumberFormat="1" applyFont="1" applyFill="1" applyBorder="1" applyAlignment="1">
      <alignment horizontal="right" vertical="center" wrapText="1"/>
    </xf>
    <xf numFmtId="11" fontId="7" fillId="14" borderId="1" xfId="0" applyNumberFormat="1" applyFont="1" applyFill="1" applyBorder="1" applyAlignment="1">
      <alignment horizontal="center" vertical="center" wrapText="1"/>
    </xf>
    <xf numFmtId="0" fontId="34" fillId="0" borderId="4" xfId="1" applyFont="1" applyBorder="1" applyAlignment="1">
      <alignment vertical="center" wrapText="1"/>
    </xf>
    <xf numFmtId="0" fontId="33" fillId="0" borderId="4" xfId="1" applyFont="1" applyBorder="1" applyAlignment="1">
      <alignment vertical="center" wrapText="1"/>
    </xf>
    <xf numFmtId="0" fontId="7" fillId="0" borderId="3" xfId="0" applyFont="1" applyBorder="1" applyAlignment="1">
      <alignment horizontal="left" vertical="center" wrapText="1"/>
    </xf>
    <xf numFmtId="168" fontId="7" fillId="0" borderId="3" xfId="0" applyNumberFormat="1" applyFont="1" applyBorder="1" applyAlignment="1">
      <alignment horizontal="right" vertical="center" wrapText="1"/>
    </xf>
    <xf numFmtId="0" fontId="7" fillId="0" borderId="3" xfId="0" applyFont="1" applyBorder="1" applyAlignment="1">
      <alignment horizontal="center" vertical="center" wrapText="1"/>
    </xf>
    <xf numFmtId="14" fontId="7" fillId="0" borderId="4" xfId="0" applyNumberFormat="1" applyFont="1" applyBorder="1" applyAlignment="1">
      <alignment horizontal="right" vertical="center" wrapText="1"/>
    </xf>
    <xf numFmtId="14" fontId="7" fillId="0" borderId="1" xfId="0" applyNumberFormat="1" applyFont="1" applyBorder="1" applyAlignment="1">
      <alignment horizontal="left" vertical="center" wrapText="1"/>
    </xf>
    <xf numFmtId="168" fontId="7" fillId="0" borderId="1" xfId="0" applyNumberFormat="1" applyFont="1" applyBorder="1" applyAlignment="1">
      <alignment horizontal="left" vertical="center" wrapText="1"/>
    </xf>
    <xf numFmtId="164" fontId="6" fillId="14" borderId="4" xfId="0" applyNumberFormat="1" applyFont="1" applyFill="1" applyBorder="1" applyAlignment="1">
      <alignment horizontal="center" vertical="center" wrapText="1"/>
    </xf>
    <xf numFmtId="168" fontId="7" fillId="14" borderId="1" xfId="0" applyNumberFormat="1" applyFont="1" applyFill="1" applyBorder="1" applyAlignment="1">
      <alignment horizontal="left" vertical="center" wrapText="1"/>
    </xf>
    <xf numFmtId="168" fontId="7" fillId="0" borderId="3" xfId="0" applyNumberFormat="1" applyFont="1" applyBorder="1" applyAlignment="1">
      <alignment horizontal="left" vertical="center" wrapText="1"/>
    </xf>
    <xf numFmtId="14" fontId="7" fillId="14" borderId="1" xfId="0" applyNumberFormat="1" applyFont="1" applyFill="1" applyBorder="1" applyAlignment="1">
      <alignment horizontal="left" vertical="center" wrapText="1"/>
    </xf>
    <xf numFmtId="14" fontId="6" fillId="14" borderId="4" xfId="0" applyNumberFormat="1" applyFont="1" applyFill="1" applyBorder="1" applyAlignment="1">
      <alignment vertical="center" wrapText="1"/>
    </xf>
    <xf numFmtId="49" fontId="6" fillId="14" borderId="4" xfId="0" applyNumberFormat="1" applyFont="1" applyFill="1" applyBorder="1" applyAlignment="1">
      <alignment horizontal="center" vertical="center" wrapText="1"/>
    </xf>
    <xf numFmtId="1" fontId="7" fillId="0" borderId="1" xfId="0" quotePrefix="1" applyNumberFormat="1" applyFont="1" applyBorder="1" applyAlignment="1">
      <alignment horizontal="center" vertical="center" wrapText="1"/>
    </xf>
    <xf numFmtId="49" fontId="6" fillId="14" borderId="4" xfId="0" quotePrefix="1" applyNumberFormat="1" applyFont="1" applyFill="1" applyBorder="1" applyAlignment="1">
      <alignment vertical="center" wrapText="1"/>
    </xf>
    <xf numFmtId="0" fontId="7" fillId="0" borderId="1" xfId="0" quotePrefix="1" applyFont="1" applyBorder="1" applyAlignment="1">
      <alignment horizontal="left" vertical="center" wrapText="1"/>
    </xf>
    <xf numFmtId="0" fontId="30" fillId="14" borderId="0" xfId="0" applyFont="1" applyFill="1" applyAlignment="1">
      <alignment vertical="center" wrapText="1"/>
    </xf>
    <xf numFmtId="167" fontId="8" fillId="0" borderId="4" xfId="0" applyNumberFormat="1" applyFont="1" applyBorder="1" applyAlignment="1">
      <alignment vertical="center"/>
    </xf>
    <xf numFmtId="49" fontId="6" fillId="14" borderId="13" xfId="0" applyNumberFormat="1" applyFont="1" applyFill="1" applyBorder="1" applyAlignment="1">
      <alignment vertical="center" wrapText="1"/>
    </xf>
    <xf numFmtId="164" fontId="6" fillId="14" borderId="13" xfId="0" applyNumberFormat="1" applyFont="1" applyFill="1" applyBorder="1" applyAlignment="1">
      <alignment vertical="center" wrapText="1"/>
    </xf>
    <xf numFmtId="164" fontId="6" fillId="0" borderId="13" xfId="0" applyNumberFormat="1" applyFont="1" applyBorder="1" applyAlignment="1">
      <alignment vertical="center" wrapText="1"/>
    </xf>
    <xf numFmtId="49" fontId="15" fillId="14" borderId="6" xfId="0" quotePrefix="1" applyNumberFormat="1" applyFont="1" applyFill="1" applyBorder="1" applyAlignment="1">
      <alignment vertical="center" wrapText="1"/>
    </xf>
    <xf numFmtId="49" fontId="36" fillId="14" borderId="0" xfId="0" applyNumberFormat="1" applyFont="1" applyFill="1" applyAlignment="1">
      <alignment vertical="center" wrapText="1"/>
    </xf>
    <xf numFmtId="49" fontId="15" fillId="14" borderId="20" xfId="0" applyNumberFormat="1" applyFont="1" applyFill="1" applyBorder="1" applyAlignment="1">
      <alignment vertical="center" wrapText="1"/>
    </xf>
    <xf numFmtId="0" fontId="17" fillId="0" borderId="1" xfId="0" applyFont="1" applyBorder="1" applyAlignment="1">
      <alignment horizontal="center" vertical="center" wrapText="1"/>
    </xf>
    <xf numFmtId="42" fontId="17" fillId="0" borderId="1" xfId="0" quotePrefix="1" applyNumberFormat="1" applyFont="1" applyBorder="1" applyAlignment="1">
      <alignment horizontal="center" vertical="center" wrapText="1"/>
    </xf>
    <xf numFmtId="0" fontId="17" fillId="14" borderId="1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11" fontId="17" fillId="0" borderId="1" xfId="0" quotePrefix="1" applyNumberFormat="1" applyFont="1" applyBorder="1" applyAlignment="1">
      <alignment horizontal="center" vertical="center" wrapText="1"/>
    </xf>
    <xf numFmtId="1" fontId="17" fillId="0" borderId="1" xfId="0" quotePrefix="1" applyNumberFormat="1" applyFont="1" applyBorder="1" applyAlignment="1">
      <alignment horizontal="center" vertical="center" wrapText="1"/>
    </xf>
    <xf numFmtId="49" fontId="15" fillId="0" borderId="13" xfId="0" applyNumberFormat="1" applyFont="1" applyBorder="1" applyAlignment="1">
      <alignment horizontal="center" vertical="center" wrapText="1"/>
    </xf>
    <xf numFmtId="1" fontId="17" fillId="14" borderId="1" xfId="0" quotePrefix="1" applyNumberFormat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169" fontId="7" fillId="0" borderId="1" xfId="0" quotePrefix="1" applyNumberFormat="1" applyFont="1" applyBorder="1" applyAlignment="1">
      <alignment horizontal="center" vertical="center" wrapText="1"/>
    </xf>
    <xf numFmtId="0" fontId="35" fillId="14" borderId="4" xfId="0" quotePrefix="1" applyFont="1" applyFill="1" applyBorder="1" applyAlignment="1">
      <alignment vertical="center" wrapText="1"/>
    </xf>
    <xf numFmtId="0" fontId="27" fillId="14" borderId="1" xfId="0" applyFont="1" applyFill="1" applyBorder="1" applyAlignment="1">
      <alignment horizontal="left" vertical="center" wrapText="1"/>
    </xf>
    <xf numFmtId="14" fontId="27" fillId="14" borderId="1" xfId="0" applyNumberFormat="1" applyFont="1" applyFill="1" applyBorder="1" applyAlignment="1">
      <alignment horizontal="left" vertical="center" wrapText="1"/>
    </xf>
    <xf numFmtId="11" fontId="27" fillId="14" borderId="1" xfId="0" applyNumberFormat="1" applyFont="1" applyFill="1" applyBorder="1" applyAlignment="1">
      <alignment horizontal="center" vertical="center" wrapText="1"/>
    </xf>
    <xf numFmtId="0" fontId="32" fillId="14" borderId="1" xfId="0" applyFont="1" applyFill="1" applyBorder="1" applyAlignment="1">
      <alignment horizontal="left" vertical="center" wrapText="1"/>
    </xf>
    <xf numFmtId="0" fontId="29" fillId="21" borderId="4" xfId="0" applyFont="1" applyFill="1" applyBorder="1" applyAlignment="1">
      <alignment wrapText="1"/>
    </xf>
    <xf numFmtId="0" fontId="15" fillId="14" borderId="4" xfId="0" quotePrefix="1" applyFont="1" applyFill="1" applyBorder="1" applyAlignment="1">
      <alignment vertical="center" wrapText="1"/>
    </xf>
    <xf numFmtId="0" fontId="29" fillId="0" borderId="17" xfId="0" applyFont="1" applyBorder="1" applyAlignment="1">
      <alignment vertical="center" wrapText="1"/>
    </xf>
    <xf numFmtId="0" fontId="15" fillId="0" borderId="5" xfId="0" applyFont="1" applyBorder="1" applyAlignment="1">
      <alignment horizontal="center" vertical="center"/>
    </xf>
    <xf numFmtId="1" fontId="16" fillId="0" borderId="5" xfId="0" applyNumberFormat="1" applyFont="1" applyBorder="1" applyAlignment="1">
      <alignment horizontal="center" vertical="center"/>
    </xf>
    <xf numFmtId="1" fontId="19" fillId="0" borderId="5" xfId="0" applyNumberFormat="1" applyFont="1" applyBorder="1" applyAlignment="1">
      <alignment horizontal="center" vertical="center" wrapText="1"/>
    </xf>
    <xf numFmtId="0" fontId="17" fillId="0" borderId="5" xfId="0" applyFont="1" applyBorder="1" applyAlignment="1">
      <alignment vertical="center" wrapText="1"/>
    </xf>
    <xf numFmtId="1" fontId="15" fillId="0" borderId="5" xfId="0" applyNumberFormat="1" applyFont="1" applyBorder="1" applyAlignment="1">
      <alignment horizontal="center" vertical="center" wrapText="1"/>
    </xf>
    <xf numFmtId="14" fontId="15" fillId="0" borderId="5" xfId="0" applyNumberFormat="1" applyFont="1" applyBorder="1" applyAlignment="1">
      <alignment horizontal="center" vertical="center" wrapText="1"/>
    </xf>
    <xf numFmtId="1" fontId="15" fillId="0" borderId="5" xfId="0" quotePrefix="1" applyNumberFormat="1" applyFont="1" applyBorder="1" applyAlignment="1">
      <alignment vertical="center"/>
    </xf>
    <xf numFmtId="49" fontId="15" fillId="0" borderId="5" xfId="0" quotePrefix="1" applyNumberFormat="1" applyFont="1" applyBorder="1" applyAlignment="1">
      <alignment vertical="center"/>
    </xf>
    <xf numFmtId="1" fontId="25" fillId="0" borderId="0" xfId="0" quotePrefix="1" applyNumberFormat="1" applyFont="1" applyAlignment="1">
      <alignment vertical="center" wrapText="1"/>
    </xf>
    <xf numFmtId="1" fontId="27" fillId="0" borderId="1" xfId="0" quotePrefix="1" applyNumberFormat="1" applyFont="1" applyBorder="1" applyAlignment="1">
      <alignment horizontal="center" vertical="center" wrapText="1"/>
    </xf>
    <xf numFmtId="0" fontId="27" fillId="0" borderId="1" xfId="0" quotePrefix="1" applyFont="1" applyBorder="1" applyAlignment="1">
      <alignment horizontal="center" vertical="center" wrapText="1"/>
    </xf>
    <xf numFmtId="0" fontId="27" fillId="14" borderId="1" xfId="0" quotePrefix="1" applyFont="1" applyFill="1" applyBorder="1" applyAlignment="1">
      <alignment horizontal="center" vertical="center" wrapText="1"/>
    </xf>
    <xf numFmtId="0" fontId="27" fillId="0" borderId="4" xfId="0" quotePrefix="1" applyFont="1" applyBorder="1" applyAlignment="1">
      <alignment horizontal="center" vertical="center" wrapText="1"/>
    </xf>
    <xf numFmtId="0" fontId="27" fillId="0" borderId="3" xfId="0" quotePrefix="1" applyFont="1" applyBorder="1" applyAlignment="1">
      <alignment horizontal="center" vertical="center" wrapText="1"/>
    </xf>
    <xf numFmtId="0" fontId="27" fillId="14" borderId="11" xfId="0" quotePrefix="1" applyFont="1" applyFill="1" applyBorder="1" applyAlignment="1">
      <alignment horizontal="center" vertical="center" wrapText="1"/>
    </xf>
    <xf numFmtId="0" fontId="37" fillId="0" borderId="4" xfId="0" applyFont="1" applyBorder="1" applyAlignment="1">
      <alignment horizontal="center" vertical="center" wrapText="1"/>
    </xf>
    <xf numFmtId="49" fontId="37" fillId="0" borderId="4" xfId="0" applyNumberFormat="1" applyFont="1" applyBorder="1" applyAlignment="1">
      <alignment horizontal="center" vertical="center" wrapText="1"/>
    </xf>
    <xf numFmtId="0" fontId="39" fillId="0" borderId="4" xfId="0" applyFont="1" applyBorder="1" applyAlignment="1">
      <alignment horizontal="center" vertical="center" wrapText="1"/>
    </xf>
    <xf numFmtId="0" fontId="40" fillId="0" borderId="4" xfId="0" applyFont="1" applyBorder="1" applyAlignment="1">
      <alignment horizontal="center" vertical="center" wrapText="1"/>
    </xf>
    <xf numFmtId="49" fontId="39" fillId="0" borderId="4" xfId="0" applyNumberFormat="1" applyFont="1" applyBorder="1" applyAlignment="1">
      <alignment horizontal="center" vertical="center" wrapText="1"/>
    </xf>
    <xf numFmtId="1" fontId="15" fillId="0" borderId="5" xfId="0" applyNumberFormat="1" applyFont="1" applyBorder="1" applyAlignment="1">
      <alignment vertical="center"/>
    </xf>
    <xf numFmtId="0" fontId="15" fillId="0" borderId="5" xfId="0" applyFont="1" applyBorder="1" applyAlignment="1">
      <alignment vertical="center" wrapText="1"/>
    </xf>
    <xf numFmtId="0" fontId="15" fillId="0" borderId="5" xfId="0" quotePrefix="1" applyFont="1" applyBorder="1" applyAlignment="1">
      <alignment vertical="center"/>
    </xf>
    <xf numFmtId="169" fontId="7" fillId="0" borderId="1" xfId="0" quotePrefix="1" applyNumberFormat="1" applyFont="1" applyBorder="1" applyAlignment="1">
      <alignment horizontal="left" vertical="center" wrapText="1"/>
    </xf>
    <xf numFmtId="169" fontId="7" fillId="14" borderId="1" xfId="0" quotePrefix="1" applyNumberFormat="1" applyFont="1" applyFill="1" applyBorder="1" applyAlignment="1">
      <alignment horizontal="center" vertical="center" wrapText="1"/>
    </xf>
    <xf numFmtId="169" fontId="7" fillId="0" borderId="3" xfId="0" quotePrefix="1" applyNumberFormat="1" applyFont="1" applyBorder="1" applyAlignment="1">
      <alignment horizontal="center" vertical="center" wrapText="1"/>
    </xf>
    <xf numFmtId="169" fontId="7" fillId="0" borderId="4" xfId="0" quotePrefix="1" applyNumberFormat="1" applyFont="1" applyBorder="1" applyAlignment="1">
      <alignment horizontal="center" vertical="center" wrapText="1"/>
    </xf>
    <xf numFmtId="169" fontId="25" fillId="0" borderId="1" xfId="0" quotePrefix="1" applyNumberFormat="1" applyFont="1" applyBorder="1" applyAlignment="1">
      <alignment horizontal="center" vertical="center" wrapText="1"/>
    </xf>
    <xf numFmtId="0" fontId="14" fillId="18" borderId="4" xfId="0" applyFont="1" applyFill="1" applyBorder="1" applyAlignment="1">
      <alignment vertical="center"/>
    </xf>
    <xf numFmtId="169" fontId="25" fillId="14" borderId="1" xfId="0" quotePrefix="1" applyNumberFormat="1" applyFont="1" applyFill="1" applyBorder="1" applyAlignment="1">
      <alignment horizontal="center" vertical="center" wrapText="1"/>
    </xf>
    <xf numFmtId="0" fontId="14" fillId="18" borderId="4" xfId="0" quotePrefix="1" applyFont="1" applyFill="1" applyBorder="1" applyAlignment="1">
      <alignment vertical="center"/>
    </xf>
    <xf numFmtId="0" fontId="7" fillId="8" borderId="4" xfId="0" applyFont="1" applyFill="1" applyBorder="1" applyAlignment="1">
      <alignment horizontal="center" vertical="center" wrapText="1"/>
    </xf>
    <xf numFmtId="0" fontId="39" fillId="0" borderId="4" xfId="0" applyFont="1" applyBorder="1" applyAlignment="1">
      <alignment horizontal="center" vertical="center" wrapText="1"/>
    </xf>
    <xf numFmtId="0" fontId="43" fillId="0" borderId="4" xfId="0" applyFont="1" applyBorder="1" applyAlignment="1">
      <alignment horizontal="center" vertical="center" wrapText="1"/>
    </xf>
    <xf numFmtId="0" fontId="39" fillId="0" borderId="4" xfId="0" applyFont="1" applyBorder="1" applyAlignment="1">
      <alignment horizontal="center" vertical="center"/>
    </xf>
    <xf numFmtId="0" fontId="18" fillId="0" borderId="0" xfId="0" applyFont="1" applyAlignment="1" applyProtection="1">
      <alignment horizontal="center"/>
      <protection locked="0"/>
    </xf>
    <xf numFmtId="0" fontId="40" fillId="0" borderId="4" xfId="0" applyFont="1" applyBorder="1" applyAlignment="1">
      <alignment horizontal="center" vertical="center" wrapText="1"/>
    </xf>
    <xf numFmtId="49" fontId="40" fillId="0" borderId="4" xfId="0" applyNumberFormat="1" applyFont="1" applyBorder="1" applyAlignment="1">
      <alignment horizontal="center" vertical="center" wrapText="1"/>
    </xf>
    <xf numFmtId="49" fontId="41" fillId="0" borderId="4" xfId="0" applyNumberFormat="1" applyFont="1" applyBorder="1" applyAlignment="1">
      <alignment horizontal="center" vertical="center" wrapText="1"/>
    </xf>
    <xf numFmtId="0" fontId="42" fillId="0" borderId="4" xfId="0" applyFont="1" applyBorder="1" applyAlignment="1">
      <alignment horizontal="center" vertical="center" wrapText="1"/>
    </xf>
    <xf numFmtId="0" fontId="18" fillId="0" borderId="5" xfId="0" applyFont="1" applyBorder="1" applyAlignment="1" applyProtection="1">
      <alignment horizontal="center"/>
      <protection locked="0"/>
    </xf>
    <xf numFmtId="0" fontId="37" fillId="0" borderId="4" xfId="0" applyFont="1" applyBorder="1" applyAlignment="1">
      <alignment horizontal="center" vertical="center" wrapText="1"/>
    </xf>
    <xf numFmtId="49" fontId="37" fillId="0" borderId="4" xfId="0" applyNumberFormat="1" applyFont="1" applyBorder="1" applyAlignment="1">
      <alignment horizontal="center" vertical="center" wrapText="1"/>
    </xf>
    <xf numFmtId="49" fontId="38" fillId="0" borderId="4" xfId="0" applyNumberFormat="1" applyFont="1" applyBorder="1" applyAlignment="1">
      <alignment horizontal="center" vertical="center" wrapText="1"/>
    </xf>
    <xf numFmtId="0" fontId="37" fillId="0" borderId="4" xfId="0" applyFont="1" applyBorder="1" applyAlignment="1">
      <alignment horizontal="center" vertical="center"/>
    </xf>
    <xf numFmtId="170" fontId="6" fillId="0" borderId="4" xfId="0" applyNumberFormat="1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5050"/>
      <color rgb="FFFFFF99"/>
      <color rgb="FFCCECFF"/>
      <color rgb="FF9999FF"/>
      <color rgb="FF00FFFF"/>
      <color rgb="FFFF99FF"/>
      <color rgb="FF000000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BK278"/>
  <sheetViews>
    <sheetView zoomScale="110" zoomScaleNormal="110" workbookViewId="0">
      <pane xSplit="5" ySplit="1" topLeftCell="N8" activePane="bottomRight" state="frozen"/>
      <selection pane="topRight" activeCell="G1" sqref="G1"/>
      <selection pane="bottomLeft" activeCell="A2" sqref="A2"/>
      <selection pane="bottomRight" activeCell="S13" sqref="S13"/>
    </sheetView>
  </sheetViews>
  <sheetFormatPr defaultRowHeight="15.75"/>
  <cols>
    <col min="1" max="1" width="4.85546875" style="5" customWidth="1"/>
    <col min="2" max="2" width="7.140625" style="12" customWidth="1"/>
    <col min="3" max="3" width="7.42578125" style="5" customWidth="1"/>
    <col min="4" max="4" width="16.42578125" style="25" customWidth="1"/>
    <col min="5" max="5" width="24.140625" style="8" customWidth="1"/>
    <col min="6" max="6" width="12.42578125" style="1" customWidth="1"/>
    <col min="7" max="7" width="9.5703125" style="1" customWidth="1"/>
    <col min="8" max="8" width="23" style="25" customWidth="1"/>
    <col min="9" max="9" width="7.140625" style="7" customWidth="1"/>
    <col min="10" max="10" width="8.85546875" style="7" customWidth="1"/>
    <col min="11" max="11" width="12.7109375" style="1" hidden="1" customWidth="1"/>
    <col min="12" max="12" width="9" style="1" customWidth="1"/>
    <col min="13" max="13" width="14" style="8" customWidth="1"/>
    <col min="14" max="14" width="18.7109375" style="65" customWidth="1"/>
    <col min="15" max="15" width="13.85546875" style="94" customWidth="1"/>
    <col min="16" max="16" width="20.5703125" style="93" customWidth="1"/>
    <col min="17" max="17" width="11.85546875" style="83" customWidth="1"/>
    <col min="18" max="18" width="7.7109375" style="1" customWidth="1"/>
    <col min="19" max="19" width="36.140625" style="8" customWidth="1"/>
    <col min="20" max="20" width="7.5703125" style="62" customWidth="1"/>
    <col min="21" max="21" width="19.42578125" style="5" customWidth="1"/>
    <col min="22" max="22" width="16" style="8" customWidth="1"/>
    <col min="23" max="23" width="16.7109375" style="8" customWidth="1"/>
    <col min="24" max="24" width="15.28515625" style="8" customWidth="1"/>
    <col min="25" max="25" width="25.140625" style="8" customWidth="1"/>
    <col min="26" max="26" width="46.28515625" style="8" customWidth="1"/>
    <col min="27" max="27" width="8.7109375" style="5" customWidth="1"/>
    <col min="28" max="28" width="22.5703125" style="5" customWidth="1"/>
    <col min="29" max="29" width="14.140625" style="5" customWidth="1"/>
    <col min="30" max="30" width="7.7109375" style="5" customWidth="1"/>
    <col min="31" max="31" width="11.5703125" style="121" customWidth="1"/>
    <col min="32" max="32" width="14.85546875" style="129" customWidth="1"/>
    <col min="33" max="33" width="16.28515625" style="179" customWidth="1"/>
    <col min="34" max="34" width="16.5703125" style="73" customWidth="1"/>
    <col min="35" max="35" width="21.7109375" style="176" customWidth="1"/>
    <col min="36" max="36" width="14.5703125" style="8" customWidth="1"/>
    <col min="37" max="37" width="7.7109375" style="5" customWidth="1"/>
    <col min="38" max="38" width="11" style="5" customWidth="1"/>
    <col min="39" max="39" width="17" style="8" customWidth="1"/>
    <col min="40" max="40" width="15.28515625" style="176" customWidth="1"/>
    <col min="41" max="41" width="14.5703125" style="45" customWidth="1"/>
    <col min="42" max="42" width="6.42578125" style="5" customWidth="1"/>
    <col min="43" max="43" width="7.140625" style="86" customWidth="1"/>
    <col min="44" max="44" width="9.5703125" style="86" customWidth="1"/>
    <col min="45" max="45" width="14.42578125" style="87" customWidth="1"/>
    <col min="46" max="46" width="10.5703125" style="88" customWidth="1"/>
    <col min="47" max="47" width="7.85546875" style="88" customWidth="1"/>
    <col min="48" max="48" width="7.5703125" style="86" customWidth="1"/>
    <col min="49" max="49" width="14.42578125" style="86" customWidth="1"/>
    <col min="50" max="50" width="11.7109375" style="88" customWidth="1"/>
    <col min="51" max="51" width="6.140625" style="88" customWidth="1"/>
    <col min="52" max="52" width="11.7109375" style="8" customWidth="1"/>
    <col min="53" max="53" width="7.7109375" style="5" customWidth="1"/>
    <col min="54" max="54" width="11.5703125" style="5" customWidth="1"/>
    <col min="55" max="55" width="10.7109375" style="8" customWidth="1"/>
    <col min="56" max="56" width="12.85546875" style="8" customWidth="1"/>
    <col min="57" max="57" width="12.42578125" style="5" customWidth="1"/>
    <col min="58" max="58" width="5.28515625" style="73" customWidth="1"/>
    <col min="59" max="59" width="16.28515625" style="5" customWidth="1"/>
    <col min="60" max="60" width="18.7109375" style="5" customWidth="1"/>
    <col min="61" max="61" width="14.5703125" style="5" customWidth="1"/>
    <col min="62" max="62" width="24.5703125" style="5" customWidth="1"/>
    <col min="63" max="63" width="12.7109375" style="5" customWidth="1"/>
    <col min="64" max="16384" width="9.140625" style="5"/>
  </cols>
  <sheetData>
    <row r="1" spans="1:62" s="54" customFormat="1" ht="37.5" customHeight="1">
      <c r="A1" s="97" t="s">
        <v>233</v>
      </c>
      <c r="B1" s="22" t="s">
        <v>138</v>
      </c>
      <c r="C1" s="53" t="s">
        <v>137</v>
      </c>
      <c r="D1" s="118" t="s">
        <v>2</v>
      </c>
      <c r="E1" s="63" t="s">
        <v>140</v>
      </c>
      <c r="F1" s="53" t="s">
        <v>194</v>
      </c>
      <c r="G1" s="78" t="s">
        <v>195</v>
      </c>
      <c r="H1" s="78" t="s">
        <v>196</v>
      </c>
      <c r="I1" s="98" t="s">
        <v>148</v>
      </c>
      <c r="J1" s="3" t="s">
        <v>186</v>
      </c>
      <c r="K1" s="56" t="s">
        <v>1</v>
      </c>
      <c r="L1" s="56" t="s">
        <v>4</v>
      </c>
      <c r="M1" s="119" t="s">
        <v>180</v>
      </c>
      <c r="N1" s="153" t="s">
        <v>181</v>
      </c>
      <c r="O1" s="153" t="s">
        <v>219</v>
      </c>
      <c r="P1" s="154" t="s">
        <v>229</v>
      </c>
      <c r="Q1" s="155" t="s">
        <v>216</v>
      </c>
      <c r="R1" s="156" t="s">
        <v>5</v>
      </c>
      <c r="S1" s="96" t="s">
        <v>188</v>
      </c>
      <c r="T1" s="56" t="s">
        <v>187</v>
      </c>
      <c r="U1" s="56" t="s">
        <v>230</v>
      </c>
      <c r="V1" s="56" t="s">
        <v>183</v>
      </c>
      <c r="W1" s="56" t="s">
        <v>184</v>
      </c>
      <c r="X1" s="56" t="s">
        <v>7</v>
      </c>
      <c r="Y1" s="56" t="s">
        <v>8</v>
      </c>
      <c r="Z1" s="56" t="s">
        <v>9</v>
      </c>
      <c r="AA1" s="56" t="s">
        <v>10</v>
      </c>
      <c r="AB1" s="56" t="s">
        <v>11</v>
      </c>
      <c r="AC1" s="56" t="s">
        <v>191</v>
      </c>
      <c r="AD1" s="120" t="s">
        <v>12</v>
      </c>
      <c r="AE1" s="120" t="s">
        <v>13</v>
      </c>
      <c r="AF1" s="192" t="s">
        <v>14</v>
      </c>
      <c r="AG1" s="193" t="s">
        <v>15</v>
      </c>
      <c r="AH1" s="192" t="s">
        <v>16</v>
      </c>
      <c r="AI1" s="56" t="s">
        <v>17</v>
      </c>
      <c r="AJ1" s="56" t="s">
        <v>190</v>
      </c>
      <c r="AK1" s="56" t="s">
        <v>12</v>
      </c>
      <c r="AL1" s="56" t="s">
        <v>13</v>
      </c>
      <c r="AM1" s="192" t="s">
        <v>14</v>
      </c>
      <c r="AN1" s="193" t="s">
        <v>15</v>
      </c>
      <c r="AO1" s="56" t="s">
        <v>16</v>
      </c>
      <c r="AP1" s="80" t="s">
        <v>211</v>
      </c>
      <c r="AQ1" s="80" t="s">
        <v>217</v>
      </c>
      <c r="AR1" s="81" t="s">
        <v>215</v>
      </c>
      <c r="AS1" s="82" t="s">
        <v>214</v>
      </c>
      <c r="AT1" s="82"/>
      <c r="AU1" s="80" t="s">
        <v>218</v>
      </c>
      <c r="AV1" s="80" t="s">
        <v>212</v>
      </c>
      <c r="AW1" s="82" t="s">
        <v>213</v>
      </c>
      <c r="AX1" s="82"/>
      <c r="AY1" s="2" t="s">
        <v>18</v>
      </c>
      <c r="AZ1" s="2" t="s">
        <v>189</v>
      </c>
      <c r="BA1" s="2" t="s">
        <v>12</v>
      </c>
      <c r="BB1" s="2" t="s">
        <v>13</v>
      </c>
      <c r="BC1" s="2" t="s">
        <v>210</v>
      </c>
      <c r="BD1" s="2" t="s">
        <v>14</v>
      </c>
      <c r="BE1" s="74" t="s">
        <v>15</v>
      </c>
      <c r="BF1" s="78" t="s">
        <v>16</v>
      </c>
      <c r="BG1" s="79" t="s">
        <v>185</v>
      </c>
      <c r="BH1" s="79" t="s">
        <v>220</v>
      </c>
      <c r="BI1" s="79" t="s">
        <v>192</v>
      </c>
      <c r="BJ1" s="79" t="s">
        <v>193</v>
      </c>
    </row>
    <row r="2" spans="1:62" s="50" customFormat="1" ht="52.5" customHeight="1">
      <c r="A2" s="50">
        <v>1</v>
      </c>
      <c r="B2" s="13" t="s">
        <v>142</v>
      </c>
      <c r="C2" s="52">
        <v>12470</v>
      </c>
      <c r="D2" s="382" t="s">
        <v>2622</v>
      </c>
      <c r="E2" s="267" t="s">
        <v>238</v>
      </c>
      <c r="F2" s="130" t="s">
        <v>3562</v>
      </c>
      <c r="G2" s="10"/>
      <c r="H2" s="91"/>
      <c r="I2" s="55">
        <v>2</v>
      </c>
      <c r="J2" s="195">
        <v>2</v>
      </c>
      <c r="K2" s="52"/>
      <c r="L2" s="52" t="s">
        <v>502</v>
      </c>
      <c r="M2" s="222" t="s">
        <v>49</v>
      </c>
      <c r="N2" s="282">
        <v>41746</v>
      </c>
      <c r="O2" s="158">
        <f>N2</f>
        <v>41746</v>
      </c>
      <c r="P2" s="159" t="s">
        <v>503</v>
      </c>
      <c r="Q2" s="41" t="s">
        <v>504</v>
      </c>
      <c r="R2" s="52" t="s">
        <v>505</v>
      </c>
      <c r="S2" s="64" t="s">
        <v>506</v>
      </c>
      <c r="T2" s="224">
        <v>61151</v>
      </c>
      <c r="U2" s="281" t="s">
        <v>507</v>
      </c>
      <c r="V2" s="281" t="s">
        <v>508</v>
      </c>
      <c r="W2" s="281" t="s">
        <v>49</v>
      </c>
      <c r="X2" s="281" t="s">
        <v>39</v>
      </c>
      <c r="Y2" s="289" t="s">
        <v>116</v>
      </c>
      <c r="Z2" s="295" t="s">
        <v>2859</v>
      </c>
      <c r="AA2" s="64"/>
      <c r="AB2" s="64" t="s">
        <v>509</v>
      </c>
      <c r="AC2" s="64" t="s">
        <v>505</v>
      </c>
      <c r="AD2" s="64" t="s">
        <v>30</v>
      </c>
      <c r="AE2" s="64" t="s">
        <v>168</v>
      </c>
      <c r="AF2" s="295" t="s">
        <v>946</v>
      </c>
      <c r="AG2" s="396" t="s">
        <v>3037</v>
      </c>
      <c r="AH2" s="114"/>
      <c r="AI2" s="64" t="s">
        <v>510</v>
      </c>
      <c r="AJ2" s="64" t="s">
        <v>505</v>
      </c>
      <c r="AK2" s="225" t="s">
        <v>20</v>
      </c>
      <c r="AL2" s="225" t="s">
        <v>511</v>
      </c>
      <c r="AM2" s="308" t="s">
        <v>948</v>
      </c>
      <c r="AN2" s="396" t="s">
        <v>3299</v>
      </c>
      <c r="AO2" s="64"/>
      <c r="AP2" s="190" t="s">
        <v>512</v>
      </c>
      <c r="AQ2" s="84"/>
      <c r="AR2" s="32" t="s">
        <v>27</v>
      </c>
      <c r="AS2" s="85">
        <v>28656</v>
      </c>
      <c r="AT2" s="85"/>
      <c r="AU2" s="84"/>
      <c r="AV2" s="84" t="s">
        <v>49</v>
      </c>
      <c r="AW2" s="85">
        <v>30049</v>
      </c>
      <c r="AX2" s="85"/>
      <c r="AY2" s="231"/>
      <c r="AZ2" s="95"/>
      <c r="BA2" s="231"/>
      <c r="BB2" s="231"/>
      <c r="BC2" s="60"/>
      <c r="BD2" s="60"/>
      <c r="BE2" s="75"/>
      <c r="BF2" s="64"/>
      <c r="BG2" s="64" t="s">
        <v>3550</v>
      </c>
      <c r="BH2" s="245"/>
      <c r="BI2" s="64" t="s">
        <v>3551</v>
      </c>
      <c r="BJ2" s="229" t="s">
        <v>3552</v>
      </c>
    </row>
    <row r="3" spans="1:62" s="50" customFormat="1" ht="52.5" customHeight="1">
      <c r="A3" s="50">
        <v>2</v>
      </c>
      <c r="B3" s="13" t="s">
        <v>142</v>
      </c>
      <c r="C3" s="52">
        <v>12475</v>
      </c>
      <c r="D3" s="382" t="s">
        <v>2623</v>
      </c>
      <c r="E3" s="220" t="s">
        <v>239</v>
      </c>
      <c r="F3" s="130" t="s">
        <v>3562</v>
      </c>
      <c r="G3" s="10"/>
      <c r="H3" s="131"/>
      <c r="I3" s="55">
        <v>3</v>
      </c>
      <c r="J3" s="196">
        <v>2</v>
      </c>
      <c r="K3" s="178"/>
      <c r="L3" s="52" t="s">
        <v>502</v>
      </c>
      <c r="M3" s="223" t="s">
        <v>49</v>
      </c>
      <c r="N3" s="418">
        <v>41609</v>
      </c>
      <c r="O3" s="158">
        <f t="shared" ref="O3:O66" si="0">N3</f>
        <v>41609</v>
      </c>
      <c r="P3" s="133" t="s">
        <v>3563</v>
      </c>
      <c r="Q3" s="41" t="s">
        <v>513</v>
      </c>
      <c r="R3" s="52" t="s">
        <v>505</v>
      </c>
      <c r="S3" s="64" t="s">
        <v>514</v>
      </c>
      <c r="T3" s="175">
        <v>61172</v>
      </c>
      <c r="U3" s="175" t="s">
        <v>515</v>
      </c>
      <c r="V3" s="175" t="s">
        <v>516</v>
      </c>
      <c r="W3" s="175" t="s">
        <v>49</v>
      </c>
      <c r="X3" s="175" t="s">
        <v>39</v>
      </c>
      <c r="Y3" s="289" t="s">
        <v>583</v>
      </c>
      <c r="Z3" s="295" t="s">
        <v>884</v>
      </c>
      <c r="AA3" s="64"/>
      <c r="AB3" s="232" t="s">
        <v>517</v>
      </c>
      <c r="AC3" s="64" t="s">
        <v>505</v>
      </c>
      <c r="AD3" s="64" t="s">
        <v>518</v>
      </c>
      <c r="AE3" s="64" t="s">
        <v>165</v>
      </c>
      <c r="AF3" s="295" t="s">
        <v>947</v>
      </c>
      <c r="AG3" s="396" t="s">
        <v>3038</v>
      </c>
      <c r="AH3" s="114"/>
      <c r="AI3" s="64" t="s">
        <v>519</v>
      </c>
      <c r="AJ3" s="64" t="s">
        <v>505</v>
      </c>
      <c r="AK3" s="225" t="s">
        <v>518</v>
      </c>
      <c r="AL3" s="225" t="s">
        <v>520</v>
      </c>
      <c r="AM3" s="308" t="s">
        <v>949</v>
      </c>
      <c r="AN3" s="396" t="s">
        <v>3300</v>
      </c>
      <c r="AO3" s="226"/>
      <c r="AP3" s="190" t="s">
        <v>685</v>
      </c>
      <c r="AQ3" s="84"/>
      <c r="AR3" s="32"/>
      <c r="AS3" s="85"/>
      <c r="AT3" s="85"/>
      <c r="AU3" s="84"/>
      <c r="AV3" s="84"/>
      <c r="AW3" s="85"/>
      <c r="AX3" s="85"/>
      <c r="AY3" s="60"/>
      <c r="AZ3" s="95"/>
      <c r="BA3" s="60"/>
      <c r="BB3" s="60"/>
      <c r="BC3" s="60"/>
      <c r="BD3" s="60"/>
      <c r="BE3" s="75"/>
      <c r="BF3" s="64"/>
      <c r="BG3" s="64" t="s">
        <v>3550</v>
      </c>
      <c r="BH3" s="245"/>
      <c r="BI3" s="64" t="s">
        <v>3551</v>
      </c>
      <c r="BJ3" s="229" t="s">
        <v>3552</v>
      </c>
    </row>
    <row r="4" spans="1:62" s="51" customFormat="1" ht="52.5" customHeight="1">
      <c r="A4" s="50">
        <v>3</v>
      </c>
      <c r="B4" s="13" t="s">
        <v>142</v>
      </c>
      <c r="C4" s="52">
        <v>12487</v>
      </c>
      <c r="D4" s="293">
        <v>3153546425</v>
      </c>
      <c r="E4" s="220" t="s">
        <v>240</v>
      </c>
      <c r="F4" s="130" t="s">
        <v>3562</v>
      </c>
      <c r="G4" s="10"/>
      <c r="H4" s="91"/>
      <c r="I4" s="55">
        <v>4</v>
      </c>
      <c r="J4" s="196">
        <v>3</v>
      </c>
      <c r="K4" s="178"/>
      <c r="L4" s="52" t="s">
        <v>502</v>
      </c>
      <c r="M4" s="58" t="s">
        <v>133</v>
      </c>
      <c r="N4" s="282">
        <v>41654</v>
      </c>
      <c r="O4" s="158">
        <f t="shared" si="0"/>
        <v>41654</v>
      </c>
      <c r="P4" s="133" t="s">
        <v>743</v>
      </c>
      <c r="Q4" s="41"/>
      <c r="R4" s="52" t="s">
        <v>505</v>
      </c>
      <c r="S4" s="64" t="s">
        <v>521</v>
      </c>
      <c r="T4" s="225">
        <v>60177</v>
      </c>
      <c r="U4" s="225" t="s">
        <v>523</v>
      </c>
      <c r="V4" s="225" t="s">
        <v>522</v>
      </c>
      <c r="W4" s="225" t="s">
        <v>524</v>
      </c>
      <c r="X4" s="225" t="s">
        <v>39</v>
      </c>
      <c r="Y4" s="289" t="s">
        <v>584</v>
      </c>
      <c r="Z4" s="295"/>
      <c r="AA4" s="64"/>
      <c r="AB4" s="58" t="s">
        <v>525</v>
      </c>
      <c r="AC4" s="64" t="s">
        <v>505</v>
      </c>
      <c r="AD4" s="127" t="s">
        <v>518</v>
      </c>
      <c r="AE4" s="126" t="s">
        <v>21</v>
      </c>
      <c r="AF4" s="295"/>
      <c r="AG4" s="396" t="s">
        <v>3039</v>
      </c>
      <c r="AH4" s="114"/>
      <c r="AI4" s="64"/>
      <c r="AJ4" s="64" t="s">
        <v>505</v>
      </c>
      <c r="AK4" s="64" t="s">
        <v>530</v>
      </c>
      <c r="AL4" s="58" t="s">
        <v>520</v>
      </c>
      <c r="AM4" s="308"/>
      <c r="AN4" s="396" t="s">
        <v>3301</v>
      </c>
      <c r="AO4" s="64"/>
      <c r="AP4" s="190" t="s">
        <v>686</v>
      </c>
      <c r="AQ4" s="84"/>
      <c r="AR4" s="32"/>
      <c r="AS4" s="85"/>
      <c r="AT4" s="85"/>
      <c r="AU4" s="41"/>
      <c r="AV4" s="41"/>
      <c r="AW4" s="90"/>
      <c r="AX4" s="85"/>
      <c r="AY4" s="60"/>
      <c r="AZ4" s="95"/>
      <c r="BA4" s="60"/>
      <c r="BB4" s="60"/>
      <c r="BC4" s="60"/>
      <c r="BD4" s="60"/>
      <c r="BE4" s="75"/>
      <c r="BF4" s="64"/>
      <c r="BG4" s="64" t="s">
        <v>3550</v>
      </c>
      <c r="BH4" s="245"/>
      <c r="BI4" s="64" t="s">
        <v>3551</v>
      </c>
      <c r="BJ4" s="229" t="s">
        <v>3552</v>
      </c>
    </row>
    <row r="5" spans="1:62" s="51" customFormat="1" ht="52.5" customHeight="1">
      <c r="A5" s="50">
        <v>4</v>
      </c>
      <c r="B5" s="13" t="s">
        <v>142</v>
      </c>
      <c r="C5" s="52">
        <v>12488</v>
      </c>
      <c r="D5" s="382" t="s">
        <v>2624</v>
      </c>
      <c r="E5" s="220" t="s">
        <v>241</v>
      </c>
      <c r="F5" s="130" t="s">
        <v>3562</v>
      </c>
      <c r="G5" s="10"/>
      <c r="H5" s="131"/>
      <c r="I5" s="55">
        <v>1</v>
      </c>
      <c r="J5" s="196">
        <v>2</v>
      </c>
      <c r="K5" s="178"/>
      <c r="L5" s="52" t="s">
        <v>502</v>
      </c>
      <c r="M5" s="157" t="s">
        <v>60</v>
      </c>
      <c r="N5" s="282">
        <v>41487</v>
      </c>
      <c r="O5" s="158">
        <f t="shared" si="0"/>
        <v>41487</v>
      </c>
      <c r="P5" s="133" t="s">
        <v>744</v>
      </c>
      <c r="Q5" s="41" t="s">
        <v>533</v>
      </c>
      <c r="R5" s="52" t="s">
        <v>505</v>
      </c>
      <c r="S5" s="64" t="s">
        <v>2606</v>
      </c>
      <c r="T5" s="225">
        <v>80177</v>
      </c>
      <c r="U5" s="225" t="s">
        <v>526</v>
      </c>
      <c r="V5" s="225" t="s">
        <v>527</v>
      </c>
      <c r="W5" s="225" t="s">
        <v>528</v>
      </c>
      <c r="X5" s="225" t="s">
        <v>61</v>
      </c>
      <c r="Y5" s="289" t="s">
        <v>735</v>
      </c>
      <c r="Z5" s="295" t="s">
        <v>885</v>
      </c>
      <c r="AA5" s="64"/>
      <c r="AB5" s="64" t="s">
        <v>529</v>
      </c>
      <c r="AC5" s="64" t="s">
        <v>505</v>
      </c>
      <c r="AD5" s="64" t="s">
        <v>530</v>
      </c>
      <c r="AE5" s="64" t="s">
        <v>21</v>
      </c>
      <c r="AF5" s="295" t="s">
        <v>946</v>
      </c>
      <c r="AG5" s="396" t="s">
        <v>3040</v>
      </c>
      <c r="AH5" s="114"/>
      <c r="AI5" s="64" t="s">
        <v>531</v>
      </c>
      <c r="AJ5" s="64" t="s">
        <v>505</v>
      </c>
      <c r="AK5" s="225" t="s">
        <v>518</v>
      </c>
      <c r="AL5" s="225" t="s">
        <v>520</v>
      </c>
      <c r="AM5" s="308" t="s">
        <v>950</v>
      </c>
      <c r="AN5" s="396" t="s">
        <v>3302</v>
      </c>
      <c r="AO5" s="64"/>
      <c r="AP5" s="190" t="s">
        <v>532</v>
      </c>
      <c r="AQ5" s="84"/>
      <c r="AR5" s="32"/>
      <c r="AS5" s="85"/>
      <c r="AT5" s="85"/>
      <c r="AU5" s="84"/>
      <c r="AV5" s="32"/>
      <c r="AW5" s="85"/>
      <c r="AX5" s="85"/>
      <c r="AY5" s="60"/>
      <c r="AZ5" s="95"/>
      <c r="BA5" s="60"/>
      <c r="BB5" s="60"/>
      <c r="BC5" s="60"/>
      <c r="BD5" s="60"/>
      <c r="BE5" s="75"/>
      <c r="BF5" s="64"/>
      <c r="BG5" s="64" t="s">
        <v>3550</v>
      </c>
      <c r="BH5" s="245"/>
      <c r="BI5" s="64" t="s">
        <v>3551</v>
      </c>
      <c r="BJ5" s="229" t="s">
        <v>3552</v>
      </c>
    </row>
    <row r="6" spans="1:62" s="51" customFormat="1" ht="52.5" customHeight="1">
      <c r="A6" s="50">
        <v>5</v>
      </c>
      <c r="B6" s="13" t="s">
        <v>142</v>
      </c>
      <c r="C6" s="52">
        <v>12506</v>
      </c>
      <c r="D6" s="382" t="s">
        <v>2625</v>
      </c>
      <c r="E6" s="220" t="s">
        <v>242</v>
      </c>
      <c r="F6" s="130" t="s">
        <v>3562</v>
      </c>
      <c r="G6" s="10"/>
      <c r="H6" s="91"/>
      <c r="I6" s="55">
        <v>2</v>
      </c>
      <c r="J6" s="196">
        <v>1</v>
      </c>
      <c r="K6" s="178"/>
      <c r="L6" s="52" t="s">
        <v>502</v>
      </c>
      <c r="M6" s="222" t="s">
        <v>49</v>
      </c>
      <c r="N6" s="282">
        <v>41895</v>
      </c>
      <c r="O6" s="158">
        <f t="shared" si="0"/>
        <v>41895</v>
      </c>
      <c r="P6" s="133" t="s">
        <v>745</v>
      </c>
      <c r="Q6" s="43" t="s">
        <v>534</v>
      </c>
      <c r="R6" s="52" t="s">
        <v>505</v>
      </c>
      <c r="S6" s="235" t="s">
        <v>535</v>
      </c>
      <c r="T6" s="79">
        <v>61121</v>
      </c>
      <c r="U6" s="64" t="s">
        <v>687</v>
      </c>
      <c r="V6" s="64" t="s">
        <v>691</v>
      </c>
      <c r="W6" s="64" t="s">
        <v>49</v>
      </c>
      <c r="X6" s="64" t="s">
        <v>39</v>
      </c>
      <c r="Y6" s="289" t="s">
        <v>585</v>
      </c>
      <c r="Z6" s="295" t="s">
        <v>886</v>
      </c>
      <c r="AA6" s="64"/>
      <c r="AB6" s="234" t="s">
        <v>536</v>
      </c>
      <c r="AC6" s="64" t="s">
        <v>505</v>
      </c>
      <c r="AD6" s="127" t="s">
        <v>20</v>
      </c>
      <c r="AE6" s="126" t="s">
        <v>511</v>
      </c>
      <c r="AF6" s="295" t="s">
        <v>946</v>
      </c>
      <c r="AG6" s="396" t="s">
        <v>3041</v>
      </c>
      <c r="AH6" s="205"/>
      <c r="AI6" s="234" t="s">
        <v>537</v>
      </c>
      <c r="AJ6" s="64" t="s">
        <v>505</v>
      </c>
      <c r="AK6" s="64" t="s">
        <v>20</v>
      </c>
      <c r="AL6" s="126" t="s">
        <v>511</v>
      </c>
      <c r="AM6" s="308" t="s">
        <v>950</v>
      </c>
      <c r="AN6" s="396" t="s">
        <v>3303</v>
      </c>
      <c r="AO6" s="64"/>
      <c r="AP6" s="191" t="s">
        <v>538</v>
      </c>
      <c r="AQ6" s="112"/>
      <c r="AR6" s="110"/>
      <c r="AS6" s="111"/>
      <c r="AT6" s="111"/>
      <c r="AU6" s="112"/>
      <c r="AV6" s="112"/>
      <c r="AW6" s="111"/>
      <c r="AX6" s="85"/>
      <c r="AY6" s="60"/>
      <c r="AZ6" s="95"/>
      <c r="BA6" s="60"/>
      <c r="BB6" s="60"/>
      <c r="BC6" s="60"/>
      <c r="BD6" s="60"/>
      <c r="BE6" s="75"/>
      <c r="BF6" s="64"/>
      <c r="BG6" s="64" t="s">
        <v>3550</v>
      </c>
      <c r="BH6" s="245"/>
      <c r="BI6" s="64" t="s">
        <v>3551</v>
      </c>
      <c r="BJ6" s="229" t="s">
        <v>3552</v>
      </c>
    </row>
    <row r="7" spans="1:62" s="51" customFormat="1" ht="52.5" customHeight="1">
      <c r="A7" s="50">
        <v>6</v>
      </c>
      <c r="B7" s="13" t="s">
        <v>142</v>
      </c>
      <c r="C7" s="52">
        <v>12518</v>
      </c>
      <c r="D7" s="382" t="s">
        <v>2626</v>
      </c>
      <c r="E7" s="220" t="s">
        <v>243</v>
      </c>
      <c r="F7" s="130" t="s">
        <v>3562</v>
      </c>
      <c r="G7" s="10"/>
      <c r="H7" s="262"/>
      <c r="I7" s="55">
        <v>1</v>
      </c>
      <c r="J7" s="196">
        <v>1</v>
      </c>
      <c r="K7" s="178"/>
      <c r="L7" s="52" t="s">
        <v>502</v>
      </c>
      <c r="M7" s="223" t="s">
        <v>34</v>
      </c>
      <c r="N7" s="282">
        <v>41735</v>
      </c>
      <c r="O7" s="158">
        <f t="shared" si="0"/>
        <v>41735</v>
      </c>
      <c r="P7" s="133" t="s">
        <v>746</v>
      </c>
      <c r="Q7" s="41" t="s">
        <v>539</v>
      </c>
      <c r="R7" s="52" t="s">
        <v>505</v>
      </c>
      <c r="S7" s="236" t="s">
        <v>3715</v>
      </c>
      <c r="T7" s="79"/>
      <c r="U7" s="64" t="s">
        <v>540</v>
      </c>
      <c r="V7" s="64" t="s">
        <v>541</v>
      </c>
      <c r="W7" s="64" t="s">
        <v>64</v>
      </c>
      <c r="X7" s="64" t="s">
        <v>542</v>
      </c>
      <c r="Y7" s="289" t="s">
        <v>736</v>
      </c>
      <c r="Z7" s="295" t="s">
        <v>2860</v>
      </c>
      <c r="AA7" s="64"/>
      <c r="AB7" s="233" t="s">
        <v>543</v>
      </c>
      <c r="AC7" s="64" t="s">
        <v>505</v>
      </c>
      <c r="AD7" s="127" t="s">
        <v>20</v>
      </c>
      <c r="AE7" s="126" t="s">
        <v>165</v>
      </c>
      <c r="AF7" s="295" t="s">
        <v>946</v>
      </c>
      <c r="AG7" s="396" t="s">
        <v>3042</v>
      </c>
      <c r="AH7" s="114"/>
      <c r="AI7" s="233" t="s">
        <v>544</v>
      </c>
      <c r="AJ7" s="64" t="s">
        <v>505</v>
      </c>
      <c r="AK7" s="64" t="s">
        <v>518</v>
      </c>
      <c r="AL7" s="58" t="s">
        <v>520</v>
      </c>
      <c r="AM7" s="308" t="s">
        <v>949</v>
      </c>
      <c r="AN7" s="396" t="s">
        <v>3304</v>
      </c>
      <c r="AO7" s="64"/>
      <c r="AP7" s="191" t="s">
        <v>553</v>
      </c>
      <c r="AQ7" s="112"/>
      <c r="AR7" s="110"/>
      <c r="AS7" s="111"/>
      <c r="AT7" s="111"/>
      <c r="AU7" s="112"/>
      <c r="AV7" s="112"/>
      <c r="AW7" s="111"/>
      <c r="AX7" s="85"/>
      <c r="AY7" s="60"/>
      <c r="AZ7" s="95"/>
      <c r="BA7" s="60"/>
      <c r="BB7" s="60"/>
      <c r="BC7" s="60"/>
      <c r="BD7" s="60"/>
      <c r="BE7" s="75"/>
      <c r="BF7" s="64"/>
      <c r="BG7" s="64" t="s">
        <v>3550</v>
      </c>
      <c r="BH7" s="245"/>
      <c r="BI7" s="64" t="s">
        <v>3551</v>
      </c>
      <c r="BJ7" s="229" t="s">
        <v>3552</v>
      </c>
    </row>
    <row r="8" spans="1:62" s="51" customFormat="1" ht="52.5" customHeight="1">
      <c r="A8" s="50">
        <v>7</v>
      </c>
      <c r="B8" s="13" t="s">
        <v>142</v>
      </c>
      <c r="C8" s="52">
        <v>12527</v>
      </c>
      <c r="D8" s="382" t="s">
        <v>2627</v>
      </c>
      <c r="E8" s="220" t="s">
        <v>244</v>
      </c>
      <c r="F8" s="130" t="s">
        <v>3562</v>
      </c>
      <c r="G8" s="10"/>
      <c r="H8" s="131"/>
      <c r="I8" s="55">
        <v>1</v>
      </c>
      <c r="J8" s="196">
        <v>1</v>
      </c>
      <c r="K8" s="202"/>
      <c r="L8" s="52" t="s">
        <v>502</v>
      </c>
      <c r="M8" s="58" t="s">
        <v>127</v>
      </c>
      <c r="N8" s="282">
        <v>41633</v>
      </c>
      <c r="O8" s="158">
        <f t="shared" si="0"/>
        <v>41633</v>
      </c>
      <c r="P8" s="133" t="s">
        <v>747</v>
      </c>
      <c r="Q8" s="41" t="s">
        <v>545</v>
      </c>
      <c r="R8" s="52" t="s">
        <v>505</v>
      </c>
      <c r="S8" s="58" t="s">
        <v>546</v>
      </c>
      <c r="T8" s="79"/>
      <c r="U8" s="64" t="s">
        <v>547</v>
      </c>
      <c r="V8" s="64" t="s">
        <v>548</v>
      </c>
      <c r="W8" s="64" t="s">
        <v>549</v>
      </c>
      <c r="X8" s="64" t="s">
        <v>128</v>
      </c>
      <c r="Y8" s="289" t="s">
        <v>586</v>
      </c>
      <c r="Z8" s="295" t="s">
        <v>887</v>
      </c>
      <c r="AA8" s="64"/>
      <c r="AB8" s="58" t="s">
        <v>550</v>
      </c>
      <c r="AC8" s="64" t="s">
        <v>505</v>
      </c>
      <c r="AD8" s="127" t="s">
        <v>518</v>
      </c>
      <c r="AE8" s="126" t="s">
        <v>165</v>
      </c>
      <c r="AF8" s="295" t="s">
        <v>948</v>
      </c>
      <c r="AG8" s="396" t="s">
        <v>3043</v>
      </c>
      <c r="AH8" s="206"/>
      <c r="AI8" s="58" t="s">
        <v>551</v>
      </c>
      <c r="AJ8" s="64" t="s">
        <v>505</v>
      </c>
      <c r="AK8" s="64" t="s">
        <v>518</v>
      </c>
      <c r="AL8" s="58" t="s">
        <v>520</v>
      </c>
      <c r="AM8" s="308" t="s">
        <v>949</v>
      </c>
      <c r="AN8" s="396" t="s">
        <v>3305</v>
      </c>
      <c r="AO8" s="226"/>
      <c r="AP8" s="191" t="s">
        <v>552</v>
      </c>
      <c r="AQ8" s="112"/>
      <c r="AR8" s="110"/>
      <c r="AS8" s="111"/>
      <c r="AT8" s="111"/>
      <c r="AU8" s="112"/>
      <c r="AV8" s="112"/>
      <c r="AW8" s="111"/>
      <c r="AX8" s="85"/>
      <c r="AY8" s="60"/>
      <c r="AZ8" s="95"/>
      <c r="BA8" s="60"/>
      <c r="BB8" s="60"/>
      <c r="BC8" s="60"/>
      <c r="BD8" s="60"/>
      <c r="BE8" s="75"/>
      <c r="BF8" s="64"/>
      <c r="BG8" s="64" t="s">
        <v>3550</v>
      </c>
      <c r="BH8" s="245"/>
      <c r="BI8" s="64" t="s">
        <v>3551</v>
      </c>
      <c r="BJ8" s="229" t="s">
        <v>3552</v>
      </c>
    </row>
    <row r="9" spans="1:62" s="51" customFormat="1" ht="52.5" customHeight="1">
      <c r="A9" s="50">
        <v>8</v>
      </c>
      <c r="B9" s="13" t="s">
        <v>142</v>
      </c>
      <c r="C9" s="52">
        <v>12529</v>
      </c>
      <c r="D9" s="293">
        <v>3137470894</v>
      </c>
      <c r="E9" s="220" t="s">
        <v>245</v>
      </c>
      <c r="F9" s="130" t="s">
        <v>3562</v>
      </c>
      <c r="G9" s="10"/>
      <c r="H9" s="131"/>
      <c r="I9" s="55">
        <v>6</v>
      </c>
      <c r="J9" s="196">
        <v>5</v>
      </c>
      <c r="K9" s="178"/>
      <c r="L9" s="52" t="s">
        <v>502</v>
      </c>
      <c r="M9" s="58" t="s">
        <v>23</v>
      </c>
      <c r="N9" s="282">
        <v>41633</v>
      </c>
      <c r="O9" s="158">
        <f t="shared" si="0"/>
        <v>41633</v>
      </c>
      <c r="P9" s="133" t="s">
        <v>747</v>
      </c>
      <c r="Q9" s="43" t="s">
        <v>554</v>
      </c>
      <c r="R9" s="52" t="s">
        <v>505</v>
      </c>
      <c r="S9" s="58" t="s">
        <v>3716</v>
      </c>
      <c r="T9" s="79">
        <v>85141</v>
      </c>
      <c r="U9" s="64" t="s">
        <v>688</v>
      </c>
      <c r="V9" s="64" t="s">
        <v>692</v>
      </c>
      <c r="W9" s="64" t="s">
        <v>695</v>
      </c>
      <c r="X9" s="64" t="s">
        <v>696</v>
      </c>
      <c r="Y9" s="289" t="s">
        <v>587</v>
      </c>
      <c r="Z9" s="295" t="s">
        <v>888</v>
      </c>
      <c r="AA9" s="64"/>
      <c r="AB9" s="64" t="s">
        <v>555</v>
      </c>
      <c r="AC9" s="64" t="s">
        <v>505</v>
      </c>
      <c r="AD9" s="127"/>
      <c r="AE9" s="126"/>
      <c r="AF9" s="295" t="s">
        <v>946</v>
      </c>
      <c r="AG9" s="396" t="s">
        <v>3044</v>
      </c>
      <c r="AH9" s="114"/>
      <c r="AI9" s="64" t="s">
        <v>556</v>
      </c>
      <c r="AJ9" s="64" t="s">
        <v>505</v>
      </c>
      <c r="AK9" s="64" t="s">
        <v>530</v>
      </c>
      <c r="AL9" s="58" t="s">
        <v>520</v>
      </c>
      <c r="AM9" s="308" t="s">
        <v>948</v>
      </c>
      <c r="AN9" s="396" t="s">
        <v>3306</v>
      </c>
      <c r="AO9" s="64"/>
      <c r="AP9" s="191" t="s">
        <v>557</v>
      </c>
      <c r="AQ9" s="112"/>
      <c r="AR9" s="110"/>
      <c r="AS9" s="111"/>
      <c r="AT9" s="111"/>
      <c r="AU9" s="112"/>
      <c r="AV9" s="112"/>
      <c r="AW9" s="111"/>
      <c r="AX9" s="85"/>
      <c r="AY9" s="60"/>
      <c r="AZ9" s="95"/>
      <c r="BA9" s="60"/>
      <c r="BB9" s="60"/>
      <c r="BC9" s="60"/>
      <c r="BD9" s="60"/>
      <c r="BE9" s="75"/>
      <c r="BF9" s="64"/>
      <c r="BG9" s="64" t="s">
        <v>3550</v>
      </c>
      <c r="BH9" s="245"/>
      <c r="BI9" s="64" t="s">
        <v>3551</v>
      </c>
      <c r="BJ9" s="229" t="s">
        <v>3552</v>
      </c>
    </row>
    <row r="10" spans="1:62" s="51" customFormat="1" ht="52.5" customHeight="1">
      <c r="A10" s="50">
        <v>9</v>
      </c>
      <c r="B10" s="13" t="s">
        <v>142</v>
      </c>
      <c r="C10" s="52">
        <v>12542</v>
      </c>
      <c r="D10" s="382" t="s">
        <v>2628</v>
      </c>
      <c r="E10" s="220" t="s">
        <v>558</v>
      </c>
      <c r="F10" s="130" t="s">
        <v>3562</v>
      </c>
      <c r="G10" s="10"/>
      <c r="H10" s="131"/>
      <c r="I10" s="55">
        <v>2</v>
      </c>
      <c r="J10" s="196">
        <v>2</v>
      </c>
      <c r="K10" s="178"/>
      <c r="L10" s="52" t="s">
        <v>502</v>
      </c>
      <c r="M10" s="58" t="s">
        <v>559</v>
      </c>
      <c r="N10" s="282">
        <v>41349</v>
      </c>
      <c r="O10" s="158">
        <f t="shared" si="0"/>
        <v>41349</v>
      </c>
      <c r="P10" s="133" t="s">
        <v>748</v>
      </c>
      <c r="Q10" s="381" t="s">
        <v>2621</v>
      </c>
      <c r="R10" s="52" t="s">
        <v>505</v>
      </c>
      <c r="S10" s="58" t="s">
        <v>560</v>
      </c>
      <c r="T10" s="79">
        <v>62366</v>
      </c>
      <c r="U10" s="64" t="s">
        <v>689</v>
      </c>
      <c r="V10" s="64" t="s">
        <v>693</v>
      </c>
      <c r="W10" s="64" t="s">
        <v>559</v>
      </c>
      <c r="X10" s="64" t="s">
        <v>39</v>
      </c>
      <c r="Y10" s="289" t="s">
        <v>88</v>
      </c>
      <c r="Z10" s="295" t="s">
        <v>889</v>
      </c>
      <c r="AA10" s="64"/>
      <c r="AB10" s="64" t="s">
        <v>561</v>
      </c>
      <c r="AC10" s="64" t="s">
        <v>505</v>
      </c>
      <c r="AD10" s="127" t="s">
        <v>518</v>
      </c>
      <c r="AE10" s="127" t="s">
        <v>165</v>
      </c>
      <c r="AF10" s="295" t="s">
        <v>948</v>
      </c>
      <c r="AG10" s="396" t="s">
        <v>3045</v>
      </c>
      <c r="AH10" s="114"/>
      <c r="AI10" s="64" t="s">
        <v>562</v>
      </c>
      <c r="AJ10" s="64" t="s">
        <v>505</v>
      </c>
      <c r="AK10" s="64" t="s">
        <v>563</v>
      </c>
      <c r="AL10" s="58" t="s">
        <v>520</v>
      </c>
      <c r="AM10" s="308" t="s">
        <v>950</v>
      </c>
      <c r="AN10" s="396" t="s">
        <v>3307</v>
      </c>
      <c r="AO10" s="64"/>
      <c r="AP10" s="190" t="s">
        <v>568</v>
      </c>
      <c r="AQ10" s="41"/>
      <c r="AR10" s="102"/>
      <c r="AS10" s="90"/>
      <c r="AT10" s="85"/>
      <c r="AU10" s="84"/>
      <c r="AV10" s="32"/>
      <c r="AW10" s="85"/>
      <c r="AX10" s="85"/>
      <c r="AY10" s="60"/>
      <c r="AZ10" s="95"/>
      <c r="BA10" s="60"/>
      <c r="BB10" s="60"/>
      <c r="BC10" s="60"/>
      <c r="BD10" s="60"/>
      <c r="BE10" s="75"/>
      <c r="BF10" s="64"/>
      <c r="BG10" s="64" t="s">
        <v>3550</v>
      </c>
      <c r="BH10" s="245"/>
      <c r="BI10" s="64" t="s">
        <v>3551</v>
      </c>
      <c r="BJ10" s="229" t="s">
        <v>3552</v>
      </c>
    </row>
    <row r="11" spans="1:62" s="51" customFormat="1" ht="47.25">
      <c r="A11" s="50">
        <v>10</v>
      </c>
      <c r="B11" s="13" t="s">
        <v>142</v>
      </c>
      <c r="C11" s="52">
        <v>12548</v>
      </c>
      <c r="D11" s="382" t="s">
        <v>2629</v>
      </c>
      <c r="E11" s="220" t="s">
        <v>246</v>
      </c>
      <c r="F11" s="130" t="s">
        <v>3562</v>
      </c>
      <c r="G11" s="10"/>
      <c r="H11" s="131"/>
      <c r="I11" s="55">
        <v>5</v>
      </c>
      <c r="J11" s="196">
        <v>4</v>
      </c>
      <c r="K11" s="178"/>
      <c r="L11" s="52" t="s">
        <v>502</v>
      </c>
      <c r="M11" s="100" t="s">
        <v>57</v>
      </c>
      <c r="N11" s="282">
        <v>41340</v>
      </c>
      <c r="O11" s="158">
        <f t="shared" si="0"/>
        <v>41340</v>
      </c>
      <c r="P11" s="133" t="s">
        <v>749</v>
      </c>
      <c r="Q11" s="41" t="s">
        <v>564</v>
      </c>
      <c r="R11" s="52" t="s">
        <v>505</v>
      </c>
      <c r="S11" s="236" t="s">
        <v>565</v>
      </c>
      <c r="T11" s="79">
        <v>68455</v>
      </c>
      <c r="U11" s="64" t="s">
        <v>690</v>
      </c>
      <c r="V11" s="64" t="s">
        <v>694</v>
      </c>
      <c r="W11" s="64" t="s">
        <v>57</v>
      </c>
      <c r="X11" s="64" t="s">
        <v>39</v>
      </c>
      <c r="Y11" s="289" t="s">
        <v>58</v>
      </c>
      <c r="Z11" s="295" t="s">
        <v>890</v>
      </c>
      <c r="AA11" s="64"/>
      <c r="AB11" s="64" t="s">
        <v>566</v>
      </c>
      <c r="AC11" s="64" t="s">
        <v>505</v>
      </c>
      <c r="AD11" s="127"/>
      <c r="AE11" s="126"/>
      <c r="AF11" s="295" t="s">
        <v>948</v>
      </c>
      <c r="AG11" s="396" t="s">
        <v>3046</v>
      </c>
      <c r="AH11" s="114"/>
      <c r="AI11" s="233" t="s">
        <v>567</v>
      </c>
      <c r="AJ11" s="64" t="s">
        <v>505</v>
      </c>
      <c r="AK11" s="64"/>
      <c r="AL11" s="58"/>
      <c r="AM11" s="308" t="s">
        <v>951</v>
      </c>
      <c r="AN11" s="396" t="s">
        <v>3308</v>
      </c>
      <c r="AO11" s="64"/>
      <c r="AP11" s="190" t="s">
        <v>568</v>
      </c>
      <c r="AQ11" s="84"/>
      <c r="AR11" s="32"/>
      <c r="AS11" s="85"/>
      <c r="AT11" s="85"/>
      <c r="AU11" s="84"/>
      <c r="AV11" s="84"/>
      <c r="AW11" s="85"/>
      <c r="AX11" s="85"/>
      <c r="AY11" s="60"/>
      <c r="AZ11" s="95"/>
      <c r="BA11" s="60"/>
      <c r="BB11" s="60"/>
      <c r="BC11" s="60"/>
      <c r="BD11" s="95"/>
      <c r="BE11" s="75"/>
      <c r="BF11" s="99"/>
      <c r="BG11" s="64" t="s">
        <v>3550</v>
      </c>
      <c r="BH11" s="245"/>
      <c r="BI11" s="64" t="s">
        <v>3551</v>
      </c>
      <c r="BJ11" s="229" t="s">
        <v>3552</v>
      </c>
    </row>
    <row r="12" spans="1:62" s="51" customFormat="1" ht="47.25">
      <c r="A12" s="50">
        <v>11</v>
      </c>
      <c r="B12" s="13" t="s">
        <v>142</v>
      </c>
      <c r="C12" s="52">
        <v>12551</v>
      </c>
      <c r="D12" s="293">
        <v>3130145596</v>
      </c>
      <c r="E12" s="220" t="s">
        <v>247</v>
      </c>
      <c r="F12" s="130" t="s">
        <v>3562</v>
      </c>
      <c r="G12" s="10"/>
      <c r="H12" s="131"/>
      <c r="I12" s="55">
        <v>1</v>
      </c>
      <c r="J12" s="196">
        <v>2</v>
      </c>
      <c r="K12" s="178"/>
      <c r="L12" s="52" t="s">
        <v>502</v>
      </c>
      <c r="M12" s="58" t="s">
        <v>23</v>
      </c>
      <c r="N12" s="282">
        <v>41401</v>
      </c>
      <c r="O12" s="158">
        <f t="shared" si="0"/>
        <v>41401</v>
      </c>
      <c r="P12" s="133" t="s">
        <v>750</v>
      </c>
      <c r="Q12" s="43" t="s">
        <v>569</v>
      </c>
      <c r="R12" s="52" t="s">
        <v>505</v>
      </c>
      <c r="S12" s="235" t="s">
        <v>3717</v>
      </c>
      <c r="T12" s="79">
        <v>55165</v>
      </c>
      <c r="U12" s="64" t="s">
        <v>704</v>
      </c>
      <c r="V12" s="64" t="s">
        <v>705</v>
      </c>
      <c r="W12" s="64" t="s">
        <v>695</v>
      </c>
      <c r="X12" s="64" t="s">
        <v>696</v>
      </c>
      <c r="Y12" s="289" t="s">
        <v>588</v>
      </c>
      <c r="Z12" s="295" t="s">
        <v>891</v>
      </c>
      <c r="AA12" s="64"/>
      <c r="AB12" s="235" t="s">
        <v>570</v>
      </c>
      <c r="AC12" s="64" t="s">
        <v>505</v>
      </c>
      <c r="AD12" s="127" t="s">
        <v>20</v>
      </c>
      <c r="AE12" s="126" t="s">
        <v>571</v>
      </c>
      <c r="AF12" s="295" t="s">
        <v>948</v>
      </c>
      <c r="AG12" s="396" t="s">
        <v>3047</v>
      </c>
      <c r="AH12" s="114"/>
      <c r="AI12" s="234" t="s">
        <v>572</v>
      </c>
      <c r="AJ12" s="64" t="s">
        <v>505</v>
      </c>
      <c r="AK12" s="64" t="s">
        <v>20</v>
      </c>
      <c r="AL12" s="58" t="s">
        <v>165</v>
      </c>
      <c r="AM12" s="308" t="s">
        <v>950</v>
      </c>
      <c r="AN12" s="396" t="s">
        <v>3309</v>
      </c>
      <c r="AO12" s="64"/>
      <c r="AP12" s="191" t="s">
        <v>573</v>
      </c>
      <c r="AQ12" s="112"/>
      <c r="AR12" s="110"/>
      <c r="AS12" s="111"/>
      <c r="AT12" s="111"/>
      <c r="AU12" s="112"/>
      <c r="AV12" s="112"/>
      <c r="AW12" s="111"/>
      <c r="AX12" s="85"/>
      <c r="AY12" s="60"/>
      <c r="AZ12" s="95"/>
      <c r="BA12" s="60"/>
      <c r="BB12" s="60"/>
      <c r="BC12" s="60"/>
      <c r="BD12" s="60"/>
      <c r="BE12" s="75"/>
      <c r="BF12" s="64"/>
      <c r="BG12" s="64" t="s">
        <v>3550</v>
      </c>
      <c r="BH12" s="245"/>
      <c r="BI12" s="64" t="s">
        <v>3551</v>
      </c>
      <c r="BJ12" s="229" t="s">
        <v>3552</v>
      </c>
    </row>
    <row r="13" spans="1:62" s="51" customFormat="1" ht="52.5" customHeight="1">
      <c r="A13" s="50">
        <v>12</v>
      </c>
      <c r="B13" s="13" t="s">
        <v>142</v>
      </c>
      <c r="C13" s="52">
        <v>12556</v>
      </c>
      <c r="D13" s="382" t="s">
        <v>2630</v>
      </c>
      <c r="E13" s="220" t="s">
        <v>248</v>
      </c>
      <c r="F13" s="130" t="s">
        <v>3562</v>
      </c>
      <c r="G13" s="10"/>
      <c r="H13" s="131"/>
      <c r="I13" s="55">
        <v>3</v>
      </c>
      <c r="J13" s="196">
        <v>3</v>
      </c>
      <c r="K13" s="178"/>
      <c r="L13" s="52" t="s">
        <v>502</v>
      </c>
      <c r="M13" s="58" t="s">
        <v>94</v>
      </c>
      <c r="N13" s="282">
        <v>41558</v>
      </c>
      <c r="O13" s="158">
        <f t="shared" si="0"/>
        <v>41558</v>
      </c>
      <c r="P13" s="133" t="s">
        <v>751</v>
      </c>
      <c r="Q13" s="41" t="s">
        <v>574</v>
      </c>
      <c r="R13" s="52" t="s">
        <v>505</v>
      </c>
      <c r="S13" s="58" t="s">
        <v>575</v>
      </c>
      <c r="T13" s="79">
        <v>57292</v>
      </c>
      <c r="U13" s="64" t="s">
        <v>697</v>
      </c>
      <c r="V13" s="64" t="s">
        <v>697</v>
      </c>
      <c r="W13" s="64" t="s">
        <v>94</v>
      </c>
      <c r="X13" s="64" t="s">
        <v>29</v>
      </c>
      <c r="Y13" s="289" t="s">
        <v>175</v>
      </c>
      <c r="Z13" s="295" t="s">
        <v>892</v>
      </c>
      <c r="AA13" s="64"/>
      <c r="AB13" s="64" t="s">
        <v>576</v>
      </c>
      <c r="AC13" s="64" t="s">
        <v>505</v>
      </c>
      <c r="AD13" s="127" t="s">
        <v>20</v>
      </c>
      <c r="AE13" s="126" t="s">
        <v>166</v>
      </c>
      <c r="AF13" s="295" t="s">
        <v>948</v>
      </c>
      <c r="AG13" s="396" t="s">
        <v>3048</v>
      </c>
      <c r="AH13" s="114"/>
      <c r="AI13" s="64" t="s">
        <v>577</v>
      </c>
      <c r="AJ13" s="64" t="s">
        <v>505</v>
      </c>
      <c r="AK13" s="64" t="s">
        <v>20</v>
      </c>
      <c r="AL13" s="58" t="s">
        <v>166</v>
      </c>
      <c r="AM13" s="308" t="s">
        <v>949</v>
      </c>
      <c r="AN13" s="396" t="s">
        <v>3310</v>
      </c>
      <c r="AO13" s="64"/>
      <c r="AP13" s="191" t="s">
        <v>578</v>
      </c>
      <c r="AQ13" s="112"/>
      <c r="AR13" s="110"/>
      <c r="AS13" s="111"/>
      <c r="AT13" s="111"/>
      <c r="AU13" s="112"/>
      <c r="AV13" s="110"/>
      <c r="AW13" s="111"/>
      <c r="AX13" s="85"/>
      <c r="AY13" s="60"/>
      <c r="AZ13" s="95"/>
      <c r="BA13" s="60"/>
      <c r="BB13" s="60"/>
      <c r="BC13" s="60"/>
      <c r="BD13" s="60"/>
      <c r="BE13" s="75"/>
      <c r="BF13" s="64"/>
      <c r="BG13" s="64" t="s">
        <v>3550</v>
      </c>
      <c r="BH13" s="245"/>
      <c r="BI13" s="64" t="s">
        <v>3551</v>
      </c>
      <c r="BJ13" s="229" t="s">
        <v>3552</v>
      </c>
    </row>
    <row r="14" spans="1:62" s="51" customFormat="1" ht="52.5" customHeight="1">
      <c r="A14" s="50">
        <v>13</v>
      </c>
      <c r="B14" s="13" t="s">
        <v>142</v>
      </c>
      <c r="C14" s="52">
        <v>12558</v>
      </c>
      <c r="D14" s="382" t="s">
        <v>2631</v>
      </c>
      <c r="E14" s="220" t="s">
        <v>249</v>
      </c>
      <c r="F14" s="130" t="s">
        <v>3562</v>
      </c>
      <c r="G14" s="10"/>
      <c r="H14" s="263"/>
      <c r="I14" s="55">
        <v>2</v>
      </c>
      <c r="J14" s="196">
        <v>4</v>
      </c>
      <c r="K14" s="178"/>
      <c r="L14" s="52" t="s">
        <v>502</v>
      </c>
      <c r="M14" s="222" t="s">
        <v>23</v>
      </c>
      <c r="N14" s="282">
        <v>41431</v>
      </c>
      <c r="O14" s="158">
        <f t="shared" si="0"/>
        <v>41431</v>
      </c>
      <c r="P14" s="133" t="s">
        <v>752</v>
      </c>
      <c r="Q14" s="41" t="s">
        <v>579</v>
      </c>
      <c r="R14" s="52" t="s">
        <v>505</v>
      </c>
      <c r="S14" s="235" t="s">
        <v>706</v>
      </c>
      <c r="T14" s="79">
        <v>55792</v>
      </c>
      <c r="U14" s="64" t="s">
        <v>700</v>
      </c>
      <c r="V14" s="64" t="s">
        <v>707</v>
      </c>
      <c r="W14" s="64" t="s">
        <v>19</v>
      </c>
      <c r="X14" s="64" t="s">
        <v>696</v>
      </c>
      <c r="Y14" s="289" t="s">
        <v>589</v>
      </c>
      <c r="Z14" s="295" t="s">
        <v>893</v>
      </c>
      <c r="AA14" s="64"/>
      <c r="AB14" s="235" t="s">
        <v>580</v>
      </c>
      <c r="AC14" s="64" t="s">
        <v>505</v>
      </c>
      <c r="AD14" s="127" t="s">
        <v>20</v>
      </c>
      <c r="AE14" s="126" t="s">
        <v>21</v>
      </c>
      <c r="AF14" s="295" t="s">
        <v>947</v>
      </c>
      <c r="AG14" s="396" t="s">
        <v>3049</v>
      </c>
      <c r="AH14" s="114"/>
      <c r="AI14" s="234" t="s">
        <v>581</v>
      </c>
      <c r="AJ14" s="64" t="s">
        <v>505</v>
      </c>
      <c r="AK14" s="64" t="s">
        <v>30</v>
      </c>
      <c r="AL14" s="58" t="s">
        <v>168</v>
      </c>
      <c r="AM14" s="308" t="s">
        <v>946</v>
      </c>
      <c r="AN14" s="396" t="s">
        <v>3311</v>
      </c>
      <c r="AO14" s="64"/>
      <c r="AP14" s="191" t="s">
        <v>582</v>
      </c>
      <c r="AQ14" s="112"/>
      <c r="AR14" s="110"/>
      <c r="AS14" s="111"/>
      <c r="AT14" s="111"/>
      <c r="AU14" s="112"/>
      <c r="AV14" s="112"/>
      <c r="AW14" s="111"/>
      <c r="AX14" s="85"/>
      <c r="AY14" s="60"/>
      <c r="AZ14" s="95"/>
      <c r="BA14" s="60"/>
      <c r="BB14" s="60"/>
      <c r="BC14" s="60"/>
      <c r="BD14" s="60"/>
      <c r="BE14" s="75"/>
      <c r="BF14" s="64"/>
      <c r="BG14" s="64" t="s">
        <v>3550</v>
      </c>
      <c r="BH14" s="245"/>
      <c r="BI14" s="64" t="s">
        <v>3551</v>
      </c>
      <c r="BJ14" s="229" t="s">
        <v>3552</v>
      </c>
    </row>
    <row r="15" spans="1:62" s="51" customFormat="1" ht="52.5" customHeight="1">
      <c r="A15" s="50">
        <v>14</v>
      </c>
      <c r="B15" s="13" t="s">
        <v>142</v>
      </c>
      <c r="C15" s="52">
        <v>12562</v>
      </c>
      <c r="D15" s="382" t="s">
        <v>2632</v>
      </c>
      <c r="E15" s="220" t="s">
        <v>250</v>
      </c>
      <c r="F15" s="130" t="s">
        <v>3562</v>
      </c>
      <c r="G15" s="10"/>
      <c r="H15" s="131"/>
      <c r="I15" s="55">
        <v>3</v>
      </c>
      <c r="J15" s="196">
        <v>4</v>
      </c>
      <c r="K15" s="178"/>
      <c r="L15" s="52" t="s">
        <v>502</v>
      </c>
      <c r="M15" s="58" t="s">
        <v>53</v>
      </c>
      <c r="N15" s="282">
        <v>41344</v>
      </c>
      <c r="O15" s="158">
        <f t="shared" si="0"/>
        <v>41344</v>
      </c>
      <c r="P15" s="133" t="s">
        <v>753</v>
      </c>
      <c r="Q15" s="41" t="s">
        <v>595</v>
      </c>
      <c r="R15" s="52" t="s">
        <v>505</v>
      </c>
      <c r="S15" s="64" t="s">
        <v>596</v>
      </c>
      <c r="T15" s="79">
        <v>55671</v>
      </c>
      <c r="U15" s="64" t="s">
        <v>698</v>
      </c>
      <c r="V15" s="64" t="s">
        <v>701</v>
      </c>
      <c r="W15" s="64" t="s">
        <v>53</v>
      </c>
      <c r="X15" s="64" t="s">
        <v>696</v>
      </c>
      <c r="Y15" s="289" t="s">
        <v>54</v>
      </c>
      <c r="Z15" s="295"/>
      <c r="AA15" s="64"/>
      <c r="AB15" s="64" t="s">
        <v>597</v>
      </c>
      <c r="AC15" s="64" t="s">
        <v>505</v>
      </c>
      <c r="AD15" s="127" t="s">
        <v>518</v>
      </c>
      <c r="AE15" s="126" t="s">
        <v>598</v>
      </c>
      <c r="AF15" s="295"/>
      <c r="AG15" s="396" t="s">
        <v>3050</v>
      </c>
      <c r="AH15" s="114"/>
      <c r="AI15" s="64" t="s">
        <v>599</v>
      </c>
      <c r="AJ15" s="64" t="s">
        <v>505</v>
      </c>
      <c r="AK15" s="64" t="s">
        <v>530</v>
      </c>
      <c r="AL15" s="58" t="s">
        <v>165</v>
      </c>
      <c r="AM15" s="308"/>
      <c r="AN15" s="396" t="s">
        <v>3312</v>
      </c>
      <c r="AO15" s="64"/>
      <c r="AP15" s="191" t="s">
        <v>600</v>
      </c>
      <c r="AQ15" s="112"/>
      <c r="AR15" s="110"/>
      <c r="AS15" s="111"/>
      <c r="AT15" s="111"/>
      <c r="AU15" s="112"/>
      <c r="AV15" s="112"/>
      <c r="AW15" s="111"/>
      <c r="AX15" s="85"/>
      <c r="AY15" s="60"/>
      <c r="AZ15" s="95"/>
      <c r="BA15" s="60"/>
      <c r="BB15" s="60"/>
      <c r="BC15" s="60"/>
      <c r="BD15" s="60"/>
      <c r="BE15" s="75"/>
      <c r="BF15" s="64"/>
      <c r="BG15" s="64" t="s">
        <v>3550</v>
      </c>
      <c r="BH15" s="245"/>
      <c r="BI15" s="64" t="s">
        <v>3551</v>
      </c>
      <c r="BJ15" s="229" t="s">
        <v>3552</v>
      </c>
    </row>
    <row r="16" spans="1:62" s="51" customFormat="1" ht="60.75" customHeight="1">
      <c r="A16" s="50">
        <v>15</v>
      </c>
      <c r="B16" s="13" t="s">
        <v>142</v>
      </c>
      <c r="C16" s="52">
        <v>12567</v>
      </c>
      <c r="D16" s="382" t="s">
        <v>2633</v>
      </c>
      <c r="E16" s="220" t="s">
        <v>251</v>
      </c>
      <c r="F16" s="130" t="s">
        <v>3562</v>
      </c>
      <c r="G16" s="10"/>
      <c r="H16" s="131"/>
      <c r="I16" s="55">
        <v>3</v>
      </c>
      <c r="J16" s="196">
        <v>2</v>
      </c>
      <c r="K16" s="178"/>
      <c r="L16" s="52" t="s">
        <v>502</v>
      </c>
      <c r="M16" s="58" t="s">
        <v>102</v>
      </c>
      <c r="N16" s="282">
        <v>41726</v>
      </c>
      <c r="O16" s="158">
        <f t="shared" si="0"/>
        <v>41726</v>
      </c>
      <c r="P16" s="133" t="s">
        <v>754</v>
      </c>
      <c r="Q16" s="43" t="s">
        <v>601</v>
      </c>
      <c r="R16" s="52" t="s">
        <v>505</v>
      </c>
      <c r="S16" s="58" t="s">
        <v>602</v>
      </c>
      <c r="T16" s="79">
        <v>54119</v>
      </c>
      <c r="U16" s="64" t="s">
        <v>699</v>
      </c>
      <c r="V16" s="64" t="s">
        <v>102</v>
      </c>
      <c r="W16" s="64" t="s">
        <v>102</v>
      </c>
      <c r="X16" s="64" t="s">
        <v>29</v>
      </c>
      <c r="Y16" s="289" t="s">
        <v>737</v>
      </c>
      <c r="Z16" s="295"/>
      <c r="AA16" s="64"/>
      <c r="AB16" s="64" t="s">
        <v>603</v>
      </c>
      <c r="AC16" s="64" t="s">
        <v>505</v>
      </c>
      <c r="AD16" s="127" t="s">
        <v>20</v>
      </c>
      <c r="AE16" s="126" t="s">
        <v>165</v>
      </c>
      <c r="AF16" s="295"/>
      <c r="AG16" s="396" t="s">
        <v>3051</v>
      </c>
      <c r="AH16" s="114"/>
      <c r="AI16" s="64" t="s">
        <v>604</v>
      </c>
      <c r="AJ16" s="64" t="s">
        <v>505</v>
      </c>
      <c r="AK16" s="64" t="s">
        <v>20</v>
      </c>
      <c r="AL16" s="58" t="s">
        <v>520</v>
      </c>
      <c r="AM16" s="308"/>
      <c r="AN16" s="396" t="s">
        <v>3313</v>
      </c>
      <c r="AO16" s="64"/>
      <c r="AP16" s="191" t="s">
        <v>610</v>
      </c>
      <c r="AQ16" s="112"/>
      <c r="AR16" s="110"/>
      <c r="AS16" s="111"/>
      <c r="AT16" s="111"/>
      <c r="AU16" s="112"/>
      <c r="AV16" s="112"/>
      <c r="AW16" s="111"/>
      <c r="AX16" s="85"/>
      <c r="AY16" s="60"/>
      <c r="AZ16" s="95"/>
      <c r="BA16" s="60"/>
      <c r="BB16" s="60"/>
      <c r="BC16" s="60"/>
      <c r="BD16" s="60"/>
      <c r="BE16" s="75"/>
      <c r="BF16" s="64"/>
      <c r="BG16" s="64" t="s">
        <v>3550</v>
      </c>
      <c r="BH16" s="245"/>
      <c r="BI16" s="64" t="s">
        <v>3551</v>
      </c>
      <c r="BJ16" s="229" t="s">
        <v>3552</v>
      </c>
    </row>
    <row r="17" spans="1:62" s="51" customFormat="1" ht="52.5" customHeight="1">
      <c r="A17" s="50">
        <v>16</v>
      </c>
      <c r="B17" s="13" t="s">
        <v>142</v>
      </c>
      <c r="C17" s="52">
        <v>12575</v>
      </c>
      <c r="D17" s="293">
        <v>3126141550</v>
      </c>
      <c r="E17" s="220" t="s">
        <v>252</v>
      </c>
      <c r="F17" s="130" t="s">
        <v>3562</v>
      </c>
      <c r="G17" s="10"/>
      <c r="H17" s="131"/>
      <c r="I17" s="55">
        <v>2</v>
      </c>
      <c r="J17" s="196">
        <v>1</v>
      </c>
      <c r="K17" s="52"/>
      <c r="L17" s="52" t="s">
        <v>502</v>
      </c>
      <c r="M17" s="126" t="s">
        <v>101</v>
      </c>
      <c r="N17" s="282">
        <v>41104</v>
      </c>
      <c r="O17" s="158">
        <f t="shared" si="0"/>
        <v>41104</v>
      </c>
      <c r="P17" s="133" t="s">
        <v>755</v>
      </c>
      <c r="Q17" s="41" t="s">
        <v>605</v>
      </c>
      <c r="R17" s="52" t="s">
        <v>505</v>
      </c>
      <c r="S17" s="58" t="s">
        <v>606</v>
      </c>
      <c r="T17" s="79">
        <v>53356</v>
      </c>
      <c r="U17" s="64" t="s">
        <v>708</v>
      </c>
      <c r="V17" s="64" t="s">
        <v>702</v>
      </c>
      <c r="W17" s="64" t="s">
        <v>101</v>
      </c>
      <c r="X17" s="64" t="s">
        <v>29</v>
      </c>
      <c r="Y17" s="289" t="s">
        <v>590</v>
      </c>
      <c r="Z17" s="295"/>
      <c r="AA17" s="64"/>
      <c r="AB17" s="64" t="s">
        <v>607</v>
      </c>
      <c r="AC17" s="64" t="s">
        <v>505</v>
      </c>
      <c r="AD17" s="127" t="s">
        <v>20</v>
      </c>
      <c r="AE17" s="126" t="s">
        <v>165</v>
      </c>
      <c r="AF17" s="295"/>
      <c r="AG17" s="396" t="s">
        <v>3052</v>
      </c>
      <c r="AH17" s="114"/>
      <c r="AI17" s="64" t="s">
        <v>608</v>
      </c>
      <c r="AJ17" s="64" t="s">
        <v>505</v>
      </c>
      <c r="AK17" s="64" t="s">
        <v>518</v>
      </c>
      <c r="AL17" s="58" t="s">
        <v>520</v>
      </c>
      <c r="AM17" s="308"/>
      <c r="AN17" s="307" t="s">
        <v>945</v>
      </c>
      <c r="AO17" s="64"/>
      <c r="AP17" s="190" t="s">
        <v>609</v>
      </c>
      <c r="AQ17" s="84"/>
      <c r="AR17" s="32"/>
      <c r="AS17" s="85"/>
      <c r="AT17" s="85"/>
      <c r="AU17" s="84"/>
      <c r="AV17" s="84"/>
      <c r="AW17" s="85"/>
      <c r="AX17" s="85"/>
      <c r="AY17" s="60"/>
      <c r="AZ17" s="95"/>
      <c r="BA17" s="60"/>
      <c r="BB17" s="60"/>
      <c r="BC17" s="60"/>
      <c r="BD17" s="60"/>
      <c r="BE17" s="75"/>
      <c r="BF17" s="64"/>
      <c r="BG17" s="64" t="s">
        <v>3550</v>
      </c>
      <c r="BH17" s="245"/>
      <c r="BI17" s="64" t="s">
        <v>3551</v>
      </c>
      <c r="BJ17" s="229" t="s">
        <v>3552</v>
      </c>
    </row>
    <row r="18" spans="1:62" s="51" customFormat="1" ht="52.5" customHeight="1">
      <c r="A18" s="50">
        <v>17</v>
      </c>
      <c r="B18" s="13" t="s">
        <v>142</v>
      </c>
      <c r="C18" s="52">
        <v>12578</v>
      </c>
      <c r="D18" s="382" t="s">
        <v>2634</v>
      </c>
      <c r="E18" s="220" t="s">
        <v>253</v>
      </c>
      <c r="F18" s="130" t="s">
        <v>3562</v>
      </c>
      <c r="G18" s="10"/>
      <c r="H18" s="131"/>
      <c r="I18" s="55">
        <v>2</v>
      </c>
      <c r="J18" s="196">
        <v>1</v>
      </c>
      <c r="K18" s="178"/>
      <c r="L18" s="52" t="s">
        <v>502</v>
      </c>
      <c r="M18" s="126" t="s">
        <v>102</v>
      </c>
      <c r="N18" s="282">
        <v>41698</v>
      </c>
      <c r="O18" s="158">
        <f t="shared" si="0"/>
        <v>41698</v>
      </c>
      <c r="P18" s="133" t="s">
        <v>756</v>
      </c>
      <c r="Q18" s="41" t="s">
        <v>611</v>
      </c>
      <c r="R18" s="52" t="s">
        <v>505</v>
      </c>
      <c r="S18" s="58" t="s">
        <v>612</v>
      </c>
      <c r="T18" s="79">
        <v>54265</v>
      </c>
      <c r="U18" s="64" t="s">
        <v>713</v>
      </c>
      <c r="V18" s="64" t="s">
        <v>703</v>
      </c>
      <c r="W18" s="64" t="s">
        <v>102</v>
      </c>
      <c r="X18" s="64" t="s">
        <v>29</v>
      </c>
      <c r="Y18" s="289" t="s">
        <v>107</v>
      </c>
      <c r="Z18" s="295" t="s">
        <v>894</v>
      </c>
      <c r="AA18" s="64"/>
      <c r="AB18" s="64" t="s">
        <v>613</v>
      </c>
      <c r="AC18" s="64" t="s">
        <v>505</v>
      </c>
      <c r="AD18" s="127" t="s">
        <v>518</v>
      </c>
      <c r="AE18" s="126" t="s">
        <v>165</v>
      </c>
      <c r="AF18" s="295" t="s">
        <v>949</v>
      </c>
      <c r="AG18" s="396" t="s">
        <v>3053</v>
      </c>
      <c r="AH18" s="114"/>
      <c r="AI18" s="64" t="s">
        <v>123</v>
      </c>
      <c r="AJ18" s="64" t="s">
        <v>505</v>
      </c>
      <c r="AK18" s="64" t="s">
        <v>563</v>
      </c>
      <c r="AL18" s="64" t="s">
        <v>520</v>
      </c>
      <c r="AM18" s="308" t="s">
        <v>950</v>
      </c>
      <c r="AN18" s="396" t="s">
        <v>3314</v>
      </c>
      <c r="AO18" s="64"/>
      <c r="AP18" s="190" t="s">
        <v>614</v>
      </c>
      <c r="AQ18" s="84"/>
      <c r="AR18" s="32"/>
      <c r="AS18" s="85"/>
      <c r="AT18" s="85"/>
      <c r="AU18" s="84"/>
      <c r="AV18" s="32"/>
      <c r="AW18" s="85"/>
      <c r="AX18" s="85"/>
      <c r="AY18" s="60"/>
      <c r="AZ18" s="95"/>
      <c r="BA18" s="60"/>
      <c r="BB18" s="60"/>
      <c r="BC18" s="60"/>
      <c r="BD18" s="60"/>
      <c r="BE18" s="75"/>
      <c r="BF18" s="64"/>
      <c r="BG18" s="64" t="s">
        <v>3550</v>
      </c>
      <c r="BH18" s="245"/>
      <c r="BI18" s="64" t="s">
        <v>3551</v>
      </c>
      <c r="BJ18" s="229" t="s">
        <v>3552</v>
      </c>
    </row>
    <row r="19" spans="1:62" s="51" customFormat="1" ht="47.25">
      <c r="A19" s="50">
        <v>18</v>
      </c>
      <c r="B19" s="13" t="s">
        <v>142</v>
      </c>
      <c r="C19" s="52">
        <v>12590</v>
      </c>
      <c r="D19" s="382" t="s">
        <v>2635</v>
      </c>
      <c r="E19" s="220" t="s">
        <v>254</v>
      </c>
      <c r="F19" s="130" t="s">
        <v>3562</v>
      </c>
      <c r="G19" s="10"/>
      <c r="H19" s="131"/>
      <c r="I19" s="55">
        <v>2</v>
      </c>
      <c r="J19" s="196">
        <v>2</v>
      </c>
      <c r="K19" s="203"/>
      <c r="L19" s="52" t="s">
        <v>502</v>
      </c>
      <c r="M19" s="238" t="s">
        <v>52</v>
      </c>
      <c r="N19" s="282">
        <v>41538</v>
      </c>
      <c r="O19" s="158">
        <f t="shared" si="0"/>
        <v>41538</v>
      </c>
      <c r="P19" s="133" t="s">
        <v>757</v>
      </c>
      <c r="Q19" s="41" t="s">
        <v>615</v>
      </c>
      <c r="R19" s="52" t="s">
        <v>505</v>
      </c>
      <c r="S19" s="236" t="s">
        <v>616</v>
      </c>
      <c r="T19" s="79">
        <v>55561</v>
      </c>
      <c r="U19" s="64" t="s">
        <v>709</v>
      </c>
      <c r="V19" s="64" t="s">
        <v>714</v>
      </c>
      <c r="W19" s="64" t="s">
        <v>52</v>
      </c>
      <c r="X19" s="64" t="s">
        <v>696</v>
      </c>
      <c r="Y19" s="289" t="s">
        <v>738</v>
      </c>
      <c r="Z19" s="295"/>
      <c r="AA19" s="64"/>
      <c r="AB19" s="233" t="s">
        <v>617</v>
      </c>
      <c r="AC19" s="64" t="s">
        <v>505</v>
      </c>
      <c r="AD19" s="127" t="s">
        <v>518</v>
      </c>
      <c r="AE19" s="126" t="s">
        <v>165</v>
      </c>
      <c r="AF19" s="295"/>
      <c r="AG19" s="396" t="s">
        <v>3054</v>
      </c>
      <c r="AH19" s="114"/>
      <c r="AI19" s="233" t="s">
        <v>618</v>
      </c>
      <c r="AJ19" s="64" t="s">
        <v>505</v>
      </c>
      <c r="AK19" s="127" t="s">
        <v>530</v>
      </c>
      <c r="AL19" s="126" t="s">
        <v>511</v>
      </c>
      <c r="AM19" s="308"/>
      <c r="AN19" s="396" t="s">
        <v>3315</v>
      </c>
      <c r="AO19" s="227"/>
      <c r="AP19" s="190" t="s">
        <v>619</v>
      </c>
      <c r="AQ19" s="84"/>
      <c r="AR19" s="32"/>
      <c r="AS19" s="85"/>
      <c r="AT19" s="85"/>
      <c r="AU19" s="84"/>
      <c r="AV19" s="84"/>
      <c r="AW19" s="85"/>
      <c r="AX19" s="85"/>
      <c r="AY19" s="60"/>
      <c r="AZ19" s="95"/>
      <c r="BA19" s="60"/>
      <c r="BB19" s="60"/>
      <c r="BC19" s="60"/>
      <c r="BD19" s="60"/>
      <c r="BE19" s="75"/>
      <c r="BF19" s="64"/>
      <c r="BG19" s="64" t="s">
        <v>3550</v>
      </c>
      <c r="BH19" s="245"/>
      <c r="BI19" s="64" t="s">
        <v>3551</v>
      </c>
      <c r="BJ19" s="229" t="s">
        <v>3552</v>
      </c>
    </row>
    <row r="20" spans="1:62" s="171" customFormat="1" ht="69.75" customHeight="1">
      <c r="A20" s="166">
        <v>19</v>
      </c>
      <c r="B20" s="13" t="s">
        <v>142</v>
      </c>
      <c r="C20" s="52">
        <v>12603</v>
      </c>
      <c r="D20" s="382" t="s">
        <v>2636</v>
      </c>
      <c r="E20" s="220" t="s">
        <v>255</v>
      </c>
      <c r="F20" s="130" t="s">
        <v>3562</v>
      </c>
      <c r="G20" s="10"/>
      <c r="H20" s="167"/>
      <c r="I20" s="168">
        <v>2</v>
      </c>
      <c r="J20" s="197">
        <v>2</v>
      </c>
      <c r="K20" s="165"/>
      <c r="L20" s="52" t="s">
        <v>502</v>
      </c>
      <c r="M20" s="240" t="s">
        <v>49</v>
      </c>
      <c r="N20" s="282">
        <v>41696</v>
      </c>
      <c r="O20" s="158">
        <f t="shared" si="0"/>
        <v>41696</v>
      </c>
      <c r="P20" s="133" t="s">
        <v>758</v>
      </c>
      <c r="Q20" s="169" t="s">
        <v>620</v>
      </c>
      <c r="R20" s="52" t="s">
        <v>505</v>
      </c>
      <c r="S20" s="235" t="s">
        <v>621</v>
      </c>
      <c r="T20" s="228">
        <v>61151</v>
      </c>
      <c r="U20" s="114" t="s">
        <v>715</v>
      </c>
      <c r="V20" s="114" t="s">
        <v>508</v>
      </c>
      <c r="W20" s="114" t="s">
        <v>49</v>
      </c>
      <c r="X20" s="114" t="s">
        <v>39</v>
      </c>
      <c r="Y20" s="289" t="s">
        <v>585</v>
      </c>
      <c r="Z20" s="295" t="s">
        <v>895</v>
      </c>
      <c r="AA20" s="114"/>
      <c r="AB20" s="234" t="s">
        <v>622</v>
      </c>
      <c r="AC20" s="64" t="s">
        <v>505</v>
      </c>
      <c r="AD20" s="128" t="s">
        <v>20</v>
      </c>
      <c r="AE20" s="170" t="s">
        <v>21</v>
      </c>
      <c r="AF20" s="295" t="s">
        <v>946</v>
      </c>
      <c r="AG20" s="396" t="s">
        <v>3055</v>
      </c>
      <c r="AH20" s="114"/>
      <c r="AI20" s="234" t="s">
        <v>623</v>
      </c>
      <c r="AJ20" s="64" t="s">
        <v>505</v>
      </c>
      <c r="AK20" s="128" t="s">
        <v>20</v>
      </c>
      <c r="AL20" s="170" t="s">
        <v>511</v>
      </c>
      <c r="AM20" s="308" t="s">
        <v>946</v>
      </c>
      <c r="AN20" s="396" t="s">
        <v>3316</v>
      </c>
      <c r="AO20" s="114"/>
      <c r="AP20" s="191" t="s">
        <v>624</v>
      </c>
      <c r="AQ20" s="112"/>
      <c r="AR20" s="110"/>
      <c r="AS20" s="111"/>
      <c r="AT20" s="111"/>
      <c r="AU20" s="112"/>
      <c r="AV20" s="112"/>
      <c r="AW20" s="111"/>
      <c r="AX20" s="111"/>
      <c r="AY20" s="109"/>
      <c r="AZ20" s="95"/>
      <c r="BA20" s="109"/>
      <c r="BB20" s="109"/>
      <c r="BC20" s="109"/>
      <c r="BD20" s="109"/>
      <c r="BE20" s="113"/>
      <c r="BF20" s="114"/>
      <c r="BG20" s="64" t="s">
        <v>3550</v>
      </c>
      <c r="BH20" s="245"/>
      <c r="BI20" s="64" t="s">
        <v>3551</v>
      </c>
      <c r="BJ20" s="229" t="s">
        <v>3552</v>
      </c>
    </row>
    <row r="21" spans="1:62" s="51" customFormat="1" ht="47.25">
      <c r="A21" s="50">
        <v>20</v>
      </c>
      <c r="B21" s="13" t="s">
        <v>142</v>
      </c>
      <c r="C21" s="52">
        <v>12605</v>
      </c>
      <c r="D21" s="382" t="s">
        <v>2637</v>
      </c>
      <c r="E21" s="220" t="s">
        <v>256</v>
      </c>
      <c r="F21" s="130" t="s">
        <v>3562</v>
      </c>
      <c r="G21" s="10"/>
      <c r="H21" s="131"/>
      <c r="I21" s="55">
        <v>1</v>
      </c>
      <c r="J21" s="196">
        <v>0</v>
      </c>
      <c r="K21" s="52"/>
      <c r="L21" s="52" t="s">
        <v>502</v>
      </c>
      <c r="M21" s="238" t="s">
        <v>28</v>
      </c>
      <c r="N21" s="282">
        <v>41428</v>
      </c>
      <c r="O21" s="158">
        <f t="shared" si="0"/>
        <v>41428</v>
      </c>
      <c r="P21" s="133" t="s">
        <v>759</v>
      </c>
      <c r="Q21" s="41" t="s">
        <v>625</v>
      </c>
      <c r="R21" s="52" t="s">
        <v>505</v>
      </c>
      <c r="S21" s="236" t="s">
        <v>626</v>
      </c>
      <c r="T21" s="79">
        <v>52262</v>
      </c>
      <c r="U21" s="64" t="s">
        <v>716</v>
      </c>
      <c r="V21" s="64" t="s">
        <v>710</v>
      </c>
      <c r="W21" s="64" t="s">
        <v>28</v>
      </c>
      <c r="X21" s="64" t="s">
        <v>29</v>
      </c>
      <c r="Y21" s="289" t="s">
        <v>739</v>
      </c>
      <c r="Z21" s="295" t="s">
        <v>896</v>
      </c>
      <c r="AA21" s="64"/>
      <c r="AB21" s="233" t="s">
        <v>627</v>
      </c>
      <c r="AC21" s="64" t="s">
        <v>505</v>
      </c>
      <c r="AD21" s="127" t="s">
        <v>518</v>
      </c>
      <c r="AE21" s="126" t="s">
        <v>165</v>
      </c>
      <c r="AF21" s="295" t="s">
        <v>946</v>
      </c>
      <c r="AG21" s="396" t="s">
        <v>3056</v>
      </c>
      <c r="AH21" s="114"/>
      <c r="AI21" s="233" t="s">
        <v>628</v>
      </c>
      <c r="AJ21" s="64" t="s">
        <v>505</v>
      </c>
      <c r="AK21" s="64" t="s">
        <v>20</v>
      </c>
      <c r="AL21" s="58" t="s">
        <v>166</v>
      </c>
      <c r="AM21" s="308" t="s">
        <v>948</v>
      </c>
      <c r="AN21" s="396" t="s">
        <v>3317</v>
      </c>
      <c r="AO21" s="64"/>
      <c r="AP21" s="190" t="s">
        <v>629</v>
      </c>
      <c r="AQ21" s="84"/>
      <c r="AR21" s="32"/>
      <c r="AS21" s="85"/>
      <c r="AT21" s="85"/>
      <c r="AU21" s="84"/>
      <c r="AV21" s="84"/>
      <c r="AW21" s="85"/>
      <c r="AX21" s="85"/>
      <c r="AY21" s="60"/>
      <c r="AZ21" s="95"/>
      <c r="BA21" s="60"/>
      <c r="BB21" s="60"/>
      <c r="BC21" s="103"/>
      <c r="BD21" s="104"/>
      <c r="BE21" s="75"/>
      <c r="BF21" s="64"/>
      <c r="BG21" s="64" t="s">
        <v>3550</v>
      </c>
      <c r="BH21" s="245"/>
      <c r="BI21" s="64" t="s">
        <v>3551</v>
      </c>
      <c r="BJ21" s="229" t="s">
        <v>3552</v>
      </c>
    </row>
    <row r="22" spans="1:62" s="51" customFormat="1" ht="52.5" customHeight="1">
      <c r="A22" s="50">
        <v>21</v>
      </c>
      <c r="B22" s="13" t="s">
        <v>142</v>
      </c>
      <c r="C22" s="52">
        <v>12606</v>
      </c>
      <c r="D22" s="382" t="s">
        <v>2638</v>
      </c>
      <c r="E22" s="220" t="s">
        <v>257</v>
      </c>
      <c r="F22" s="130" t="s">
        <v>3562</v>
      </c>
      <c r="G22" s="10"/>
      <c r="H22" s="131"/>
      <c r="I22" s="55">
        <v>2</v>
      </c>
      <c r="J22" s="196">
        <v>1</v>
      </c>
      <c r="K22" s="52"/>
      <c r="L22" s="52" t="s">
        <v>502</v>
      </c>
      <c r="M22" s="126" t="s">
        <v>630</v>
      </c>
      <c r="N22" s="282">
        <v>41694</v>
      </c>
      <c r="O22" s="158">
        <f t="shared" si="0"/>
        <v>41694</v>
      </c>
      <c r="P22" s="133" t="s">
        <v>760</v>
      </c>
      <c r="Q22" s="41" t="s">
        <v>631</v>
      </c>
      <c r="R22" s="52" t="s">
        <v>505</v>
      </c>
      <c r="S22" s="58" t="s">
        <v>632</v>
      </c>
      <c r="T22" s="79">
        <v>56112</v>
      </c>
      <c r="U22" s="64" t="s">
        <v>719</v>
      </c>
      <c r="V22" s="64" t="s">
        <v>720</v>
      </c>
      <c r="W22" s="64" t="s">
        <v>630</v>
      </c>
      <c r="X22" s="64" t="s">
        <v>29</v>
      </c>
      <c r="Y22" s="289" t="s">
        <v>103</v>
      </c>
      <c r="Z22" s="295" t="s">
        <v>897</v>
      </c>
      <c r="AA22" s="64"/>
      <c r="AB22" s="58" t="s">
        <v>633</v>
      </c>
      <c r="AC22" s="64" t="s">
        <v>505</v>
      </c>
      <c r="AD22" s="127" t="s">
        <v>20</v>
      </c>
      <c r="AE22" s="126" t="s">
        <v>165</v>
      </c>
      <c r="AF22" s="295" t="s">
        <v>946</v>
      </c>
      <c r="AG22" s="396" t="s">
        <v>3057</v>
      </c>
      <c r="AH22" s="114"/>
      <c r="AI22" s="58" t="s">
        <v>634</v>
      </c>
      <c r="AJ22" s="64" t="s">
        <v>505</v>
      </c>
      <c r="AK22" s="64" t="s">
        <v>518</v>
      </c>
      <c r="AL22" s="58" t="s">
        <v>165</v>
      </c>
      <c r="AM22" s="308" t="s">
        <v>950</v>
      </c>
      <c r="AN22" s="396" t="s">
        <v>3318</v>
      </c>
      <c r="AO22" s="64"/>
      <c r="AP22" s="190" t="s">
        <v>635</v>
      </c>
      <c r="AQ22" s="84"/>
      <c r="AR22" s="32"/>
      <c r="AS22" s="85"/>
      <c r="AT22" s="85"/>
      <c r="AU22" s="84"/>
      <c r="AV22" s="84"/>
      <c r="AW22" s="85"/>
      <c r="AX22" s="85"/>
      <c r="AY22" s="60"/>
      <c r="AZ22" s="95"/>
      <c r="BA22" s="60"/>
      <c r="BB22" s="60"/>
      <c r="BC22" s="60"/>
      <c r="BD22" s="60"/>
      <c r="BE22" s="75"/>
      <c r="BF22" s="64"/>
      <c r="BG22" s="64" t="s">
        <v>3550</v>
      </c>
      <c r="BH22" s="245"/>
      <c r="BI22" s="64" t="s">
        <v>3551</v>
      </c>
      <c r="BJ22" s="229" t="s">
        <v>3552</v>
      </c>
    </row>
    <row r="23" spans="1:62" s="51" customFormat="1" ht="52.5" customHeight="1">
      <c r="A23" s="50">
        <v>22</v>
      </c>
      <c r="B23" s="13" t="s">
        <v>142</v>
      </c>
      <c r="C23" s="52">
        <v>12623</v>
      </c>
      <c r="D23" s="382" t="s">
        <v>2639</v>
      </c>
      <c r="E23" s="220" t="s">
        <v>258</v>
      </c>
      <c r="F23" s="130" t="s">
        <v>3562</v>
      </c>
      <c r="G23" s="10"/>
      <c r="H23" s="131"/>
      <c r="I23" s="55">
        <v>2</v>
      </c>
      <c r="J23" s="196">
        <v>1</v>
      </c>
      <c r="K23" s="52"/>
      <c r="L23" s="52" t="s">
        <v>502</v>
      </c>
      <c r="M23" s="126" t="s">
        <v>33</v>
      </c>
      <c r="N23" s="282">
        <v>41656</v>
      </c>
      <c r="O23" s="158">
        <f t="shared" si="0"/>
        <v>41656</v>
      </c>
      <c r="P23" s="133" t="s">
        <v>761</v>
      </c>
      <c r="Q23" s="41" t="s">
        <v>636</v>
      </c>
      <c r="R23" s="52" t="s">
        <v>505</v>
      </c>
      <c r="S23" s="58" t="s">
        <v>637</v>
      </c>
      <c r="T23" s="79">
        <v>52371</v>
      </c>
      <c r="U23" s="64" t="s">
        <v>717</v>
      </c>
      <c r="V23" s="64" t="s">
        <v>711</v>
      </c>
      <c r="W23" s="64" t="s">
        <v>124</v>
      </c>
      <c r="X23" s="64" t="s">
        <v>29</v>
      </c>
      <c r="Y23" s="289" t="s">
        <v>740</v>
      </c>
      <c r="Z23" s="295" t="s">
        <v>2861</v>
      </c>
      <c r="AA23" s="64"/>
      <c r="AB23" s="58" t="s">
        <v>638</v>
      </c>
      <c r="AC23" s="64" t="s">
        <v>505</v>
      </c>
      <c r="AD23" s="127" t="s">
        <v>30</v>
      </c>
      <c r="AE23" s="126" t="s">
        <v>168</v>
      </c>
      <c r="AF23" s="295" t="s">
        <v>949</v>
      </c>
      <c r="AG23" s="396" t="s">
        <v>3058</v>
      </c>
      <c r="AH23" s="206"/>
      <c r="AI23" s="58" t="s">
        <v>639</v>
      </c>
      <c r="AJ23" s="64" t="s">
        <v>505</v>
      </c>
      <c r="AK23" s="64" t="s">
        <v>20</v>
      </c>
      <c r="AL23" s="58" t="s">
        <v>640</v>
      </c>
      <c r="AM23" s="308" t="s">
        <v>949</v>
      </c>
      <c r="AN23" s="396" t="s">
        <v>3319</v>
      </c>
      <c r="AO23" s="64"/>
      <c r="AP23" s="190" t="s">
        <v>641</v>
      </c>
      <c r="AQ23" s="84"/>
      <c r="AR23" s="32"/>
      <c r="AS23" s="85"/>
      <c r="AT23" s="85"/>
      <c r="AU23" s="84"/>
      <c r="AV23" s="32"/>
      <c r="AW23" s="85"/>
      <c r="AX23" s="85"/>
      <c r="AY23" s="60"/>
      <c r="AZ23" s="95"/>
      <c r="BA23" s="60"/>
      <c r="BB23" s="60"/>
      <c r="BC23" s="60"/>
      <c r="BD23" s="60"/>
      <c r="BE23" s="75"/>
      <c r="BF23" s="64"/>
      <c r="BG23" s="64" t="s">
        <v>3550</v>
      </c>
      <c r="BH23" s="245"/>
      <c r="BI23" s="64" t="s">
        <v>3551</v>
      </c>
      <c r="BJ23" s="229" t="s">
        <v>3552</v>
      </c>
    </row>
    <row r="24" spans="1:62" s="51" customFormat="1" ht="52.5" customHeight="1">
      <c r="A24" s="50">
        <v>23</v>
      </c>
      <c r="B24" s="13" t="s">
        <v>142</v>
      </c>
      <c r="C24" s="52">
        <v>12637</v>
      </c>
      <c r="D24" s="382" t="s">
        <v>2640</v>
      </c>
      <c r="E24" s="220" t="s">
        <v>259</v>
      </c>
      <c r="F24" s="130" t="s">
        <v>3562</v>
      </c>
      <c r="G24" s="10"/>
      <c r="H24" s="131"/>
      <c r="I24" s="55">
        <v>2</v>
      </c>
      <c r="J24" s="196">
        <v>1</v>
      </c>
      <c r="K24" s="52"/>
      <c r="L24" s="52" t="s">
        <v>502</v>
      </c>
      <c r="M24" s="239" t="s">
        <v>102</v>
      </c>
      <c r="N24" s="282">
        <v>41445</v>
      </c>
      <c r="O24" s="158">
        <f t="shared" si="0"/>
        <v>41445</v>
      </c>
      <c r="P24" s="133" t="s">
        <v>762</v>
      </c>
      <c r="Q24" s="41" t="s">
        <v>642</v>
      </c>
      <c r="R24" s="52" t="s">
        <v>505</v>
      </c>
      <c r="S24" s="235" t="s">
        <v>643</v>
      </c>
      <c r="T24" s="79">
        <v>54162</v>
      </c>
      <c r="U24" s="64" t="s">
        <v>718</v>
      </c>
      <c r="V24" s="64" t="s">
        <v>712</v>
      </c>
      <c r="W24" s="64" t="s">
        <v>102</v>
      </c>
      <c r="X24" s="64" t="s">
        <v>29</v>
      </c>
      <c r="Y24" s="289" t="s">
        <v>591</v>
      </c>
      <c r="Z24" s="295"/>
      <c r="AA24" s="64"/>
      <c r="AB24" s="234" t="s">
        <v>644</v>
      </c>
      <c r="AC24" s="64" t="s">
        <v>505</v>
      </c>
      <c r="AD24" s="127" t="s">
        <v>20</v>
      </c>
      <c r="AE24" s="126" t="s">
        <v>21</v>
      </c>
      <c r="AF24" s="295"/>
      <c r="AG24" s="396" t="s">
        <v>3059</v>
      </c>
      <c r="AH24" s="114"/>
      <c r="AI24" s="234" t="s">
        <v>646</v>
      </c>
      <c r="AJ24" s="64" t="s">
        <v>505</v>
      </c>
      <c r="AK24" s="229" t="s">
        <v>530</v>
      </c>
      <c r="AL24" s="58" t="s">
        <v>166</v>
      </c>
      <c r="AM24" s="308"/>
      <c r="AN24" s="396" t="s">
        <v>3320</v>
      </c>
      <c r="AO24" s="64"/>
      <c r="AP24" s="190" t="s">
        <v>645</v>
      </c>
      <c r="AQ24" s="84"/>
      <c r="AR24" s="32"/>
      <c r="AS24" s="85"/>
      <c r="AT24" s="85"/>
      <c r="AU24" s="84"/>
      <c r="AV24" s="84"/>
      <c r="AW24" s="85"/>
      <c r="AX24" s="85"/>
      <c r="AY24" s="60"/>
      <c r="AZ24" s="95"/>
      <c r="BA24" s="60"/>
      <c r="BB24" s="60"/>
      <c r="BC24" s="60"/>
      <c r="BD24" s="60"/>
      <c r="BE24" s="75"/>
      <c r="BF24" s="64"/>
      <c r="BG24" s="64" t="s">
        <v>3550</v>
      </c>
      <c r="BH24" s="245"/>
      <c r="BI24" s="64" t="s">
        <v>3551</v>
      </c>
      <c r="BJ24" s="229" t="s">
        <v>3552</v>
      </c>
    </row>
    <row r="25" spans="1:62" s="51" customFormat="1" ht="47.25">
      <c r="A25" s="50">
        <v>24</v>
      </c>
      <c r="B25" s="13" t="s">
        <v>142</v>
      </c>
      <c r="C25" s="52">
        <v>12654</v>
      </c>
      <c r="D25" s="382" t="s">
        <v>2641</v>
      </c>
      <c r="E25" s="220" t="s">
        <v>260</v>
      </c>
      <c r="F25" s="130" t="s">
        <v>3562</v>
      </c>
      <c r="G25" s="10"/>
      <c r="H25" s="263"/>
      <c r="I25" s="55">
        <v>1</v>
      </c>
      <c r="J25" s="196">
        <v>4</v>
      </c>
      <c r="K25" s="204"/>
      <c r="L25" s="52" t="s">
        <v>502</v>
      </c>
      <c r="M25" s="238" t="s">
        <v>647</v>
      </c>
      <c r="N25" s="282">
        <v>41654</v>
      </c>
      <c r="O25" s="158">
        <f t="shared" si="0"/>
        <v>41654</v>
      </c>
      <c r="P25" s="133" t="s">
        <v>743</v>
      </c>
      <c r="Q25" s="41" t="s">
        <v>648</v>
      </c>
      <c r="R25" s="52" t="s">
        <v>505</v>
      </c>
      <c r="S25" s="236" t="s">
        <v>649</v>
      </c>
      <c r="T25" s="79">
        <v>73911</v>
      </c>
      <c r="U25" s="64" t="s">
        <v>722</v>
      </c>
      <c r="V25" s="64" t="s">
        <v>721</v>
      </c>
      <c r="W25" s="64" t="s">
        <v>723</v>
      </c>
      <c r="X25" s="64" t="s">
        <v>724</v>
      </c>
      <c r="Y25" s="289" t="s">
        <v>592</v>
      </c>
      <c r="Z25" s="295" t="s">
        <v>898</v>
      </c>
      <c r="AA25" s="64"/>
      <c r="AB25" s="233" t="s">
        <v>650</v>
      </c>
      <c r="AC25" s="64" t="s">
        <v>505</v>
      </c>
      <c r="AD25" s="127" t="s">
        <v>20</v>
      </c>
      <c r="AE25" s="126" t="s">
        <v>166</v>
      </c>
      <c r="AF25" s="295" t="s">
        <v>948</v>
      </c>
      <c r="AG25" s="396" t="s">
        <v>3060</v>
      </c>
      <c r="AH25" s="114"/>
      <c r="AI25" s="233" t="s">
        <v>169</v>
      </c>
      <c r="AJ25" s="64" t="s">
        <v>505</v>
      </c>
      <c r="AK25" s="127" t="s">
        <v>20</v>
      </c>
      <c r="AL25" s="126" t="s">
        <v>651</v>
      </c>
      <c r="AM25" s="308" t="s">
        <v>949</v>
      </c>
      <c r="AN25" s="396" t="s">
        <v>3321</v>
      </c>
      <c r="AO25" s="64"/>
      <c r="AP25" s="190" t="s">
        <v>652</v>
      </c>
      <c r="AQ25" s="41"/>
      <c r="AR25" s="102"/>
      <c r="AS25" s="90"/>
      <c r="AT25" s="85"/>
      <c r="AU25" s="84"/>
      <c r="AV25" s="32"/>
      <c r="AW25" s="85"/>
      <c r="AX25" s="85"/>
      <c r="AY25" s="60"/>
      <c r="AZ25" s="95"/>
      <c r="BA25" s="60"/>
      <c r="BB25" s="60"/>
      <c r="BC25" s="60"/>
      <c r="BD25" s="60"/>
      <c r="BE25" s="75"/>
      <c r="BF25" s="64"/>
      <c r="BG25" s="64" t="s">
        <v>3550</v>
      </c>
      <c r="BH25" s="245"/>
      <c r="BI25" s="64" t="s">
        <v>3551</v>
      </c>
      <c r="BJ25" s="229" t="s">
        <v>3552</v>
      </c>
    </row>
    <row r="26" spans="1:62" s="51" customFormat="1" ht="52.5" customHeight="1">
      <c r="A26" s="50">
        <v>25</v>
      </c>
      <c r="B26" s="13" t="s">
        <v>142</v>
      </c>
      <c r="C26" s="52">
        <v>12678</v>
      </c>
      <c r="D26" s="293">
        <v>3134418841</v>
      </c>
      <c r="E26" s="220" t="s">
        <v>261</v>
      </c>
      <c r="F26" s="130" t="s">
        <v>3562</v>
      </c>
      <c r="G26" s="10"/>
      <c r="H26" s="131"/>
      <c r="I26" s="55">
        <v>2</v>
      </c>
      <c r="J26" s="196">
        <v>2</v>
      </c>
      <c r="K26" s="178"/>
      <c r="L26" s="52" t="s">
        <v>502</v>
      </c>
      <c r="M26" s="239" t="s">
        <v>110</v>
      </c>
      <c r="N26" s="282">
        <v>41567</v>
      </c>
      <c r="O26" s="158">
        <f t="shared" si="0"/>
        <v>41567</v>
      </c>
      <c r="P26" s="133" t="s">
        <v>763</v>
      </c>
      <c r="Q26" s="41" t="s">
        <v>656</v>
      </c>
      <c r="R26" s="52" t="s">
        <v>505</v>
      </c>
      <c r="S26" s="58" t="s">
        <v>657</v>
      </c>
      <c r="T26" s="79">
        <v>80117</v>
      </c>
      <c r="U26" s="64" t="s">
        <v>725</v>
      </c>
      <c r="V26" s="64" t="s">
        <v>726</v>
      </c>
      <c r="W26" s="64" t="s">
        <v>528</v>
      </c>
      <c r="X26" s="64" t="s">
        <v>61</v>
      </c>
      <c r="Y26" s="289" t="s">
        <v>593</v>
      </c>
      <c r="Z26" s="295" t="s">
        <v>899</v>
      </c>
      <c r="AA26" s="64"/>
      <c r="AB26" s="64" t="s">
        <v>654</v>
      </c>
      <c r="AC26" s="64" t="s">
        <v>505</v>
      </c>
      <c r="AD26" s="127" t="s">
        <v>20</v>
      </c>
      <c r="AE26" s="126" t="s">
        <v>166</v>
      </c>
      <c r="AF26" s="295" t="s">
        <v>948</v>
      </c>
      <c r="AG26" s="396" t="s">
        <v>3061</v>
      </c>
      <c r="AH26" s="114"/>
      <c r="AI26" s="64" t="s">
        <v>655</v>
      </c>
      <c r="AJ26" s="64" t="s">
        <v>505</v>
      </c>
      <c r="AK26" s="127" t="s">
        <v>530</v>
      </c>
      <c r="AL26" s="126" t="s">
        <v>520</v>
      </c>
      <c r="AM26" s="308" t="s">
        <v>946</v>
      </c>
      <c r="AN26" s="396" t="s">
        <v>3322</v>
      </c>
      <c r="AO26" s="64"/>
      <c r="AP26" s="190" t="s">
        <v>653</v>
      </c>
      <c r="AQ26" s="84"/>
      <c r="AR26" s="32"/>
      <c r="AS26" s="85"/>
      <c r="AT26" s="85"/>
      <c r="AU26" s="84"/>
      <c r="AV26" s="84"/>
      <c r="AW26" s="85"/>
      <c r="AX26" s="85"/>
      <c r="AY26" s="60"/>
      <c r="AZ26" s="95"/>
      <c r="BA26" s="60"/>
      <c r="BB26" s="60"/>
      <c r="BC26" s="60"/>
      <c r="BD26" s="60"/>
      <c r="BE26" s="75"/>
      <c r="BF26" s="64"/>
      <c r="BG26" s="64" t="s">
        <v>3550</v>
      </c>
      <c r="BH26" s="245"/>
      <c r="BI26" s="64" t="s">
        <v>3551</v>
      </c>
      <c r="BJ26" s="229" t="s">
        <v>3552</v>
      </c>
    </row>
    <row r="27" spans="1:62" s="171" customFormat="1" ht="52.5" customHeight="1">
      <c r="A27" s="166">
        <v>26</v>
      </c>
      <c r="B27" s="13" t="s">
        <v>142</v>
      </c>
      <c r="C27" s="52">
        <v>12681</v>
      </c>
      <c r="D27" s="382" t="s">
        <v>2642</v>
      </c>
      <c r="E27" s="220" t="s">
        <v>262</v>
      </c>
      <c r="F27" s="130" t="s">
        <v>3562</v>
      </c>
      <c r="G27" s="10"/>
      <c r="H27" s="263"/>
      <c r="I27" s="168">
        <v>2</v>
      </c>
      <c r="J27" s="197">
        <v>3</v>
      </c>
      <c r="K27" s="178"/>
      <c r="L27" s="52" t="s">
        <v>502</v>
      </c>
      <c r="M27" s="238" t="s">
        <v>658</v>
      </c>
      <c r="N27" s="282">
        <v>41483</v>
      </c>
      <c r="O27" s="158">
        <f t="shared" si="0"/>
        <v>41483</v>
      </c>
      <c r="P27" s="133" t="s">
        <v>764</v>
      </c>
      <c r="Q27" s="169" t="s">
        <v>659</v>
      </c>
      <c r="R27" s="52" t="s">
        <v>505</v>
      </c>
      <c r="S27" s="236" t="s">
        <v>660</v>
      </c>
      <c r="T27" s="228">
        <v>77122</v>
      </c>
      <c r="U27" s="114" t="s">
        <v>727</v>
      </c>
      <c r="V27" s="114" t="s">
        <v>728</v>
      </c>
      <c r="W27" s="114" t="s">
        <v>729</v>
      </c>
      <c r="X27" s="114" t="s">
        <v>80</v>
      </c>
      <c r="Y27" s="289" t="s">
        <v>594</v>
      </c>
      <c r="Z27" s="295" t="s">
        <v>900</v>
      </c>
      <c r="AA27" s="114"/>
      <c r="AB27" s="233" t="s">
        <v>661</v>
      </c>
      <c r="AC27" s="64" t="s">
        <v>505</v>
      </c>
      <c r="AD27" s="128" t="s">
        <v>20</v>
      </c>
      <c r="AE27" s="170" t="s">
        <v>168</v>
      </c>
      <c r="AF27" s="295" t="s">
        <v>946</v>
      </c>
      <c r="AG27" s="396" t="s">
        <v>3062</v>
      </c>
      <c r="AH27" s="114"/>
      <c r="AI27" s="233" t="s">
        <v>662</v>
      </c>
      <c r="AJ27" s="64" t="s">
        <v>505</v>
      </c>
      <c r="AK27" s="128" t="s">
        <v>20</v>
      </c>
      <c r="AL27" s="170" t="s">
        <v>166</v>
      </c>
      <c r="AM27" s="308" t="s">
        <v>948</v>
      </c>
      <c r="AN27" s="396" t="s">
        <v>3323</v>
      </c>
      <c r="AO27" s="114"/>
      <c r="AP27" s="191" t="s">
        <v>663</v>
      </c>
      <c r="AQ27" s="112"/>
      <c r="AR27" s="110"/>
      <c r="AS27" s="111"/>
      <c r="AT27" s="111"/>
      <c r="AU27" s="112"/>
      <c r="AV27" s="112"/>
      <c r="AW27" s="111"/>
      <c r="AX27" s="111"/>
      <c r="AY27" s="109"/>
      <c r="AZ27" s="95"/>
      <c r="BA27" s="109"/>
      <c r="BB27" s="109"/>
      <c r="BC27" s="109"/>
      <c r="BD27" s="109"/>
      <c r="BE27" s="113"/>
      <c r="BF27" s="114"/>
      <c r="BG27" s="64" t="s">
        <v>3550</v>
      </c>
      <c r="BH27" s="245"/>
      <c r="BI27" s="64" t="s">
        <v>3551</v>
      </c>
      <c r="BJ27" s="229" t="s">
        <v>3552</v>
      </c>
    </row>
    <row r="28" spans="1:62" s="51" customFormat="1" ht="52.5" customHeight="1">
      <c r="A28" s="50">
        <v>27</v>
      </c>
      <c r="B28" s="13" t="s">
        <v>142</v>
      </c>
      <c r="C28" s="52">
        <v>12685</v>
      </c>
      <c r="D28" s="382" t="s">
        <v>2643</v>
      </c>
      <c r="E28" s="220" t="s">
        <v>263</v>
      </c>
      <c r="F28" s="130" t="s">
        <v>3562</v>
      </c>
      <c r="G28" s="10"/>
      <c r="H28" s="131"/>
      <c r="I28" s="55">
        <v>2</v>
      </c>
      <c r="J28" s="196">
        <v>1</v>
      </c>
      <c r="K28" s="178"/>
      <c r="L28" s="52" t="s">
        <v>502</v>
      </c>
      <c r="M28" s="239" t="s">
        <v>87</v>
      </c>
      <c r="N28" s="282">
        <v>41552</v>
      </c>
      <c r="O28" s="158">
        <f t="shared" si="0"/>
        <v>41552</v>
      </c>
      <c r="P28" s="133" t="s">
        <v>765</v>
      </c>
      <c r="Q28" s="41" t="s">
        <v>664</v>
      </c>
      <c r="R28" s="52" t="s">
        <v>505</v>
      </c>
      <c r="S28" s="58" t="s">
        <v>665</v>
      </c>
      <c r="T28" s="79">
        <v>57514</v>
      </c>
      <c r="U28" s="64" t="s">
        <v>730</v>
      </c>
      <c r="V28" s="64" t="s">
        <v>87</v>
      </c>
      <c r="W28" s="64" t="s">
        <v>87</v>
      </c>
      <c r="X28" s="64" t="s">
        <v>29</v>
      </c>
      <c r="Y28" s="289" t="s">
        <v>131</v>
      </c>
      <c r="Z28" s="295" t="s">
        <v>901</v>
      </c>
      <c r="AA28" s="64"/>
      <c r="AB28" s="64" t="s">
        <v>666</v>
      </c>
      <c r="AC28" s="64" t="s">
        <v>505</v>
      </c>
      <c r="AD28" s="127" t="s">
        <v>20</v>
      </c>
      <c r="AE28" s="126" t="s">
        <v>21</v>
      </c>
      <c r="AF28" s="295" t="s">
        <v>947</v>
      </c>
      <c r="AG28" s="396" t="s">
        <v>3063</v>
      </c>
      <c r="AH28" s="206"/>
      <c r="AI28" s="234" t="s">
        <v>667</v>
      </c>
      <c r="AJ28" s="64" t="s">
        <v>505</v>
      </c>
      <c r="AK28" s="127" t="s">
        <v>20</v>
      </c>
      <c r="AL28" s="126" t="s">
        <v>520</v>
      </c>
      <c r="AM28" s="308" t="s">
        <v>950</v>
      </c>
      <c r="AN28" s="396" t="s">
        <v>3324</v>
      </c>
      <c r="AO28" s="64"/>
      <c r="AP28" s="190" t="s">
        <v>668</v>
      </c>
      <c r="AQ28" s="84"/>
      <c r="AR28" s="32"/>
      <c r="AS28" s="85"/>
      <c r="AT28" s="85"/>
      <c r="AU28" s="84"/>
      <c r="AV28" s="84"/>
      <c r="AW28" s="85"/>
      <c r="AX28" s="85"/>
      <c r="AY28" s="60"/>
      <c r="AZ28" s="95"/>
      <c r="BA28" s="60"/>
      <c r="BB28" s="60"/>
      <c r="BC28" s="60"/>
      <c r="BD28" s="60"/>
      <c r="BE28" s="75"/>
      <c r="BF28" s="64"/>
      <c r="BG28" s="64" t="s">
        <v>3550</v>
      </c>
      <c r="BH28" s="245"/>
      <c r="BI28" s="64" t="s">
        <v>3551</v>
      </c>
      <c r="BJ28" s="229" t="s">
        <v>3552</v>
      </c>
    </row>
    <row r="29" spans="1:62" s="51" customFormat="1" ht="47.25">
      <c r="A29" s="50">
        <v>28</v>
      </c>
      <c r="B29" s="13" t="s">
        <v>142</v>
      </c>
      <c r="C29" s="52">
        <v>12701</v>
      </c>
      <c r="D29" s="382" t="s">
        <v>2644</v>
      </c>
      <c r="E29" s="220" t="s">
        <v>264</v>
      </c>
      <c r="F29" s="130" t="s">
        <v>3562</v>
      </c>
      <c r="G29" s="10"/>
      <c r="H29" s="131"/>
      <c r="I29" s="55">
        <v>2</v>
      </c>
      <c r="J29" s="196">
        <v>1</v>
      </c>
      <c r="K29" s="178"/>
      <c r="L29" s="52" t="s">
        <v>502</v>
      </c>
      <c r="M29" s="238" t="s">
        <v>90</v>
      </c>
      <c r="N29" s="282">
        <v>41659</v>
      </c>
      <c r="O29" s="158">
        <f t="shared" si="0"/>
        <v>41659</v>
      </c>
      <c r="P29" s="133" t="s">
        <v>766</v>
      </c>
      <c r="Q29" s="41" t="s">
        <v>669</v>
      </c>
      <c r="R29" s="52" t="s">
        <v>505</v>
      </c>
      <c r="S29" s="236" t="s">
        <v>670</v>
      </c>
      <c r="T29" s="79">
        <v>52122</v>
      </c>
      <c r="U29" s="64" t="s">
        <v>731</v>
      </c>
      <c r="V29" s="64" t="s">
        <v>732</v>
      </c>
      <c r="W29" s="64" t="s">
        <v>90</v>
      </c>
      <c r="X29" s="64" t="s">
        <v>29</v>
      </c>
      <c r="Y29" s="289" t="s">
        <v>741</v>
      </c>
      <c r="Z29" s="295" t="s">
        <v>902</v>
      </c>
      <c r="AA29" s="64"/>
      <c r="AB29" s="233" t="s">
        <v>671</v>
      </c>
      <c r="AC29" s="64" t="s">
        <v>505</v>
      </c>
      <c r="AD29" s="127" t="s">
        <v>20</v>
      </c>
      <c r="AE29" s="126" t="s">
        <v>21</v>
      </c>
      <c r="AF29" s="295" t="s">
        <v>948</v>
      </c>
      <c r="AG29" s="396" t="s">
        <v>3064</v>
      </c>
      <c r="AH29" s="114"/>
      <c r="AI29" s="233" t="s">
        <v>672</v>
      </c>
      <c r="AJ29" s="64" t="s">
        <v>505</v>
      </c>
      <c r="AK29" s="127" t="s">
        <v>30</v>
      </c>
      <c r="AL29" s="126" t="s">
        <v>168</v>
      </c>
      <c r="AM29" s="308" t="s">
        <v>948</v>
      </c>
      <c r="AN29" s="396" t="s">
        <v>3325</v>
      </c>
      <c r="AO29" s="64"/>
      <c r="AP29" s="190" t="s">
        <v>673</v>
      </c>
      <c r="AQ29" s="84"/>
      <c r="AR29" s="32"/>
      <c r="AS29" s="85"/>
      <c r="AT29" s="85"/>
      <c r="AU29" s="84"/>
      <c r="AV29" s="84"/>
      <c r="AW29" s="85"/>
      <c r="AX29" s="85"/>
      <c r="AY29" s="60"/>
      <c r="AZ29" s="95"/>
      <c r="BA29" s="60"/>
      <c r="BB29" s="60"/>
      <c r="BC29" s="60"/>
      <c r="BD29" s="60"/>
      <c r="BE29" s="75"/>
      <c r="BF29" s="64"/>
      <c r="BG29" s="64" t="s">
        <v>3550</v>
      </c>
      <c r="BH29" s="245"/>
      <c r="BI29" s="64" t="s">
        <v>3551</v>
      </c>
      <c r="BJ29" s="229" t="s">
        <v>3552</v>
      </c>
    </row>
    <row r="30" spans="1:62" s="51" customFormat="1" ht="47.25">
      <c r="A30" s="50">
        <v>29</v>
      </c>
      <c r="B30" s="13" t="s">
        <v>142</v>
      </c>
      <c r="C30" s="52">
        <v>12715</v>
      </c>
      <c r="D30" s="382" t="s">
        <v>2645</v>
      </c>
      <c r="E30" s="220" t="s">
        <v>265</v>
      </c>
      <c r="F30" s="130" t="s">
        <v>3562</v>
      </c>
      <c r="G30" s="10"/>
      <c r="H30" s="131"/>
      <c r="I30" s="55">
        <v>3</v>
      </c>
      <c r="J30" s="196">
        <v>2</v>
      </c>
      <c r="K30" s="178"/>
      <c r="L30" s="52" t="s">
        <v>502</v>
      </c>
      <c r="M30" s="239" t="s">
        <v>23</v>
      </c>
      <c r="N30" s="282">
        <v>41530</v>
      </c>
      <c r="O30" s="158">
        <f t="shared" si="0"/>
        <v>41530</v>
      </c>
      <c r="P30" s="133" t="s">
        <v>767</v>
      </c>
      <c r="Q30" s="41" t="s">
        <v>674</v>
      </c>
      <c r="R30" s="52" t="s">
        <v>505</v>
      </c>
      <c r="S30" s="58" t="s">
        <v>675</v>
      </c>
      <c r="T30" s="79">
        <v>55198</v>
      </c>
      <c r="U30" s="64" t="s">
        <v>733</v>
      </c>
      <c r="V30" s="64" t="s">
        <v>733</v>
      </c>
      <c r="W30" s="64" t="s">
        <v>19</v>
      </c>
      <c r="X30" s="64" t="s">
        <v>696</v>
      </c>
      <c r="Y30" s="289" t="s">
        <v>130</v>
      </c>
      <c r="Z30" s="295"/>
      <c r="AA30" s="64"/>
      <c r="AB30" s="64" t="s">
        <v>676</v>
      </c>
      <c r="AC30" s="64" t="s">
        <v>505</v>
      </c>
      <c r="AD30" s="127" t="s">
        <v>30</v>
      </c>
      <c r="AE30" s="126" t="s">
        <v>21</v>
      </c>
      <c r="AF30" s="295"/>
      <c r="AG30" s="396" t="s">
        <v>3065</v>
      </c>
      <c r="AH30" s="114"/>
      <c r="AI30" s="64" t="s">
        <v>678</v>
      </c>
      <c r="AJ30" s="64" t="s">
        <v>505</v>
      </c>
      <c r="AK30" s="127" t="s">
        <v>20</v>
      </c>
      <c r="AL30" s="126" t="s">
        <v>520</v>
      </c>
      <c r="AM30" s="308"/>
      <c r="AN30" s="396" t="s">
        <v>3326</v>
      </c>
      <c r="AO30" s="64"/>
      <c r="AP30" s="190" t="s">
        <v>677</v>
      </c>
      <c r="AQ30" s="84"/>
      <c r="AR30" s="32"/>
      <c r="AS30" s="85"/>
      <c r="AT30" s="85"/>
      <c r="AU30" s="84"/>
      <c r="AV30" s="84"/>
      <c r="AW30" s="85"/>
      <c r="AX30" s="85"/>
      <c r="AY30" s="60"/>
      <c r="AZ30" s="95"/>
      <c r="BA30" s="60"/>
      <c r="BB30" s="60"/>
      <c r="BC30" s="60"/>
      <c r="BD30" s="60"/>
      <c r="BE30" s="75"/>
      <c r="BF30" s="64"/>
      <c r="BG30" s="64" t="s">
        <v>3550</v>
      </c>
      <c r="BH30" s="245"/>
      <c r="BI30" s="64" t="s">
        <v>3551</v>
      </c>
      <c r="BJ30" s="229" t="s">
        <v>3552</v>
      </c>
    </row>
    <row r="31" spans="1:62" s="51" customFormat="1" ht="52.5" customHeight="1" thickBot="1">
      <c r="A31" s="50">
        <v>30</v>
      </c>
      <c r="B31" s="13" t="s">
        <v>142</v>
      </c>
      <c r="C31" s="52">
        <v>12723</v>
      </c>
      <c r="D31" s="293">
        <v>3134468755</v>
      </c>
      <c r="E31" s="268" t="s">
        <v>266</v>
      </c>
      <c r="F31" s="130" t="s">
        <v>3562</v>
      </c>
      <c r="G31" s="10"/>
      <c r="H31" s="263"/>
      <c r="I31" s="55">
        <v>4</v>
      </c>
      <c r="J31" s="196">
        <v>3</v>
      </c>
      <c r="K31" s="52"/>
      <c r="L31" s="52" t="s">
        <v>502</v>
      </c>
      <c r="M31" s="238" t="s">
        <v>679</v>
      </c>
      <c r="N31" s="282">
        <v>41539</v>
      </c>
      <c r="O31" s="158">
        <f t="shared" si="0"/>
        <v>41539</v>
      </c>
      <c r="P31" s="133" t="s">
        <v>768</v>
      </c>
      <c r="Q31" s="41" t="s">
        <v>680</v>
      </c>
      <c r="R31" s="52" t="s">
        <v>505</v>
      </c>
      <c r="S31" s="58" t="s">
        <v>681</v>
      </c>
      <c r="T31" s="79">
        <v>39172</v>
      </c>
      <c r="U31" s="64" t="s">
        <v>734</v>
      </c>
      <c r="V31" s="64" t="s">
        <v>679</v>
      </c>
      <c r="W31" s="64" t="s">
        <v>679</v>
      </c>
      <c r="X31" s="64" t="s">
        <v>70</v>
      </c>
      <c r="Y31" s="289" t="s">
        <v>742</v>
      </c>
      <c r="Z31" s="295" t="s">
        <v>903</v>
      </c>
      <c r="AA31" s="64"/>
      <c r="AB31" s="64" t="s">
        <v>682</v>
      </c>
      <c r="AC31" s="64" t="s">
        <v>505</v>
      </c>
      <c r="AD31" s="127" t="s">
        <v>20</v>
      </c>
      <c r="AE31" s="126" t="s">
        <v>21</v>
      </c>
      <c r="AF31" s="295" t="s">
        <v>949</v>
      </c>
      <c r="AG31" s="396" t="s">
        <v>3066</v>
      </c>
      <c r="AH31" s="114"/>
      <c r="AI31" s="64" t="s">
        <v>684</v>
      </c>
      <c r="AJ31" s="64" t="s">
        <v>505</v>
      </c>
      <c r="AK31" s="127" t="s">
        <v>20</v>
      </c>
      <c r="AL31" s="126" t="s">
        <v>21</v>
      </c>
      <c r="AM31" s="308" t="s">
        <v>949</v>
      </c>
      <c r="AN31" s="396" t="s">
        <v>3066</v>
      </c>
      <c r="AO31" s="64"/>
      <c r="AP31" s="190" t="s">
        <v>683</v>
      </c>
      <c r="AQ31" s="84"/>
      <c r="AR31" s="32"/>
      <c r="AS31" s="85"/>
      <c r="AT31" s="85"/>
      <c r="AU31" s="84"/>
      <c r="AV31" s="84"/>
      <c r="AW31" s="85"/>
      <c r="AX31" s="85"/>
      <c r="AY31" s="60"/>
      <c r="AZ31" s="95"/>
      <c r="BA31" s="60"/>
      <c r="BB31" s="60"/>
      <c r="BC31" s="60"/>
      <c r="BD31" s="60"/>
      <c r="BE31" s="75"/>
      <c r="BF31" s="64"/>
      <c r="BG31" s="64" t="s">
        <v>3550</v>
      </c>
      <c r="BH31" s="245"/>
      <c r="BI31" s="64" t="s">
        <v>3551</v>
      </c>
      <c r="BJ31" s="229" t="s">
        <v>3552</v>
      </c>
    </row>
    <row r="32" spans="1:62" s="51" customFormat="1" ht="47.25">
      <c r="A32" s="50">
        <v>1</v>
      </c>
      <c r="B32" s="20" t="s">
        <v>146</v>
      </c>
      <c r="C32" s="52">
        <v>12459</v>
      </c>
      <c r="D32" s="382" t="s">
        <v>2646</v>
      </c>
      <c r="E32" s="219" t="s">
        <v>267</v>
      </c>
      <c r="F32" s="130" t="s">
        <v>3562</v>
      </c>
      <c r="G32" s="208"/>
      <c r="H32" s="167"/>
      <c r="I32" s="168">
        <v>1</v>
      </c>
      <c r="J32" s="197">
        <v>0</v>
      </c>
      <c r="K32" s="177"/>
      <c r="L32" s="52" t="s">
        <v>502</v>
      </c>
      <c r="M32" s="170" t="s">
        <v>769</v>
      </c>
      <c r="N32" s="282">
        <v>41541</v>
      </c>
      <c r="O32" s="158">
        <f t="shared" si="0"/>
        <v>41541</v>
      </c>
      <c r="P32" s="133" t="s">
        <v>2997</v>
      </c>
      <c r="Q32" s="169" t="s">
        <v>770</v>
      </c>
      <c r="R32" s="52" t="s">
        <v>505</v>
      </c>
      <c r="S32" s="295" t="s">
        <v>2605</v>
      </c>
      <c r="T32" s="228">
        <v>34161</v>
      </c>
      <c r="U32" s="114" t="s">
        <v>807</v>
      </c>
      <c r="V32" s="114" t="s">
        <v>808</v>
      </c>
      <c r="W32" s="114" t="s">
        <v>163</v>
      </c>
      <c r="X32" s="114" t="s">
        <v>86</v>
      </c>
      <c r="Y32" s="289" t="s">
        <v>809</v>
      </c>
      <c r="Z32" s="295" t="s">
        <v>878</v>
      </c>
      <c r="AA32" s="114"/>
      <c r="AB32" s="114" t="s">
        <v>786</v>
      </c>
      <c r="AC32" s="64" t="s">
        <v>505</v>
      </c>
      <c r="AD32" s="292" t="s">
        <v>20</v>
      </c>
      <c r="AE32" s="302" t="s">
        <v>924</v>
      </c>
      <c r="AF32" s="295" t="s">
        <v>946</v>
      </c>
      <c r="AG32" s="364" t="s">
        <v>3067</v>
      </c>
      <c r="AH32" s="114"/>
      <c r="AI32" s="114" t="s">
        <v>788</v>
      </c>
      <c r="AJ32" s="64" t="s">
        <v>505</v>
      </c>
      <c r="AK32" s="302" t="s">
        <v>922</v>
      </c>
      <c r="AL32" s="302" t="s">
        <v>1289</v>
      </c>
      <c r="AM32" s="295" t="s">
        <v>948</v>
      </c>
      <c r="AN32" s="364" t="s">
        <v>3327</v>
      </c>
      <c r="AO32" s="114"/>
      <c r="AP32" s="191" t="s">
        <v>787</v>
      </c>
      <c r="AQ32" s="112"/>
      <c r="AR32" s="110"/>
      <c r="AS32" s="111"/>
      <c r="AT32" s="111"/>
      <c r="AU32" s="112"/>
      <c r="AV32" s="112"/>
      <c r="AW32" s="111"/>
      <c r="AX32" s="111"/>
      <c r="AY32" s="109"/>
      <c r="AZ32" s="95"/>
      <c r="BA32" s="109"/>
      <c r="BB32" s="109"/>
      <c r="BC32" s="109"/>
      <c r="BD32" s="109"/>
      <c r="BE32" s="113"/>
      <c r="BF32" s="114"/>
      <c r="BG32" s="114" t="s">
        <v>3553</v>
      </c>
      <c r="BH32" s="246">
        <v>958245</v>
      </c>
      <c r="BI32" s="64" t="s">
        <v>3551</v>
      </c>
      <c r="BJ32" s="229" t="s">
        <v>3552</v>
      </c>
    </row>
    <row r="33" spans="1:62" s="171" customFormat="1" ht="52.5" customHeight="1">
      <c r="A33" s="166">
        <v>2</v>
      </c>
      <c r="B33" s="20" t="s">
        <v>146</v>
      </c>
      <c r="C33" s="52">
        <v>12466</v>
      </c>
      <c r="D33" s="382" t="s">
        <v>2647</v>
      </c>
      <c r="E33" s="220" t="s">
        <v>268</v>
      </c>
      <c r="F33" s="130" t="s">
        <v>3562</v>
      </c>
      <c r="G33" s="10"/>
      <c r="H33" s="167"/>
      <c r="I33" s="168">
        <v>2</v>
      </c>
      <c r="J33" s="197">
        <v>1</v>
      </c>
      <c r="K33" s="178"/>
      <c r="L33" s="52" t="s">
        <v>502</v>
      </c>
      <c r="M33" s="126" t="s">
        <v>57</v>
      </c>
      <c r="N33" s="282">
        <v>41610</v>
      </c>
      <c r="O33" s="158">
        <f t="shared" si="0"/>
        <v>41610</v>
      </c>
      <c r="P33" s="133" t="s">
        <v>2998</v>
      </c>
      <c r="Q33" s="169" t="s">
        <v>789</v>
      </c>
      <c r="R33" s="52" t="s">
        <v>505</v>
      </c>
      <c r="S33" s="295" t="s">
        <v>1855</v>
      </c>
      <c r="T33" s="228">
        <v>68483</v>
      </c>
      <c r="U33" s="114" t="s">
        <v>810</v>
      </c>
      <c r="V33" s="114" t="s">
        <v>811</v>
      </c>
      <c r="W33" s="114" t="s">
        <v>57</v>
      </c>
      <c r="X33" s="114" t="s">
        <v>39</v>
      </c>
      <c r="Y33" s="104" t="s">
        <v>790</v>
      </c>
      <c r="Z33" s="295" t="s">
        <v>879</v>
      </c>
      <c r="AA33" s="114"/>
      <c r="AB33" s="108" t="s">
        <v>791</v>
      </c>
      <c r="AC33" s="64" t="s">
        <v>505</v>
      </c>
      <c r="AD33" s="292" t="s">
        <v>20</v>
      </c>
      <c r="AE33" s="302" t="s">
        <v>921</v>
      </c>
      <c r="AF33" s="295" t="s">
        <v>947</v>
      </c>
      <c r="AG33" s="364" t="s">
        <v>3068</v>
      </c>
      <c r="AH33" s="114"/>
      <c r="AI33" s="108" t="s">
        <v>792</v>
      </c>
      <c r="AJ33" s="64" t="s">
        <v>505</v>
      </c>
      <c r="AK33" s="302" t="s">
        <v>30</v>
      </c>
      <c r="AL33" s="302" t="s">
        <v>924</v>
      </c>
      <c r="AM33" s="295" t="s">
        <v>948</v>
      </c>
      <c r="AN33" s="364" t="s">
        <v>3328</v>
      </c>
      <c r="AO33" s="114"/>
      <c r="AP33" s="191" t="s">
        <v>793</v>
      </c>
      <c r="AQ33" s="112"/>
      <c r="AR33" s="110"/>
      <c r="AS33" s="111"/>
      <c r="AT33" s="111"/>
      <c r="AU33" s="112"/>
      <c r="AV33" s="110"/>
      <c r="AW33" s="111"/>
      <c r="AX33" s="111"/>
      <c r="AY33" s="109"/>
      <c r="AZ33" s="95"/>
      <c r="BA33" s="109"/>
      <c r="BB33" s="109"/>
      <c r="BC33" s="109"/>
      <c r="BD33" s="109"/>
      <c r="BE33" s="113"/>
      <c r="BF33" s="114"/>
      <c r="BG33" s="114" t="s">
        <v>3553</v>
      </c>
      <c r="BH33" s="246">
        <v>958245</v>
      </c>
      <c r="BI33" s="64" t="s">
        <v>3551</v>
      </c>
      <c r="BJ33" s="229" t="s">
        <v>3552</v>
      </c>
    </row>
    <row r="34" spans="1:62" s="51" customFormat="1" ht="52.5" customHeight="1">
      <c r="A34" s="50">
        <v>3</v>
      </c>
      <c r="B34" s="20" t="s">
        <v>146</v>
      </c>
      <c r="C34" s="164">
        <v>12468</v>
      </c>
      <c r="D34" s="382" t="s">
        <v>2648</v>
      </c>
      <c r="E34" s="220" t="s">
        <v>269</v>
      </c>
      <c r="F34" s="130" t="s">
        <v>3562</v>
      </c>
      <c r="G34" s="10"/>
      <c r="H34" s="264"/>
      <c r="I34" s="55">
        <v>1</v>
      </c>
      <c r="J34" s="196">
        <v>2</v>
      </c>
      <c r="K34" s="178"/>
      <c r="L34" s="52" t="s">
        <v>502</v>
      </c>
      <c r="M34" s="126" t="s">
        <v>49</v>
      </c>
      <c r="N34" s="282">
        <v>41512</v>
      </c>
      <c r="O34" s="158">
        <f t="shared" si="0"/>
        <v>41512</v>
      </c>
      <c r="P34" s="133" t="s">
        <v>2999</v>
      </c>
      <c r="Q34" s="41" t="s">
        <v>794</v>
      </c>
      <c r="R34" s="52" t="s">
        <v>505</v>
      </c>
      <c r="S34" s="295" t="s">
        <v>1856</v>
      </c>
      <c r="T34" s="79">
        <v>61161</v>
      </c>
      <c r="U34" s="127" t="s">
        <v>812</v>
      </c>
      <c r="V34" s="64" t="s">
        <v>691</v>
      </c>
      <c r="W34" s="64" t="s">
        <v>49</v>
      </c>
      <c r="X34" s="64" t="s">
        <v>39</v>
      </c>
      <c r="Y34" s="289" t="s">
        <v>585</v>
      </c>
      <c r="Z34" s="295" t="s">
        <v>880</v>
      </c>
      <c r="AA34" s="64"/>
      <c r="AB34" s="58" t="s">
        <v>795</v>
      </c>
      <c r="AC34" s="64" t="s">
        <v>505</v>
      </c>
      <c r="AD34" s="292" t="s">
        <v>20</v>
      </c>
      <c r="AE34" s="302" t="s">
        <v>921</v>
      </c>
      <c r="AF34" s="295" t="s">
        <v>946</v>
      </c>
      <c r="AG34" s="364" t="s">
        <v>3069</v>
      </c>
      <c r="AH34" s="114"/>
      <c r="AI34" s="58" t="s">
        <v>800</v>
      </c>
      <c r="AJ34" s="64" t="s">
        <v>505</v>
      </c>
      <c r="AK34" s="302" t="s">
        <v>30</v>
      </c>
      <c r="AL34" s="302" t="s">
        <v>921</v>
      </c>
      <c r="AM34" s="295" t="s">
        <v>946</v>
      </c>
      <c r="AN34" s="364" t="s">
        <v>3329</v>
      </c>
      <c r="AO34" s="64"/>
      <c r="AP34" s="190" t="s">
        <v>796</v>
      </c>
      <c r="AQ34" s="84"/>
      <c r="AR34" s="32"/>
      <c r="AS34" s="85"/>
      <c r="AT34" s="85"/>
      <c r="AU34" s="84"/>
      <c r="AV34" s="84"/>
      <c r="AW34" s="85"/>
      <c r="AX34" s="85"/>
      <c r="AY34" s="60"/>
      <c r="AZ34" s="95"/>
      <c r="BA34" s="60"/>
      <c r="BB34" s="60"/>
      <c r="BC34" s="60"/>
      <c r="BD34" s="60"/>
      <c r="BE34" s="75"/>
      <c r="BF34" s="64"/>
      <c r="BG34" s="114" t="s">
        <v>3553</v>
      </c>
      <c r="BH34" s="246">
        <v>958245</v>
      </c>
      <c r="BI34" s="64" t="s">
        <v>3551</v>
      </c>
      <c r="BJ34" s="229" t="s">
        <v>3552</v>
      </c>
    </row>
    <row r="35" spans="1:62" s="171" customFormat="1" ht="52.5" customHeight="1">
      <c r="A35" s="166">
        <v>4</v>
      </c>
      <c r="B35" s="20" t="s">
        <v>146</v>
      </c>
      <c r="C35" s="52">
        <v>12484</v>
      </c>
      <c r="D35" s="293">
        <v>3127552917</v>
      </c>
      <c r="E35" s="220" t="s">
        <v>270</v>
      </c>
      <c r="F35" s="130" t="s">
        <v>3562</v>
      </c>
      <c r="G35" s="10"/>
      <c r="H35" s="264"/>
      <c r="I35" s="168">
        <v>2</v>
      </c>
      <c r="J35" s="197">
        <v>4</v>
      </c>
      <c r="K35" s="178"/>
      <c r="L35" s="52" t="s">
        <v>502</v>
      </c>
      <c r="M35" s="241" t="s">
        <v>797</v>
      </c>
      <c r="N35" s="282">
        <v>41213</v>
      </c>
      <c r="O35" s="158">
        <f t="shared" si="0"/>
        <v>41213</v>
      </c>
      <c r="P35" s="133" t="s">
        <v>3000</v>
      </c>
      <c r="Q35" s="169" t="s">
        <v>798</v>
      </c>
      <c r="R35" s="52" t="s">
        <v>505</v>
      </c>
      <c r="S35" s="295" t="s">
        <v>2607</v>
      </c>
      <c r="T35" s="228">
        <v>42261</v>
      </c>
      <c r="U35" s="114" t="s">
        <v>813</v>
      </c>
      <c r="V35" s="114" t="s">
        <v>814</v>
      </c>
      <c r="W35" s="114" t="s">
        <v>797</v>
      </c>
      <c r="X35" s="114" t="s">
        <v>43</v>
      </c>
      <c r="Y35" s="289" t="s">
        <v>2862</v>
      </c>
      <c r="Z35" s="295" t="s">
        <v>881</v>
      </c>
      <c r="AA35" s="114"/>
      <c r="AB35" s="64" t="s">
        <v>799</v>
      </c>
      <c r="AC35" s="64" t="s">
        <v>505</v>
      </c>
      <c r="AD35" s="292" t="s">
        <v>30</v>
      </c>
      <c r="AE35" s="302" t="s">
        <v>921</v>
      </c>
      <c r="AF35" s="295" t="s">
        <v>946</v>
      </c>
      <c r="AG35" s="364" t="s">
        <v>3070</v>
      </c>
      <c r="AH35" s="114"/>
      <c r="AI35" s="64" t="s">
        <v>801</v>
      </c>
      <c r="AJ35" s="64" t="s">
        <v>505</v>
      </c>
      <c r="AK35" s="302" t="s">
        <v>20</v>
      </c>
      <c r="AL35" s="302" t="s">
        <v>921</v>
      </c>
      <c r="AM35" s="295" t="s">
        <v>948</v>
      </c>
      <c r="AN35" s="364" t="s">
        <v>3330</v>
      </c>
      <c r="AO35" s="114"/>
      <c r="AP35" s="191" t="s">
        <v>802</v>
      </c>
      <c r="AQ35" s="112"/>
      <c r="AR35" s="110"/>
      <c r="AS35" s="111"/>
      <c r="AT35" s="111"/>
      <c r="AU35" s="112"/>
      <c r="AV35" s="110"/>
      <c r="AW35" s="111"/>
      <c r="AX35" s="111"/>
      <c r="AY35" s="109"/>
      <c r="AZ35" s="95"/>
      <c r="BA35" s="109"/>
      <c r="BB35" s="109"/>
      <c r="BC35" s="109"/>
      <c r="BD35" s="109"/>
      <c r="BE35" s="113"/>
      <c r="BF35" s="114"/>
      <c r="BG35" s="114" t="s">
        <v>3553</v>
      </c>
      <c r="BH35" s="246">
        <v>958245</v>
      </c>
      <c r="BI35" s="64" t="s">
        <v>3551</v>
      </c>
      <c r="BJ35" s="229" t="s">
        <v>3552</v>
      </c>
    </row>
    <row r="36" spans="1:62" s="51" customFormat="1" ht="52.5" customHeight="1">
      <c r="A36" s="50">
        <v>5</v>
      </c>
      <c r="B36" s="20" t="s">
        <v>146</v>
      </c>
      <c r="C36" s="52">
        <v>12496</v>
      </c>
      <c r="D36" s="382" t="s">
        <v>2649</v>
      </c>
      <c r="E36" s="220" t="s">
        <v>271</v>
      </c>
      <c r="F36" s="130" t="s">
        <v>3562</v>
      </c>
      <c r="G36" s="10"/>
      <c r="H36" s="131"/>
      <c r="I36" s="55">
        <v>2</v>
      </c>
      <c r="J36" s="196">
        <v>3</v>
      </c>
      <c r="K36" s="178"/>
      <c r="L36" s="52" t="s">
        <v>502</v>
      </c>
      <c r="M36" s="126" t="s">
        <v>91</v>
      </c>
      <c r="N36" s="282">
        <v>41791</v>
      </c>
      <c r="O36" s="158">
        <f t="shared" si="0"/>
        <v>41791</v>
      </c>
      <c r="P36" s="133" t="s">
        <v>3001</v>
      </c>
      <c r="Q36" s="41" t="s">
        <v>806</v>
      </c>
      <c r="R36" s="52" t="s">
        <v>505</v>
      </c>
      <c r="S36" s="295" t="s">
        <v>2608</v>
      </c>
      <c r="T36" s="79">
        <v>63391</v>
      </c>
      <c r="U36" s="64" t="s">
        <v>815</v>
      </c>
      <c r="V36" s="64" t="s">
        <v>816</v>
      </c>
      <c r="W36" s="64" t="s">
        <v>91</v>
      </c>
      <c r="X36" s="64" t="s">
        <v>39</v>
      </c>
      <c r="Y36" s="289" t="s">
        <v>92</v>
      </c>
      <c r="Z36" s="295" t="s">
        <v>882</v>
      </c>
      <c r="AA36" s="64"/>
      <c r="AB36" s="64" t="s">
        <v>805</v>
      </c>
      <c r="AC36" s="64" t="s">
        <v>505</v>
      </c>
      <c r="AD36" s="292" t="s">
        <v>20</v>
      </c>
      <c r="AE36" s="302" t="s">
        <v>1057</v>
      </c>
      <c r="AF36" s="295" t="s">
        <v>948</v>
      </c>
      <c r="AG36" s="364" t="s">
        <v>3071</v>
      </c>
      <c r="AH36" s="114"/>
      <c r="AI36" s="64" t="s">
        <v>804</v>
      </c>
      <c r="AJ36" s="64" t="s">
        <v>505</v>
      </c>
      <c r="AK36" s="302" t="s">
        <v>20</v>
      </c>
      <c r="AL36" s="302" t="s">
        <v>21</v>
      </c>
      <c r="AM36" s="295" t="s">
        <v>948</v>
      </c>
      <c r="AN36" s="364" t="s">
        <v>3331</v>
      </c>
      <c r="AO36" s="64"/>
      <c r="AP36" s="190" t="s">
        <v>803</v>
      </c>
      <c r="AQ36" s="84"/>
      <c r="AR36" s="32"/>
      <c r="AS36" s="85"/>
      <c r="AT36" s="85"/>
      <c r="AU36" s="84"/>
      <c r="AV36" s="84"/>
      <c r="AW36" s="85"/>
      <c r="AX36" s="85"/>
      <c r="AY36" s="60"/>
      <c r="AZ36" s="95"/>
      <c r="BA36" s="60"/>
      <c r="BB36" s="60"/>
      <c r="BC36" s="60"/>
      <c r="BD36" s="60"/>
      <c r="BE36" s="75"/>
      <c r="BF36" s="64"/>
      <c r="BG36" s="114" t="s">
        <v>3553</v>
      </c>
      <c r="BH36" s="246">
        <v>958245</v>
      </c>
      <c r="BI36" s="64" t="s">
        <v>3551</v>
      </c>
      <c r="BJ36" s="229" t="s">
        <v>3552</v>
      </c>
    </row>
    <row r="37" spans="1:62" s="51" customFormat="1" ht="52.5" customHeight="1">
      <c r="A37" s="50">
        <v>6</v>
      </c>
      <c r="B37" s="20" t="s">
        <v>146</v>
      </c>
      <c r="C37" s="52">
        <v>12500</v>
      </c>
      <c r="D37" s="382" t="s">
        <v>2650</v>
      </c>
      <c r="E37" s="220" t="s">
        <v>272</v>
      </c>
      <c r="F37" s="130" t="s">
        <v>3562</v>
      </c>
      <c r="G37" s="10"/>
      <c r="H37" s="131"/>
      <c r="I37" s="55">
        <v>2</v>
      </c>
      <c r="J37" s="196">
        <v>1</v>
      </c>
      <c r="K37" s="52"/>
      <c r="L37" s="52" t="s">
        <v>502</v>
      </c>
      <c r="M37" s="126" t="s">
        <v>111</v>
      </c>
      <c r="N37" s="282">
        <v>41674</v>
      </c>
      <c r="O37" s="158">
        <f t="shared" si="0"/>
        <v>41674</v>
      </c>
      <c r="P37" s="133" t="s">
        <v>3002</v>
      </c>
      <c r="Q37" s="41" t="s">
        <v>817</v>
      </c>
      <c r="R37" s="52" t="s">
        <v>505</v>
      </c>
      <c r="S37" s="295" t="s">
        <v>1857</v>
      </c>
      <c r="T37" s="79">
        <v>56252</v>
      </c>
      <c r="U37" s="64" t="s">
        <v>1858</v>
      </c>
      <c r="V37" s="64" t="s">
        <v>1859</v>
      </c>
      <c r="W37" s="64" t="s">
        <v>111</v>
      </c>
      <c r="X37" s="64" t="s">
        <v>29</v>
      </c>
      <c r="Y37" s="289" t="s">
        <v>170</v>
      </c>
      <c r="Z37" s="295" t="s">
        <v>883</v>
      </c>
      <c r="AA37" s="64"/>
      <c r="AB37" s="58" t="s">
        <v>818</v>
      </c>
      <c r="AC37" s="64" t="s">
        <v>505</v>
      </c>
      <c r="AD37" s="292" t="s">
        <v>22</v>
      </c>
      <c r="AE37" s="302" t="s">
        <v>921</v>
      </c>
      <c r="AF37" s="295" t="s">
        <v>946</v>
      </c>
      <c r="AG37" s="364" t="s">
        <v>3072</v>
      </c>
      <c r="AH37" s="114"/>
      <c r="AI37" s="58" t="s">
        <v>169</v>
      </c>
      <c r="AJ37" s="64" t="s">
        <v>505</v>
      </c>
      <c r="AK37" s="302" t="s">
        <v>20</v>
      </c>
      <c r="AL37" s="302" t="s">
        <v>921</v>
      </c>
      <c r="AM37" s="295" t="s">
        <v>948</v>
      </c>
      <c r="AN37" s="364" t="s">
        <v>3332</v>
      </c>
      <c r="AO37" s="64"/>
      <c r="AP37" s="190" t="s">
        <v>819</v>
      </c>
      <c r="AQ37" s="84"/>
      <c r="AR37" s="32"/>
      <c r="AS37" s="85"/>
      <c r="AT37" s="85"/>
      <c r="AU37" s="84"/>
      <c r="AV37" s="84"/>
      <c r="AW37" s="85"/>
      <c r="AX37" s="85"/>
      <c r="AY37" s="60"/>
      <c r="AZ37" s="95"/>
      <c r="BA37" s="60"/>
      <c r="BB37" s="60"/>
      <c r="BC37" s="60"/>
      <c r="BD37" s="60"/>
      <c r="BE37" s="75"/>
      <c r="BF37" s="64"/>
      <c r="BG37" s="114" t="s">
        <v>3553</v>
      </c>
      <c r="BH37" s="246">
        <v>958245</v>
      </c>
      <c r="BI37" s="64" t="s">
        <v>3551</v>
      </c>
      <c r="BJ37" s="229" t="s">
        <v>3552</v>
      </c>
    </row>
    <row r="38" spans="1:62" s="51" customFormat="1" ht="47.25">
      <c r="A38" s="50">
        <v>7</v>
      </c>
      <c r="B38" s="20" t="s">
        <v>146</v>
      </c>
      <c r="C38" s="52">
        <v>12541</v>
      </c>
      <c r="D38" s="382" t="s">
        <v>2651</v>
      </c>
      <c r="E38" s="220" t="s">
        <v>273</v>
      </c>
      <c r="F38" s="130" t="s">
        <v>3562</v>
      </c>
      <c r="G38" s="10"/>
      <c r="H38" s="131"/>
      <c r="I38" s="55">
        <v>2</v>
      </c>
      <c r="J38" s="196">
        <v>2</v>
      </c>
      <c r="K38" s="178"/>
      <c r="L38" s="52" t="s">
        <v>502</v>
      </c>
      <c r="M38" s="295" t="s">
        <v>117</v>
      </c>
      <c r="N38" s="298">
        <v>41706</v>
      </c>
      <c r="O38" s="158">
        <f t="shared" si="0"/>
        <v>41706</v>
      </c>
      <c r="P38" s="133" t="s">
        <v>3003</v>
      </c>
      <c r="Q38" s="292" t="s">
        <v>822</v>
      </c>
      <c r="R38" s="52" t="s">
        <v>505</v>
      </c>
      <c r="S38" s="295" t="s">
        <v>1717</v>
      </c>
      <c r="T38" s="79">
        <v>51372</v>
      </c>
      <c r="U38" s="64" t="s">
        <v>1860</v>
      </c>
      <c r="V38" s="64" t="s">
        <v>1861</v>
      </c>
      <c r="W38" s="64" t="s">
        <v>117</v>
      </c>
      <c r="X38" s="64" t="s">
        <v>29</v>
      </c>
      <c r="Y38" s="295" t="s">
        <v>771</v>
      </c>
      <c r="Z38" s="295" t="s">
        <v>853</v>
      </c>
      <c r="AA38" s="64"/>
      <c r="AB38" s="295" t="s">
        <v>904</v>
      </c>
      <c r="AC38" s="64" t="s">
        <v>505</v>
      </c>
      <c r="AD38" s="305" t="s">
        <v>30</v>
      </c>
      <c r="AE38" s="305" t="s">
        <v>921</v>
      </c>
      <c r="AF38" s="295" t="s">
        <v>948</v>
      </c>
      <c r="AG38" s="364" t="s">
        <v>3073</v>
      </c>
      <c r="AH38" s="114"/>
      <c r="AI38" s="295" t="s">
        <v>927</v>
      </c>
      <c r="AJ38" s="64" t="s">
        <v>505</v>
      </c>
      <c r="AK38" s="302" t="s">
        <v>20</v>
      </c>
      <c r="AL38" s="302" t="s">
        <v>165</v>
      </c>
      <c r="AM38" s="295" t="s">
        <v>951</v>
      </c>
      <c r="AN38" s="364" t="s">
        <v>3333</v>
      </c>
      <c r="AO38" s="64"/>
      <c r="AP38" s="190" t="s">
        <v>1719</v>
      </c>
      <c r="AQ38" s="84"/>
      <c r="AR38" s="32"/>
      <c r="AS38" s="85"/>
      <c r="AT38" s="85"/>
      <c r="AU38" s="84"/>
      <c r="AV38" s="84"/>
      <c r="AW38" s="85"/>
      <c r="AX38" s="85"/>
      <c r="AY38" s="60"/>
      <c r="AZ38" s="95"/>
      <c r="BA38" s="60"/>
      <c r="BB38" s="60"/>
      <c r="BC38" s="60"/>
      <c r="BD38" s="60"/>
      <c r="BE38" s="75"/>
      <c r="BF38" s="64"/>
      <c r="BG38" s="114" t="s">
        <v>3553</v>
      </c>
      <c r="BH38" s="246">
        <v>958245</v>
      </c>
      <c r="BI38" s="64" t="s">
        <v>3551</v>
      </c>
      <c r="BJ38" s="229" t="s">
        <v>3552</v>
      </c>
    </row>
    <row r="39" spans="1:62" s="51" customFormat="1" ht="47.25">
      <c r="A39" s="50">
        <v>8</v>
      </c>
      <c r="B39" s="20" t="s">
        <v>146</v>
      </c>
      <c r="C39" s="52">
        <v>12545</v>
      </c>
      <c r="D39" s="382" t="s">
        <v>2652</v>
      </c>
      <c r="E39" s="220" t="s">
        <v>274</v>
      </c>
      <c r="F39" s="130" t="s">
        <v>3562</v>
      </c>
      <c r="G39" s="10"/>
      <c r="H39" s="131"/>
      <c r="I39" s="55">
        <v>2</v>
      </c>
      <c r="J39" s="196">
        <v>2</v>
      </c>
      <c r="K39" s="178"/>
      <c r="L39" s="52" t="s">
        <v>502</v>
      </c>
      <c r="M39" s="295" t="s">
        <v>51</v>
      </c>
      <c r="N39" s="298">
        <v>41637</v>
      </c>
      <c r="O39" s="158">
        <f t="shared" si="0"/>
        <v>41637</v>
      </c>
      <c r="P39" s="133" t="s">
        <v>3004</v>
      </c>
      <c r="Q39" s="292" t="s">
        <v>823</v>
      </c>
      <c r="R39" s="52" t="s">
        <v>505</v>
      </c>
      <c r="S39" s="295" t="s">
        <v>1867</v>
      </c>
      <c r="T39" s="79">
        <v>33215</v>
      </c>
      <c r="U39" s="64" t="s">
        <v>1864</v>
      </c>
      <c r="V39" s="64" t="s">
        <v>1862</v>
      </c>
      <c r="W39" s="64" t="s">
        <v>1866</v>
      </c>
      <c r="X39" s="64" t="s">
        <v>1865</v>
      </c>
      <c r="Y39" s="295" t="s">
        <v>2863</v>
      </c>
      <c r="Z39" s="295" t="s">
        <v>854</v>
      </c>
      <c r="AA39" s="64"/>
      <c r="AB39" s="295" t="s">
        <v>905</v>
      </c>
      <c r="AC39" s="64" t="s">
        <v>505</v>
      </c>
      <c r="AD39" s="305" t="s">
        <v>30</v>
      </c>
      <c r="AE39" s="305" t="s">
        <v>21</v>
      </c>
      <c r="AF39" s="295" t="s">
        <v>946</v>
      </c>
      <c r="AG39" s="364" t="s">
        <v>3074</v>
      </c>
      <c r="AH39" s="114"/>
      <c r="AI39" s="295" t="s">
        <v>928</v>
      </c>
      <c r="AJ39" s="64" t="s">
        <v>505</v>
      </c>
      <c r="AK39" s="302" t="s">
        <v>20</v>
      </c>
      <c r="AL39" s="302" t="s">
        <v>21</v>
      </c>
      <c r="AM39" s="295" t="s">
        <v>948</v>
      </c>
      <c r="AN39" s="364" t="s">
        <v>3334</v>
      </c>
      <c r="AO39" s="64"/>
      <c r="AP39" s="190" t="s">
        <v>1718</v>
      </c>
      <c r="AQ39" s="84"/>
      <c r="AR39" s="32"/>
      <c r="AS39" s="85"/>
      <c r="AT39" s="85"/>
      <c r="AU39" s="84"/>
      <c r="AV39" s="84"/>
      <c r="AW39" s="85"/>
      <c r="AX39" s="85"/>
      <c r="AY39" s="60"/>
      <c r="AZ39" s="95"/>
      <c r="BA39" s="60"/>
      <c r="BB39" s="60"/>
      <c r="BC39" s="60"/>
      <c r="BD39" s="60"/>
      <c r="BE39" s="75"/>
      <c r="BF39" s="64"/>
      <c r="BG39" s="114" t="s">
        <v>3553</v>
      </c>
      <c r="BH39" s="246">
        <v>958245</v>
      </c>
      <c r="BI39" s="64" t="s">
        <v>3551</v>
      </c>
      <c r="BJ39" s="229" t="s">
        <v>3552</v>
      </c>
    </row>
    <row r="40" spans="1:62" s="51" customFormat="1" ht="47.25">
      <c r="A40" s="50">
        <v>9</v>
      </c>
      <c r="B40" s="20" t="s">
        <v>146</v>
      </c>
      <c r="C40" s="164">
        <v>12550</v>
      </c>
      <c r="D40" s="293">
        <v>3140110625</v>
      </c>
      <c r="E40" s="220" t="s">
        <v>275</v>
      </c>
      <c r="F40" s="130" t="s">
        <v>3562</v>
      </c>
      <c r="G40" s="10"/>
      <c r="H40" s="263"/>
      <c r="I40" s="55">
        <v>3</v>
      </c>
      <c r="J40" s="196">
        <v>3</v>
      </c>
      <c r="K40" s="178"/>
      <c r="L40" s="52" t="s">
        <v>502</v>
      </c>
      <c r="M40" s="295" t="s">
        <v>820</v>
      </c>
      <c r="N40" s="299">
        <v>41685</v>
      </c>
      <c r="O40" s="158">
        <f t="shared" si="0"/>
        <v>41685</v>
      </c>
      <c r="P40" s="133" t="s">
        <v>3005</v>
      </c>
      <c r="Q40" s="292" t="s">
        <v>824</v>
      </c>
      <c r="R40" s="52" t="s">
        <v>505</v>
      </c>
      <c r="S40" s="295" t="s">
        <v>1868</v>
      </c>
      <c r="T40" s="79">
        <v>80363</v>
      </c>
      <c r="U40" s="64" t="s">
        <v>1863</v>
      </c>
      <c r="V40" s="64" t="s">
        <v>1869</v>
      </c>
      <c r="W40" s="64" t="s">
        <v>1870</v>
      </c>
      <c r="X40" s="64" t="s">
        <v>61</v>
      </c>
      <c r="Y40" s="295" t="s">
        <v>772</v>
      </c>
      <c r="Z40" s="295" t="s">
        <v>855</v>
      </c>
      <c r="AA40" s="64"/>
      <c r="AB40" s="295" t="s">
        <v>32</v>
      </c>
      <c r="AC40" s="64" t="s">
        <v>505</v>
      </c>
      <c r="AD40" s="305" t="s">
        <v>518</v>
      </c>
      <c r="AE40" s="305" t="s">
        <v>165</v>
      </c>
      <c r="AF40" s="295" t="s">
        <v>947</v>
      </c>
      <c r="AG40" s="364" t="s">
        <v>3075</v>
      </c>
      <c r="AH40" s="114"/>
      <c r="AI40" s="295" t="s">
        <v>929</v>
      </c>
      <c r="AJ40" s="64" t="s">
        <v>505</v>
      </c>
      <c r="AK40" s="302" t="s">
        <v>20</v>
      </c>
      <c r="AL40" s="302" t="s">
        <v>923</v>
      </c>
      <c r="AM40" s="295" t="s">
        <v>950</v>
      </c>
      <c r="AN40" s="364" t="s">
        <v>3335</v>
      </c>
      <c r="AO40" s="64"/>
      <c r="AP40" s="190" t="s">
        <v>1720</v>
      </c>
      <c r="AQ40" s="84"/>
      <c r="AR40" s="32"/>
      <c r="AS40" s="85"/>
      <c r="AT40" s="85"/>
      <c r="AU40" s="84"/>
      <c r="AV40" s="84"/>
      <c r="AW40" s="85"/>
      <c r="AX40" s="85"/>
      <c r="AY40" s="60"/>
      <c r="AZ40" s="95"/>
      <c r="BA40" s="60"/>
      <c r="BB40" s="60"/>
      <c r="BC40" s="60"/>
      <c r="BD40" s="101"/>
      <c r="BE40" s="75"/>
      <c r="BF40" s="64"/>
      <c r="BG40" s="114" t="s">
        <v>3553</v>
      </c>
      <c r="BH40" s="246">
        <v>958245</v>
      </c>
      <c r="BI40" s="64" t="s">
        <v>3551</v>
      </c>
      <c r="BJ40" s="229" t="s">
        <v>3552</v>
      </c>
    </row>
    <row r="41" spans="1:62" s="51" customFormat="1" ht="47.25">
      <c r="A41" s="50">
        <v>10</v>
      </c>
      <c r="B41" s="20" t="s">
        <v>146</v>
      </c>
      <c r="C41" s="164">
        <v>12552</v>
      </c>
      <c r="D41" s="382" t="s">
        <v>2653</v>
      </c>
      <c r="E41" s="220" t="s">
        <v>276</v>
      </c>
      <c r="F41" s="130" t="s">
        <v>3562</v>
      </c>
      <c r="G41" s="10"/>
      <c r="H41" s="131"/>
      <c r="I41" s="55">
        <v>2</v>
      </c>
      <c r="J41" s="196">
        <v>2</v>
      </c>
      <c r="K41" s="178"/>
      <c r="L41" s="52" t="s">
        <v>502</v>
      </c>
      <c r="M41" s="295" t="s">
        <v>42</v>
      </c>
      <c r="N41" s="298">
        <v>41511</v>
      </c>
      <c r="O41" s="158">
        <f t="shared" si="0"/>
        <v>41511</v>
      </c>
      <c r="P41" s="133" t="s">
        <v>3006</v>
      </c>
      <c r="Q41" s="292" t="s">
        <v>825</v>
      </c>
      <c r="R41" s="52" t="s">
        <v>505</v>
      </c>
      <c r="S41" s="295" t="s">
        <v>847</v>
      </c>
      <c r="T41" s="79">
        <v>15148</v>
      </c>
      <c r="U41" s="64" t="s">
        <v>1871</v>
      </c>
      <c r="V41" s="64" t="s">
        <v>1871</v>
      </c>
      <c r="W41" s="64" t="s">
        <v>1873</v>
      </c>
      <c r="X41" s="64" t="s">
        <v>43</v>
      </c>
      <c r="Y41" s="295" t="s">
        <v>125</v>
      </c>
      <c r="Z41" s="295" t="s">
        <v>856</v>
      </c>
      <c r="AA41" s="64"/>
      <c r="AB41" s="295" t="s">
        <v>906</v>
      </c>
      <c r="AC41" s="64" t="s">
        <v>505</v>
      </c>
      <c r="AD41" s="305" t="s">
        <v>20</v>
      </c>
      <c r="AE41" s="305" t="s">
        <v>165</v>
      </c>
      <c r="AF41" s="295" t="s">
        <v>950</v>
      </c>
      <c r="AG41" s="364" t="s">
        <v>3076</v>
      </c>
      <c r="AH41" s="206"/>
      <c r="AI41" s="295" t="s">
        <v>930</v>
      </c>
      <c r="AJ41" s="64" t="s">
        <v>505</v>
      </c>
      <c r="AK41" s="302" t="s">
        <v>20</v>
      </c>
      <c r="AL41" s="302" t="s">
        <v>21</v>
      </c>
      <c r="AM41" s="295" t="s">
        <v>946</v>
      </c>
      <c r="AN41" s="364" t="s">
        <v>3336</v>
      </c>
      <c r="AO41" s="194"/>
      <c r="AP41" s="190" t="s">
        <v>1723</v>
      </c>
      <c r="AQ41" s="84"/>
      <c r="AR41" s="32"/>
      <c r="AS41" s="85"/>
      <c r="AT41" s="85"/>
      <c r="AU41" s="84"/>
      <c r="AV41" s="32"/>
      <c r="AW41" s="85"/>
      <c r="AX41" s="85"/>
      <c r="AY41" s="60"/>
      <c r="AZ41" s="95"/>
      <c r="BA41" s="60"/>
      <c r="BB41" s="60"/>
      <c r="BC41" s="60"/>
      <c r="BD41" s="60"/>
      <c r="BE41" s="75"/>
      <c r="BF41" s="64"/>
      <c r="BG41" s="114" t="s">
        <v>3553</v>
      </c>
      <c r="BH41" s="246">
        <v>958245</v>
      </c>
      <c r="BI41" s="64" t="s">
        <v>3551</v>
      </c>
      <c r="BJ41" s="229" t="s">
        <v>3552</v>
      </c>
    </row>
    <row r="42" spans="1:62" s="51" customFormat="1" ht="52.5" customHeight="1">
      <c r="A42" s="50">
        <v>11</v>
      </c>
      <c r="B42" s="20" t="s">
        <v>146</v>
      </c>
      <c r="C42" s="164">
        <v>12554</v>
      </c>
      <c r="D42" s="382" t="s">
        <v>2654</v>
      </c>
      <c r="E42" s="220" t="s">
        <v>277</v>
      </c>
      <c r="F42" s="130" t="s">
        <v>3562</v>
      </c>
      <c r="G42" s="10"/>
      <c r="H42" s="131"/>
      <c r="I42" s="55">
        <v>1</v>
      </c>
      <c r="J42" s="196">
        <v>1</v>
      </c>
      <c r="K42" s="178"/>
      <c r="L42" s="52" t="s">
        <v>502</v>
      </c>
      <c r="M42" s="295" t="s">
        <v>33</v>
      </c>
      <c r="N42" s="298">
        <v>41616</v>
      </c>
      <c r="O42" s="158">
        <f t="shared" si="0"/>
        <v>41616</v>
      </c>
      <c r="P42" s="133" t="s">
        <v>3007</v>
      </c>
      <c r="Q42" s="292" t="s">
        <v>826</v>
      </c>
      <c r="R42" s="52" t="s">
        <v>505</v>
      </c>
      <c r="S42" s="295" t="s">
        <v>848</v>
      </c>
      <c r="T42" s="79">
        <v>51182</v>
      </c>
      <c r="U42" s="64" t="s">
        <v>1874</v>
      </c>
      <c r="V42" s="64" t="s">
        <v>109</v>
      </c>
      <c r="W42" s="64" t="s">
        <v>33</v>
      </c>
      <c r="X42" s="64" t="s">
        <v>29</v>
      </c>
      <c r="Y42" s="295" t="s">
        <v>773</v>
      </c>
      <c r="Z42" s="295" t="s">
        <v>857</v>
      </c>
      <c r="AA42" s="64"/>
      <c r="AB42" s="295" t="s">
        <v>1724</v>
      </c>
      <c r="AC42" s="64" t="s">
        <v>505</v>
      </c>
      <c r="AD42" s="305" t="s">
        <v>20</v>
      </c>
      <c r="AE42" s="305" t="s">
        <v>166</v>
      </c>
      <c r="AF42" s="295" t="s">
        <v>948</v>
      </c>
      <c r="AG42" s="364" t="s">
        <v>3077</v>
      </c>
      <c r="AH42" s="206"/>
      <c r="AI42" s="295" t="s">
        <v>1725</v>
      </c>
      <c r="AJ42" s="64" t="s">
        <v>505</v>
      </c>
      <c r="AK42" s="302" t="s">
        <v>20</v>
      </c>
      <c r="AL42" s="302" t="s">
        <v>166</v>
      </c>
      <c r="AM42" s="295" t="s">
        <v>949</v>
      </c>
      <c r="AN42" s="364" t="s">
        <v>3337</v>
      </c>
      <c r="AO42" s="64"/>
      <c r="AP42" s="190" t="s">
        <v>1726</v>
      </c>
      <c r="AQ42" s="84"/>
      <c r="AR42" s="32"/>
      <c r="AS42" s="85"/>
      <c r="AT42" s="85"/>
      <c r="AU42" s="84"/>
      <c r="AV42" s="84"/>
      <c r="AW42" s="85"/>
      <c r="AX42" s="85"/>
      <c r="AY42" s="60"/>
      <c r="AZ42" s="95"/>
      <c r="BA42" s="60"/>
      <c r="BB42" s="60"/>
      <c r="BC42" s="60"/>
      <c r="BD42" s="60"/>
      <c r="BE42" s="75"/>
      <c r="BF42" s="64"/>
      <c r="BG42" s="114" t="s">
        <v>3553</v>
      </c>
      <c r="BH42" s="246">
        <v>958245</v>
      </c>
      <c r="BI42" s="64" t="s">
        <v>3551</v>
      </c>
      <c r="BJ42" s="229" t="s">
        <v>3552</v>
      </c>
    </row>
    <row r="43" spans="1:62" s="51" customFormat="1" ht="52.5" customHeight="1">
      <c r="A43" s="50">
        <v>12</v>
      </c>
      <c r="B43" s="20" t="s">
        <v>146</v>
      </c>
      <c r="C43" s="52">
        <v>12561</v>
      </c>
      <c r="D43" s="382" t="s">
        <v>2655</v>
      </c>
      <c r="E43" s="220" t="s">
        <v>278</v>
      </c>
      <c r="F43" s="130" t="s">
        <v>3562</v>
      </c>
      <c r="G43" s="10"/>
      <c r="H43" s="131"/>
      <c r="I43" s="55">
        <v>1</v>
      </c>
      <c r="J43" s="196">
        <v>0</v>
      </c>
      <c r="K43" s="178"/>
      <c r="L43" s="52" t="s">
        <v>502</v>
      </c>
      <c r="M43" s="295" t="s">
        <v>19</v>
      </c>
      <c r="N43" s="299">
        <v>41341</v>
      </c>
      <c r="O43" s="158">
        <f t="shared" si="0"/>
        <v>41341</v>
      </c>
      <c r="P43" s="133" t="s">
        <v>3008</v>
      </c>
      <c r="Q43" s="292" t="s">
        <v>827</v>
      </c>
      <c r="R43" s="52" t="s">
        <v>505</v>
      </c>
      <c r="S43" s="295" t="s">
        <v>1875</v>
      </c>
      <c r="T43" s="79">
        <v>55198</v>
      </c>
      <c r="U43" s="64" t="s">
        <v>733</v>
      </c>
      <c r="V43" s="64" t="s">
        <v>733</v>
      </c>
      <c r="W43" s="64" t="s">
        <v>19</v>
      </c>
      <c r="X43" s="64" t="s">
        <v>696</v>
      </c>
      <c r="Y43" s="295" t="s">
        <v>774</v>
      </c>
      <c r="Z43" s="295" t="s">
        <v>858</v>
      </c>
      <c r="AA43" s="64"/>
      <c r="AB43" s="295" t="s">
        <v>907</v>
      </c>
      <c r="AC43" s="64" t="s">
        <v>505</v>
      </c>
      <c r="AD43" s="305" t="s">
        <v>518</v>
      </c>
      <c r="AE43" s="305" t="s">
        <v>165</v>
      </c>
      <c r="AF43" s="295" t="s">
        <v>948</v>
      </c>
      <c r="AG43" s="364" t="s">
        <v>3078</v>
      </c>
      <c r="AH43" s="114"/>
      <c r="AI43" s="295" t="s">
        <v>931</v>
      </c>
      <c r="AJ43" s="64" t="s">
        <v>505</v>
      </c>
      <c r="AK43" s="302" t="s">
        <v>563</v>
      </c>
      <c r="AL43" s="302" t="s">
        <v>520</v>
      </c>
      <c r="AM43" s="295" t="s">
        <v>951</v>
      </c>
      <c r="AN43" s="364" t="s">
        <v>3338</v>
      </c>
      <c r="AO43" s="64"/>
      <c r="AP43" s="190" t="s">
        <v>1727</v>
      </c>
      <c r="AQ43" s="84"/>
      <c r="AR43" s="32"/>
      <c r="AS43" s="85"/>
      <c r="AT43" s="85"/>
      <c r="AU43" s="84"/>
      <c r="AV43" s="84"/>
      <c r="AW43" s="85"/>
      <c r="AX43" s="85"/>
      <c r="AY43" s="60"/>
      <c r="AZ43" s="95"/>
      <c r="BA43" s="60"/>
      <c r="BB43" s="60"/>
      <c r="BC43" s="60"/>
      <c r="BD43" s="60"/>
      <c r="BE43" s="75"/>
      <c r="BF43" s="64"/>
      <c r="BG43" s="114" t="s">
        <v>3553</v>
      </c>
      <c r="BH43" s="246">
        <v>958245</v>
      </c>
      <c r="BI43" s="64" t="s">
        <v>3551</v>
      </c>
      <c r="BJ43" s="229" t="s">
        <v>3552</v>
      </c>
    </row>
    <row r="44" spans="1:62" s="51" customFormat="1" ht="52.5" customHeight="1">
      <c r="A44" s="50">
        <v>13</v>
      </c>
      <c r="B44" s="20" t="s">
        <v>146</v>
      </c>
      <c r="C44" s="164">
        <v>12572</v>
      </c>
      <c r="D44" s="382" t="s">
        <v>2656</v>
      </c>
      <c r="E44" s="220" t="s">
        <v>279</v>
      </c>
      <c r="F44" s="130" t="s">
        <v>3562</v>
      </c>
      <c r="G44" s="10"/>
      <c r="H44" s="131"/>
      <c r="I44" s="55">
        <v>1</v>
      </c>
      <c r="J44" s="196">
        <v>1</v>
      </c>
      <c r="K44" s="178"/>
      <c r="L44" s="52" t="s">
        <v>502</v>
      </c>
      <c r="M44" s="295" t="s">
        <v>110</v>
      </c>
      <c r="N44" s="298">
        <v>41598</v>
      </c>
      <c r="O44" s="158">
        <f t="shared" si="0"/>
        <v>41598</v>
      </c>
      <c r="P44" s="133" t="s">
        <v>3009</v>
      </c>
      <c r="Q44" s="292" t="s">
        <v>828</v>
      </c>
      <c r="R44" s="52" t="s">
        <v>505</v>
      </c>
      <c r="S44" s="295" t="s">
        <v>2610</v>
      </c>
      <c r="T44" s="79">
        <v>57352</v>
      </c>
      <c r="U44" s="64" t="s">
        <v>1876</v>
      </c>
      <c r="V44" s="64" t="s">
        <v>1872</v>
      </c>
      <c r="W44" s="64" t="s">
        <v>110</v>
      </c>
      <c r="X44" s="64" t="s">
        <v>29</v>
      </c>
      <c r="Y44" s="295" t="s">
        <v>775</v>
      </c>
      <c r="Z44" s="295" t="s">
        <v>859</v>
      </c>
      <c r="AA44" s="64"/>
      <c r="AB44" s="304" t="s">
        <v>908</v>
      </c>
      <c r="AC44" s="64" t="s">
        <v>505</v>
      </c>
      <c r="AD44" s="305" t="s">
        <v>518</v>
      </c>
      <c r="AE44" s="305" t="s">
        <v>511</v>
      </c>
      <c r="AF44" s="295" t="s">
        <v>947</v>
      </c>
      <c r="AG44" s="364" t="s">
        <v>3079</v>
      </c>
      <c r="AH44" s="206"/>
      <c r="AI44" s="295" t="s">
        <v>932</v>
      </c>
      <c r="AJ44" s="64" t="s">
        <v>505</v>
      </c>
      <c r="AK44" s="302" t="s">
        <v>563</v>
      </c>
      <c r="AL44" s="302" t="s">
        <v>520</v>
      </c>
      <c r="AM44" s="295" t="s">
        <v>948</v>
      </c>
      <c r="AN44" s="364" t="s">
        <v>3339</v>
      </c>
      <c r="AO44" s="64"/>
      <c r="AP44" s="190" t="s">
        <v>1728</v>
      </c>
      <c r="AQ44" s="84"/>
      <c r="AR44" s="32"/>
      <c r="AS44" s="85"/>
      <c r="AT44" s="85"/>
      <c r="AU44" s="84"/>
      <c r="AV44" s="84"/>
      <c r="AW44" s="85"/>
      <c r="AX44" s="85"/>
      <c r="AY44" s="60"/>
      <c r="AZ44" s="95"/>
      <c r="BA44" s="60"/>
      <c r="BB44" s="60"/>
      <c r="BC44" s="60"/>
      <c r="BD44" s="60"/>
      <c r="BE44" s="75"/>
      <c r="BF44" s="64"/>
      <c r="BG44" s="114" t="s">
        <v>3553</v>
      </c>
      <c r="BH44" s="246">
        <v>958245</v>
      </c>
      <c r="BI44" s="64" t="s">
        <v>3551</v>
      </c>
      <c r="BJ44" s="229" t="s">
        <v>3552</v>
      </c>
    </row>
    <row r="45" spans="1:62" s="51" customFormat="1" ht="52.5" customHeight="1">
      <c r="A45" s="50">
        <v>14</v>
      </c>
      <c r="B45" s="20" t="s">
        <v>146</v>
      </c>
      <c r="C45" s="52">
        <v>12577</v>
      </c>
      <c r="D45" s="382" t="s">
        <v>2657</v>
      </c>
      <c r="E45" s="220" t="s">
        <v>280</v>
      </c>
      <c r="F45" s="130" t="s">
        <v>3562</v>
      </c>
      <c r="G45" s="10"/>
      <c r="H45" s="131"/>
      <c r="I45" s="55">
        <v>2</v>
      </c>
      <c r="J45" s="196">
        <v>2</v>
      </c>
      <c r="K45" s="178"/>
      <c r="L45" s="52" t="s">
        <v>502</v>
      </c>
      <c r="M45" s="295" t="s">
        <v>33</v>
      </c>
      <c r="N45" s="299">
        <v>41537</v>
      </c>
      <c r="O45" s="158">
        <f t="shared" si="0"/>
        <v>41537</v>
      </c>
      <c r="P45" s="133" t="s">
        <v>3010</v>
      </c>
      <c r="Q45" s="292" t="s">
        <v>829</v>
      </c>
      <c r="R45" s="52" t="s">
        <v>505</v>
      </c>
      <c r="S45" s="295" t="s">
        <v>2609</v>
      </c>
      <c r="T45" s="79">
        <v>51182</v>
      </c>
      <c r="U45" s="64" t="s">
        <v>1877</v>
      </c>
      <c r="V45" s="64" t="s">
        <v>109</v>
      </c>
      <c r="W45" s="64" t="s">
        <v>33</v>
      </c>
      <c r="X45" s="64" t="s">
        <v>29</v>
      </c>
      <c r="Y45" s="295" t="s">
        <v>2864</v>
      </c>
      <c r="Z45" s="295" t="s">
        <v>860</v>
      </c>
      <c r="AA45" s="64"/>
      <c r="AB45" s="295" t="s">
        <v>2918</v>
      </c>
      <c r="AC45" s="64" t="s">
        <v>505</v>
      </c>
      <c r="AD45" s="305" t="s">
        <v>30</v>
      </c>
      <c r="AE45" s="305" t="s">
        <v>21</v>
      </c>
      <c r="AF45" s="295" t="s">
        <v>948</v>
      </c>
      <c r="AG45" s="364" t="s">
        <v>3080</v>
      </c>
      <c r="AH45" s="205"/>
      <c r="AI45" s="295" t="s">
        <v>2960</v>
      </c>
      <c r="AJ45" s="64" t="s">
        <v>505</v>
      </c>
      <c r="AK45" s="302" t="s">
        <v>20</v>
      </c>
      <c r="AL45" s="302" t="s">
        <v>21</v>
      </c>
      <c r="AM45" s="295" t="s">
        <v>948</v>
      </c>
      <c r="AN45" s="364" t="s">
        <v>3340</v>
      </c>
      <c r="AO45" s="64"/>
      <c r="AP45" s="190" t="s">
        <v>1729</v>
      </c>
      <c r="AQ45" s="84"/>
      <c r="AR45" s="32"/>
      <c r="AS45" s="85"/>
      <c r="AT45" s="85"/>
      <c r="AU45" s="84"/>
      <c r="AV45" s="84"/>
      <c r="AW45" s="85"/>
      <c r="AX45" s="85"/>
      <c r="AY45" s="60"/>
      <c r="AZ45" s="95"/>
      <c r="BA45" s="60"/>
      <c r="BB45" s="60"/>
      <c r="BC45" s="60"/>
      <c r="BD45" s="60"/>
      <c r="BE45" s="75"/>
      <c r="BF45" s="64"/>
      <c r="BG45" s="114" t="s">
        <v>3553</v>
      </c>
      <c r="BH45" s="246">
        <v>958245</v>
      </c>
      <c r="BI45" s="64" t="s">
        <v>3551</v>
      </c>
      <c r="BJ45" s="229" t="s">
        <v>3552</v>
      </c>
    </row>
    <row r="46" spans="1:62" s="51" customFormat="1" ht="52.5" customHeight="1">
      <c r="A46" s="50">
        <v>15</v>
      </c>
      <c r="B46" s="20" t="s">
        <v>146</v>
      </c>
      <c r="C46" s="52">
        <v>12588</v>
      </c>
      <c r="D46" s="382" t="s">
        <v>2658</v>
      </c>
      <c r="E46" s="220" t="s">
        <v>281</v>
      </c>
      <c r="F46" s="130" t="s">
        <v>3562</v>
      </c>
      <c r="G46" s="10"/>
      <c r="H46" s="131"/>
      <c r="I46" s="55">
        <v>1</v>
      </c>
      <c r="J46" s="196">
        <v>1</v>
      </c>
      <c r="K46" s="178"/>
      <c r="L46" s="52" t="s">
        <v>502</v>
      </c>
      <c r="M46" s="295" t="s">
        <v>55</v>
      </c>
      <c r="N46" s="299">
        <v>41665</v>
      </c>
      <c r="O46" s="158">
        <f t="shared" si="0"/>
        <v>41665</v>
      </c>
      <c r="P46" s="133" t="s">
        <v>3011</v>
      </c>
      <c r="Q46" s="292" t="s">
        <v>830</v>
      </c>
      <c r="R46" s="52" t="s">
        <v>505</v>
      </c>
      <c r="S46" s="295" t="s">
        <v>1752</v>
      </c>
      <c r="T46" s="79">
        <v>56371</v>
      </c>
      <c r="U46" s="64" t="s">
        <v>1878</v>
      </c>
      <c r="V46" s="64" t="s">
        <v>1878</v>
      </c>
      <c r="W46" s="64" t="s">
        <v>55</v>
      </c>
      <c r="X46" s="64" t="s">
        <v>29</v>
      </c>
      <c r="Y46" s="295" t="s">
        <v>112</v>
      </c>
      <c r="Z46" s="295" t="s">
        <v>861</v>
      </c>
      <c r="AA46" s="64"/>
      <c r="AB46" s="295" t="s">
        <v>909</v>
      </c>
      <c r="AC46" s="64" t="s">
        <v>505</v>
      </c>
      <c r="AD46" s="305" t="s">
        <v>20</v>
      </c>
      <c r="AE46" s="305" t="s">
        <v>165</v>
      </c>
      <c r="AF46" s="295" t="s">
        <v>948</v>
      </c>
      <c r="AG46" s="364" t="s">
        <v>3081</v>
      </c>
      <c r="AH46" s="114"/>
      <c r="AI46" s="295" t="s">
        <v>933</v>
      </c>
      <c r="AJ46" s="64" t="s">
        <v>505</v>
      </c>
      <c r="AK46" s="302" t="s">
        <v>20</v>
      </c>
      <c r="AL46" s="302" t="s">
        <v>166</v>
      </c>
      <c r="AM46" s="295" t="s">
        <v>948</v>
      </c>
      <c r="AN46" s="364" t="s">
        <v>3341</v>
      </c>
      <c r="AO46" s="64"/>
      <c r="AP46" s="191" t="s">
        <v>1730</v>
      </c>
      <c r="AQ46" s="112"/>
      <c r="AR46" s="110"/>
      <c r="AS46" s="111"/>
      <c r="AT46" s="111"/>
      <c r="AU46" s="112"/>
      <c r="AV46" s="112"/>
      <c r="AW46" s="111"/>
      <c r="AX46" s="85"/>
      <c r="AY46" s="60"/>
      <c r="AZ46" s="95"/>
      <c r="BA46" s="60"/>
      <c r="BB46" s="60"/>
      <c r="BC46" s="60"/>
      <c r="BD46" s="60"/>
      <c r="BE46" s="75"/>
      <c r="BF46" s="64"/>
      <c r="BG46" s="114" t="s">
        <v>3553</v>
      </c>
      <c r="BH46" s="246">
        <v>958245</v>
      </c>
      <c r="BI46" s="64" t="s">
        <v>3551</v>
      </c>
      <c r="BJ46" s="229" t="s">
        <v>3552</v>
      </c>
    </row>
    <row r="47" spans="1:62" s="51" customFormat="1" ht="61.5" customHeight="1">
      <c r="A47" s="50">
        <v>16</v>
      </c>
      <c r="B47" s="20" t="s">
        <v>146</v>
      </c>
      <c r="C47" s="52">
        <v>12593</v>
      </c>
      <c r="D47" s="382" t="s">
        <v>2659</v>
      </c>
      <c r="E47" s="220" t="s">
        <v>282</v>
      </c>
      <c r="F47" s="130" t="s">
        <v>3562</v>
      </c>
      <c r="G47" s="10"/>
      <c r="H47" s="131"/>
      <c r="I47" s="55">
        <v>2</v>
      </c>
      <c r="J47" s="196">
        <v>2</v>
      </c>
      <c r="K47" s="178"/>
      <c r="L47" s="52" t="s">
        <v>502</v>
      </c>
      <c r="M47" s="295" t="s">
        <v>27</v>
      </c>
      <c r="N47" s="299">
        <v>41807</v>
      </c>
      <c r="O47" s="158">
        <f t="shared" si="0"/>
        <v>41807</v>
      </c>
      <c r="P47" s="133" t="s">
        <v>3012</v>
      </c>
      <c r="Q47" s="292" t="s">
        <v>831</v>
      </c>
      <c r="R47" s="52" t="s">
        <v>505</v>
      </c>
      <c r="S47" s="295" t="s">
        <v>849</v>
      </c>
      <c r="T47" s="79">
        <v>16425</v>
      </c>
      <c r="U47" s="64" t="s">
        <v>1879</v>
      </c>
      <c r="V47" s="64" t="s">
        <v>1881</v>
      </c>
      <c r="W47" s="64" t="s">
        <v>1882</v>
      </c>
      <c r="X47" s="64" t="s">
        <v>40</v>
      </c>
      <c r="Y47" s="295" t="s">
        <v>776</v>
      </c>
      <c r="Z47" s="295" t="s">
        <v>862</v>
      </c>
      <c r="AA47" s="64"/>
      <c r="AB47" s="295" t="s">
        <v>910</v>
      </c>
      <c r="AC47" s="64" t="s">
        <v>505</v>
      </c>
      <c r="AD47" s="305" t="s">
        <v>20</v>
      </c>
      <c r="AE47" s="305" t="s">
        <v>511</v>
      </c>
      <c r="AF47" s="295" t="s">
        <v>946</v>
      </c>
      <c r="AG47" s="364" t="s">
        <v>3082</v>
      </c>
      <c r="AH47" s="114"/>
      <c r="AI47" s="295" t="s">
        <v>934</v>
      </c>
      <c r="AJ47" s="64" t="s">
        <v>505</v>
      </c>
      <c r="AK47" s="302" t="s">
        <v>30</v>
      </c>
      <c r="AL47" s="302" t="s">
        <v>167</v>
      </c>
      <c r="AM47" s="295" t="s">
        <v>947</v>
      </c>
      <c r="AN47" s="364" t="s">
        <v>3342</v>
      </c>
      <c r="AO47" s="64"/>
      <c r="AP47" s="190" t="s">
        <v>1731</v>
      </c>
      <c r="AQ47" s="84"/>
      <c r="AR47" s="32"/>
      <c r="AS47" s="85"/>
      <c r="AT47" s="85"/>
      <c r="AU47" s="84"/>
      <c r="AV47" s="84"/>
      <c r="AW47" s="85"/>
      <c r="AX47" s="85"/>
      <c r="AY47" s="60"/>
      <c r="AZ47" s="95"/>
      <c r="BA47" s="60"/>
      <c r="BB47" s="60"/>
      <c r="BC47" s="60"/>
      <c r="BD47" s="60"/>
      <c r="BE47" s="75"/>
      <c r="BF47" s="64"/>
      <c r="BG47" s="114" t="s">
        <v>3553</v>
      </c>
      <c r="BH47" s="246">
        <v>958245</v>
      </c>
      <c r="BI47" s="64" t="s">
        <v>3551</v>
      </c>
      <c r="BJ47" s="229" t="s">
        <v>3552</v>
      </c>
    </row>
    <row r="48" spans="1:62" s="51" customFormat="1" ht="52.5" customHeight="1">
      <c r="A48" s="50">
        <v>17</v>
      </c>
      <c r="B48" s="20" t="s">
        <v>146</v>
      </c>
      <c r="C48" s="52">
        <v>12617</v>
      </c>
      <c r="D48" s="382" t="s">
        <v>2660</v>
      </c>
      <c r="E48" s="220" t="s">
        <v>283</v>
      </c>
      <c r="F48" s="130" t="s">
        <v>3562</v>
      </c>
      <c r="G48" s="10"/>
      <c r="H48" s="131"/>
      <c r="I48" s="55">
        <v>1</v>
      </c>
      <c r="J48" s="196">
        <v>1</v>
      </c>
      <c r="K48" s="178"/>
      <c r="L48" s="52" t="s">
        <v>502</v>
      </c>
      <c r="M48" s="295" t="s">
        <v>60</v>
      </c>
      <c r="N48" s="298">
        <v>41660</v>
      </c>
      <c r="O48" s="158">
        <f t="shared" si="0"/>
        <v>41660</v>
      </c>
      <c r="P48" s="133" t="s">
        <v>3013</v>
      </c>
      <c r="Q48" s="292" t="s">
        <v>832</v>
      </c>
      <c r="R48" s="52" t="s">
        <v>505</v>
      </c>
      <c r="S48" s="295" t="s">
        <v>1753</v>
      </c>
      <c r="T48" s="79">
        <v>80119</v>
      </c>
      <c r="U48" s="64" t="s">
        <v>1883</v>
      </c>
      <c r="V48" s="64" t="s">
        <v>527</v>
      </c>
      <c r="W48" s="64" t="s">
        <v>528</v>
      </c>
      <c r="X48" s="64" t="s">
        <v>61</v>
      </c>
      <c r="Y48" s="295" t="s">
        <v>62</v>
      </c>
      <c r="Z48" s="295" t="s">
        <v>863</v>
      </c>
      <c r="AA48" s="64"/>
      <c r="AB48" s="295" t="s">
        <v>911</v>
      </c>
      <c r="AC48" s="64" t="s">
        <v>505</v>
      </c>
      <c r="AD48" s="305" t="s">
        <v>20</v>
      </c>
      <c r="AE48" s="305" t="s">
        <v>165</v>
      </c>
      <c r="AF48" s="295" t="s">
        <v>946</v>
      </c>
      <c r="AG48" s="364" t="s">
        <v>3083</v>
      </c>
      <c r="AH48" s="114"/>
      <c r="AI48" s="295" t="s">
        <v>935</v>
      </c>
      <c r="AJ48" s="64" t="s">
        <v>505</v>
      </c>
      <c r="AK48" s="302" t="s">
        <v>20</v>
      </c>
      <c r="AL48" s="302" t="s">
        <v>166</v>
      </c>
      <c r="AM48" s="295" t="s">
        <v>949</v>
      </c>
      <c r="AN48" s="364" t="s">
        <v>3343</v>
      </c>
      <c r="AO48" s="64"/>
      <c r="AP48" s="190" t="s">
        <v>1732</v>
      </c>
      <c r="AQ48" s="41"/>
      <c r="AR48" s="102"/>
      <c r="AS48" s="90"/>
      <c r="AT48" s="85"/>
      <c r="AU48" s="84"/>
      <c r="AV48" s="102"/>
      <c r="AW48" s="85"/>
      <c r="AX48" s="85"/>
      <c r="AY48" s="60"/>
      <c r="AZ48" s="95"/>
      <c r="BA48" s="60"/>
      <c r="BB48" s="60"/>
      <c r="BC48" s="60"/>
      <c r="BD48" s="60"/>
      <c r="BE48" s="75"/>
      <c r="BF48" s="64"/>
      <c r="BG48" s="114" t="s">
        <v>3553</v>
      </c>
      <c r="BH48" s="246">
        <v>958245</v>
      </c>
      <c r="BI48" s="64" t="s">
        <v>3551</v>
      </c>
      <c r="BJ48" s="229" t="s">
        <v>3552</v>
      </c>
    </row>
    <row r="49" spans="1:62" s="51" customFormat="1" ht="52.5" customHeight="1">
      <c r="A49" s="50">
        <v>18</v>
      </c>
      <c r="B49" s="20" t="s">
        <v>146</v>
      </c>
      <c r="C49" s="52">
        <v>12624</v>
      </c>
      <c r="D49" s="382" t="s">
        <v>2661</v>
      </c>
      <c r="E49" s="220" t="s">
        <v>284</v>
      </c>
      <c r="F49" s="130" t="s">
        <v>3562</v>
      </c>
      <c r="G49" s="10"/>
      <c r="H49" s="131"/>
      <c r="I49" s="55">
        <v>2</v>
      </c>
      <c r="J49" s="196">
        <v>3</v>
      </c>
      <c r="K49" s="178"/>
      <c r="L49" s="52" t="s">
        <v>502</v>
      </c>
      <c r="M49" s="295" t="s">
        <v>108</v>
      </c>
      <c r="N49" s="298">
        <v>41777</v>
      </c>
      <c r="O49" s="158">
        <f t="shared" si="0"/>
        <v>41777</v>
      </c>
      <c r="P49" s="133" t="s">
        <v>3014</v>
      </c>
      <c r="Q49" s="292" t="s">
        <v>833</v>
      </c>
      <c r="R49" s="52" t="s">
        <v>505</v>
      </c>
      <c r="S49" s="295" t="s">
        <v>2611</v>
      </c>
      <c r="T49" s="79">
        <v>30119</v>
      </c>
      <c r="U49" s="64" t="s">
        <v>1884</v>
      </c>
      <c r="V49" s="64" t="s">
        <v>1880</v>
      </c>
      <c r="W49" s="64" t="s">
        <v>1885</v>
      </c>
      <c r="X49" s="64" t="s">
        <v>69</v>
      </c>
      <c r="Y49" s="295" t="s">
        <v>777</v>
      </c>
      <c r="Z49" s="295" t="s">
        <v>864</v>
      </c>
      <c r="AA49" s="64"/>
      <c r="AB49" s="295" t="s">
        <v>912</v>
      </c>
      <c r="AC49" s="64" t="s">
        <v>505</v>
      </c>
      <c r="AD49" s="305" t="s">
        <v>20</v>
      </c>
      <c r="AE49" s="305" t="s">
        <v>511</v>
      </c>
      <c r="AF49" s="295" t="s">
        <v>948</v>
      </c>
      <c r="AG49" s="364" t="s">
        <v>3084</v>
      </c>
      <c r="AH49" s="114"/>
      <c r="AI49" s="295" t="s">
        <v>936</v>
      </c>
      <c r="AJ49" s="64" t="s">
        <v>505</v>
      </c>
      <c r="AK49" s="302" t="s">
        <v>1733</v>
      </c>
      <c r="AL49" s="302" t="s">
        <v>1734</v>
      </c>
      <c r="AM49" s="295" t="s">
        <v>948</v>
      </c>
      <c r="AN49" s="364" t="s">
        <v>3344</v>
      </c>
      <c r="AO49" s="64"/>
      <c r="AP49" s="190" t="s">
        <v>1735</v>
      </c>
      <c r="AQ49" s="84"/>
      <c r="AR49" s="32"/>
      <c r="AS49" s="85"/>
      <c r="AT49" s="85"/>
      <c r="AU49" s="84"/>
      <c r="AV49" s="84"/>
      <c r="AW49" s="85"/>
      <c r="AX49" s="85"/>
      <c r="AY49" s="60"/>
      <c r="AZ49" s="95"/>
      <c r="BA49" s="60"/>
      <c r="BB49" s="60"/>
      <c r="BC49" s="60"/>
      <c r="BD49" s="60"/>
      <c r="BE49" s="75"/>
      <c r="BF49" s="64"/>
      <c r="BG49" s="114" t="s">
        <v>3553</v>
      </c>
      <c r="BH49" s="246">
        <v>958245</v>
      </c>
      <c r="BI49" s="64" t="s">
        <v>3551</v>
      </c>
      <c r="BJ49" s="229" t="s">
        <v>3552</v>
      </c>
    </row>
    <row r="50" spans="1:62" s="51" customFormat="1" ht="52.5" customHeight="1">
      <c r="A50" s="50">
        <v>19</v>
      </c>
      <c r="B50" s="20" t="s">
        <v>146</v>
      </c>
      <c r="C50" s="52">
        <v>12629</v>
      </c>
      <c r="D50" s="382" t="s">
        <v>2662</v>
      </c>
      <c r="E50" s="220" t="s">
        <v>285</v>
      </c>
      <c r="F50" s="130" t="s">
        <v>3562</v>
      </c>
      <c r="G50" s="10"/>
      <c r="H50" s="131"/>
      <c r="I50" s="55">
        <v>1</v>
      </c>
      <c r="J50" s="196">
        <v>1</v>
      </c>
      <c r="K50" s="52"/>
      <c r="L50" s="52" t="s">
        <v>502</v>
      </c>
      <c r="M50" s="295" t="s">
        <v>136</v>
      </c>
      <c r="N50" s="299">
        <v>41399</v>
      </c>
      <c r="O50" s="158">
        <f t="shared" si="0"/>
        <v>41399</v>
      </c>
      <c r="P50" s="133" t="s">
        <v>3015</v>
      </c>
      <c r="Q50" s="292" t="s">
        <v>834</v>
      </c>
      <c r="R50" s="52" t="s">
        <v>505</v>
      </c>
      <c r="S50" s="295" t="s">
        <v>850</v>
      </c>
      <c r="T50" s="79">
        <v>75512</v>
      </c>
      <c r="U50" s="64" t="s">
        <v>1886</v>
      </c>
      <c r="V50" s="64" t="s">
        <v>136</v>
      </c>
      <c r="W50" s="64" t="s">
        <v>1890</v>
      </c>
      <c r="X50" s="64" t="s">
        <v>1893</v>
      </c>
      <c r="Y50" s="295" t="s">
        <v>172</v>
      </c>
      <c r="Z50" s="295" t="s">
        <v>865</v>
      </c>
      <c r="AA50" s="64"/>
      <c r="AB50" s="295" t="s">
        <v>1736</v>
      </c>
      <c r="AC50" s="64" t="s">
        <v>505</v>
      </c>
      <c r="AD50" s="305" t="s">
        <v>22</v>
      </c>
      <c r="AE50" s="305" t="s">
        <v>511</v>
      </c>
      <c r="AF50" s="295" t="s">
        <v>946</v>
      </c>
      <c r="AG50" s="364" t="s">
        <v>3085</v>
      </c>
      <c r="AH50" s="114"/>
      <c r="AI50" s="295" t="s">
        <v>1737</v>
      </c>
      <c r="AJ50" s="64" t="s">
        <v>505</v>
      </c>
      <c r="AK50" s="302" t="s">
        <v>20</v>
      </c>
      <c r="AL50" s="302" t="s">
        <v>511</v>
      </c>
      <c r="AM50" s="295" t="s">
        <v>948</v>
      </c>
      <c r="AN50" s="364" t="s">
        <v>3345</v>
      </c>
      <c r="AO50" s="64"/>
      <c r="AP50" s="190" t="s">
        <v>1738</v>
      </c>
      <c r="AQ50" s="84"/>
      <c r="AR50" s="32"/>
      <c r="AS50" s="85"/>
      <c r="AT50" s="85"/>
      <c r="AU50" s="84"/>
      <c r="AV50" s="32"/>
      <c r="AW50" s="85"/>
      <c r="AX50" s="85"/>
      <c r="AY50" s="60"/>
      <c r="AZ50" s="95"/>
      <c r="BA50" s="60"/>
      <c r="BB50" s="60"/>
      <c r="BC50" s="60"/>
      <c r="BD50" s="60"/>
      <c r="BE50" s="75"/>
      <c r="BF50" s="64"/>
      <c r="BG50" s="114" t="s">
        <v>3553</v>
      </c>
      <c r="BH50" s="246">
        <v>958245</v>
      </c>
      <c r="BI50" s="64" t="s">
        <v>3551</v>
      </c>
      <c r="BJ50" s="229" t="s">
        <v>3552</v>
      </c>
    </row>
    <row r="51" spans="1:62" s="171" customFormat="1" ht="52.5" customHeight="1">
      <c r="A51" s="166">
        <v>20</v>
      </c>
      <c r="B51" s="20" t="s">
        <v>146</v>
      </c>
      <c r="C51" s="52">
        <v>12633</v>
      </c>
      <c r="D51" s="382" t="s">
        <v>2663</v>
      </c>
      <c r="E51" s="220" t="s">
        <v>286</v>
      </c>
      <c r="F51" s="130" t="s">
        <v>3562</v>
      </c>
      <c r="G51" s="10"/>
      <c r="H51" s="167"/>
      <c r="I51" s="168">
        <v>3</v>
      </c>
      <c r="J51" s="197">
        <v>3</v>
      </c>
      <c r="K51" s="178"/>
      <c r="L51" s="52" t="s">
        <v>502</v>
      </c>
      <c r="M51" s="295" t="s">
        <v>33</v>
      </c>
      <c r="N51" s="299">
        <v>41812</v>
      </c>
      <c r="O51" s="158">
        <f t="shared" si="0"/>
        <v>41812</v>
      </c>
      <c r="P51" s="133" t="s">
        <v>3016</v>
      </c>
      <c r="Q51" s="292" t="s">
        <v>835</v>
      </c>
      <c r="R51" s="52" t="s">
        <v>505</v>
      </c>
      <c r="S51" s="295" t="s">
        <v>1894</v>
      </c>
      <c r="T51" s="228">
        <v>51152</v>
      </c>
      <c r="U51" s="114" t="s">
        <v>1887</v>
      </c>
      <c r="V51" s="114" t="s">
        <v>1895</v>
      </c>
      <c r="W51" s="114" t="s">
        <v>33</v>
      </c>
      <c r="X51" s="114" t="s">
        <v>29</v>
      </c>
      <c r="Y51" s="295" t="s">
        <v>778</v>
      </c>
      <c r="Z51" s="295" t="s">
        <v>866</v>
      </c>
      <c r="AA51" s="114"/>
      <c r="AB51" s="295" t="s">
        <v>913</v>
      </c>
      <c r="AC51" s="64" t="s">
        <v>505</v>
      </c>
      <c r="AD51" s="305" t="s">
        <v>518</v>
      </c>
      <c r="AE51" s="305" t="s">
        <v>165</v>
      </c>
      <c r="AF51" s="295" t="s">
        <v>947</v>
      </c>
      <c r="AG51" s="364" t="s">
        <v>3086</v>
      </c>
      <c r="AH51" s="114"/>
      <c r="AI51" s="295" t="s">
        <v>1739</v>
      </c>
      <c r="AJ51" s="64" t="s">
        <v>505</v>
      </c>
      <c r="AK51" s="302" t="s">
        <v>518</v>
      </c>
      <c r="AL51" s="302" t="s">
        <v>520</v>
      </c>
      <c r="AM51" s="295" t="s">
        <v>947</v>
      </c>
      <c r="AN51" s="364" t="s">
        <v>3346</v>
      </c>
      <c r="AO51" s="114"/>
      <c r="AP51" s="191" t="s">
        <v>1740</v>
      </c>
      <c r="AQ51" s="112"/>
      <c r="AR51" s="110"/>
      <c r="AS51" s="111"/>
      <c r="AT51" s="111"/>
      <c r="AU51" s="112"/>
      <c r="AV51" s="112"/>
      <c r="AW51" s="111"/>
      <c r="AX51" s="111"/>
      <c r="AY51" s="109"/>
      <c r="AZ51" s="95"/>
      <c r="BA51" s="109"/>
      <c r="BB51" s="109"/>
      <c r="BC51" s="109"/>
      <c r="BD51" s="109"/>
      <c r="BE51" s="113"/>
      <c r="BF51" s="114"/>
      <c r="BG51" s="114" t="s">
        <v>3553</v>
      </c>
      <c r="BH51" s="246">
        <v>958245</v>
      </c>
      <c r="BI51" s="64" t="s">
        <v>3551</v>
      </c>
      <c r="BJ51" s="229" t="s">
        <v>3552</v>
      </c>
    </row>
    <row r="52" spans="1:62" s="51" customFormat="1" ht="52.5" customHeight="1">
      <c r="A52" s="50">
        <v>21</v>
      </c>
      <c r="B52" s="20" t="s">
        <v>146</v>
      </c>
      <c r="C52" s="52">
        <v>12634</v>
      </c>
      <c r="D52" s="382" t="s">
        <v>2664</v>
      </c>
      <c r="E52" s="220" t="s">
        <v>287</v>
      </c>
      <c r="F52" s="130" t="s">
        <v>3562</v>
      </c>
      <c r="G52" s="10"/>
      <c r="H52" s="263"/>
      <c r="I52" s="55">
        <v>2</v>
      </c>
      <c r="J52" s="196">
        <v>1</v>
      </c>
      <c r="K52" s="178"/>
      <c r="L52" s="52" t="s">
        <v>502</v>
      </c>
      <c r="M52" s="295" t="s">
        <v>27</v>
      </c>
      <c r="N52" s="299">
        <v>41522</v>
      </c>
      <c r="O52" s="158">
        <f t="shared" si="0"/>
        <v>41522</v>
      </c>
      <c r="P52" s="133" t="s">
        <v>3017</v>
      </c>
      <c r="Q52" s="292" t="s">
        <v>836</v>
      </c>
      <c r="R52" s="52" t="s">
        <v>505</v>
      </c>
      <c r="S52" s="295" t="s">
        <v>3034</v>
      </c>
      <c r="T52" s="79">
        <v>10650</v>
      </c>
      <c r="U52" s="64" t="s">
        <v>1888</v>
      </c>
      <c r="V52" s="64" t="s">
        <v>1898</v>
      </c>
      <c r="W52" s="64" t="s">
        <v>1900</v>
      </c>
      <c r="X52" s="64" t="s">
        <v>65</v>
      </c>
      <c r="Y52" s="295" t="s">
        <v>779</v>
      </c>
      <c r="Z52" s="295" t="s">
        <v>867</v>
      </c>
      <c r="AA52" s="64"/>
      <c r="AB52" s="295" t="s">
        <v>1741</v>
      </c>
      <c r="AC52" s="64" t="s">
        <v>505</v>
      </c>
      <c r="AD52" s="305" t="s">
        <v>20</v>
      </c>
      <c r="AE52" s="305" t="s">
        <v>511</v>
      </c>
      <c r="AF52" s="295" t="s">
        <v>946</v>
      </c>
      <c r="AG52" s="364" t="s">
        <v>3087</v>
      </c>
      <c r="AH52" s="114"/>
      <c r="AI52" s="295" t="s">
        <v>937</v>
      </c>
      <c r="AJ52" s="64" t="s">
        <v>505</v>
      </c>
      <c r="AK52" s="302" t="s">
        <v>20</v>
      </c>
      <c r="AL52" s="302" t="s">
        <v>924</v>
      </c>
      <c r="AM52" s="295" t="s">
        <v>946</v>
      </c>
      <c r="AN52" s="364" t="s">
        <v>3347</v>
      </c>
      <c r="AO52" s="64"/>
      <c r="AP52" s="190" t="s">
        <v>1742</v>
      </c>
      <c r="AQ52" s="84"/>
      <c r="AR52" s="32"/>
      <c r="AS52" s="85"/>
      <c r="AT52" s="85"/>
      <c r="AU52" s="84"/>
      <c r="AV52" s="84"/>
      <c r="AW52" s="85"/>
      <c r="AX52" s="85"/>
      <c r="AY52" s="60"/>
      <c r="AZ52" s="95"/>
      <c r="BA52" s="60"/>
      <c r="BB52" s="60"/>
      <c r="BC52" s="60"/>
      <c r="BD52" s="60"/>
      <c r="BE52" s="75"/>
      <c r="BF52" s="64"/>
      <c r="BG52" s="114" t="s">
        <v>3553</v>
      </c>
      <c r="BH52" s="246">
        <v>958245</v>
      </c>
      <c r="BI52" s="64" t="s">
        <v>3551</v>
      </c>
      <c r="BJ52" s="229" t="s">
        <v>3552</v>
      </c>
    </row>
    <row r="53" spans="1:62" s="51" customFormat="1" ht="52.5" customHeight="1">
      <c r="A53" s="50">
        <v>22</v>
      </c>
      <c r="B53" s="20" t="s">
        <v>146</v>
      </c>
      <c r="C53" s="164">
        <v>12635</v>
      </c>
      <c r="D53" s="382" t="s">
        <v>2665</v>
      </c>
      <c r="E53" s="220" t="s">
        <v>288</v>
      </c>
      <c r="F53" s="130" t="s">
        <v>3562</v>
      </c>
      <c r="G53" s="10"/>
      <c r="H53" s="263"/>
      <c r="I53" s="55">
        <v>2</v>
      </c>
      <c r="J53" s="196">
        <v>2</v>
      </c>
      <c r="K53" s="178"/>
      <c r="L53" s="52" t="s">
        <v>502</v>
      </c>
      <c r="M53" s="295" t="s">
        <v>63</v>
      </c>
      <c r="N53" s="299">
        <v>41645</v>
      </c>
      <c r="O53" s="158">
        <f t="shared" si="0"/>
        <v>41645</v>
      </c>
      <c r="P53" s="133" t="s">
        <v>3018</v>
      </c>
      <c r="Q53" s="292" t="s">
        <v>837</v>
      </c>
      <c r="R53" s="52" t="s">
        <v>505</v>
      </c>
      <c r="S53" s="295" t="s">
        <v>851</v>
      </c>
      <c r="T53" s="79">
        <v>53457</v>
      </c>
      <c r="U53" s="64" t="s">
        <v>1889</v>
      </c>
      <c r="V53" s="64" t="s">
        <v>1889</v>
      </c>
      <c r="W53" s="64" t="s">
        <v>63</v>
      </c>
      <c r="X53" s="64" t="s">
        <v>29</v>
      </c>
      <c r="Y53" s="295" t="s">
        <v>868</v>
      </c>
      <c r="Z53" s="295" t="s">
        <v>780</v>
      </c>
      <c r="AA53" s="64"/>
      <c r="AB53" s="295" t="s">
        <v>914</v>
      </c>
      <c r="AC53" s="64" t="s">
        <v>505</v>
      </c>
      <c r="AD53" s="305" t="s">
        <v>518</v>
      </c>
      <c r="AE53" s="305" t="s">
        <v>511</v>
      </c>
      <c r="AF53" s="295" t="s">
        <v>948</v>
      </c>
      <c r="AG53" s="364" t="s">
        <v>3088</v>
      </c>
      <c r="AH53" s="114"/>
      <c r="AI53" s="295" t="s">
        <v>938</v>
      </c>
      <c r="AJ53" s="64" t="s">
        <v>505</v>
      </c>
      <c r="AK53" s="302" t="s">
        <v>518</v>
      </c>
      <c r="AL53" s="302" t="s">
        <v>21</v>
      </c>
      <c r="AM53" s="295" t="s">
        <v>946</v>
      </c>
      <c r="AN53" s="364" t="s">
        <v>3348</v>
      </c>
      <c r="AO53" s="64"/>
      <c r="AP53" s="190" t="s">
        <v>1743</v>
      </c>
      <c r="AQ53" s="84"/>
      <c r="AR53" s="32"/>
      <c r="AS53" s="85"/>
      <c r="AT53" s="85"/>
      <c r="AU53" s="84"/>
      <c r="AV53" s="84"/>
      <c r="AW53" s="85"/>
      <c r="AX53" s="85"/>
      <c r="AY53" s="60"/>
      <c r="AZ53" s="95"/>
      <c r="BA53" s="60"/>
      <c r="BB53" s="60"/>
      <c r="BC53" s="60"/>
      <c r="BD53" s="60"/>
      <c r="BE53" s="75"/>
      <c r="BF53" s="64"/>
      <c r="BG53" s="114" t="s">
        <v>3553</v>
      </c>
      <c r="BH53" s="246">
        <v>958245</v>
      </c>
      <c r="BI53" s="64" t="s">
        <v>3551</v>
      </c>
      <c r="BJ53" s="229" t="s">
        <v>3552</v>
      </c>
    </row>
    <row r="54" spans="1:62" s="51" customFormat="1" ht="52.5" customHeight="1">
      <c r="A54" s="50">
        <v>23</v>
      </c>
      <c r="B54" s="20" t="s">
        <v>146</v>
      </c>
      <c r="C54" s="52">
        <v>12669</v>
      </c>
      <c r="D54" s="382" t="s">
        <v>2666</v>
      </c>
      <c r="E54" s="220" t="s">
        <v>289</v>
      </c>
      <c r="F54" s="130" t="s">
        <v>3562</v>
      </c>
      <c r="G54" s="10"/>
      <c r="H54" s="263"/>
      <c r="I54" s="55">
        <v>1</v>
      </c>
      <c r="J54" s="196">
        <v>2</v>
      </c>
      <c r="K54" s="178"/>
      <c r="L54" s="52" t="s">
        <v>502</v>
      </c>
      <c r="M54" s="295" t="s">
        <v>821</v>
      </c>
      <c r="N54" s="299">
        <v>41593</v>
      </c>
      <c r="O54" s="158">
        <f t="shared" si="0"/>
        <v>41593</v>
      </c>
      <c r="P54" s="133" t="s">
        <v>3019</v>
      </c>
      <c r="Q54" s="292" t="s">
        <v>838</v>
      </c>
      <c r="R54" s="52" t="s">
        <v>505</v>
      </c>
      <c r="S54" s="295" t="s">
        <v>1744</v>
      </c>
      <c r="T54" s="79">
        <v>93116</v>
      </c>
      <c r="U54" s="64" t="s">
        <v>1899</v>
      </c>
      <c r="V54" s="64" t="s">
        <v>1899</v>
      </c>
      <c r="W54" s="64" t="s">
        <v>1891</v>
      </c>
      <c r="X54" s="64" t="s">
        <v>1901</v>
      </c>
      <c r="Y54" s="295" t="s">
        <v>781</v>
      </c>
      <c r="Z54" s="295" t="s">
        <v>869</v>
      </c>
      <c r="AA54" s="64"/>
      <c r="AB54" s="295" t="s">
        <v>1745</v>
      </c>
      <c r="AC54" s="64" t="s">
        <v>505</v>
      </c>
      <c r="AD54" s="305" t="s">
        <v>30</v>
      </c>
      <c r="AE54" s="305" t="s">
        <v>165</v>
      </c>
      <c r="AF54" s="295" t="s">
        <v>946</v>
      </c>
      <c r="AG54" s="364" t="s">
        <v>3089</v>
      </c>
      <c r="AH54" s="114"/>
      <c r="AI54" s="295" t="s">
        <v>1746</v>
      </c>
      <c r="AJ54" s="64" t="s">
        <v>505</v>
      </c>
      <c r="AK54" s="302" t="s">
        <v>20</v>
      </c>
      <c r="AL54" s="302" t="s">
        <v>165</v>
      </c>
      <c r="AM54" s="295" t="s">
        <v>946</v>
      </c>
      <c r="AN54" s="364" t="s">
        <v>3349</v>
      </c>
      <c r="AO54" s="64"/>
      <c r="AP54" s="190" t="s">
        <v>1747</v>
      </c>
      <c r="AQ54" s="84"/>
      <c r="AR54" s="32"/>
      <c r="AS54" s="85"/>
      <c r="AT54" s="85"/>
      <c r="AU54" s="84"/>
      <c r="AV54" s="84"/>
      <c r="AW54" s="85"/>
      <c r="AX54" s="85"/>
      <c r="AY54" s="60"/>
      <c r="AZ54" s="95"/>
      <c r="BA54" s="60"/>
      <c r="BB54" s="60"/>
      <c r="BC54" s="60"/>
      <c r="BD54" s="60"/>
      <c r="BE54" s="75"/>
      <c r="BF54" s="64"/>
      <c r="BG54" s="114" t="s">
        <v>3553</v>
      </c>
      <c r="BH54" s="246">
        <v>958245</v>
      </c>
      <c r="BI54" s="64" t="s">
        <v>3551</v>
      </c>
      <c r="BJ54" s="229" t="s">
        <v>3552</v>
      </c>
    </row>
    <row r="55" spans="1:62" s="51" customFormat="1" ht="52.5" customHeight="1">
      <c r="A55" s="50">
        <v>24</v>
      </c>
      <c r="B55" s="20" t="s">
        <v>146</v>
      </c>
      <c r="C55" s="52">
        <v>12672</v>
      </c>
      <c r="D55" s="293">
        <v>3130254387</v>
      </c>
      <c r="E55" s="220" t="s">
        <v>290</v>
      </c>
      <c r="F55" s="130" t="s">
        <v>3562</v>
      </c>
      <c r="G55" s="10"/>
      <c r="H55" s="131"/>
      <c r="I55" s="55">
        <v>2</v>
      </c>
      <c r="J55" s="196">
        <v>1</v>
      </c>
      <c r="K55" s="178"/>
      <c r="L55" s="52" t="s">
        <v>502</v>
      </c>
      <c r="M55" s="295" t="s">
        <v>19</v>
      </c>
      <c r="N55" s="298">
        <v>41559</v>
      </c>
      <c r="O55" s="158">
        <f t="shared" si="0"/>
        <v>41559</v>
      </c>
      <c r="P55" s="133" t="s">
        <v>3020</v>
      </c>
      <c r="Q55" s="292" t="s">
        <v>839</v>
      </c>
      <c r="R55" s="52" t="s">
        <v>505</v>
      </c>
      <c r="S55" s="295" t="s">
        <v>852</v>
      </c>
      <c r="T55" s="79">
        <v>55782</v>
      </c>
      <c r="U55" s="64" t="s">
        <v>1896</v>
      </c>
      <c r="V55" s="64" t="s">
        <v>1902</v>
      </c>
      <c r="W55" s="64" t="s">
        <v>19</v>
      </c>
      <c r="X55" s="64" t="s">
        <v>696</v>
      </c>
      <c r="Y55" s="295" t="s">
        <v>782</v>
      </c>
      <c r="Z55" s="295" t="s">
        <v>870</v>
      </c>
      <c r="AA55" s="64"/>
      <c r="AB55" s="295" t="s">
        <v>915</v>
      </c>
      <c r="AC55" s="64" t="s">
        <v>505</v>
      </c>
      <c r="AD55" s="305" t="s">
        <v>30</v>
      </c>
      <c r="AE55" s="305" t="s">
        <v>921</v>
      </c>
      <c r="AF55" s="295" t="s">
        <v>946</v>
      </c>
      <c r="AG55" s="364" t="s">
        <v>3090</v>
      </c>
      <c r="AH55" s="205"/>
      <c r="AI55" s="295" t="s">
        <v>939</v>
      </c>
      <c r="AJ55" s="64" t="s">
        <v>505</v>
      </c>
      <c r="AK55" s="302" t="s">
        <v>922</v>
      </c>
      <c r="AL55" s="302" t="s">
        <v>923</v>
      </c>
      <c r="AM55" s="295" t="s">
        <v>950</v>
      </c>
      <c r="AN55" s="364" t="s">
        <v>3350</v>
      </c>
      <c r="AO55" s="226"/>
      <c r="AP55" s="190" t="s">
        <v>1748</v>
      </c>
      <c r="AQ55" s="84"/>
      <c r="AR55" s="32"/>
      <c r="AS55" s="85"/>
      <c r="AT55" s="85"/>
      <c r="AU55" s="84"/>
      <c r="AV55" s="84"/>
      <c r="AW55" s="85"/>
      <c r="AX55" s="85"/>
      <c r="AY55" s="60"/>
      <c r="AZ55" s="95"/>
      <c r="BA55" s="60"/>
      <c r="BB55" s="60"/>
      <c r="BC55" s="60"/>
      <c r="BD55" s="60"/>
      <c r="BE55" s="75"/>
      <c r="BF55" s="64"/>
      <c r="BG55" s="114" t="s">
        <v>3553</v>
      </c>
      <c r="BH55" s="246">
        <v>958245</v>
      </c>
      <c r="BI55" s="64" t="s">
        <v>3551</v>
      </c>
      <c r="BJ55" s="229" t="s">
        <v>3552</v>
      </c>
    </row>
    <row r="56" spans="1:62" s="51" customFormat="1" ht="69" customHeight="1">
      <c r="A56" s="50">
        <v>25</v>
      </c>
      <c r="B56" s="20" t="s">
        <v>146</v>
      </c>
      <c r="C56" s="52">
        <v>12679</v>
      </c>
      <c r="D56" s="382" t="s">
        <v>2667</v>
      </c>
      <c r="E56" s="220" t="s">
        <v>291</v>
      </c>
      <c r="F56" s="130" t="s">
        <v>3562</v>
      </c>
      <c r="G56" s="10"/>
      <c r="H56" s="131"/>
      <c r="I56" s="55">
        <v>1</v>
      </c>
      <c r="J56" s="196">
        <v>1</v>
      </c>
      <c r="K56" s="178"/>
      <c r="L56" s="52" t="s">
        <v>502</v>
      </c>
      <c r="M56" s="295" t="s">
        <v>81</v>
      </c>
      <c r="N56" s="299">
        <v>41572</v>
      </c>
      <c r="O56" s="158">
        <f t="shared" si="0"/>
        <v>41572</v>
      </c>
      <c r="P56" s="133" t="s">
        <v>3021</v>
      </c>
      <c r="Q56" s="292" t="s">
        <v>840</v>
      </c>
      <c r="R56" s="52" t="s">
        <v>505</v>
      </c>
      <c r="S56" s="295" t="s">
        <v>1906</v>
      </c>
      <c r="T56" s="79">
        <v>65132</v>
      </c>
      <c r="U56" s="64" t="s">
        <v>1897</v>
      </c>
      <c r="V56" s="64" t="s">
        <v>1892</v>
      </c>
      <c r="W56" s="64" t="s">
        <v>1905</v>
      </c>
      <c r="X56" s="64" t="s">
        <v>39</v>
      </c>
      <c r="Y56" s="295" t="s">
        <v>783</v>
      </c>
      <c r="Z56" s="295" t="s">
        <v>871</v>
      </c>
      <c r="AA56" s="64"/>
      <c r="AB56" s="295" t="s">
        <v>916</v>
      </c>
      <c r="AC56" s="64" t="s">
        <v>505</v>
      </c>
      <c r="AD56" s="305" t="s">
        <v>925</v>
      </c>
      <c r="AE56" s="305" t="s">
        <v>165</v>
      </c>
      <c r="AF56" s="295" t="s">
        <v>951</v>
      </c>
      <c r="AG56" s="364" t="s">
        <v>3091</v>
      </c>
      <c r="AH56" s="114"/>
      <c r="AI56" s="295" t="s">
        <v>940</v>
      </c>
      <c r="AJ56" s="64" t="s">
        <v>505</v>
      </c>
      <c r="AK56" s="302" t="s">
        <v>20</v>
      </c>
      <c r="AL56" s="302" t="s">
        <v>21</v>
      </c>
      <c r="AM56" s="295" t="s">
        <v>948</v>
      </c>
      <c r="AN56" s="364" t="s">
        <v>3351</v>
      </c>
      <c r="AO56" s="64"/>
      <c r="AP56" s="190" t="s">
        <v>1749</v>
      </c>
      <c r="AQ56" s="84"/>
      <c r="AR56" s="32"/>
      <c r="AS56" s="85"/>
      <c r="AT56" s="85"/>
      <c r="AU56" s="84"/>
      <c r="AV56" s="84"/>
      <c r="AW56" s="85"/>
      <c r="AX56" s="85"/>
      <c r="AY56" s="60"/>
      <c r="AZ56" s="95"/>
      <c r="BA56" s="60"/>
      <c r="BB56" s="60"/>
      <c r="BC56" s="60"/>
      <c r="BD56" s="60"/>
      <c r="BE56" s="75"/>
      <c r="BF56" s="64"/>
      <c r="BG56" s="114" t="s">
        <v>3553</v>
      </c>
      <c r="BH56" s="246">
        <v>958245</v>
      </c>
      <c r="BI56" s="64" t="s">
        <v>3551</v>
      </c>
      <c r="BJ56" s="229" t="s">
        <v>3552</v>
      </c>
    </row>
    <row r="57" spans="1:62" s="51" customFormat="1" ht="52.5" customHeight="1">
      <c r="A57" s="50">
        <v>26</v>
      </c>
      <c r="B57" s="20" t="s">
        <v>146</v>
      </c>
      <c r="C57" s="164">
        <v>12686</v>
      </c>
      <c r="D57" s="382" t="s">
        <v>2668</v>
      </c>
      <c r="E57" s="220" t="s">
        <v>292</v>
      </c>
      <c r="F57" s="130" t="s">
        <v>3562</v>
      </c>
      <c r="G57" s="10"/>
      <c r="H57" s="131"/>
      <c r="I57" s="55">
        <v>1</v>
      </c>
      <c r="J57" s="196">
        <v>0</v>
      </c>
      <c r="K57" s="178"/>
      <c r="L57" s="52" t="s">
        <v>502</v>
      </c>
      <c r="M57" s="295" t="s">
        <v>27</v>
      </c>
      <c r="N57" s="298">
        <v>41553</v>
      </c>
      <c r="O57" s="158">
        <f t="shared" si="0"/>
        <v>41553</v>
      </c>
      <c r="P57" s="133" t="s">
        <v>3022</v>
      </c>
      <c r="Q57" s="292" t="s">
        <v>841</v>
      </c>
      <c r="R57" s="52" t="s">
        <v>505</v>
      </c>
      <c r="S57" s="295" t="s">
        <v>2612</v>
      </c>
      <c r="T57" s="79">
        <v>50265</v>
      </c>
      <c r="U57" s="64" t="s">
        <v>1907</v>
      </c>
      <c r="V57" s="64" t="s">
        <v>1903</v>
      </c>
      <c r="W57" s="64" t="s">
        <v>1904</v>
      </c>
      <c r="X57" s="64" t="s">
        <v>29</v>
      </c>
      <c r="Y57" s="295" t="s">
        <v>784</v>
      </c>
      <c r="Z57" s="295" t="s">
        <v>872</v>
      </c>
      <c r="AA57" s="64"/>
      <c r="AB57" s="295" t="s">
        <v>917</v>
      </c>
      <c r="AC57" s="64" t="s">
        <v>505</v>
      </c>
      <c r="AD57" s="305" t="s">
        <v>20</v>
      </c>
      <c r="AE57" s="305" t="s">
        <v>921</v>
      </c>
      <c r="AF57" s="295" t="s">
        <v>947</v>
      </c>
      <c r="AG57" s="364" t="s">
        <v>3092</v>
      </c>
      <c r="AH57" s="114"/>
      <c r="AI57" s="295" t="s">
        <v>941</v>
      </c>
      <c r="AJ57" s="64" t="s">
        <v>505</v>
      </c>
      <c r="AK57" s="302" t="s">
        <v>20</v>
      </c>
      <c r="AL57" s="302" t="s">
        <v>923</v>
      </c>
      <c r="AM57" s="295" t="s">
        <v>949</v>
      </c>
      <c r="AN57" s="364" t="s">
        <v>3352</v>
      </c>
      <c r="AO57" s="64"/>
      <c r="AP57" s="190" t="s">
        <v>1750</v>
      </c>
      <c r="AQ57" s="84"/>
      <c r="AR57" s="32"/>
      <c r="AS57" s="85"/>
      <c r="AT57" s="85"/>
      <c r="AU57" s="84"/>
      <c r="AV57" s="84"/>
      <c r="AW57" s="85"/>
      <c r="AX57" s="85"/>
      <c r="AY57" s="60"/>
      <c r="AZ57" s="95"/>
      <c r="BA57" s="60"/>
      <c r="BB57" s="60"/>
      <c r="BC57" s="60"/>
      <c r="BD57" s="60"/>
      <c r="BE57" s="75"/>
      <c r="BF57" s="64"/>
      <c r="BG57" s="114" t="s">
        <v>3553</v>
      </c>
      <c r="BH57" s="246">
        <v>958245</v>
      </c>
      <c r="BI57" s="64" t="s">
        <v>3551</v>
      </c>
      <c r="BJ57" s="229" t="s">
        <v>3552</v>
      </c>
    </row>
    <row r="58" spans="1:62" s="51" customFormat="1" ht="47.25">
      <c r="A58" s="50">
        <v>27</v>
      </c>
      <c r="B58" s="20" t="s">
        <v>146</v>
      </c>
      <c r="C58" s="52">
        <v>12696</v>
      </c>
      <c r="D58" s="382" t="s">
        <v>2669</v>
      </c>
      <c r="E58" s="220" t="s">
        <v>293</v>
      </c>
      <c r="F58" s="130" t="s">
        <v>3562</v>
      </c>
      <c r="G58" s="10"/>
      <c r="H58" s="131"/>
      <c r="I58" s="55">
        <v>1</v>
      </c>
      <c r="J58" s="196">
        <v>3</v>
      </c>
      <c r="K58" s="178"/>
      <c r="L58" s="52" t="s">
        <v>502</v>
      </c>
      <c r="M58" s="295" t="s">
        <v>89</v>
      </c>
      <c r="N58" s="299">
        <v>41560</v>
      </c>
      <c r="O58" s="158">
        <f t="shared" si="0"/>
        <v>41560</v>
      </c>
      <c r="P58" s="133" t="s">
        <v>3023</v>
      </c>
      <c r="Q58" s="354" t="s">
        <v>842</v>
      </c>
      <c r="R58" s="52" t="s">
        <v>505</v>
      </c>
      <c r="S58" s="295" t="s">
        <v>2613</v>
      </c>
      <c r="T58" s="79">
        <v>57421</v>
      </c>
      <c r="U58" s="64" t="s">
        <v>1908</v>
      </c>
      <c r="V58" s="64" t="s">
        <v>1910</v>
      </c>
      <c r="W58" s="64" t="s">
        <v>89</v>
      </c>
      <c r="X58" s="64" t="s">
        <v>29</v>
      </c>
      <c r="Y58" s="295" t="s">
        <v>2865</v>
      </c>
      <c r="Z58" s="295" t="s">
        <v>873</v>
      </c>
      <c r="AA58" s="64"/>
      <c r="AB58" s="304" t="s">
        <v>2919</v>
      </c>
      <c r="AC58" s="64" t="s">
        <v>505</v>
      </c>
      <c r="AD58" s="305" t="s">
        <v>20</v>
      </c>
      <c r="AE58" s="305" t="s">
        <v>165</v>
      </c>
      <c r="AF58" s="295" t="s">
        <v>949</v>
      </c>
      <c r="AG58" s="364" t="s">
        <v>3093</v>
      </c>
      <c r="AH58" s="114"/>
      <c r="AI58" s="295" t="s">
        <v>2961</v>
      </c>
      <c r="AJ58" s="64" t="s">
        <v>505</v>
      </c>
      <c r="AK58" s="302" t="s">
        <v>922</v>
      </c>
      <c r="AL58" s="302" t="s">
        <v>923</v>
      </c>
      <c r="AM58" s="295" t="s">
        <v>951</v>
      </c>
      <c r="AN58" s="364" t="s">
        <v>3353</v>
      </c>
      <c r="AO58" s="64"/>
      <c r="AP58" s="190" t="s">
        <v>1751</v>
      </c>
      <c r="AQ58" s="84"/>
      <c r="AR58" s="32"/>
      <c r="AS58" s="85"/>
      <c r="AT58" s="85"/>
      <c r="AU58" s="84"/>
      <c r="AV58" s="84"/>
      <c r="AW58" s="85"/>
      <c r="AX58" s="85"/>
      <c r="AY58" s="60"/>
      <c r="AZ58" s="95"/>
      <c r="BA58" s="60"/>
      <c r="BB58" s="60"/>
      <c r="BC58" s="60"/>
      <c r="BD58" s="60"/>
      <c r="BE58" s="75"/>
      <c r="BF58" s="64"/>
      <c r="BG58" s="114" t="s">
        <v>3553</v>
      </c>
      <c r="BH58" s="246">
        <v>958245</v>
      </c>
      <c r="BI58" s="64" t="s">
        <v>3551</v>
      </c>
      <c r="BJ58" s="229" t="s">
        <v>3552</v>
      </c>
    </row>
    <row r="59" spans="1:62" s="51" customFormat="1" ht="52.5" customHeight="1">
      <c r="A59" s="50">
        <v>28</v>
      </c>
      <c r="B59" s="20" t="s">
        <v>146</v>
      </c>
      <c r="C59" s="52">
        <v>12702</v>
      </c>
      <c r="D59" s="382" t="s">
        <v>2670</v>
      </c>
      <c r="E59" s="220" t="s">
        <v>294</v>
      </c>
      <c r="F59" s="130" t="s">
        <v>3562</v>
      </c>
      <c r="G59" s="10"/>
      <c r="H59" s="131"/>
      <c r="I59" s="55">
        <v>2</v>
      </c>
      <c r="J59" s="196">
        <v>2</v>
      </c>
      <c r="K59" s="178"/>
      <c r="L59" s="52" t="s">
        <v>502</v>
      </c>
      <c r="M59" s="295" t="s">
        <v>45</v>
      </c>
      <c r="N59" s="299">
        <v>41502</v>
      </c>
      <c r="O59" s="158">
        <f t="shared" si="0"/>
        <v>41502</v>
      </c>
      <c r="P59" s="133" t="s">
        <v>3024</v>
      </c>
      <c r="Q59" s="354" t="s">
        <v>843</v>
      </c>
      <c r="R59" s="52" t="s">
        <v>505</v>
      </c>
      <c r="S59" s="295" t="s">
        <v>2614</v>
      </c>
      <c r="T59" s="79">
        <v>60114</v>
      </c>
      <c r="U59" s="64" t="s">
        <v>1909</v>
      </c>
      <c r="V59" s="64" t="s">
        <v>1911</v>
      </c>
      <c r="W59" s="64" t="s">
        <v>524</v>
      </c>
      <c r="X59" s="64" t="s">
        <v>39</v>
      </c>
      <c r="Y59" s="295" t="s">
        <v>74</v>
      </c>
      <c r="Z59" s="295" t="s">
        <v>874</v>
      </c>
      <c r="AA59" s="64"/>
      <c r="AB59" s="304" t="s">
        <v>2920</v>
      </c>
      <c r="AC59" s="64" t="s">
        <v>505</v>
      </c>
      <c r="AD59" s="305" t="s">
        <v>30</v>
      </c>
      <c r="AE59" s="305" t="s">
        <v>924</v>
      </c>
      <c r="AF59" s="295" t="s">
        <v>948</v>
      </c>
      <c r="AG59" s="364" t="s">
        <v>3094</v>
      </c>
      <c r="AH59" s="114"/>
      <c r="AI59" s="295" t="s">
        <v>2962</v>
      </c>
      <c r="AJ59" s="64" t="s">
        <v>505</v>
      </c>
      <c r="AK59" s="302" t="s">
        <v>20</v>
      </c>
      <c r="AL59" s="302" t="s">
        <v>921</v>
      </c>
      <c r="AM59" s="295" t="s">
        <v>949</v>
      </c>
      <c r="AN59" s="364" t="s">
        <v>3354</v>
      </c>
      <c r="AO59" s="64"/>
      <c r="AP59" s="190" t="s">
        <v>1754</v>
      </c>
      <c r="AQ59" s="84"/>
      <c r="AR59" s="32"/>
      <c r="AS59" s="85"/>
      <c r="AT59" s="85"/>
      <c r="AU59" s="84"/>
      <c r="AV59" s="84"/>
      <c r="AW59" s="85"/>
      <c r="AX59" s="85"/>
      <c r="AY59" s="60"/>
      <c r="AZ59" s="95"/>
      <c r="BA59" s="60"/>
      <c r="BB59" s="60"/>
      <c r="BC59" s="60"/>
      <c r="BD59" s="60"/>
      <c r="BE59" s="75"/>
      <c r="BF59" s="64"/>
      <c r="BG59" s="114" t="s">
        <v>3553</v>
      </c>
      <c r="BH59" s="246">
        <v>958245</v>
      </c>
      <c r="BI59" s="64" t="s">
        <v>3551</v>
      </c>
      <c r="BJ59" s="229" t="s">
        <v>3552</v>
      </c>
    </row>
    <row r="60" spans="1:62" s="51" customFormat="1" ht="52.5" customHeight="1">
      <c r="A60" s="50">
        <v>29</v>
      </c>
      <c r="B60" s="20" t="s">
        <v>146</v>
      </c>
      <c r="C60" s="164">
        <v>12714</v>
      </c>
      <c r="D60" s="293">
        <v>3134865480</v>
      </c>
      <c r="E60" s="220" t="s">
        <v>295</v>
      </c>
      <c r="F60" s="130" t="s">
        <v>3562</v>
      </c>
      <c r="G60" s="10"/>
      <c r="H60" s="131"/>
      <c r="I60" s="55">
        <v>2</v>
      </c>
      <c r="J60" s="196">
        <v>1</v>
      </c>
      <c r="K60" s="178"/>
      <c r="L60" s="52" t="s">
        <v>502</v>
      </c>
      <c r="M60" s="295" t="s">
        <v>53</v>
      </c>
      <c r="N60" s="298">
        <v>41331</v>
      </c>
      <c r="O60" s="158">
        <f t="shared" si="0"/>
        <v>41331</v>
      </c>
      <c r="P60" s="133" t="s">
        <v>3025</v>
      </c>
      <c r="Q60" s="354" t="s">
        <v>844</v>
      </c>
      <c r="R60" s="52" t="s">
        <v>505</v>
      </c>
      <c r="S60" s="295" t="s">
        <v>1755</v>
      </c>
      <c r="T60" s="79">
        <v>55651</v>
      </c>
      <c r="U60" s="64" t="s">
        <v>1912</v>
      </c>
      <c r="V60" s="64" t="s">
        <v>769</v>
      </c>
      <c r="W60" s="64" t="s">
        <v>53</v>
      </c>
      <c r="X60" s="64" t="s">
        <v>696</v>
      </c>
      <c r="Y60" s="295" t="s">
        <v>785</v>
      </c>
      <c r="Z60" s="295" t="s">
        <v>875</v>
      </c>
      <c r="AA60" s="64"/>
      <c r="AB60" s="295" t="s">
        <v>918</v>
      </c>
      <c r="AC60" s="64" t="s">
        <v>505</v>
      </c>
      <c r="AD60" s="305" t="s">
        <v>22</v>
      </c>
      <c r="AE60" s="305" t="s">
        <v>165</v>
      </c>
      <c r="AF60" s="295" t="s">
        <v>946</v>
      </c>
      <c r="AG60" s="364" t="s">
        <v>3095</v>
      </c>
      <c r="AH60" s="114"/>
      <c r="AI60" s="295" t="s">
        <v>942</v>
      </c>
      <c r="AJ60" s="64" t="s">
        <v>505</v>
      </c>
      <c r="AK60" s="302" t="s">
        <v>20</v>
      </c>
      <c r="AL60" s="302" t="s">
        <v>924</v>
      </c>
      <c r="AM60" s="295" t="s">
        <v>948</v>
      </c>
      <c r="AN60" s="364" t="s">
        <v>3355</v>
      </c>
      <c r="AO60" s="64"/>
      <c r="AP60" s="190" t="s">
        <v>1756</v>
      </c>
      <c r="AQ60" s="84"/>
      <c r="AR60" s="32"/>
      <c r="AS60" s="85"/>
      <c r="AT60" s="85"/>
      <c r="AU60" s="84"/>
      <c r="AV60" s="84"/>
      <c r="AW60" s="85"/>
      <c r="AX60" s="85"/>
      <c r="AY60" s="60"/>
      <c r="AZ60" s="95"/>
      <c r="BA60" s="60"/>
      <c r="BB60" s="60"/>
      <c r="BC60" s="60"/>
      <c r="BD60" s="60"/>
      <c r="BE60" s="75"/>
      <c r="BF60" s="64"/>
      <c r="BG60" s="114" t="s">
        <v>3553</v>
      </c>
      <c r="BH60" s="246">
        <v>958245</v>
      </c>
      <c r="BI60" s="64" t="s">
        <v>3551</v>
      </c>
      <c r="BJ60" s="229" t="s">
        <v>3552</v>
      </c>
    </row>
    <row r="61" spans="1:62" s="51" customFormat="1" ht="47.25">
      <c r="A61" s="50">
        <v>30</v>
      </c>
      <c r="B61" s="20" t="s">
        <v>146</v>
      </c>
      <c r="C61" s="52">
        <v>12719</v>
      </c>
      <c r="D61" s="382" t="s">
        <v>2671</v>
      </c>
      <c r="E61" s="220" t="s">
        <v>296</v>
      </c>
      <c r="F61" s="130" t="s">
        <v>3562</v>
      </c>
      <c r="G61" s="10"/>
      <c r="H61" s="131"/>
      <c r="I61" s="55">
        <v>1</v>
      </c>
      <c r="J61" s="196">
        <v>0</v>
      </c>
      <c r="K61" s="177"/>
      <c r="L61" s="52" t="s">
        <v>502</v>
      </c>
      <c r="M61" s="295" t="s">
        <v>53</v>
      </c>
      <c r="N61" s="299">
        <v>41689</v>
      </c>
      <c r="O61" s="158">
        <f t="shared" si="0"/>
        <v>41689</v>
      </c>
      <c r="P61" s="133" t="s">
        <v>3026</v>
      </c>
      <c r="Q61" s="354" t="s">
        <v>845</v>
      </c>
      <c r="R61" s="52" t="s">
        <v>505</v>
      </c>
      <c r="S61" s="295" t="s">
        <v>1758</v>
      </c>
      <c r="T61" s="79">
        <v>55651</v>
      </c>
      <c r="U61" s="64" t="s">
        <v>1913</v>
      </c>
      <c r="V61" s="64" t="s">
        <v>769</v>
      </c>
      <c r="W61" s="64" t="s">
        <v>53</v>
      </c>
      <c r="X61" s="64" t="s">
        <v>696</v>
      </c>
      <c r="Y61" s="300" t="s">
        <v>2866</v>
      </c>
      <c r="Z61" s="295" t="s">
        <v>876</v>
      </c>
      <c r="AA61" s="64"/>
      <c r="AB61" s="295" t="s">
        <v>919</v>
      </c>
      <c r="AC61" s="64" t="s">
        <v>505</v>
      </c>
      <c r="AD61" s="305" t="s">
        <v>20</v>
      </c>
      <c r="AE61" s="305" t="s">
        <v>921</v>
      </c>
      <c r="AF61" s="295" t="s">
        <v>948</v>
      </c>
      <c r="AG61" s="364" t="s">
        <v>3096</v>
      </c>
      <c r="AH61" s="114"/>
      <c r="AI61" s="295" t="s">
        <v>943</v>
      </c>
      <c r="AJ61" s="64" t="s">
        <v>505</v>
      </c>
      <c r="AK61" s="302" t="s">
        <v>20</v>
      </c>
      <c r="AL61" s="302" t="s">
        <v>926</v>
      </c>
      <c r="AM61" s="295" t="s">
        <v>946</v>
      </c>
      <c r="AN61" s="364" t="s">
        <v>3356</v>
      </c>
      <c r="AO61" s="64"/>
      <c r="AP61" s="191" t="s">
        <v>1757</v>
      </c>
      <c r="AQ61" s="112"/>
      <c r="AR61" s="110"/>
      <c r="AS61" s="111"/>
      <c r="AT61" s="111"/>
      <c r="AU61" s="112"/>
      <c r="AV61" s="112"/>
      <c r="AW61" s="111"/>
      <c r="AX61" s="85"/>
      <c r="AY61" s="60"/>
      <c r="AZ61" s="95"/>
      <c r="BA61" s="60"/>
      <c r="BB61" s="60"/>
      <c r="BC61" s="60"/>
      <c r="BD61" s="60"/>
      <c r="BE61" s="75"/>
      <c r="BF61" s="64"/>
      <c r="BG61" s="114" t="s">
        <v>3553</v>
      </c>
      <c r="BH61" s="246">
        <v>958245</v>
      </c>
      <c r="BI61" s="64" t="s">
        <v>3551</v>
      </c>
      <c r="BJ61" s="229" t="s">
        <v>3552</v>
      </c>
    </row>
    <row r="62" spans="1:62" s="51" customFormat="1" ht="48" thickBot="1">
      <c r="A62" s="50">
        <v>31</v>
      </c>
      <c r="B62" s="20" t="s">
        <v>146</v>
      </c>
      <c r="C62" s="52">
        <v>12721</v>
      </c>
      <c r="D62" s="293">
        <v>3135215000</v>
      </c>
      <c r="E62" s="269" t="s">
        <v>297</v>
      </c>
      <c r="F62" s="130" t="s">
        <v>3562</v>
      </c>
      <c r="G62" s="10"/>
      <c r="H62" s="263"/>
      <c r="I62" s="55">
        <v>3</v>
      </c>
      <c r="J62" s="196">
        <v>2</v>
      </c>
      <c r="K62" s="178"/>
      <c r="L62" s="52" t="s">
        <v>502</v>
      </c>
      <c r="M62" s="295" t="s">
        <v>111</v>
      </c>
      <c r="N62" s="299">
        <v>41575</v>
      </c>
      <c r="O62" s="158">
        <f t="shared" si="0"/>
        <v>41575</v>
      </c>
      <c r="P62" s="133" t="s">
        <v>3027</v>
      </c>
      <c r="Q62" s="354" t="s">
        <v>846</v>
      </c>
      <c r="R62" s="52" t="s">
        <v>505</v>
      </c>
      <c r="S62" s="295" t="s">
        <v>1759</v>
      </c>
      <c r="T62" s="79"/>
      <c r="U62" s="64" t="s">
        <v>1914</v>
      </c>
      <c r="V62" s="64" t="s">
        <v>1859</v>
      </c>
      <c r="W62" s="64" t="s">
        <v>111</v>
      </c>
      <c r="X62" s="64" t="s">
        <v>29</v>
      </c>
      <c r="Y62" s="295" t="s">
        <v>170</v>
      </c>
      <c r="Z62" s="295" t="s">
        <v>877</v>
      </c>
      <c r="AA62" s="64"/>
      <c r="AB62" s="295" t="s">
        <v>920</v>
      </c>
      <c r="AC62" s="64" t="s">
        <v>505</v>
      </c>
      <c r="AD62" s="305" t="s">
        <v>20</v>
      </c>
      <c r="AE62" s="305" t="s">
        <v>165</v>
      </c>
      <c r="AF62" s="295" t="s">
        <v>950</v>
      </c>
      <c r="AG62" s="364" t="s">
        <v>3097</v>
      </c>
      <c r="AH62" s="114"/>
      <c r="AI62" s="295" t="s">
        <v>944</v>
      </c>
      <c r="AJ62" s="64" t="s">
        <v>505</v>
      </c>
      <c r="AK62" s="302" t="s">
        <v>22</v>
      </c>
      <c r="AL62" s="302" t="s">
        <v>21</v>
      </c>
      <c r="AM62" s="295" t="s">
        <v>948</v>
      </c>
      <c r="AN62" s="364" t="s">
        <v>3357</v>
      </c>
      <c r="AO62" s="64"/>
      <c r="AP62" s="190" t="s">
        <v>1760</v>
      </c>
      <c r="AQ62" s="41"/>
      <c r="AR62" s="89"/>
      <c r="AS62" s="90"/>
      <c r="AT62" s="85"/>
      <c r="AU62" s="84"/>
      <c r="AV62" s="84"/>
      <c r="AW62" s="85"/>
      <c r="AX62" s="85"/>
      <c r="AY62" s="60"/>
      <c r="AZ62" s="95"/>
      <c r="BA62" s="60"/>
      <c r="BB62" s="60"/>
      <c r="BC62" s="60"/>
      <c r="BD62" s="60"/>
      <c r="BE62" s="75"/>
      <c r="BF62" s="64"/>
      <c r="BG62" s="114" t="s">
        <v>3553</v>
      </c>
      <c r="BH62" s="246">
        <v>958245</v>
      </c>
      <c r="BI62" s="64" t="s">
        <v>3551</v>
      </c>
      <c r="BJ62" s="229" t="s">
        <v>3552</v>
      </c>
    </row>
    <row r="63" spans="1:62" s="171" customFormat="1" ht="52.5" customHeight="1">
      <c r="A63" s="171">
        <v>1</v>
      </c>
      <c r="B63" s="17" t="s">
        <v>145</v>
      </c>
      <c r="C63" s="52">
        <v>12460</v>
      </c>
      <c r="D63" s="383" t="s">
        <v>2672</v>
      </c>
      <c r="E63" s="219" t="s">
        <v>298</v>
      </c>
      <c r="F63" s="130" t="s">
        <v>3562</v>
      </c>
      <c r="G63" s="10"/>
      <c r="H63" s="167"/>
      <c r="I63" s="168">
        <v>2</v>
      </c>
      <c r="J63" s="197">
        <v>2</v>
      </c>
      <c r="K63" s="178"/>
      <c r="L63" s="52" t="s">
        <v>502</v>
      </c>
      <c r="M63" s="295" t="s">
        <v>52</v>
      </c>
      <c r="N63" s="299">
        <v>41511</v>
      </c>
      <c r="O63" s="158">
        <f t="shared" si="0"/>
        <v>41511</v>
      </c>
      <c r="P63" s="133" t="s">
        <v>3006</v>
      </c>
      <c r="Q63" s="354" t="s">
        <v>957</v>
      </c>
      <c r="R63" s="52" t="s">
        <v>505</v>
      </c>
      <c r="S63" s="295" t="s">
        <v>2615</v>
      </c>
      <c r="T63" s="228">
        <v>55562</v>
      </c>
      <c r="U63" s="114" t="s">
        <v>2042</v>
      </c>
      <c r="V63" s="114" t="s">
        <v>2045</v>
      </c>
      <c r="W63" s="114" t="s">
        <v>52</v>
      </c>
      <c r="X63" s="114" t="s">
        <v>696</v>
      </c>
      <c r="Y63" s="295" t="s">
        <v>2867</v>
      </c>
      <c r="Z63" s="295" t="s">
        <v>993</v>
      </c>
      <c r="AA63" s="114"/>
      <c r="AB63" s="295" t="s">
        <v>2921</v>
      </c>
      <c r="AC63" s="64" t="s">
        <v>505</v>
      </c>
      <c r="AD63" s="302" t="s">
        <v>30</v>
      </c>
      <c r="AE63" s="302" t="s">
        <v>21</v>
      </c>
      <c r="AF63" s="302" t="s">
        <v>948</v>
      </c>
      <c r="AG63" s="364" t="s">
        <v>3098</v>
      </c>
      <c r="AH63" s="114"/>
      <c r="AI63" s="302" t="s">
        <v>2963</v>
      </c>
      <c r="AJ63" s="64" t="s">
        <v>505</v>
      </c>
      <c r="AK63" s="302" t="s">
        <v>20</v>
      </c>
      <c r="AL63" s="302" t="s">
        <v>21</v>
      </c>
      <c r="AM63" s="302" t="s">
        <v>949</v>
      </c>
      <c r="AN63" s="364" t="s">
        <v>3358</v>
      </c>
      <c r="AO63" s="321"/>
      <c r="AP63" s="191" t="s">
        <v>1915</v>
      </c>
      <c r="AQ63" s="322"/>
      <c r="AR63" s="114"/>
      <c r="AS63" s="323"/>
      <c r="AT63" s="323"/>
      <c r="AU63" s="322"/>
      <c r="AV63" s="114"/>
      <c r="AW63" s="323"/>
      <c r="AX63" s="323"/>
      <c r="AY63" s="109"/>
      <c r="AZ63" s="95"/>
      <c r="BA63" s="109"/>
      <c r="BB63" s="109"/>
      <c r="BC63" s="109"/>
      <c r="BD63" s="109"/>
      <c r="BE63" s="113"/>
      <c r="BF63" s="114"/>
      <c r="BG63" s="114" t="s">
        <v>3554</v>
      </c>
      <c r="BH63" s="246">
        <v>1320439</v>
      </c>
      <c r="BI63" s="64" t="s">
        <v>3551</v>
      </c>
      <c r="BJ63" s="229" t="s">
        <v>3552</v>
      </c>
    </row>
    <row r="64" spans="1:62" s="51" customFormat="1" ht="52.5" customHeight="1">
      <c r="A64" s="51">
        <v>2</v>
      </c>
      <c r="B64" s="17" t="s">
        <v>145</v>
      </c>
      <c r="C64" s="164">
        <v>12473</v>
      </c>
      <c r="D64" s="383" t="s">
        <v>2673</v>
      </c>
      <c r="E64" s="220" t="s">
        <v>299</v>
      </c>
      <c r="F64" s="130" t="s">
        <v>3562</v>
      </c>
      <c r="G64" s="10"/>
      <c r="H64" s="263"/>
      <c r="I64" s="55">
        <v>2</v>
      </c>
      <c r="J64" s="196">
        <v>2</v>
      </c>
      <c r="K64" s="178"/>
      <c r="L64" s="52" t="s">
        <v>502</v>
      </c>
      <c r="M64" s="295" t="s">
        <v>952</v>
      </c>
      <c r="N64" s="298">
        <v>41621</v>
      </c>
      <c r="O64" s="158">
        <f t="shared" si="0"/>
        <v>41621</v>
      </c>
      <c r="P64" s="133" t="s">
        <v>3028</v>
      </c>
      <c r="Q64" s="354" t="s">
        <v>958</v>
      </c>
      <c r="R64" s="52" t="s">
        <v>505</v>
      </c>
      <c r="S64" s="295" t="s">
        <v>983</v>
      </c>
      <c r="T64" s="79">
        <v>36365</v>
      </c>
      <c r="U64" s="64" t="s">
        <v>2050</v>
      </c>
      <c r="V64" s="64" t="s">
        <v>2052</v>
      </c>
      <c r="W64" s="64" t="s">
        <v>952</v>
      </c>
      <c r="X64" s="64" t="s">
        <v>2053</v>
      </c>
      <c r="Y64" s="295" t="s">
        <v>2868</v>
      </c>
      <c r="Z64" s="295" t="s">
        <v>994</v>
      </c>
      <c r="AA64" s="64"/>
      <c r="AB64" s="303" t="s">
        <v>2870</v>
      </c>
      <c r="AC64" s="64" t="s">
        <v>505</v>
      </c>
      <c r="AD64" s="302" t="s">
        <v>925</v>
      </c>
      <c r="AE64" s="302" t="s">
        <v>165</v>
      </c>
      <c r="AF64" s="302" t="s">
        <v>947</v>
      </c>
      <c r="AG64" s="364" t="s">
        <v>3099</v>
      </c>
      <c r="AH64" s="114"/>
      <c r="AI64" s="302" t="s">
        <v>2964</v>
      </c>
      <c r="AJ64" s="64" t="s">
        <v>505</v>
      </c>
      <c r="AK64" s="302" t="s">
        <v>20</v>
      </c>
      <c r="AL64" s="302" t="s">
        <v>924</v>
      </c>
      <c r="AM64" s="302" t="s">
        <v>951</v>
      </c>
      <c r="AN64" s="364" t="s">
        <v>3359</v>
      </c>
      <c r="AO64" s="64"/>
      <c r="AP64" s="190" t="s">
        <v>1916</v>
      </c>
      <c r="AQ64" s="72"/>
      <c r="AR64" s="64"/>
      <c r="AS64" s="324"/>
      <c r="AT64" s="324"/>
      <c r="AU64" s="72"/>
      <c r="AV64" s="64"/>
      <c r="AW64" s="324"/>
      <c r="AX64" s="324"/>
      <c r="AY64" s="60"/>
      <c r="AZ64" s="95"/>
      <c r="BA64" s="60"/>
      <c r="BB64" s="60"/>
      <c r="BC64" s="60"/>
      <c r="BD64" s="60"/>
      <c r="BE64" s="75"/>
      <c r="BF64" s="64"/>
      <c r="BG64" s="114" t="s">
        <v>3554</v>
      </c>
      <c r="BH64" s="246">
        <v>1320439</v>
      </c>
      <c r="BI64" s="64" t="s">
        <v>3551</v>
      </c>
      <c r="BJ64" s="229" t="s">
        <v>3552</v>
      </c>
    </row>
    <row r="65" spans="1:62" s="51" customFormat="1" ht="52.5" customHeight="1">
      <c r="A65" s="51">
        <v>3</v>
      </c>
      <c r="B65" s="17" t="s">
        <v>145</v>
      </c>
      <c r="C65" s="52">
        <v>12477</v>
      </c>
      <c r="D65" s="383" t="s">
        <v>2674</v>
      </c>
      <c r="E65" s="220" t="s">
        <v>300</v>
      </c>
      <c r="F65" s="130" t="s">
        <v>3562</v>
      </c>
      <c r="G65" s="10"/>
      <c r="H65" s="263"/>
      <c r="I65" s="55">
        <v>2</v>
      </c>
      <c r="J65" s="196">
        <v>1</v>
      </c>
      <c r="K65" s="52"/>
      <c r="L65" s="52" t="s">
        <v>502</v>
      </c>
      <c r="M65" s="295" t="s">
        <v>23</v>
      </c>
      <c r="N65" s="299">
        <v>41463</v>
      </c>
      <c r="O65" s="158">
        <f t="shared" si="0"/>
        <v>41463</v>
      </c>
      <c r="P65" s="133" t="s">
        <v>3029</v>
      </c>
      <c r="Q65" s="355" t="s">
        <v>1917</v>
      </c>
      <c r="R65" s="52" t="s">
        <v>505</v>
      </c>
      <c r="S65" s="295" t="s">
        <v>2616</v>
      </c>
      <c r="T65" s="79">
        <v>55182</v>
      </c>
      <c r="U65" s="64" t="s">
        <v>2054</v>
      </c>
      <c r="V65" s="64" t="s">
        <v>2046</v>
      </c>
      <c r="W65" s="64" t="s">
        <v>19</v>
      </c>
      <c r="X65" s="64" t="s">
        <v>696</v>
      </c>
      <c r="Y65" s="295" t="s">
        <v>2869</v>
      </c>
      <c r="Z65" s="295"/>
      <c r="AA65" s="64"/>
      <c r="AB65" s="302" t="s">
        <v>2922</v>
      </c>
      <c r="AC65" s="64" t="s">
        <v>505</v>
      </c>
      <c r="AD65" s="302" t="s">
        <v>30</v>
      </c>
      <c r="AE65" s="302" t="s">
        <v>168</v>
      </c>
      <c r="AF65" s="302"/>
      <c r="AG65" s="364" t="s">
        <v>3100</v>
      </c>
      <c r="AH65" s="114"/>
      <c r="AI65" s="302" t="s">
        <v>2965</v>
      </c>
      <c r="AJ65" s="64" t="s">
        <v>505</v>
      </c>
      <c r="AK65" s="302" t="s">
        <v>20</v>
      </c>
      <c r="AL65" s="302" t="s">
        <v>166</v>
      </c>
      <c r="AM65" s="302"/>
      <c r="AN65" s="364" t="s">
        <v>3360</v>
      </c>
      <c r="AO65" s="64"/>
      <c r="AP65" s="190" t="s">
        <v>1918</v>
      </c>
      <c r="AQ65" s="72"/>
      <c r="AR65" s="64"/>
      <c r="AS65" s="324"/>
      <c r="AT65" s="324"/>
      <c r="AU65" s="72"/>
      <c r="AV65" s="72"/>
      <c r="AW65" s="324"/>
      <c r="AX65" s="324"/>
      <c r="AY65" s="60"/>
      <c r="AZ65" s="95"/>
      <c r="BA65" s="60"/>
      <c r="BB65" s="60"/>
      <c r="BC65" s="58"/>
      <c r="BD65" s="60"/>
      <c r="BE65" s="75"/>
      <c r="BF65" s="64"/>
      <c r="BG65" s="114" t="s">
        <v>3554</v>
      </c>
      <c r="BH65" s="246">
        <v>1320439</v>
      </c>
      <c r="BI65" s="64" t="s">
        <v>3551</v>
      </c>
      <c r="BJ65" s="229" t="s">
        <v>3552</v>
      </c>
    </row>
    <row r="66" spans="1:62" s="51" customFormat="1" ht="52.5" customHeight="1">
      <c r="A66" s="51">
        <v>4</v>
      </c>
      <c r="B66" s="17" t="s">
        <v>145</v>
      </c>
      <c r="C66" s="52">
        <v>12478</v>
      </c>
      <c r="D66" s="383" t="s">
        <v>2675</v>
      </c>
      <c r="E66" s="220" t="s">
        <v>301</v>
      </c>
      <c r="F66" s="130" t="s">
        <v>3562</v>
      </c>
      <c r="G66" s="10"/>
      <c r="H66" s="131"/>
      <c r="I66" s="55">
        <v>2</v>
      </c>
      <c r="J66" s="196">
        <v>1</v>
      </c>
      <c r="K66" s="52"/>
      <c r="L66" s="52" t="s">
        <v>502</v>
      </c>
      <c r="M66" s="295" t="s">
        <v>52</v>
      </c>
      <c r="N66" s="299">
        <v>41796</v>
      </c>
      <c r="O66" s="158">
        <f t="shared" si="0"/>
        <v>41796</v>
      </c>
      <c r="P66" s="133" t="s">
        <v>3030</v>
      </c>
      <c r="Q66" s="354" t="s">
        <v>959</v>
      </c>
      <c r="R66" s="52" t="s">
        <v>505</v>
      </c>
      <c r="S66" s="295" t="s">
        <v>2617</v>
      </c>
      <c r="T66" s="79"/>
      <c r="U66" s="64" t="s">
        <v>2047</v>
      </c>
      <c r="V66" s="64" t="s">
        <v>733</v>
      </c>
      <c r="W66" s="64" t="s">
        <v>19</v>
      </c>
      <c r="X66" s="64" t="s">
        <v>696</v>
      </c>
      <c r="Y66" s="295" t="s">
        <v>995</v>
      </c>
      <c r="Z66" s="295" t="s">
        <v>996</v>
      </c>
      <c r="AA66" s="64"/>
      <c r="AB66" s="303" t="s">
        <v>1919</v>
      </c>
      <c r="AC66" s="64" t="s">
        <v>505</v>
      </c>
      <c r="AD66" s="302" t="s">
        <v>922</v>
      </c>
      <c r="AE66" s="302" t="s">
        <v>21</v>
      </c>
      <c r="AF66" s="302" t="s">
        <v>948</v>
      </c>
      <c r="AG66" s="364" t="s">
        <v>3101</v>
      </c>
      <c r="AH66" s="114"/>
      <c r="AI66" s="302" t="s">
        <v>1058</v>
      </c>
      <c r="AJ66" s="64" t="s">
        <v>505</v>
      </c>
      <c r="AK66" s="302" t="s">
        <v>922</v>
      </c>
      <c r="AL66" s="302" t="s">
        <v>923</v>
      </c>
      <c r="AM66" s="302" t="s">
        <v>950</v>
      </c>
      <c r="AN66" s="364" t="s">
        <v>3361</v>
      </c>
      <c r="AO66" s="64"/>
      <c r="AP66" s="190" t="s">
        <v>959</v>
      </c>
      <c r="AQ66" s="72"/>
      <c r="AR66" s="64"/>
      <c r="AS66" s="324"/>
      <c r="AT66" s="324"/>
      <c r="AU66" s="72"/>
      <c r="AV66" s="72"/>
      <c r="AW66" s="324"/>
      <c r="AX66" s="324"/>
      <c r="AY66" s="60"/>
      <c r="AZ66" s="95"/>
      <c r="BA66" s="60"/>
      <c r="BB66" s="60"/>
      <c r="BC66" s="58"/>
      <c r="BD66" s="60"/>
      <c r="BE66" s="75"/>
      <c r="BF66" s="64"/>
      <c r="BG66" s="114" t="s">
        <v>3554</v>
      </c>
      <c r="BH66" s="246">
        <v>1320439</v>
      </c>
      <c r="BI66" s="64" t="s">
        <v>3551</v>
      </c>
      <c r="BJ66" s="229" t="s">
        <v>3552</v>
      </c>
    </row>
    <row r="67" spans="1:62" s="51" customFormat="1" ht="63.75" customHeight="1">
      <c r="A67" s="51">
        <v>5</v>
      </c>
      <c r="B67" s="17" t="s">
        <v>145</v>
      </c>
      <c r="C67" s="52">
        <v>12479</v>
      </c>
      <c r="D67" s="292">
        <v>3140264060</v>
      </c>
      <c r="E67" s="220" t="s">
        <v>302</v>
      </c>
      <c r="F67" s="130" t="s">
        <v>3562</v>
      </c>
      <c r="G67" s="10"/>
      <c r="H67" s="131"/>
      <c r="I67" s="55">
        <v>2</v>
      </c>
      <c r="J67" s="196">
        <v>2</v>
      </c>
      <c r="K67" s="178"/>
      <c r="L67" s="52" t="s">
        <v>502</v>
      </c>
      <c r="M67" s="295" t="s">
        <v>52</v>
      </c>
      <c r="N67" s="299">
        <v>41694</v>
      </c>
      <c r="O67" s="158">
        <f t="shared" ref="O67:O130" si="1">N67</f>
        <v>41694</v>
      </c>
      <c r="P67" s="133" t="s">
        <v>760</v>
      </c>
      <c r="Q67" s="354" t="s">
        <v>960</v>
      </c>
      <c r="R67" s="52" t="s">
        <v>505</v>
      </c>
      <c r="S67" s="295" t="s">
        <v>1920</v>
      </c>
      <c r="T67" s="79">
        <v>55285</v>
      </c>
      <c r="U67" s="64" t="s">
        <v>2055</v>
      </c>
      <c r="V67" s="64" t="s">
        <v>52</v>
      </c>
      <c r="W67" s="64" t="s">
        <v>52</v>
      </c>
      <c r="X67" s="64" t="s">
        <v>696</v>
      </c>
      <c r="Y67" s="295" t="s">
        <v>997</v>
      </c>
      <c r="Z67" s="295" t="s">
        <v>998</v>
      </c>
      <c r="AA67" s="64"/>
      <c r="AB67" s="302" t="s">
        <v>1037</v>
      </c>
      <c r="AC67" s="64" t="s">
        <v>505</v>
      </c>
      <c r="AD67" s="302" t="s">
        <v>22</v>
      </c>
      <c r="AE67" s="302" t="s">
        <v>165</v>
      </c>
      <c r="AF67" s="302" t="s">
        <v>947</v>
      </c>
      <c r="AG67" s="364" t="s">
        <v>3102</v>
      </c>
      <c r="AH67" s="114"/>
      <c r="AI67" s="302" t="s">
        <v>1059</v>
      </c>
      <c r="AJ67" s="64" t="s">
        <v>505</v>
      </c>
      <c r="AK67" s="302" t="s">
        <v>30</v>
      </c>
      <c r="AL67" s="302" t="s">
        <v>1080</v>
      </c>
      <c r="AM67" s="302" t="s">
        <v>947</v>
      </c>
      <c r="AN67" s="364" t="s">
        <v>3362</v>
      </c>
      <c r="AO67" s="64"/>
      <c r="AP67" s="190" t="s">
        <v>1921</v>
      </c>
      <c r="AQ67" s="72"/>
      <c r="AR67" s="64"/>
      <c r="AS67" s="324"/>
      <c r="AT67" s="324"/>
      <c r="AU67" s="72"/>
      <c r="AV67" s="72"/>
      <c r="AW67" s="324"/>
      <c r="AX67" s="324"/>
      <c r="AY67" s="60"/>
      <c r="AZ67" s="95"/>
      <c r="BA67" s="60"/>
      <c r="BB67" s="60"/>
      <c r="BC67" s="60"/>
      <c r="BD67" s="60"/>
      <c r="BE67" s="75"/>
      <c r="BF67" s="64"/>
      <c r="BG67" s="114" t="s">
        <v>3554</v>
      </c>
      <c r="BH67" s="246">
        <v>1320439</v>
      </c>
      <c r="BI67" s="64" t="s">
        <v>3551</v>
      </c>
      <c r="BJ67" s="229" t="s">
        <v>3552</v>
      </c>
    </row>
    <row r="68" spans="1:62" s="51" customFormat="1" ht="52.5" customHeight="1">
      <c r="A68" s="51">
        <v>6</v>
      </c>
      <c r="B68" s="17" t="s">
        <v>145</v>
      </c>
      <c r="C68" s="52">
        <v>12481</v>
      </c>
      <c r="D68" s="383" t="s">
        <v>2676</v>
      </c>
      <c r="E68" s="220" t="s">
        <v>303</v>
      </c>
      <c r="F68" s="130" t="s">
        <v>3562</v>
      </c>
      <c r="G68" s="208"/>
      <c r="H68" s="167"/>
      <c r="I68" s="168">
        <v>2</v>
      </c>
      <c r="J68" s="197">
        <v>2</v>
      </c>
      <c r="K68" s="177"/>
      <c r="L68" s="52" t="s">
        <v>502</v>
      </c>
      <c r="M68" s="295" t="s">
        <v>52</v>
      </c>
      <c r="N68" s="298">
        <v>41711</v>
      </c>
      <c r="O68" s="158">
        <f t="shared" si="1"/>
        <v>41711</v>
      </c>
      <c r="P68" s="133" t="s">
        <v>3031</v>
      </c>
      <c r="Q68" s="354" t="s">
        <v>961</v>
      </c>
      <c r="R68" s="52" t="s">
        <v>505</v>
      </c>
      <c r="S68" s="295" t="s">
        <v>2056</v>
      </c>
      <c r="T68" s="228"/>
      <c r="U68" s="114" t="s">
        <v>2048</v>
      </c>
      <c r="V68" s="114" t="s">
        <v>2057</v>
      </c>
      <c r="W68" s="114" t="s">
        <v>1792</v>
      </c>
      <c r="X68" s="114" t="s">
        <v>39</v>
      </c>
      <c r="Y68" s="295" t="s">
        <v>999</v>
      </c>
      <c r="Z68" s="295" t="s">
        <v>1000</v>
      </c>
      <c r="AA68" s="114"/>
      <c r="AB68" s="302" t="s">
        <v>1038</v>
      </c>
      <c r="AC68" s="64" t="s">
        <v>505</v>
      </c>
      <c r="AD68" s="302" t="s">
        <v>75</v>
      </c>
      <c r="AE68" s="302" t="s">
        <v>21</v>
      </c>
      <c r="AF68" s="302" t="s">
        <v>947</v>
      </c>
      <c r="AG68" s="364" t="s">
        <v>3103</v>
      </c>
      <c r="AH68" s="114"/>
      <c r="AI68" s="302" t="s">
        <v>1060</v>
      </c>
      <c r="AJ68" s="64" t="s">
        <v>505</v>
      </c>
      <c r="AK68" s="302" t="s">
        <v>30</v>
      </c>
      <c r="AL68" s="302" t="s">
        <v>924</v>
      </c>
      <c r="AM68" s="302" t="s">
        <v>949</v>
      </c>
      <c r="AN68" s="364" t="s">
        <v>3363</v>
      </c>
      <c r="AO68" s="114"/>
      <c r="AP68" s="191" t="s">
        <v>1922</v>
      </c>
      <c r="AQ68" s="322"/>
      <c r="AR68" s="114"/>
      <c r="AS68" s="323"/>
      <c r="AT68" s="323"/>
      <c r="AU68" s="322"/>
      <c r="AV68" s="322"/>
      <c r="AW68" s="323"/>
      <c r="AX68" s="323"/>
      <c r="AY68" s="109"/>
      <c r="AZ68" s="95"/>
      <c r="BA68" s="109"/>
      <c r="BB68" s="109"/>
      <c r="BC68" s="109"/>
      <c r="BD68" s="109"/>
      <c r="BE68" s="113"/>
      <c r="BF68" s="114"/>
      <c r="BG68" s="114" t="s">
        <v>3554</v>
      </c>
      <c r="BH68" s="246">
        <v>1320439</v>
      </c>
      <c r="BI68" s="64" t="s">
        <v>3551</v>
      </c>
      <c r="BJ68" s="229" t="s">
        <v>3552</v>
      </c>
    </row>
    <row r="69" spans="1:62" s="51" customFormat="1" ht="52.5" customHeight="1">
      <c r="A69" s="51">
        <v>7</v>
      </c>
      <c r="B69" s="17" t="s">
        <v>145</v>
      </c>
      <c r="C69" s="52">
        <v>12497</v>
      </c>
      <c r="D69" s="384" t="s">
        <v>2677</v>
      </c>
      <c r="E69" s="220" t="s">
        <v>304</v>
      </c>
      <c r="F69" s="130" t="s">
        <v>3562</v>
      </c>
      <c r="G69" s="208"/>
      <c r="H69" s="167"/>
      <c r="I69" s="168">
        <v>1</v>
      </c>
      <c r="J69" s="197">
        <v>1</v>
      </c>
      <c r="K69" s="177"/>
      <c r="L69" s="52" t="s">
        <v>502</v>
      </c>
      <c r="M69" s="300" t="s">
        <v>90</v>
      </c>
      <c r="N69" s="325">
        <v>41568</v>
      </c>
      <c r="O69" s="158">
        <f t="shared" si="1"/>
        <v>41568</v>
      </c>
      <c r="P69" s="133" t="s">
        <v>3032</v>
      </c>
      <c r="Q69" s="362" t="s">
        <v>1923</v>
      </c>
      <c r="R69" s="52" t="s">
        <v>505</v>
      </c>
      <c r="S69" s="300" t="s">
        <v>1924</v>
      </c>
      <c r="T69" s="228">
        <v>52194</v>
      </c>
      <c r="U69" s="114" t="s">
        <v>2051</v>
      </c>
      <c r="V69" s="114" t="s">
        <v>2043</v>
      </c>
      <c r="W69" s="114" t="s">
        <v>90</v>
      </c>
      <c r="X69" s="114" t="s">
        <v>29</v>
      </c>
      <c r="Y69" s="300" t="s">
        <v>1001</v>
      </c>
      <c r="Z69" s="300"/>
      <c r="AA69" s="114"/>
      <c r="AB69" s="326" t="s">
        <v>1039</v>
      </c>
      <c r="AC69" s="64" t="s">
        <v>505</v>
      </c>
      <c r="AD69" s="326" t="s">
        <v>30</v>
      </c>
      <c r="AE69" s="326" t="s">
        <v>511</v>
      </c>
      <c r="AF69" s="326"/>
      <c r="AG69" s="397" t="s">
        <v>3104</v>
      </c>
      <c r="AH69" s="114"/>
      <c r="AI69" s="326" t="s">
        <v>1061</v>
      </c>
      <c r="AJ69" s="64" t="s">
        <v>505</v>
      </c>
      <c r="AK69" s="326" t="s">
        <v>20</v>
      </c>
      <c r="AL69" s="326" t="s">
        <v>166</v>
      </c>
      <c r="AM69" s="326"/>
      <c r="AN69" s="397" t="s">
        <v>3364</v>
      </c>
      <c r="AO69" s="114"/>
      <c r="AP69" s="191" t="s">
        <v>1925</v>
      </c>
      <c r="AQ69" s="322"/>
      <c r="AR69" s="114"/>
      <c r="AS69" s="323"/>
      <c r="AT69" s="323"/>
      <c r="AU69" s="322"/>
      <c r="AV69" s="322"/>
      <c r="AW69" s="323"/>
      <c r="AX69" s="323"/>
      <c r="AY69" s="109"/>
      <c r="AZ69" s="95"/>
      <c r="BA69" s="109"/>
      <c r="BB69" s="109"/>
      <c r="BC69" s="109"/>
      <c r="BD69" s="109"/>
      <c r="BE69" s="113"/>
      <c r="BF69" s="114"/>
      <c r="BG69" s="114" t="s">
        <v>3554</v>
      </c>
      <c r="BH69" s="246">
        <v>1320439</v>
      </c>
      <c r="BI69" s="64" t="s">
        <v>3551</v>
      </c>
      <c r="BJ69" s="229" t="s">
        <v>3552</v>
      </c>
    </row>
    <row r="70" spans="1:62" s="51" customFormat="1" ht="47.25">
      <c r="A70" s="51">
        <v>8</v>
      </c>
      <c r="B70" s="17" t="s">
        <v>145</v>
      </c>
      <c r="C70" s="164">
        <v>12508</v>
      </c>
      <c r="D70" s="383" t="s">
        <v>2678</v>
      </c>
      <c r="E70" s="220" t="s">
        <v>305</v>
      </c>
      <c r="F70" s="130" t="s">
        <v>3562</v>
      </c>
      <c r="G70" s="208"/>
      <c r="H70" s="167"/>
      <c r="I70" s="168">
        <v>1</v>
      </c>
      <c r="J70" s="197">
        <v>0</v>
      </c>
      <c r="K70" s="177"/>
      <c r="L70" s="52" t="s">
        <v>502</v>
      </c>
      <c r="M70" s="295" t="s">
        <v>953</v>
      </c>
      <c r="N70" s="299">
        <v>41358</v>
      </c>
      <c r="O70" s="158">
        <f t="shared" si="1"/>
        <v>41358</v>
      </c>
      <c r="P70" s="133" t="s">
        <v>3564</v>
      </c>
      <c r="Q70" s="354" t="s">
        <v>962</v>
      </c>
      <c r="R70" s="52" t="s">
        <v>505</v>
      </c>
      <c r="S70" s="295" t="s">
        <v>2058</v>
      </c>
      <c r="T70" s="228"/>
      <c r="U70" s="114" t="s">
        <v>2049</v>
      </c>
      <c r="V70" s="114" t="s">
        <v>2044</v>
      </c>
      <c r="W70" s="114" t="s">
        <v>53</v>
      </c>
      <c r="X70" s="114" t="s">
        <v>696</v>
      </c>
      <c r="Y70" s="295" t="s">
        <v>1002</v>
      </c>
      <c r="Z70" s="295" t="s">
        <v>1003</v>
      </c>
      <c r="AA70" s="114"/>
      <c r="AB70" s="302" t="s">
        <v>1040</v>
      </c>
      <c r="AC70" s="64" t="s">
        <v>505</v>
      </c>
      <c r="AD70" s="302" t="s">
        <v>22</v>
      </c>
      <c r="AE70" s="302" t="s">
        <v>165</v>
      </c>
      <c r="AF70" s="302" t="s">
        <v>947</v>
      </c>
      <c r="AG70" s="364" t="s">
        <v>3105</v>
      </c>
      <c r="AH70" s="114"/>
      <c r="AI70" s="302" t="s">
        <v>1062</v>
      </c>
      <c r="AJ70" s="64" t="s">
        <v>505</v>
      </c>
      <c r="AK70" s="302" t="s">
        <v>20</v>
      </c>
      <c r="AL70" s="302" t="s">
        <v>21</v>
      </c>
      <c r="AM70" s="302" t="s">
        <v>946</v>
      </c>
      <c r="AN70" s="364" t="s">
        <v>3365</v>
      </c>
      <c r="AO70" s="114"/>
      <c r="AP70" s="191" t="s">
        <v>1926</v>
      </c>
      <c r="AQ70" s="322"/>
      <c r="AR70" s="114"/>
      <c r="AS70" s="323"/>
      <c r="AT70" s="323"/>
      <c r="AU70" s="322"/>
      <c r="AV70" s="322"/>
      <c r="AW70" s="323"/>
      <c r="AX70" s="323"/>
      <c r="AY70" s="109"/>
      <c r="AZ70" s="95"/>
      <c r="BA70" s="109"/>
      <c r="BB70" s="109"/>
      <c r="BC70" s="109"/>
      <c r="BD70" s="109"/>
      <c r="BE70" s="113"/>
      <c r="BF70" s="114"/>
      <c r="BG70" s="114" t="s">
        <v>3554</v>
      </c>
      <c r="BH70" s="246">
        <v>1320439</v>
      </c>
      <c r="BI70" s="64" t="s">
        <v>3551</v>
      </c>
      <c r="BJ70" s="229" t="s">
        <v>3552</v>
      </c>
    </row>
    <row r="71" spans="1:62" s="171" customFormat="1" ht="52.5" customHeight="1">
      <c r="A71" s="171">
        <v>9</v>
      </c>
      <c r="B71" s="17" t="s">
        <v>145</v>
      </c>
      <c r="C71" s="52">
        <v>12537</v>
      </c>
      <c r="D71" s="384" t="s">
        <v>2679</v>
      </c>
      <c r="E71" s="220" t="s">
        <v>306</v>
      </c>
      <c r="F71" s="130" t="s">
        <v>3562</v>
      </c>
      <c r="G71" s="208"/>
      <c r="H71" s="265"/>
      <c r="I71" s="168">
        <v>3</v>
      </c>
      <c r="J71" s="197">
        <v>2</v>
      </c>
      <c r="K71" s="165"/>
      <c r="L71" s="52" t="s">
        <v>502</v>
      </c>
      <c r="M71" s="300" t="s">
        <v>55</v>
      </c>
      <c r="N71" s="327">
        <v>41479</v>
      </c>
      <c r="O71" s="158">
        <f t="shared" si="1"/>
        <v>41479</v>
      </c>
      <c r="P71" s="133" t="s">
        <v>3565</v>
      </c>
      <c r="Q71" s="356" t="s">
        <v>963</v>
      </c>
      <c r="R71" s="52" t="s">
        <v>505</v>
      </c>
      <c r="S71" s="300" t="s">
        <v>1928</v>
      </c>
      <c r="T71" s="228">
        <v>56314</v>
      </c>
      <c r="U71" s="114" t="s">
        <v>2061</v>
      </c>
      <c r="V71" s="114" t="s">
        <v>55</v>
      </c>
      <c r="W71" s="114" t="s">
        <v>55</v>
      </c>
      <c r="X71" s="114" t="s">
        <v>29</v>
      </c>
      <c r="Y71" s="300" t="s">
        <v>56</v>
      </c>
      <c r="Z71" s="300" t="s">
        <v>55</v>
      </c>
      <c r="AA71" s="114"/>
      <c r="AB71" s="328" t="s">
        <v>1929</v>
      </c>
      <c r="AC71" s="64" t="s">
        <v>505</v>
      </c>
      <c r="AD71" s="326" t="s">
        <v>30</v>
      </c>
      <c r="AE71" s="326" t="s">
        <v>921</v>
      </c>
      <c r="AF71" s="326" t="s">
        <v>947</v>
      </c>
      <c r="AG71" s="397" t="s">
        <v>3106</v>
      </c>
      <c r="AH71" s="114"/>
      <c r="AI71" s="326" t="s">
        <v>1063</v>
      </c>
      <c r="AJ71" s="64" t="s">
        <v>505</v>
      </c>
      <c r="AK71" s="326" t="s">
        <v>22</v>
      </c>
      <c r="AL71" s="326" t="s">
        <v>165</v>
      </c>
      <c r="AM71" s="326" t="s">
        <v>948</v>
      </c>
      <c r="AN71" s="397" t="s">
        <v>3106</v>
      </c>
      <c r="AO71" s="114"/>
      <c r="AP71" s="191" t="s">
        <v>1930</v>
      </c>
      <c r="AQ71" s="322"/>
      <c r="AR71" s="114"/>
      <c r="AS71" s="323"/>
      <c r="AT71" s="323"/>
      <c r="AU71" s="322"/>
      <c r="AV71" s="322"/>
      <c r="AW71" s="323"/>
      <c r="AX71" s="323"/>
      <c r="AY71" s="109"/>
      <c r="AZ71" s="95"/>
      <c r="BA71" s="109"/>
      <c r="BB71" s="109"/>
      <c r="BC71" s="109"/>
      <c r="BD71" s="109"/>
      <c r="BE71" s="113"/>
      <c r="BF71" s="114"/>
      <c r="BG71" s="114" t="s">
        <v>3554</v>
      </c>
      <c r="BH71" s="246">
        <v>1320439</v>
      </c>
      <c r="BI71" s="64" t="s">
        <v>3551</v>
      </c>
      <c r="BJ71" s="229" t="s">
        <v>3552</v>
      </c>
    </row>
    <row r="72" spans="1:62" s="171" customFormat="1" ht="52.5" customHeight="1">
      <c r="A72" s="171">
        <v>10</v>
      </c>
      <c r="B72" s="17" t="s">
        <v>145</v>
      </c>
      <c r="C72" s="52">
        <v>12557</v>
      </c>
      <c r="D72" s="383" t="s">
        <v>2680</v>
      </c>
      <c r="E72" s="220" t="s">
        <v>307</v>
      </c>
      <c r="F72" s="130" t="s">
        <v>3562</v>
      </c>
      <c r="G72" s="10"/>
      <c r="H72" s="167"/>
      <c r="I72" s="168">
        <v>2</v>
      </c>
      <c r="J72" s="197">
        <v>3</v>
      </c>
      <c r="K72" s="178"/>
      <c r="L72" s="52" t="s">
        <v>502</v>
      </c>
      <c r="M72" s="295" t="s">
        <v>53</v>
      </c>
      <c r="N72" s="299">
        <v>41551</v>
      </c>
      <c r="O72" s="158">
        <f t="shared" si="1"/>
        <v>41551</v>
      </c>
      <c r="P72" s="133" t="s">
        <v>3566</v>
      </c>
      <c r="Q72" s="354" t="s">
        <v>964</v>
      </c>
      <c r="R72" s="52" t="s">
        <v>505</v>
      </c>
      <c r="S72" s="295" t="s">
        <v>984</v>
      </c>
      <c r="T72" s="228">
        <v>55652</v>
      </c>
      <c r="U72" s="114" t="s">
        <v>2063</v>
      </c>
      <c r="V72" s="114" t="s">
        <v>2059</v>
      </c>
      <c r="W72" s="114" t="s">
        <v>53</v>
      </c>
      <c r="X72" s="114" t="s">
        <v>696</v>
      </c>
      <c r="Y72" s="295" t="s">
        <v>121</v>
      </c>
      <c r="Z72" s="295" t="s">
        <v>1004</v>
      </c>
      <c r="AA72" s="114"/>
      <c r="AB72" s="302" t="s">
        <v>1041</v>
      </c>
      <c r="AC72" s="64" t="s">
        <v>505</v>
      </c>
      <c r="AD72" s="302" t="s">
        <v>22</v>
      </c>
      <c r="AE72" s="302" t="s">
        <v>926</v>
      </c>
      <c r="AF72" s="302" t="s">
        <v>946</v>
      </c>
      <c r="AG72" s="364" t="s">
        <v>3107</v>
      </c>
      <c r="AH72" s="114"/>
      <c r="AI72" s="302" t="s">
        <v>1064</v>
      </c>
      <c r="AJ72" s="64" t="s">
        <v>505</v>
      </c>
      <c r="AK72" s="302" t="s">
        <v>20</v>
      </c>
      <c r="AL72" s="302" t="s">
        <v>923</v>
      </c>
      <c r="AM72" s="302" t="s">
        <v>950</v>
      </c>
      <c r="AN72" s="364" t="s">
        <v>3366</v>
      </c>
      <c r="AO72" s="114"/>
      <c r="AP72" s="191" t="s">
        <v>1927</v>
      </c>
      <c r="AQ72" s="322"/>
      <c r="AR72" s="114"/>
      <c r="AS72" s="323"/>
      <c r="AT72" s="323"/>
      <c r="AU72" s="322"/>
      <c r="AV72" s="322"/>
      <c r="AW72" s="323"/>
      <c r="AX72" s="323"/>
      <c r="AY72" s="109"/>
      <c r="AZ72" s="95"/>
      <c r="BA72" s="109"/>
      <c r="BB72" s="109"/>
      <c r="BC72" s="109"/>
      <c r="BD72" s="109"/>
      <c r="BE72" s="113"/>
      <c r="BF72" s="114"/>
      <c r="BG72" s="114" t="s">
        <v>3554</v>
      </c>
      <c r="BH72" s="246">
        <v>1320439</v>
      </c>
      <c r="BI72" s="64" t="s">
        <v>3551</v>
      </c>
      <c r="BJ72" s="229" t="s">
        <v>3552</v>
      </c>
    </row>
    <row r="73" spans="1:62" s="51" customFormat="1" ht="52.5" customHeight="1">
      <c r="A73" s="51">
        <v>11</v>
      </c>
      <c r="B73" s="17" t="s">
        <v>145</v>
      </c>
      <c r="C73" s="52">
        <v>12568</v>
      </c>
      <c r="D73" s="292">
        <v>3149122128</v>
      </c>
      <c r="E73" s="220" t="s">
        <v>308</v>
      </c>
      <c r="F73" s="130" t="s">
        <v>3562</v>
      </c>
      <c r="G73" s="10"/>
      <c r="H73" s="131"/>
      <c r="I73" s="55">
        <v>2</v>
      </c>
      <c r="J73" s="196">
        <v>1</v>
      </c>
      <c r="K73" s="178"/>
      <c r="L73" s="52" t="s">
        <v>502</v>
      </c>
      <c r="M73" s="295" t="s">
        <v>111</v>
      </c>
      <c r="N73" s="299">
        <v>41826</v>
      </c>
      <c r="O73" s="158">
        <f t="shared" si="1"/>
        <v>41826</v>
      </c>
      <c r="P73" s="133" t="s">
        <v>3567</v>
      </c>
      <c r="Q73" s="363" t="s">
        <v>1931</v>
      </c>
      <c r="R73" s="52" t="s">
        <v>505</v>
      </c>
      <c r="S73" s="295" t="s">
        <v>985</v>
      </c>
      <c r="T73" s="79"/>
      <c r="U73" s="64" t="s">
        <v>2062</v>
      </c>
      <c r="V73" s="64" t="s">
        <v>2060</v>
      </c>
      <c r="W73" s="64" t="s">
        <v>111</v>
      </c>
      <c r="X73" s="114" t="s">
        <v>29</v>
      </c>
      <c r="Y73" s="295" t="s">
        <v>1005</v>
      </c>
      <c r="Z73" s="295"/>
      <c r="AA73" s="64"/>
      <c r="AB73" s="302" t="s">
        <v>1042</v>
      </c>
      <c r="AC73" s="64" t="s">
        <v>505</v>
      </c>
      <c r="AD73" s="302"/>
      <c r="AE73" s="302"/>
      <c r="AF73" s="302"/>
      <c r="AG73" s="364" t="s">
        <v>3108</v>
      </c>
      <c r="AH73" s="114"/>
      <c r="AI73" s="302" t="s">
        <v>1065</v>
      </c>
      <c r="AJ73" s="64" t="s">
        <v>505</v>
      </c>
      <c r="AK73" s="302"/>
      <c r="AL73" s="302"/>
      <c r="AM73" s="302"/>
      <c r="AN73" s="364" t="s">
        <v>3367</v>
      </c>
      <c r="AO73" s="64"/>
      <c r="AP73" s="190" t="s">
        <v>1932</v>
      </c>
      <c r="AQ73" s="72"/>
      <c r="AR73" s="64"/>
      <c r="AS73" s="324"/>
      <c r="AT73" s="324"/>
      <c r="AU73" s="72"/>
      <c r="AV73" s="72"/>
      <c r="AW73" s="324"/>
      <c r="AX73" s="324"/>
      <c r="AY73" s="60"/>
      <c r="AZ73" s="95"/>
      <c r="BA73" s="60"/>
      <c r="BB73" s="60"/>
      <c r="BC73" s="60"/>
      <c r="BD73" s="60"/>
      <c r="BE73" s="75"/>
      <c r="BF73" s="64"/>
      <c r="BG73" s="114" t="s">
        <v>3554</v>
      </c>
      <c r="BH73" s="246">
        <v>1320439</v>
      </c>
      <c r="BI73" s="64" t="s">
        <v>3551</v>
      </c>
      <c r="BJ73" s="229" t="s">
        <v>3552</v>
      </c>
    </row>
    <row r="74" spans="1:62" s="51" customFormat="1" ht="52.5" customHeight="1">
      <c r="A74" s="51">
        <v>12</v>
      </c>
      <c r="B74" s="17" t="s">
        <v>145</v>
      </c>
      <c r="C74" s="52">
        <v>12574</v>
      </c>
      <c r="D74" s="383" t="s">
        <v>2681</v>
      </c>
      <c r="E74" s="220" t="s">
        <v>309</v>
      </c>
      <c r="F74" s="130" t="s">
        <v>3562</v>
      </c>
      <c r="G74" s="10"/>
      <c r="H74" s="131"/>
      <c r="I74" s="55"/>
      <c r="J74" s="196"/>
      <c r="K74" s="178"/>
      <c r="L74" s="52" t="s">
        <v>502</v>
      </c>
      <c r="M74" s="295" t="s">
        <v>52</v>
      </c>
      <c r="N74" s="299">
        <v>41324</v>
      </c>
      <c r="O74" s="158">
        <f t="shared" si="1"/>
        <v>41324</v>
      </c>
      <c r="P74" s="133" t="s">
        <v>3568</v>
      </c>
      <c r="Q74" s="354" t="s">
        <v>965</v>
      </c>
      <c r="R74" s="52" t="s">
        <v>505</v>
      </c>
      <c r="S74" s="295" t="s">
        <v>2618</v>
      </c>
      <c r="T74" s="79"/>
      <c r="U74" s="64" t="s">
        <v>2068</v>
      </c>
      <c r="V74" s="64" t="s">
        <v>2069</v>
      </c>
      <c r="W74" s="64" t="s">
        <v>52</v>
      </c>
      <c r="X74" s="64" t="s">
        <v>696</v>
      </c>
      <c r="Y74" s="295" t="s">
        <v>1006</v>
      </c>
      <c r="Z74" s="295" t="s">
        <v>1007</v>
      </c>
      <c r="AA74" s="64"/>
      <c r="AB74" s="302" t="s">
        <v>2923</v>
      </c>
      <c r="AC74" s="64" t="s">
        <v>505</v>
      </c>
      <c r="AD74" s="302" t="s">
        <v>20</v>
      </c>
      <c r="AE74" s="302" t="s">
        <v>921</v>
      </c>
      <c r="AF74" s="302" t="s">
        <v>948</v>
      </c>
      <c r="AG74" s="364" t="s">
        <v>3109</v>
      </c>
      <c r="AH74" s="114"/>
      <c r="AI74" s="302" t="s">
        <v>2966</v>
      </c>
      <c r="AJ74" s="64" t="s">
        <v>505</v>
      </c>
      <c r="AK74" s="302" t="s">
        <v>20</v>
      </c>
      <c r="AL74" s="302" t="s">
        <v>21</v>
      </c>
      <c r="AM74" s="302" t="s">
        <v>948</v>
      </c>
      <c r="AN74" s="364" t="s">
        <v>3368</v>
      </c>
      <c r="AO74" s="64"/>
      <c r="AP74" s="190"/>
      <c r="AQ74" s="72"/>
      <c r="AR74" s="64"/>
      <c r="AS74" s="324"/>
      <c r="AT74" s="324"/>
      <c r="AU74" s="72"/>
      <c r="AV74" s="72"/>
      <c r="AW74" s="324"/>
      <c r="AX74" s="324"/>
      <c r="AY74" s="60"/>
      <c r="AZ74" s="95"/>
      <c r="BA74" s="60"/>
      <c r="BB74" s="60"/>
      <c r="BC74" s="60"/>
      <c r="BD74" s="60"/>
      <c r="BE74" s="75"/>
      <c r="BF74" s="64"/>
      <c r="BG74" s="114" t="s">
        <v>3554</v>
      </c>
      <c r="BH74" s="246">
        <v>1320439</v>
      </c>
      <c r="BI74" s="64" t="s">
        <v>3551</v>
      </c>
      <c r="BJ74" s="229" t="s">
        <v>3552</v>
      </c>
    </row>
    <row r="75" spans="1:62" s="51" customFormat="1" ht="52.5" customHeight="1">
      <c r="A75" s="51">
        <v>13</v>
      </c>
      <c r="B75" s="17" t="s">
        <v>145</v>
      </c>
      <c r="C75" s="52">
        <v>12587</v>
      </c>
      <c r="D75" s="383" t="s">
        <v>2682</v>
      </c>
      <c r="E75" s="220" t="s">
        <v>310</v>
      </c>
      <c r="F75" s="130" t="s">
        <v>3562</v>
      </c>
      <c r="G75" s="10"/>
      <c r="H75" s="131"/>
      <c r="I75" s="55">
        <v>1</v>
      </c>
      <c r="J75" s="196">
        <v>2</v>
      </c>
      <c r="K75" s="178"/>
      <c r="L75" s="52" t="s">
        <v>502</v>
      </c>
      <c r="M75" s="295" t="s">
        <v>133</v>
      </c>
      <c r="N75" s="299">
        <v>41454</v>
      </c>
      <c r="O75" s="158">
        <f t="shared" si="1"/>
        <v>41454</v>
      </c>
      <c r="P75" s="133" t="s">
        <v>3569</v>
      </c>
      <c r="Q75" s="354" t="s">
        <v>966</v>
      </c>
      <c r="R75" s="52" t="s">
        <v>505</v>
      </c>
      <c r="S75" s="295" t="s">
        <v>2619</v>
      </c>
      <c r="T75" s="79">
        <v>51372</v>
      </c>
      <c r="U75" s="64" t="s">
        <v>2070</v>
      </c>
      <c r="V75" s="64" t="s">
        <v>1861</v>
      </c>
      <c r="W75" s="64" t="s">
        <v>117</v>
      </c>
      <c r="X75" s="64" t="s">
        <v>29</v>
      </c>
      <c r="Y75" s="295" t="s">
        <v>1008</v>
      </c>
      <c r="Z75" s="295" t="s">
        <v>1009</v>
      </c>
      <c r="AA75" s="64"/>
      <c r="AB75" s="302" t="s">
        <v>1043</v>
      </c>
      <c r="AC75" s="64" t="s">
        <v>505</v>
      </c>
      <c r="AD75" s="302" t="s">
        <v>922</v>
      </c>
      <c r="AE75" s="302" t="s">
        <v>165</v>
      </c>
      <c r="AF75" s="302" t="s">
        <v>951</v>
      </c>
      <c r="AG75" s="364" t="s">
        <v>3110</v>
      </c>
      <c r="AH75" s="114"/>
      <c r="AI75" s="302" t="s">
        <v>1066</v>
      </c>
      <c r="AJ75" s="64" t="s">
        <v>505</v>
      </c>
      <c r="AK75" s="302" t="s">
        <v>75</v>
      </c>
      <c r="AL75" s="302" t="s">
        <v>21</v>
      </c>
      <c r="AM75" s="302" t="s">
        <v>947</v>
      </c>
      <c r="AN75" s="364" t="s">
        <v>3369</v>
      </c>
      <c r="AO75" s="64"/>
      <c r="AP75" s="190" t="s">
        <v>1933</v>
      </c>
      <c r="AQ75" s="72"/>
      <c r="AR75" s="64"/>
      <c r="AS75" s="324"/>
      <c r="AT75" s="324"/>
      <c r="AU75" s="72"/>
      <c r="AV75" s="72"/>
      <c r="AW75" s="324"/>
      <c r="AX75" s="324"/>
      <c r="AY75" s="60"/>
      <c r="AZ75" s="95"/>
      <c r="BA75" s="60"/>
      <c r="BB75" s="60"/>
      <c r="BC75" s="60"/>
      <c r="BD75" s="60"/>
      <c r="BE75" s="75"/>
      <c r="BF75" s="64"/>
      <c r="BG75" s="114" t="s">
        <v>3554</v>
      </c>
      <c r="BH75" s="246">
        <v>1320439</v>
      </c>
      <c r="BI75" s="64" t="s">
        <v>3551</v>
      </c>
      <c r="BJ75" s="229" t="s">
        <v>3552</v>
      </c>
    </row>
    <row r="76" spans="1:62" s="51" customFormat="1" ht="52.5" customHeight="1">
      <c r="A76" s="51">
        <v>14</v>
      </c>
      <c r="B76" s="17" t="s">
        <v>145</v>
      </c>
      <c r="C76" s="164">
        <v>12589</v>
      </c>
      <c r="D76" s="383" t="s">
        <v>2683</v>
      </c>
      <c r="E76" s="220" t="s">
        <v>311</v>
      </c>
      <c r="F76" s="130" t="s">
        <v>3562</v>
      </c>
      <c r="G76" s="10"/>
      <c r="H76" s="131"/>
      <c r="I76" s="55">
        <v>1</v>
      </c>
      <c r="J76" s="196">
        <v>2</v>
      </c>
      <c r="K76" s="178"/>
      <c r="L76" s="52" t="s">
        <v>502</v>
      </c>
      <c r="M76" s="295" t="s">
        <v>954</v>
      </c>
      <c r="N76" s="298">
        <v>41719</v>
      </c>
      <c r="O76" s="158">
        <f t="shared" si="1"/>
        <v>41719</v>
      </c>
      <c r="P76" s="133" t="s">
        <v>3570</v>
      </c>
      <c r="Q76" s="354" t="s">
        <v>967</v>
      </c>
      <c r="R76" s="52" t="s">
        <v>505</v>
      </c>
      <c r="S76" s="295" t="s">
        <v>2072</v>
      </c>
      <c r="T76" s="79">
        <v>36373</v>
      </c>
      <c r="U76" s="64" t="s">
        <v>2073</v>
      </c>
      <c r="V76" s="64" t="s">
        <v>954</v>
      </c>
      <c r="W76" s="64" t="s">
        <v>954</v>
      </c>
      <c r="X76" s="64" t="s">
        <v>86</v>
      </c>
      <c r="Y76" s="295" t="s">
        <v>1010</v>
      </c>
      <c r="Z76" s="295" t="s">
        <v>1011</v>
      </c>
      <c r="AA76" s="64"/>
      <c r="AB76" s="302" t="s">
        <v>1044</v>
      </c>
      <c r="AC76" s="64" t="s">
        <v>505</v>
      </c>
      <c r="AD76" s="302" t="s">
        <v>20</v>
      </c>
      <c r="AE76" s="302" t="s">
        <v>165</v>
      </c>
      <c r="AF76" s="302" t="s">
        <v>948</v>
      </c>
      <c r="AG76" s="364" t="s">
        <v>3111</v>
      </c>
      <c r="AH76" s="114"/>
      <c r="AI76" s="302" t="s">
        <v>1067</v>
      </c>
      <c r="AJ76" s="64" t="s">
        <v>505</v>
      </c>
      <c r="AK76" s="302" t="s">
        <v>30</v>
      </c>
      <c r="AL76" s="302" t="s">
        <v>921</v>
      </c>
      <c r="AM76" s="302" t="s">
        <v>946</v>
      </c>
      <c r="AN76" s="364" t="s">
        <v>3370</v>
      </c>
      <c r="AO76" s="64"/>
      <c r="AP76" s="190" t="s">
        <v>1934</v>
      </c>
      <c r="AQ76" s="72"/>
      <c r="AR76" s="64"/>
      <c r="AS76" s="324"/>
      <c r="AT76" s="324"/>
      <c r="AU76" s="72"/>
      <c r="AV76" s="72"/>
      <c r="AW76" s="324"/>
      <c r="AX76" s="324"/>
      <c r="AY76" s="60"/>
      <c r="AZ76" s="95"/>
      <c r="BA76" s="60"/>
      <c r="BB76" s="60"/>
      <c r="BC76" s="60"/>
      <c r="BD76" s="60"/>
      <c r="BE76" s="75"/>
      <c r="BF76" s="64"/>
      <c r="BG76" s="114" t="s">
        <v>3554</v>
      </c>
      <c r="BH76" s="246">
        <v>1320439</v>
      </c>
      <c r="BI76" s="64" t="s">
        <v>3551</v>
      </c>
      <c r="BJ76" s="229" t="s">
        <v>3552</v>
      </c>
    </row>
    <row r="77" spans="1:62" s="51" customFormat="1" ht="52.5" customHeight="1">
      <c r="A77" s="51">
        <v>15</v>
      </c>
      <c r="B77" s="17" t="s">
        <v>145</v>
      </c>
      <c r="C77" s="164">
        <v>12596</v>
      </c>
      <c r="D77" s="383" t="s">
        <v>2684</v>
      </c>
      <c r="E77" s="220" t="s">
        <v>312</v>
      </c>
      <c r="F77" s="130" t="s">
        <v>3562</v>
      </c>
      <c r="G77" s="10"/>
      <c r="H77" s="263"/>
      <c r="I77" s="55">
        <v>1</v>
      </c>
      <c r="J77" s="196">
        <v>1</v>
      </c>
      <c r="K77" s="178"/>
      <c r="L77" s="52" t="s">
        <v>502</v>
      </c>
      <c r="M77" s="295" t="s">
        <v>76</v>
      </c>
      <c r="N77" s="299">
        <v>41730</v>
      </c>
      <c r="O77" s="158">
        <f t="shared" si="1"/>
        <v>41730</v>
      </c>
      <c r="P77" s="133" t="s">
        <v>3571</v>
      </c>
      <c r="Q77" s="354" t="s">
        <v>968</v>
      </c>
      <c r="R77" s="52" t="s">
        <v>505</v>
      </c>
      <c r="S77" s="295" t="s">
        <v>986</v>
      </c>
      <c r="T77" s="79">
        <v>56255</v>
      </c>
      <c r="U77" s="64" t="s">
        <v>2071</v>
      </c>
      <c r="V77" s="64" t="s">
        <v>2064</v>
      </c>
      <c r="W77" s="64" t="s">
        <v>111</v>
      </c>
      <c r="X77" s="64" t="s">
        <v>29</v>
      </c>
      <c r="Y77" s="295" t="s">
        <v>170</v>
      </c>
      <c r="Z77" s="295" t="s">
        <v>1012</v>
      </c>
      <c r="AA77" s="64"/>
      <c r="AB77" s="303" t="s">
        <v>1045</v>
      </c>
      <c r="AC77" s="64" t="s">
        <v>505</v>
      </c>
      <c r="AD77" s="302" t="s">
        <v>20</v>
      </c>
      <c r="AE77" s="302" t="s">
        <v>165</v>
      </c>
      <c r="AF77" s="302" t="s">
        <v>946</v>
      </c>
      <c r="AG77" s="364" t="s">
        <v>3112</v>
      </c>
      <c r="AH77" s="114"/>
      <c r="AI77" s="302" t="s">
        <v>1068</v>
      </c>
      <c r="AJ77" s="64" t="s">
        <v>505</v>
      </c>
      <c r="AK77" s="302" t="s">
        <v>20</v>
      </c>
      <c r="AL77" s="302" t="s">
        <v>21</v>
      </c>
      <c r="AM77" s="302" t="s">
        <v>946</v>
      </c>
      <c r="AN77" s="364" t="s">
        <v>3371</v>
      </c>
      <c r="AO77" s="64"/>
      <c r="AP77" s="190" t="s">
        <v>1935</v>
      </c>
      <c r="AQ77" s="72"/>
      <c r="AR77" s="64"/>
      <c r="AS77" s="324"/>
      <c r="AT77" s="324"/>
      <c r="AU77" s="72"/>
      <c r="AV77" s="72"/>
      <c r="AW77" s="324"/>
      <c r="AX77" s="324"/>
      <c r="AY77" s="60"/>
      <c r="AZ77" s="95"/>
      <c r="BA77" s="60"/>
      <c r="BB77" s="60"/>
      <c r="BC77" s="58"/>
      <c r="BD77" s="60"/>
      <c r="BE77" s="75"/>
      <c r="BF77" s="64"/>
      <c r="BG77" s="114" t="s">
        <v>3554</v>
      </c>
      <c r="BH77" s="246">
        <v>1320439</v>
      </c>
      <c r="BI77" s="64" t="s">
        <v>3551</v>
      </c>
      <c r="BJ77" s="229" t="s">
        <v>3552</v>
      </c>
    </row>
    <row r="78" spans="1:62" s="51" customFormat="1" ht="52.5" customHeight="1">
      <c r="A78" s="51">
        <v>16</v>
      </c>
      <c r="B78" s="17" t="s">
        <v>145</v>
      </c>
      <c r="C78" s="164">
        <v>12601</v>
      </c>
      <c r="D78" s="383" t="s">
        <v>2685</v>
      </c>
      <c r="E78" s="220" t="s">
        <v>313</v>
      </c>
      <c r="F78" s="130" t="s">
        <v>3562</v>
      </c>
      <c r="G78" s="10"/>
      <c r="H78" s="131"/>
      <c r="I78" s="55">
        <v>2</v>
      </c>
      <c r="J78" s="196">
        <v>2</v>
      </c>
      <c r="K78" s="178"/>
      <c r="L78" s="52" t="s">
        <v>502</v>
      </c>
      <c r="M78" s="295" t="s">
        <v>111</v>
      </c>
      <c r="N78" s="299">
        <v>41503</v>
      </c>
      <c r="O78" s="158">
        <f t="shared" si="1"/>
        <v>41503</v>
      </c>
      <c r="P78" s="133" t="s">
        <v>3572</v>
      </c>
      <c r="Q78" s="354" t="s">
        <v>969</v>
      </c>
      <c r="R78" s="52" t="s">
        <v>505</v>
      </c>
      <c r="S78" s="295" t="s">
        <v>2074</v>
      </c>
      <c r="T78" s="79">
        <v>56218</v>
      </c>
      <c r="U78" s="64" t="s">
        <v>2066</v>
      </c>
      <c r="V78" s="64" t="s">
        <v>111</v>
      </c>
      <c r="W78" s="64" t="s">
        <v>111</v>
      </c>
      <c r="X78" s="64" t="s">
        <v>29</v>
      </c>
      <c r="Y78" s="295" t="s">
        <v>1013</v>
      </c>
      <c r="Z78" s="295" t="s">
        <v>1014</v>
      </c>
      <c r="AA78" s="64"/>
      <c r="AB78" s="303" t="s">
        <v>1936</v>
      </c>
      <c r="AC78" s="64" t="s">
        <v>505</v>
      </c>
      <c r="AD78" s="302" t="s">
        <v>922</v>
      </c>
      <c r="AE78" s="302" t="s">
        <v>1057</v>
      </c>
      <c r="AF78" s="302" t="s">
        <v>946</v>
      </c>
      <c r="AG78" s="364" t="s">
        <v>3113</v>
      </c>
      <c r="AH78" s="114"/>
      <c r="AI78" s="302" t="s">
        <v>1069</v>
      </c>
      <c r="AJ78" s="64" t="s">
        <v>505</v>
      </c>
      <c r="AK78" s="302" t="s">
        <v>20</v>
      </c>
      <c r="AL78" s="302" t="s">
        <v>921</v>
      </c>
      <c r="AM78" s="302" t="s">
        <v>948</v>
      </c>
      <c r="AN78" s="364" t="s">
        <v>3372</v>
      </c>
      <c r="AO78" s="64"/>
      <c r="AP78" s="190" t="s">
        <v>1937</v>
      </c>
      <c r="AQ78" s="72"/>
      <c r="AR78" s="64"/>
      <c r="AS78" s="324"/>
      <c r="AT78" s="324"/>
      <c r="AU78" s="72"/>
      <c r="AV78" s="72"/>
      <c r="AW78" s="324"/>
      <c r="AX78" s="324"/>
      <c r="AY78" s="60"/>
      <c r="AZ78" s="95"/>
      <c r="BA78" s="60"/>
      <c r="BB78" s="60"/>
      <c r="BC78" s="60"/>
      <c r="BD78" s="60"/>
      <c r="BE78" s="75"/>
      <c r="BF78" s="64"/>
      <c r="BG78" s="114" t="s">
        <v>3554</v>
      </c>
      <c r="BH78" s="246">
        <v>1320439</v>
      </c>
      <c r="BI78" s="64" t="s">
        <v>3551</v>
      </c>
      <c r="BJ78" s="229" t="s">
        <v>3552</v>
      </c>
    </row>
    <row r="79" spans="1:62" s="51" customFormat="1" ht="52.5" customHeight="1">
      <c r="A79" s="51">
        <v>17</v>
      </c>
      <c r="B79" s="17" t="s">
        <v>145</v>
      </c>
      <c r="C79" s="164">
        <v>12622</v>
      </c>
      <c r="D79" s="383" t="s">
        <v>2686</v>
      </c>
      <c r="E79" s="220" t="s">
        <v>314</v>
      </c>
      <c r="F79" s="130" t="s">
        <v>3562</v>
      </c>
      <c r="G79" s="10"/>
      <c r="H79" s="131"/>
      <c r="I79" s="55">
        <v>2</v>
      </c>
      <c r="J79" s="196">
        <v>1</v>
      </c>
      <c r="K79" s="178"/>
      <c r="L79" s="52" t="s">
        <v>502</v>
      </c>
      <c r="M79" s="295" t="s">
        <v>37</v>
      </c>
      <c r="N79" s="299">
        <v>41615</v>
      </c>
      <c r="O79" s="158">
        <f t="shared" si="1"/>
        <v>41615</v>
      </c>
      <c r="P79" s="133" t="s">
        <v>3573</v>
      </c>
      <c r="Q79" s="354" t="s">
        <v>970</v>
      </c>
      <c r="R79" s="52" t="s">
        <v>505</v>
      </c>
      <c r="S79" s="295" t="s">
        <v>1938</v>
      </c>
      <c r="T79" s="79">
        <v>75277</v>
      </c>
      <c r="U79" s="64" t="s">
        <v>2076</v>
      </c>
      <c r="V79" s="64" t="s">
        <v>2065</v>
      </c>
      <c r="W79" s="64" t="s">
        <v>1890</v>
      </c>
      <c r="X79" s="64" t="s">
        <v>36</v>
      </c>
      <c r="Y79" s="295" t="s">
        <v>1015</v>
      </c>
      <c r="Z79" s="295" t="s">
        <v>1016</v>
      </c>
      <c r="AA79" s="64"/>
      <c r="AB79" s="302" t="s">
        <v>1046</v>
      </c>
      <c r="AC79" s="64" t="s">
        <v>505</v>
      </c>
      <c r="AD79" s="302" t="s">
        <v>30</v>
      </c>
      <c r="AE79" s="302" t="s">
        <v>21</v>
      </c>
      <c r="AF79" s="302" t="s">
        <v>946</v>
      </c>
      <c r="AG79" s="364" t="s">
        <v>3114</v>
      </c>
      <c r="AH79" s="206"/>
      <c r="AI79" s="302" t="s">
        <v>2967</v>
      </c>
      <c r="AJ79" s="64" t="s">
        <v>505</v>
      </c>
      <c r="AK79" s="302" t="s">
        <v>20</v>
      </c>
      <c r="AL79" s="302" t="s">
        <v>21</v>
      </c>
      <c r="AM79" s="302" t="s">
        <v>946</v>
      </c>
      <c r="AN79" s="364" t="s">
        <v>3373</v>
      </c>
      <c r="AO79" s="329"/>
      <c r="AP79" s="190" t="s">
        <v>1939</v>
      </c>
      <c r="AQ79" s="72"/>
      <c r="AR79" s="64"/>
      <c r="AS79" s="324"/>
      <c r="AT79" s="324"/>
      <c r="AU79" s="72"/>
      <c r="AV79" s="72"/>
      <c r="AW79" s="324"/>
      <c r="AX79" s="324"/>
      <c r="AY79" s="60"/>
      <c r="AZ79" s="95"/>
      <c r="BA79" s="60"/>
      <c r="BB79" s="60"/>
      <c r="BC79" s="58"/>
      <c r="BD79" s="60"/>
      <c r="BE79" s="75"/>
      <c r="BF79" s="64"/>
      <c r="BG79" s="114" t="s">
        <v>3554</v>
      </c>
      <c r="BH79" s="246">
        <v>1320439</v>
      </c>
      <c r="BI79" s="64" t="s">
        <v>3551</v>
      </c>
      <c r="BJ79" s="229" t="s">
        <v>3552</v>
      </c>
    </row>
    <row r="80" spans="1:62" s="51" customFormat="1" ht="52.5" customHeight="1">
      <c r="A80" s="51">
        <v>18</v>
      </c>
      <c r="B80" s="17" t="s">
        <v>145</v>
      </c>
      <c r="C80" s="164">
        <v>12626</v>
      </c>
      <c r="D80" s="383" t="s">
        <v>2687</v>
      </c>
      <c r="E80" s="220" t="s">
        <v>315</v>
      </c>
      <c r="F80" s="130" t="s">
        <v>3562</v>
      </c>
      <c r="G80" s="10"/>
      <c r="H80" s="263"/>
      <c r="I80" s="55">
        <v>3</v>
      </c>
      <c r="J80" s="196">
        <v>2</v>
      </c>
      <c r="K80" s="52"/>
      <c r="L80" s="52" t="s">
        <v>502</v>
      </c>
      <c r="M80" s="295" t="s">
        <v>27</v>
      </c>
      <c r="N80" s="299">
        <v>41774</v>
      </c>
      <c r="O80" s="158">
        <f t="shared" si="1"/>
        <v>41774</v>
      </c>
      <c r="P80" s="133" t="s">
        <v>3574</v>
      </c>
      <c r="Q80" s="354" t="s">
        <v>971</v>
      </c>
      <c r="R80" s="52" t="s">
        <v>505</v>
      </c>
      <c r="S80" s="295" t="s">
        <v>2079</v>
      </c>
      <c r="T80" s="64">
        <v>12330</v>
      </c>
      <c r="U80" s="64" t="s">
        <v>2067</v>
      </c>
      <c r="V80" s="64" t="s">
        <v>2067</v>
      </c>
      <c r="W80" s="64" t="s">
        <v>1882</v>
      </c>
      <c r="X80" s="64" t="s">
        <v>40</v>
      </c>
      <c r="Y80" s="295" t="s">
        <v>1017</v>
      </c>
      <c r="Z80" s="295" t="s">
        <v>1018</v>
      </c>
      <c r="AA80" s="64"/>
      <c r="AB80" s="302" t="s">
        <v>1047</v>
      </c>
      <c r="AC80" s="64" t="s">
        <v>505</v>
      </c>
      <c r="AD80" s="302" t="s">
        <v>20</v>
      </c>
      <c r="AE80" s="302" t="s">
        <v>21</v>
      </c>
      <c r="AF80" s="302" t="s">
        <v>948</v>
      </c>
      <c r="AG80" s="364" t="s">
        <v>3115</v>
      </c>
      <c r="AH80" s="114"/>
      <c r="AI80" s="302" t="s">
        <v>1070</v>
      </c>
      <c r="AJ80" s="64" t="s">
        <v>505</v>
      </c>
      <c r="AK80" s="302" t="s">
        <v>20</v>
      </c>
      <c r="AL80" s="302" t="s">
        <v>921</v>
      </c>
      <c r="AM80" s="302" t="s">
        <v>948</v>
      </c>
      <c r="AN80" s="364" t="s">
        <v>3374</v>
      </c>
      <c r="AO80" s="64"/>
      <c r="AP80" s="190" t="s">
        <v>1940</v>
      </c>
      <c r="AQ80" s="72"/>
      <c r="AR80" s="64"/>
      <c r="AS80" s="324"/>
      <c r="AT80" s="324"/>
      <c r="AU80" s="72"/>
      <c r="AV80" s="72"/>
      <c r="AW80" s="324"/>
      <c r="AX80" s="324"/>
      <c r="AY80" s="60"/>
      <c r="AZ80" s="95"/>
      <c r="BA80" s="60"/>
      <c r="BB80" s="60"/>
      <c r="BC80" s="60"/>
      <c r="BD80" s="60"/>
      <c r="BE80" s="75"/>
      <c r="BF80" s="64"/>
      <c r="BG80" s="114" t="s">
        <v>3554</v>
      </c>
      <c r="BH80" s="246">
        <v>1320439</v>
      </c>
      <c r="BI80" s="64" t="s">
        <v>3551</v>
      </c>
      <c r="BJ80" s="229" t="s">
        <v>3552</v>
      </c>
    </row>
    <row r="81" spans="1:62" s="51" customFormat="1" ht="52.5" customHeight="1">
      <c r="A81" s="51">
        <v>19</v>
      </c>
      <c r="B81" s="17" t="s">
        <v>145</v>
      </c>
      <c r="C81" s="164">
        <v>12628</v>
      </c>
      <c r="D81" s="292">
        <v>3136838220</v>
      </c>
      <c r="E81" s="220" t="s">
        <v>316</v>
      </c>
      <c r="F81" s="130" t="s">
        <v>3562</v>
      </c>
      <c r="G81" s="10"/>
      <c r="H81" s="263"/>
      <c r="I81" s="55">
        <v>3</v>
      </c>
      <c r="J81" s="196">
        <v>2</v>
      </c>
      <c r="K81" s="178"/>
      <c r="L81" s="52" t="s">
        <v>502</v>
      </c>
      <c r="M81" s="295" t="s">
        <v>955</v>
      </c>
      <c r="N81" s="299">
        <v>41561</v>
      </c>
      <c r="O81" s="158">
        <f t="shared" si="1"/>
        <v>41561</v>
      </c>
      <c r="P81" s="133" t="s">
        <v>3575</v>
      </c>
      <c r="Q81" s="354" t="s">
        <v>972</v>
      </c>
      <c r="R81" s="52" t="s">
        <v>505</v>
      </c>
      <c r="S81" s="295" t="s">
        <v>2620</v>
      </c>
      <c r="T81" s="79">
        <v>42438</v>
      </c>
      <c r="U81" s="64" t="s">
        <v>2085</v>
      </c>
      <c r="V81" s="64" t="s">
        <v>2083</v>
      </c>
      <c r="W81" s="64" t="s">
        <v>2082</v>
      </c>
      <c r="X81" s="64" t="s">
        <v>43</v>
      </c>
      <c r="Y81" s="295" t="s">
        <v>2871</v>
      </c>
      <c r="Z81" s="295" t="s">
        <v>1019</v>
      </c>
      <c r="AA81" s="64"/>
      <c r="AB81" s="302" t="s">
        <v>2924</v>
      </c>
      <c r="AC81" s="64" t="s">
        <v>505</v>
      </c>
      <c r="AD81" s="302" t="s">
        <v>20</v>
      </c>
      <c r="AE81" s="302" t="s">
        <v>21</v>
      </c>
      <c r="AF81" s="302" t="s">
        <v>948</v>
      </c>
      <c r="AG81" s="364" t="s">
        <v>3116</v>
      </c>
      <c r="AH81" s="114"/>
      <c r="AI81" s="302" t="s">
        <v>2968</v>
      </c>
      <c r="AJ81" s="64" t="s">
        <v>505</v>
      </c>
      <c r="AK81" s="302" t="s">
        <v>22</v>
      </c>
      <c r="AL81" s="302" t="s">
        <v>921</v>
      </c>
      <c r="AM81" s="302" t="s">
        <v>948</v>
      </c>
      <c r="AN81" s="364" t="s">
        <v>3375</v>
      </c>
      <c r="AO81" s="64"/>
      <c r="AP81" s="190" t="s">
        <v>1941</v>
      </c>
      <c r="AQ81" s="72"/>
      <c r="AR81" s="64"/>
      <c r="AS81" s="324"/>
      <c r="AT81" s="324"/>
      <c r="AU81" s="72"/>
      <c r="AV81" s="72"/>
      <c r="AW81" s="324"/>
      <c r="AX81" s="324"/>
      <c r="AY81" s="60"/>
      <c r="AZ81" s="95"/>
      <c r="BA81" s="60"/>
      <c r="BB81" s="60"/>
      <c r="BC81" s="60"/>
      <c r="BD81" s="60"/>
      <c r="BE81" s="75"/>
      <c r="BF81" s="64"/>
      <c r="BG81" s="114" t="s">
        <v>3554</v>
      </c>
      <c r="BH81" s="246">
        <v>1320439</v>
      </c>
      <c r="BI81" s="64" t="s">
        <v>3551</v>
      </c>
      <c r="BJ81" s="229" t="s">
        <v>3552</v>
      </c>
    </row>
    <row r="82" spans="1:62" s="171" customFormat="1" ht="47.25">
      <c r="A82" s="171">
        <v>20</v>
      </c>
      <c r="B82" s="17" t="s">
        <v>145</v>
      </c>
      <c r="C82" s="164">
        <v>12639</v>
      </c>
      <c r="D82" s="292">
        <v>3136599897</v>
      </c>
      <c r="E82" s="220" t="s">
        <v>317</v>
      </c>
      <c r="F82" s="130" t="s">
        <v>3562</v>
      </c>
      <c r="G82" s="10"/>
      <c r="H82" s="265"/>
      <c r="I82" s="168">
        <v>3</v>
      </c>
      <c r="J82" s="197">
        <v>2</v>
      </c>
      <c r="K82" s="178"/>
      <c r="L82" s="52" t="s">
        <v>502</v>
      </c>
      <c r="M82" s="295" t="s">
        <v>23</v>
      </c>
      <c r="N82" s="299">
        <v>41591</v>
      </c>
      <c r="O82" s="158">
        <f t="shared" si="1"/>
        <v>41591</v>
      </c>
      <c r="P82" s="133" t="s">
        <v>3576</v>
      </c>
      <c r="Q82" s="354" t="s">
        <v>973</v>
      </c>
      <c r="R82" s="52" t="s">
        <v>505</v>
      </c>
      <c r="S82" s="295" t="s">
        <v>987</v>
      </c>
      <c r="T82" s="228">
        <v>55221</v>
      </c>
      <c r="U82" s="114" t="s">
        <v>2080</v>
      </c>
      <c r="V82" s="114" t="s">
        <v>2081</v>
      </c>
      <c r="W82" s="114" t="s">
        <v>695</v>
      </c>
      <c r="X82" s="114" t="s">
        <v>696</v>
      </c>
      <c r="Y82" s="295" t="s">
        <v>1020</v>
      </c>
      <c r="Z82" s="295" t="s">
        <v>1021</v>
      </c>
      <c r="AA82" s="114"/>
      <c r="AB82" s="302" t="s">
        <v>1048</v>
      </c>
      <c r="AC82" s="64" t="s">
        <v>505</v>
      </c>
      <c r="AD82" s="302" t="s">
        <v>20</v>
      </c>
      <c r="AE82" s="302" t="s">
        <v>921</v>
      </c>
      <c r="AF82" s="302" t="s">
        <v>946</v>
      </c>
      <c r="AG82" s="364" t="s">
        <v>3117</v>
      </c>
      <c r="AH82" s="114"/>
      <c r="AI82" s="302" t="s">
        <v>1071</v>
      </c>
      <c r="AJ82" s="64" t="s">
        <v>505</v>
      </c>
      <c r="AK82" s="302" t="s">
        <v>922</v>
      </c>
      <c r="AL82" s="302" t="s">
        <v>926</v>
      </c>
      <c r="AM82" s="302" t="s">
        <v>951</v>
      </c>
      <c r="AN82" s="364" t="s">
        <v>3376</v>
      </c>
      <c r="AO82" s="114"/>
      <c r="AP82" s="191" t="s">
        <v>1942</v>
      </c>
      <c r="AQ82" s="322"/>
      <c r="AR82" s="114"/>
      <c r="AS82" s="323"/>
      <c r="AT82" s="323"/>
      <c r="AU82" s="322"/>
      <c r="AV82" s="322"/>
      <c r="AW82" s="323"/>
      <c r="AX82" s="323"/>
      <c r="AY82" s="109"/>
      <c r="AZ82" s="95"/>
      <c r="BA82" s="109"/>
      <c r="BB82" s="109"/>
      <c r="BC82" s="109"/>
      <c r="BD82" s="109"/>
      <c r="BE82" s="113"/>
      <c r="BF82" s="114"/>
      <c r="BG82" s="114" t="s">
        <v>3554</v>
      </c>
      <c r="BH82" s="246">
        <v>1320439</v>
      </c>
      <c r="BI82" s="64" t="s">
        <v>3551</v>
      </c>
      <c r="BJ82" s="229" t="s">
        <v>3552</v>
      </c>
    </row>
    <row r="83" spans="1:62" s="51" customFormat="1" ht="52.5" customHeight="1">
      <c r="A83" s="51">
        <v>21</v>
      </c>
      <c r="B83" s="17" t="s">
        <v>145</v>
      </c>
      <c r="C83" s="164">
        <v>12640</v>
      </c>
      <c r="D83" s="383" t="s">
        <v>2688</v>
      </c>
      <c r="E83" s="220" t="s">
        <v>318</v>
      </c>
      <c r="F83" s="130" t="s">
        <v>3562</v>
      </c>
      <c r="G83" s="10"/>
      <c r="H83" s="131"/>
      <c r="I83" s="55">
        <v>1</v>
      </c>
      <c r="J83" s="196">
        <v>2</v>
      </c>
      <c r="K83" s="178"/>
      <c r="L83" s="52" t="s">
        <v>502</v>
      </c>
      <c r="M83" s="295" t="s">
        <v>956</v>
      </c>
      <c r="N83" s="299">
        <v>41421</v>
      </c>
      <c r="O83" s="158">
        <f t="shared" si="1"/>
        <v>41421</v>
      </c>
      <c r="P83" s="133" t="s">
        <v>3577</v>
      </c>
      <c r="Q83" s="354" t="s">
        <v>974</v>
      </c>
      <c r="R83" s="52" t="s">
        <v>505</v>
      </c>
      <c r="S83" s="295" t="s">
        <v>988</v>
      </c>
      <c r="T83" s="79">
        <v>57123</v>
      </c>
      <c r="U83" s="64" t="s">
        <v>2075</v>
      </c>
      <c r="V83" s="64" t="s">
        <v>2086</v>
      </c>
      <c r="W83" s="64" t="s">
        <v>2084</v>
      </c>
      <c r="X83" s="64" t="s">
        <v>29</v>
      </c>
      <c r="Y83" s="295" t="s">
        <v>1022</v>
      </c>
      <c r="Z83" s="295" t="s">
        <v>1023</v>
      </c>
      <c r="AA83" s="64"/>
      <c r="AB83" s="302" t="s">
        <v>1049</v>
      </c>
      <c r="AC83" s="64" t="s">
        <v>505</v>
      </c>
      <c r="AD83" s="302" t="s">
        <v>922</v>
      </c>
      <c r="AE83" s="302" t="s">
        <v>165</v>
      </c>
      <c r="AF83" s="302" t="s">
        <v>947</v>
      </c>
      <c r="AG83" s="364" t="s">
        <v>3118</v>
      </c>
      <c r="AH83" s="114"/>
      <c r="AI83" s="302" t="s">
        <v>1072</v>
      </c>
      <c r="AJ83" s="64" t="s">
        <v>505</v>
      </c>
      <c r="AK83" s="302" t="s">
        <v>922</v>
      </c>
      <c r="AL83" s="302" t="s">
        <v>923</v>
      </c>
      <c r="AM83" s="302" t="s">
        <v>949</v>
      </c>
      <c r="AN83" s="364" t="s">
        <v>3377</v>
      </c>
      <c r="AO83" s="64"/>
      <c r="AP83" s="190" t="s">
        <v>1943</v>
      </c>
      <c r="AQ83" s="72"/>
      <c r="AR83" s="64"/>
      <c r="AS83" s="324"/>
      <c r="AT83" s="324"/>
      <c r="AU83" s="72"/>
      <c r="AV83" s="72"/>
      <c r="AW83" s="324"/>
      <c r="AX83" s="324"/>
      <c r="AY83" s="60"/>
      <c r="AZ83" s="95"/>
      <c r="BA83" s="60"/>
      <c r="BB83" s="60"/>
      <c r="BC83" s="60"/>
      <c r="BD83" s="60"/>
      <c r="BE83" s="75"/>
      <c r="BF83" s="64"/>
      <c r="BG83" s="114" t="s">
        <v>3554</v>
      </c>
      <c r="BH83" s="246">
        <v>1320439</v>
      </c>
      <c r="BI83" s="64" t="s">
        <v>3551</v>
      </c>
      <c r="BJ83" s="229" t="s">
        <v>3552</v>
      </c>
    </row>
    <row r="84" spans="1:62" s="51" customFormat="1" ht="52.5" customHeight="1">
      <c r="A84" s="171">
        <v>22</v>
      </c>
      <c r="B84" s="17" t="s">
        <v>145</v>
      </c>
      <c r="C84" s="52">
        <v>12641</v>
      </c>
      <c r="D84" s="383" t="s">
        <v>2689</v>
      </c>
      <c r="E84" s="220" t="s">
        <v>319</v>
      </c>
      <c r="F84" s="130" t="s">
        <v>3562</v>
      </c>
      <c r="G84" s="10"/>
      <c r="H84" s="263"/>
      <c r="I84" s="55">
        <v>2</v>
      </c>
      <c r="J84" s="196">
        <v>3</v>
      </c>
      <c r="K84" s="178"/>
      <c r="L84" s="52" t="s">
        <v>502</v>
      </c>
      <c r="M84" s="295" t="s">
        <v>23</v>
      </c>
      <c r="N84" s="298">
        <v>41375</v>
      </c>
      <c r="O84" s="158">
        <f t="shared" si="1"/>
        <v>41375</v>
      </c>
      <c r="P84" s="133" t="s">
        <v>3578</v>
      </c>
      <c r="Q84" s="354" t="s">
        <v>975</v>
      </c>
      <c r="R84" s="52" t="s">
        <v>505</v>
      </c>
      <c r="S84" s="295" t="s">
        <v>2088</v>
      </c>
      <c r="T84" s="79">
        <v>0</v>
      </c>
      <c r="U84" s="64" t="s">
        <v>2087</v>
      </c>
      <c r="V84" s="64" t="s">
        <v>2077</v>
      </c>
      <c r="W84" s="64" t="s">
        <v>109</v>
      </c>
      <c r="X84" s="64" t="s">
        <v>29</v>
      </c>
      <c r="Y84" s="295" t="s">
        <v>1024</v>
      </c>
      <c r="Z84" s="295" t="s">
        <v>1025</v>
      </c>
      <c r="AA84" s="64"/>
      <c r="AB84" s="302" t="s">
        <v>1050</v>
      </c>
      <c r="AC84" s="64" t="s">
        <v>505</v>
      </c>
      <c r="AD84" s="302" t="s">
        <v>20</v>
      </c>
      <c r="AE84" s="302" t="s">
        <v>165</v>
      </c>
      <c r="AF84" s="302" t="s">
        <v>949</v>
      </c>
      <c r="AG84" s="364" t="s">
        <v>3119</v>
      </c>
      <c r="AH84" s="114"/>
      <c r="AI84" s="302" t="s">
        <v>1073</v>
      </c>
      <c r="AJ84" s="64" t="s">
        <v>505</v>
      </c>
      <c r="AK84" s="302" t="s">
        <v>20</v>
      </c>
      <c r="AL84" s="302" t="s">
        <v>923</v>
      </c>
      <c r="AM84" s="302" t="s">
        <v>950</v>
      </c>
      <c r="AN84" s="364" t="s">
        <v>3378</v>
      </c>
      <c r="AO84" s="330"/>
      <c r="AP84" s="190" t="s">
        <v>1944</v>
      </c>
      <c r="AQ84" s="72"/>
      <c r="AR84" s="64"/>
      <c r="AS84" s="324"/>
      <c r="AT84" s="324"/>
      <c r="AU84" s="72"/>
      <c r="AV84" s="72"/>
      <c r="AW84" s="324"/>
      <c r="AX84" s="324"/>
      <c r="AY84" s="60"/>
      <c r="AZ84" s="95"/>
      <c r="BA84" s="60"/>
      <c r="BB84" s="60"/>
      <c r="BC84" s="60"/>
      <c r="BD84" s="60"/>
      <c r="BE84" s="75"/>
      <c r="BF84" s="64"/>
      <c r="BG84" s="114" t="s">
        <v>3554</v>
      </c>
      <c r="BH84" s="246">
        <v>1320439</v>
      </c>
      <c r="BI84" s="64" t="s">
        <v>3551</v>
      </c>
      <c r="BJ84" s="229" t="s">
        <v>3552</v>
      </c>
    </row>
    <row r="85" spans="1:62" s="51" customFormat="1" ht="52.5" customHeight="1">
      <c r="A85" s="51">
        <v>23</v>
      </c>
      <c r="B85" s="17" t="s">
        <v>145</v>
      </c>
      <c r="C85" s="52">
        <v>12642</v>
      </c>
      <c r="D85" s="383" t="s">
        <v>2690</v>
      </c>
      <c r="E85" s="220" t="s">
        <v>320</v>
      </c>
      <c r="F85" s="130" t="s">
        <v>3562</v>
      </c>
      <c r="G85" s="10"/>
      <c r="H85" s="131"/>
      <c r="I85" s="55">
        <v>2</v>
      </c>
      <c r="J85" s="196">
        <v>1</v>
      </c>
      <c r="K85" s="178"/>
      <c r="L85" s="52" t="s">
        <v>502</v>
      </c>
      <c r="M85" s="295" t="s">
        <v>19</v>
      </c>
      <c r="N85" s="299">
        <v>41414</v>
      </c>
      <c r="O85" s="158">
        <f t="shared" si="1"/>
        <v>41414</v>
      </c>
      <c r="P85" s="133" t="s">
        <v>3579</v>
      </c>
      <c r="Q85" s="354" t="s">
        <v>976</v>
      </c>
      <c r="R85" s="52" t="s">
        <v>505</v>
      </c>
      <c r="S85" s="295" t="s">
        <v>989</v>
      </c>
      <c r="T85" s="79">
        <v>55153</v>
      </c>
      <c r="U85" s="64" t="s">
        <v>2089</v>
      </c>
      <c r="V85" s="64" t="s">
        <v>2078</v>
      </c>
      <c r="W85" s="64" t="s">
        <v>19</v>
      </c>
      <c r="X85" s="64" t="s">
        <v>696</v>
      </c>
      <c r="Y85" s="295" t="s">
        <v>1026</v>
      </c>
      <c r="Z85" s="295" t="s">
        <v>1027</v>
      </c>
      <c r="AA85" s="64"/>
      <c r="AB85" s="303" t="s">
        <v>1051</v>
      </c>
      <c r="AC85" s="64" t="s">
        <v>505</v>
      </c>
      <c r="AD85" s="302" t="s">
        <v>20</v>
      </c>
      <c r="AE85" s="302" t="s">
        <v>923</v>
      </c>
      <c r="AF85" s="302" t="s">
        <v>950</v>
      </c>
      <c r="AG85" s="306">
        <v>0</v>
      </c>
      <c r="AH85" s="206"/>
      <c r="AI85" s="302" t="s">
        <v>1074</v>
      </c>
      <c r="AJ85" s="64" t="s">
        <v>505</v>
      </c>
      <c r="AK85" s="302" t="s">
        <v>20</v>
      </c>
      <c r="AL85" s="302" t="s">
        <v>924</v>
      </c>
      <c r="AM85" s="302" t="s">
        <v>950</v>
      </c>
      <c r="AN85" s="364" t="s">
        <v>3379</v>
      </c>
      <c r="AO85" s="64"/>
      <c r="AP85" s="190" t="s">
        <v>1945</v>
      </c>
      <c r="AQ85" s="72"/>
      <c r="AR85" s="64"/>
      <c r="AS85" s="324"/>
      <c r="AT85" s="324"/>
      <c r="AU85" s="72"/>
      <c r="AV85" s="72"/>
      <c r="AW85" s="324"/>
      <c r="AX85" s="324"/>
      <c r="AY85" s="60"/>
      <c r="AZ85" s="95"/>
      <c r="BA85" s="60"/>
      <c r="BB85" s="60"/>
      <c r="BC85" s="60"/>
      <c r="BD85" s="60"/>
      <c r="BE85" s="75"/>
      <c r="BF85" s="64"/>
      <c r="BG85" s="114" t="s">
        <v>3554</v>
      </c>
      <c r="BH85" s="246">
        <v>1320439</v>
      </c>
      <c r="BI85" s="64" t="s">
        <v>3551</v>
      </c>
      <c r="BJ85" s="229" t="s">
        <v>3552</v>
      </c>
    </row>
    <row r="86" spans="1:62" s="51" customFormat="1" ht="52.5" customHeight="1">
      <c r="A86" s="171">
        <v>24</v>
      </c>
      <c r="B86" s="17" t="s">
        <v>145</v>
      </c>
      <c r="C86" s="164">
        <v>12652</v>
      </c>
      <c r="D86" s="383" t="s">
        <v>2691</v>
      </c>
      <c r="E86" s="220" t="s">
        <v>321</v>
      </c>
      <c r="F86" s="130" t="s">
        <v>3562</v>
      </c>
      <c r="G86" s="10"/>
      <c r="H86" s="131"/>
      <c r="I86" s="55">
        <v>2</v>
      </c>
      <c r="J86" s="196">
        <v>3</v>
      </c>
      <c r="K86" s="178"/>
      <c r="L86" s="52" t="s">
        <v>502</v>
      </c>
      <c r="M86" s="295" t="s">
        <v>126</v>
      </c>
      <c r="N86" s="298">
        <v>41706</v>
      </c>
      <c r="O86" s="158">
        <f t="shared" si="1"/>
        <v>41706</v>
      </c>
      <c r="P86" s="133" t="s">
        <v>3003</v>
      </c>
      <c r="Q86" s="363" t="s">
        <v>1946</v>
      </c>
      <c r="R86" s="52" t="s">
        <v>505</v>
      </c>
      <c r="S86" s="295" t="s">
        <v>1947</v>
      </c>
      <c r="T86" s="79"/>
      <c r="U86" s="64" t="s">
        <v>507</v>
      </c>
      <c r="V86" s="64" t="s">
        <v>508</v>
      </c>
      <c r="W86" s="64" t="s">
        <v>49</v>
      </c>
      <c r="X86" s="64" t="s">
        <v>39</v>
      </c>
      <c r="Y86" s="295" t="s">
        <v>1028</v>
      </c>
      <c r="Z86" s="295"/>
      <c r="AA86" s="64"/>
      <c r="AB86" s="302" t="s">
        <v>1950</v>
      </c>
      <c r="AC86" s="64" t="s">
        <v>505</v>
      </c>
      <c r="AD86" s="302" t="s">
        <v>20</v>
      </c>
      <c r="AE86" s="302" t="s">
        <v>511</v>
      </c>
      <c r="AF86" s="302"/>
      <c r="AG86" s="364" t="s">
        <v>3120</v>
      </c>
      <c r="AH86" s="206"/>
      <c r="AI86" s="302" t="s">
        <v>1951</v>
      </c>
      <c r="AJ86" s="64" t="s">
        <v>505</v>
      </c>
      <c r="AK86" s="302" t="s">
        <v>1733</v>
      </c>
      <c r="AL86" s="302" t="s">
        <v>21</v>
      </c>
      <c r="AM86" s="302"/>
      <c r="AN86" s="364" t="s">
        <v>3380</v>
      </c>
      <c r="AO86" s="64"/>
      <c r="AP86" s="190" t="s">
        <v>1948</v>
      </c>
      <c r="AQ86" s="72"/>
      <c r="AR86" s="64"/>
      <c r="AS86" s="324"/>
      <c r="AT86" s="324"/>
      <c r="AU86" s="72"/>
      <c r="AV86" s="72"/>
      <c r="AW86" s="324"/>
      <c r="AX86" s="324"/>
      <c r="AY86" s="60"/>
      <c r="AZ86" s="95"/>
      <c r="BA86" s="60"/>
      <c r="BB86" s="60"/>
      <c r="BC86" s="60"/>
      <c r="BD86" s="60"/>
      <c r="BE86" s="75"/>
      <c r="BF86" s="64"/>
      <c r="BG86" s="114" t="s">
        <v>3554</v>
      </c>
      <c r="BH86" s="246">
        <v>1320439</v>
      </c>
      <c r="BI86" s="64" t="s">
        <v>3551</v>
      </c>
      <c r="BJ86" s="229" t="s">
        <v>3552</v>
      </c>
    </row>
    <row r="87" spans="1:62" s="51" customFormat="1" ht="52.5" customHeight="1">
      <c r="A87" s="51">
        <v>25</v>
      </c>
      <c r="B87" s="17" t="s">
        <v>145</v>
      </c>
      <c r="C87" s="52">
        <v>12663</v>
      </c>
      <c r="D87" s="292">
        <v>3144833203</v>
      </c>
      <c r="E87" s="220" t="s">
        <v>322</v>
      </c>
      <c r="F87" s="130" t="s">
        <v>3562</v>
      </c>
      <c r="G87" s="10"/>
      <c r="H87" s="263"/>
      <c r="I87" s="55">
        <v>1</v>
      </c>
      <c r="J87" s="196">
        <v>1</v>
      </c>
      <c r="K87" s="178"/>
      <c r="L87" s="52" t="s">
        <v>502</v>
      </c>
      <c r="M87" s="295" t="s">
        <v>136</v>
      </c>
      <c r="N87" s="299">
        <v>41955</v>
      </c>
      <c r="O87" s="158">
        <f t="shared" si="1"/>
        <v>41955</v>
      </c>
      <c r="P87" s="133" t="s">
        <v>3580</v>
      </c>
      <c r="Q87" s="354" t="s">
        <v>977</v>
      </c>
      <c r="R87" s="52" t="s">
        <v>505</v>
      </c>
      <c r="S87" s="295" t="s">
        <v>2838</v>
      </c>
      <c r="T87" s="79">
        <v>75515</v>
      </c>
      <c r="U87" s="64" t="s">
        <v>2090</v>
      </c>
      <c r="V87" s="64" t="s">
        <v>136</v>
      </c>
      <c r="W87" s="64" t="s">
        <v>1890</v>
      </c>
      <c r="X87" s="64" t="s">
        <v>36</v>
      </c>
      <c r="Y87" s="295" t="s">
        <v>2872</v>
      </c>
      <c r="Z87" s="295" t="s">
        <v>1029</v>
      </c>
      <c r="AA87" s="64"/>
      <c r="AB87" s="302" t="s">
        <v>2925</v>
      </c>
      <c r="AC87" s="64" t="s">
        <v>505</v>
      </c>
      <c r="AD87" s="302" t="s">
        <v>20</v>
      </c>
      <c r="AE87" s="302" t="s">
        <v>165</v>
      </c>
      <c r="AF87" s="302" t="s">
        <v>948</v>
      </c>
      <c r="AG87" s="364" t="s">
        <v>3121</v>
      </c>
      <c r="AH87" s="114"/>
      <c r="AI87" s="302" t="s">
        <v>2969</v>
      </c>
      <c r="AJ87" s="64" t="s">
        <v>505</v>
      </c>
      <c r="AK87" s="302" t="s">
        <v>20</v>
      </c>
      <c r="AL87" s="302" t="s">
        <v>926</v>
      </c>
      <c r="AM87" s="302" t="s">
        <v>949</v>
      </c>
      <c r="AN87" s="364" t="s">
        <v>3381</v>
      </c>
      <c r="AO87" s="330"/>
      <c r="AP87" s="190" t="s">
        <v>1949</v>
      </c>
      <c r="AQ87" s="72"/>
      <c r="AR87" s="64"/>
      <c r="AS87" s="324"/>
      <c r="AT87" s="324"/>
      <c r="AU87" s="72"/>
      <c r="AV87" s="72"/>
      <c r="AW87" s="324"/>
      <c r="AX87" s="324"/>
      <c r="AY87" s="60"/>
      <c r="AZ87" s="95"/>
      <c r="BA87" s="60"/>
      <c r="BB87" s="60"/>
      <c r="BC87" s="60"/>
      <c r="BD87" s="60"/>
      <c r="BE87" s="75"/>
      <c r="BF87" s="64"/>
      <c r="BG87" s="114" t="s">
        <v>3554</v>
      </c>
      <c r="BH87" s="246">
        <v>1320439</v>
      </c>
      <c r="BI87" s="64" t="s">
        <v>3551</v>
      </c>
      <c r="BJ87" s="229" t="s">
        <v>3552</v>
      </c>
    </row>
    <row r="88" spans="1:62" s="51" customFormat="1" ht="52.5" customHeight="1">
      <c r="A88" s="171">
        <v>26</v>
      </c>
      <c r="B88" s="17" t="s">
        <v>145</v>
      </c>
      <c r="C88" s="164">
        <v>12683</v>
      </c>
      <c r="D88" s="383" t="s">
        <v>2692</v>
      </c>
      <c r="E88" s="220" t="s">
        <v>323</v>
      </c>
      <c r="F88" s="130" t="s">
        <v>3562</v>
      </c>
      <c r="G88" s="10"/>
      <c r="H88" s="131"/>
      <c r="I88" s="55">
        <v>1</v>
      </c>
      <c r="J88" s="196">
        <v>2</v>
      </c>
      <c r="K88" s="178"/>
      <c r="L88" s="52" t="s">
        <v>502</v>
      </c>
      <c r="M88" s="295" t="s">
        <v>52</v>
      </c>
      <c r="N88" s="299">
        <v>41657</v>
      </c>
      <c r="O88" s="158">
        <f t="shared" si="1"/>
        <v>41657</v>
      </c>
      <c r="P88" s="133" t="s">
        <v>3581</v>
      </c>
      <c r="Q88" s="354" t="s">
        <v>978</v>
      </c>
      <c r="R88" s="52" t="s">
        <v>505</v>
      </c>
      <c r="S88" s="295" t="s">
        <v>990</v>
      </c>
      <c r="T88" s="79">
        <v>55514</v>
      </c>
      <c r="U88" s="64" t="s">
        <v>1913</v>
      </c>
      <c r="V88" s="64" t="s">
        <v>52</v>
      </c>
      <c r="W88" s="64" t="s">
        <v>52</v>
      </c>
      <c r="X88" s="64" t="s">
        <v>696</v>
      </c>
      <c r="Y88" s="295" t="s">
        <v>1030</v>
      </c>
      <c r="Z88" s="295" t="s">
        <v>1031</v>
      </c>
      <c r="AA88" s="64"/>
      <c r="AB88" s="302" t="s">
        <v>1052</v>
      </c>
      <c r="AC88" s="64" t="s">
        <v>505</v>
      </c>
      <c r="AD88" s="302" t="s">
        <v>925</v>
      </c>
      <c r="AE88" s="302" t="s">
        <v>165</v>
      </c>
      <c r="AF88" s="302" t="s">
        <v>949</v>
      </c>
      <c r="AG88" s="364" t="s">
        <v>3122</v>
      </c>
      <c r="AH88" s="206"/>
      <c r="AI88" s="302" t="s">
        <v>1075</v>
      </c>
      <c r="AJ88" s="64" t="s">
        <v>505</v>
      </c>
      <c r="AK88" s="302" t="s">
        <v>20</v>
      </c>
      <c r="AL88" s="302" t="s">
        <v>921</v>
      </c>
      <c r="AM88" s="302" t="s">
        <v>949</v>
      </c>
      <c r="AN88" s="364" t="s">
        <v>3382</v>
      </c>
      <c r="AO88" s="64"/>
      <c r="AP88" s="190" t="s">
        <v>1952</v>
      </c>
      <c r="AQ88" s="72"/>
      <c r="AR88" s="64"/>
      <c r="AS88" s="324"/>
      <c r="AT88" s="324"/>
      <c r="AU88" s="72"/>
      <c r="AV88" s="72"/>
      <c r="AW88" s="324"/>
      <c r="AX88" s="324"/>
      <c r="AY88" s="60"/>
      <c r="AZ88" s="95"/>
      <c r="BA88" s="60"/>
      <c r="BB88" s="60"/>
      <c r="BC88" s="60"/>
      <c r="BD88" s="60"/>
      <c r="BE88" s="75"/>
      <c r="BF88" s="64"/>
      <c r="BG88" s="114" t="s">
        <v>3554</v>
      </c>
      <c r="BH88" s="246">
        <v>1320439</v>
      </c>
      <c r="BI88" s="64" t="s">
        <v>3551</v>
      </c>
      <c r="BJ88" s="229" t="s">
        <v>3552</v>
      </c>
    </row>
    <row r="89" spans="1:62" s="51" customFormat="1" ht="52.5" customHeight="1">
      <c r="A89" s="51">
        <v>27</v>
      </c>
      <c r="B89" s="17" t="s">
        <v>145</v>
      </c>
      <c r="C89" s="52">
        <v>12684</v>
      </c>
      <c r="D89" s="383" t="s">
        <v>2693</v>
      </c>
      <c r="E89" s="220" t="s">
        <v>324</v>
      </c>
      <c r="F89" s="130" t="s">
        <v>3562</v>
      </c>
      <c r="G89" s="10"/>
      <c r="H89" s="131"/>
      <c r="I89" s="55">
        <v>2</v>
      </c>
      <c r="J89" s="196">
        <v>1</v>
      </c>
      <c r="K89" s="178"/>
      <c r="L89" s="52" t="s">
        <v>502</v>
      </c>
      <c r="M89" s="295" t="s">
        <v>73</v>
      </c>
      <c r="N89" s="299">
        <v>41447</v>
      </c>
      <c r="O89" s="158">
        <f t="shared" si="1"/>
        <v>41447</v>
      </c>
      <c r="P89" s="133" t="s">
        <v>3582</v>
      </c>
      <c r="Q89" s="354" t="s">
        <v>979</v>
      </c>
      <c r="R89" s="52" t="s">
        <v>505</v>
      </c>
      <c r="S89" s="295" t="s">
        <v>991</v>
      </c>
      <c r="T89" s="79">
        <v>61263</v>
      </c>
      <c r="U89" s="64" t="s">
        <v>2093</v>
      </c>
      <c r="V89" s="64" t="s">
        <v>2091</v>
      </c>
      <c r="W89" s="64" t="s">
        <v>73</v>
      </c>
      <c r="X89" s="64" t="s">
        <v>39</v>
      </c>
      <c r="Y89" s="295" t="s">
        <v>2873</v>
      </c>
      <c r="Z89" s="295" t="s">
        <v>1032</v>
      </c>
      <c r="AA89" s="64"/>
      <c r="AB89" s="302" t="s">
        <v>1053</v>
      </c>
      <c r="AC89" s="64" t="s">
        <v>505</v>
      </c>
      <c r="AD89" s="302" t="s">
        <v>20</v>
      </c>
      <c r="AE89" s="302" t="s">
        <v>921</v>
      </c>
      <c r="AF89" s="302" t="s">
        <v>948</v>
      </c>
      <c r="AG89" s="364" t="s">
        <v>3123</v>
      </c>
      <c r="AH89" s="114"/>
      <c r="AI89" s="302" t="s">
        <v>1076</v>
      </c>
      <c r="AJ89" s="64" t="s">
        <v>505</v>
      </c>
      <c r="AK89" s="302" t="s">
        <v>22</v>
      </c>
      <c r="AL89" s="302" t="s">
        <v>921</v>
      </c>
      <c r="AM89" s="302" t="s">
        <v>946</v>
      </c>
      <c r="AN89" s="364" t="s">
        <v>3383</v>
      </c>
      <c r="AO89" s="64"/>
      <c r="AP89" s="190" t="s">
        <v>1953</v>
      </c>
      <c r="AQ89" s="72"/>
      <c r="AR89" s="64"/>
      <c r="AS89" s="324"/>
      <c r="AT89" s="324"/>
      <c r="AU89" s="72"/>
      <c r="AV89" s="72"/>
      <c r="AW89" s="324"/>
      <c r="AX89" s="324"/>
      <c r="AY89" s="60"/>
      <c r="AZ89" s="95"/>
      <c r="BA89" s="60"/>
      <c r="BB89" s="60"/>
      <c r="BC89" s="60"/>
      <c r="BD89" s="60"/>
      <c r="BE89" s="75"/>
      <c r="BF89" s="64"/>
      <c r="BG89" s="114" t="s">
        <v>3554</v>
      </c>
      <c r="BH89" s="246">
        <v>1320439</v>
      </c>
      <c r="BI89" s="64" t="s">
        <v>3551</v>
      </c>
      <c r="BJ89" s="229" t="s">
        <v>3552</v>
      </c>
    </row>
    <row r="90" spans="1:62" s="51" customFormat="1" ht="52.5" customHeight="1">
      <c r="A90" s="171">
        <v>28</v>
      </c>
      <c r="B90" s="17" t="s">
        <v>145</v>
      </c>
      <c r="C90" s="52">
        <v>12695</v>
      </c>
      <c r="D90" s="383" t="s">
        <v>2694</v>
      </c>
      <c r="E90" s="220" t="s">
        <v>325</v>
      </c>
      <c r="F90" s="130" t="s">
        <v>3562</v>
      </c>
      <c r="G90" s="10"/>
      <c r="H90" s="131"/>
      <c r="I90" s="55">
        <v>1</v>
      </c>
      <c r="J90" s="196">
        <v>2</v>
      </c>
      <c r="K90" s="178"/>
      <c r="L90" s="52" t="s">
        <v>502</v>
      </c>
      <c r="M90" s="295" t="s">
        <v>55</v>
      </c>
      <c r="N90" s="299">
        <v>41418</v>
      </c>
      <c r="O90" s="158">
        <f t="shared" si="1"/>
        <v>41418</v>
      </c>
      <c r="P90" s="133" t="s">
        <v>3583</v>
      </c>
      <c r="Q90" s="354" t="s">
        <v>980</v>
      </c>
      <c r="R90" s="52" t="s">
        <v>505</v>
      </c>
      <c r="S90" s="295" t="s">
        <v>992</v>
      </c>
      <c r="T90" s="79">
        <v>56371</v>
      </c>
      <c r="U90" s="64" t="s">
        <v>2095</v>
      </c>
      <c r="V90" s="64" t="s">
        <v>1878</v>
      </c>
      <c r="W90" s="64" t="s">
        <v>55</v>
      </c>
      <c r="X90" s="64" t="s">
        <v>29</v>
      </c>
      <c r="Y90" s="295" t="s">
        <v>2874</v>
      </c>
      <c r="Z90" s="295" t="s">
        <v>1033</v>
      </c>
      <c r="AA90" s="64"/>
      <c r="AB90" s="302" t="s">
        <v>1054</v>
      </c>
      <c r="AC90" s="64" t="s">
        <v>505</v>
      </c>
      <c r="AD90" s="302" t="s">
        <v>925</v>
      </c>
      <c r="AE90" s="302" t="s">
        <v>165</v>
      </c>
      <c r="AF90" s="302" t="s">
        <v>946</v>
      </c>
      <c r="AG90" s="364" t="s">
        <v>3124</v>
      </c>
      <c r="AH90" s="114"/>
      <c r="AI90" s="302" t="s">
        <v>1077</v>
      </c>
      <c r="AJ90" s="64" t="s">
        <v>505</v>
      </c>
      <c r="AK90" s="302" t="s">
        <v>922</v>
      </c>
      <c r="AL90" s="302" t="s">
        <v>923</v>
      </c>
      <c r="AM90" s="302" t="s">
        <v>951</v>
      </c>
      <c r="AN90" s="364" t="s">
        <v>3384</v>
      </c>
      <c r="AO90" s="64"/>
      <c r="AP90" s="190" t="s">
        <v>1954</v>
      </c>
      <c r="AQ90" s="72"/>
      <c r="AR90" s="64"/>
      <c r="AS90" s="324"/>
      <c r="AT90" s="324"/>
      <c r="AU90" s="72"/>
      <c r="AV90" s="72"/>
      <c r="AW90" s="324"/>
      <c r="AX90" s="324"/>
      <c r="AY90" s="60"/>
      <c r="AZ90" s="95"/>
      <c r="BA90" s="60"/>
      <c r="BB90" s="60"/>
      <c r="BC90" s="60"/>
      <c r="BD90" s="60"/>
      <c r="BE90" s="75"/>
      <c r="BF90" s="64"/>
      <c r="BG90" s="114" t="s">
        <v>3554</v>
      </c>
      <c r="BH90" s="246">
        <v>1320439</v>
      </c>
      <c r="BI90" s="64" t="s">
        <v>3551</v>
      </c>
      <c r="BJ90" s="229" t="s">
        <v>3552</v>
      </c>
    </row>
    <row r="91" spans="1:62" s="171" customFormat="1" ht="52.5" customHeight="1">
      <c r="A91" s="51">
        <v>29</v>
      </c>
      <c r="B91" s="17" t="s">
        <v>145</v>
      </c>
      <c r="C91" s="164">
        <v>12713</v>
      </c>
      <c r="D91" s="310">
        <v>3133366713</v>
      </c>
      <c r="E91" s="220" t="s">
        <v>326</v>
      </c>
      <c r="F91" s="130" t="s">
        <v>3562</v>
      </c>
      <c r="G91" s="10"/>
      <c r="H91" s="167"/>
      <c r="I91" s="168">
        <v>1</v>
      </c>
      <c r="J91" s="197">
        <v>0</v>
      </c>
      <c r="K91" s="178"/>
      <c r="L91" s="52" t="s">
        <v>502</v>
      </c>
      <c r="M91" s="331" t="s">
        <v>59</v>
      </c>
      <c r="N91" s="332">
        <v>41587</v>
      </c>
      <c r="O91" s="158">
        <f t="shared" si="1"/>
        <v>41587</v>
      </c>
      <c r="P91" s="133" t="s">
        <v>3584</v>
      </c>
      <c r="Q91" s="357" t="s">
        <v>981</v>
      </c>
      <c r="R91" s="52" t="s">
        <v>505</v>
      </c>
      <c r="S91" s="331" t="s">
        <v>1955</v>
      </c>
      <c r="T91" s="228">
        <v>54395</v>
      </c>
      <c r="U91" s="114" t="s">
        <v>2094</v>
      </c>
      <c r="V91" s="114" t="s">
        <v>2092</v>
      </c>
      <c r="W91" s="114" t="s">
        <v>59</v>
      </c>
      <c r="X91" s="114" t="s">
        <v>29</v>
      </c>
      <c r="Y91" s="331" t="s">
        <v>1034</v>
      </c>
      <c r="Z91" s="331" t="s">
        <v>1035</v>
      </c>
      <c r="AA91" s="114"/>
      <c r="AB91" s="333" t="s">
        <v>1055</v>
      </c>
      <c r="AC91" s="64" t="s">
        <v>505</v>
      </c>
      <c r="AD91" s="333" t="s">
        <v>922</v>
      </c>
      <c r="AE91" s="333" t="s">
        <v>921</v>
      </c>
      <c r="AF91" s="333" t="s">
        <v>948</v>
      </c>
      <c r="AG91" s="398" t="s">
        <v>3125</v>
      </c>
      <c r="AH91" s="114"/>
      <c r="AI91" s="333" t="s">
        <v>1078</v>
      </c>
      <c r="AJ91" s="64" t="s">
        <v>505</v>
      </c>
      <c r="AK91" s="333" t="s">
        <v>22</v>
      </c>
      <c r="AL91" s="333" t="s">
        <v>921</v>
      </c>
      <c r="AM91" s="333" t="s">
        <v>949</v>
      </c>
      <c r="AN91" s="398" t="s">
        <v>3385</v>
      </c>
      <c r="AO91" s="114"/>
      <c r="AP91" s="191" t="s">
        <v>1956</v>
      </c>
      <c r="AQ91" s="322"/>
      <c r="AR91" s="114"/>
      <c r="AS91" s="323"/>
      <c r="AT91" s="323"/>
      <c r="AU91" s="322"/>
      <c r="AV91" s="322"/>
      <c r="AW91" s="323"/>
      <c r="AX91" s="323"/>
      <c r="AY91" s="109"/>
      <c r="AZ91" s="95"/>
      <c r="BA91" s="109"/>
      <c r="BB91" s="109"/>
      <c r="BC91" s="109"/>
      <c r="BD91" s="109"/>
      <c r="BE91" s="113"/>
      <c r="BF91" s="114"/>
      <c r="BG91" s="114" t="s">
        <v>3554</v>
      </c>
      <c r="BH91" s="246">
        <v>1320439</v>
      </c>
      <c r="BI91" s="64" t="s">
        <v>3551</v>
      </c>
      <c r="BJ91" s="229" t="s">
        <v>3552</v>
      </c>
    </row>
    <row r="92" spans="1:62" s="51" customFormat="1" ht="48" thickBot="1">
      <c r="A92" s="171">
        <v>30</v>
      </c>
      <c r="B92" s="17" t="s">
        <v>145</v>
      </c>
      <c r="C92" s="52">
        <v>12722</v>
      </c>
      <c r="D92" s="385" t="s">
        <v>2695</v>
      </c>
      <c r="E92" s="269" t="s">
        <v>327</v>
      </c>
      <c r="F92" s="130" t="s">
        <v>3562</v>
      </c>
      <c r="G92" s="10"/>
      <c r="H92" s="131"/>
      <c r="I92" s="55">
        <v>2</v>
      </c>
      <c r="J92" s="196">
        <v>2</v>
      </c>
      <c r="K92" s="178"/>
      <c r="L92" s="52" t="s">
        <v>502</v>
      </c>
      <c r="M92" s="126" t="s">
        <v>79</v>
      </c>
      <c r="N92" s="334">
        <v>41490</v>
      </c>
      <c r="O92" s="158">
        <f t="shared" si="1"/>
        <v>41490</v>
      </c>
      <c r="P92" s="133" t="s">
        <v>3585</v>
      </c>
      <c r="Q92" s="358" t="s">
        <v>982</v>
      </c>
      <c r="R92" s="52" t="s">
        <v>505</v>
      </c>
      <c r="S92" s="126" t="s">
        <v>2096</v>
      </c>
      <c r="T92" s="79">
        <v>77119</v>
      </c>
      <c r="U92" s="64" t="s">
        <v>2097</v>
      </c>
      <c r="V92" s="64" t="s">
        <v>2098</v>
      </c>
      <c r="W92" s="64" t="s">
        <v>729</v>
      </c>
      <c r="X92" s="64" t="s">
        <v>80</v>
      </c>
      <c r="Y92" s="126" t="s">
        <v>2875</v>
      </c>
      <c r="Z92" s="126" t="s">
        <v>1036</v>
      </c>
      <c r="AA92" s="64"/>
      <c r="AB92" s="174" t="s">
        <v>1056</v>
      </c>
      <c r="AC92" s="64" t="s">
        <v>505</v>
      </c>
      <c r="AD92" s="174" t="s">
        <v>925</v>
      </c>
      <c r="AE92" s="174" t="s">
        <v>165</v>
      </c>
      <c r="AF92" s="174" t="s">
        <v>948</v>
      </c>
      <c r="AG92" s="399" t="s">
        <v>3126</v>
      </c>
      <c r="AH92" s="114"/>
      <c r="AI92" s="174" t="s">
        <v>1079</v>
      </c>
      <c r="AJ92" s="64" t="s">
        <v>505</v>
      </c>
      <c r="AK92" s="174" t="s">
        <v>922</v>
      </c>
      <c r="AL92" s="174" t="s">
        <v>923</v>
      </c>
      <c r="AM92" s="174" t="s">
        <v>950</v>
      </c>
      <c r="AN92" s="399" t="s">
        <v>3386</v>
      </c>
      <c r="AO92" s="64"/>
      <c r="AP92" s="190" t="s">
        <v>1957</v>
      </c>
      <c r="AQ92" s="72"/>
      <c r="AR92" s="64"/>
      <c r="AS92" s="324"/>
      <c r="AT92" s="324"/>
      <c r="AU92" s="72"/>
      <c r="AV92" s="72"/>
      <c r="AW92" s="324"/>
      <c r="AX92" s="324"/>
      <c r="AY92" s="60"/>
      <c r="AZ92" s="95"/>
      <c r="BA92" s="60"/>
      <c r="BB92" s="60"/>
      <c r="BC92" s="60"/>
      <c r="BD92" s="60"/>
      <c r="BE92" s="75"/>
      <c r="BF92" s="64"/>
      <c r="BG92" s="114" t="s">
        <v>3554</v>
      </c>
      <c r="BH92" s="246">
        <v>1320439</v>
      </c>
      <c r="BI92" s="64" t="s">
        <v>3551</v>
      </c>
      <c r="BJ92" s="229" t="s">
        <v>3552</v>
      </c>
    </row>
    <row r="93" spans="1:62" s="51" customFormat="1" ht="52.5" customHeight="1">
      <c r="A93" s="51">
        <v>1</v>
      </c>
      <c r="B93" s="16" t="s">
        <v>85</v>
      </c>
      <c r="C93" s="52">
        <v>12474</v>
      </c>
      <c r="D93" s="292">
        <v>3145232805</v>
      </c>
      <c r="E93" s="219" t="s">
        <v>328</v>
      </c>
      <c r="F93" s="130" t="s">
        <v>3562</v>
      </c>
      <c r="G93" s="10"/>
      <c r="H93" s="131"/>
      <c r="I93" s="55">
        <v>2</v>
      </c>
      <c r="J93" s="196">
        <v>3</v>
      </c>
      <c r="K93" s="52"/>
      <c r="L93" s="52" t="s">
        <v>502</v>
      </c>
      <c r="M93" s="295" t="s">
        <v>90</v>
      </c>
      <c r="N93" s="335">
        <v>41653</v>
      </c>
      <c r="O93" s="158">
        <f t="shared" si="1"/>
        <v>41653</v>
      </c>
      <c r="P93" s="133" t="s">
        <v>3586</v>
      </c>
      <c r="Q93" s="354" t="s">
        <v>1083</v>
      </c>
      <c r="R93" s="52" t="s">
        <v>505</v>
      </c>
      <c r="S93" s="295" t="s">
        <v>1958</v>
      </c>
      <c r="T93" s="79">
        <v>52122</v>
      </c>
      <c r="U93" s="64" t="s">
        <v>731</v>
      </c>
      <c r="V93" s="64" t="s">
        <v>732</v>
      </c>
      <c r="W93" s="64" t="s">
        <v>2099</v>
      </c>
      <c r="X93" s="64" t="s">
        <v>29</v>
      </c>
      <c r="Y93" s="295" t="s">
        <v>741</v>
      </c>
      <c r="Z93" s="295" t="s">
        <v>1172</v>
      </c>
      <c r="AA93" s="64"/>
      <c r="AB93" s="302" t="s">
        <v>1120</v>
      </c>
      <c r="AC93" s="64" t="s">
        <v>505</v>
      </c>
      <c r="AD93" s="302" t="s">
        <v>22</v>
      </c>
      <c r="AE93" s="302" t="s">
        <v>165</v>
      </c>
      <c r="AF93" s="302" t="s">
        <v>947</v>
      </c>
      <c r="AG93" s="364" t="s">
        <v>3127</v>
      </c>
      <c r="AH93" s="114"/>
      <c r="AI93" s="302" t="s">
        <v>1146</v>
      </c>
      <c r="AJ93" s="64" t="s">
        <v>505</v>
      </c>
      <c r="AK93" s="302" t="s">
        <v>22</v>
      </c>
      <c r="AL93" s="302" t="s">
        <v>165</v>
      </c>
      <c r="AM93" s="302" t="s">
        <v>947</v>
      </c>
      <c r="AN93" s="364" t="s">
        <v>3387</v>
      </c>
      <c r="AO93" s="64"/>
      <c r="AP93" s="190" t="s">
        <v>1959</v>
      </c>
      <c r="AQ93" s="72"/>
      <c r="AR93" s="64"/>
      <c r="AS93" s="324"/>
      <c r="AT93" s="324"/>
      <c r="AU93" s="72"/>
      <c r="AV93" s="72"/>
      <c r="AW93" s="324"/>
      <c r="AX93" s="324"/>
      <c r="AY93" s="60"/>
      <c r="AZ93" s="95"/>
      <c r="BA93" s="60"/>
      <c r="BB93" s="60"/>
      <c r="BC93" s="60"/>
      <c r="BD93" s="60"/>
      <c r="BE93" s="75"/>
      <c r="BF93" s="64"/>
      <c r="BG93" s="64" t="s">
        <v>3555</v>
      </c>
      <c r="BH93" s="245"/>
      <c r="BI93" s="64" t="s">
        <v>3551</v>
      </c>
      <c r="BJ93" s="229" t="s">
        <v>3552</v>
      </c>
    </row>
    <row r="94" spans="1:62" s="51" customFormat="1" ht="52.5" customHeight="1">
      <c r="A94" s="51">
        <v>2</v>
      </c>
      <c r="B94" s="16" t="s">
        <v>85</v>
      </c>
      <c r="C94" s="52">
        <v>12486</v>
      </c>
      <c r="D94" s="383" t="s">
        <v>2696</v>
      </c>
      <c r="E94" s="220" t="s">
        <v>329</v>
      </c>
      <c r="F94" s="130" t="s">
        <v>3562</v>
      </c>
      <c r="G94" s="10"/>
      <c r="H94" s="131"/>
      <c r="I94" s="55">
        <v>2</v>
      </c>
      <c r="J94" s="196">
        <v>2</v>
      </c>
      <c r="K94" s="178"/>
      <c r="L94" s="52" t="s">
        <v>502</v>
      </c>
      <c r="M94" s="295" t="s">
        <v>60</v>
      </c>
      <c r="N94" s="335">
        <v>41558</v>
      </c>
      <c r="O94" s="158">
        <f t="shared" si="1"/>
        <v>41558</v>
      </c>
      <c r="P94" s="133" t="s">
        <v>751</v>
      </c>
      <c r="Q94" s="363" t="s">
        <v>1960</v>
      </c>
      <c r="R94" s="52" t="s">
        <v>505</v>
      </c>
      <c r="S94" s="295" t="s">
        <v>1961</v>
      </c>
      <c r="T94" s="79">
        <v>80117</v>
      </c>
      <c r="U94" s="64" t="s">
        <v>726</v>
      </c>
      <c r="V94" s="64" t="s">
        <v>527</v>
      </c>
      <c r="W94" s="64" t="s">
        <v>528</v>
      </c>
      <c r="X94" s="64" t="s">
        <v>61</v>
      </c>
      <c r="Y94" s="295" t="s">
        <v>1173</v>
      </c>
      <c r="Z94" s="295"/>
      <c r="AA94" s="64"/>
      <c r="AB94" s="302" t="s">
        <v>1121</v>
      </c>
      <c r="AC94" s="64" t="s">
        <v>505</v>
      </c>
      <c r="AD94" s="302"/>
      <c r="AE94" s="302"/>
      <c r="AF94" s="302"/>
      <c r="AG94" s="364" t="s">
        <v>3128</v>
      </c>
      <c r="AH94" s="114"/>
      <c r="AI94" s="302" t="s">
        <v>1147</v>
      </c>
      <c r="AJ94" s="64" t="s">
        <v>505</v>
      </c>
      <c r="AK94" s="302"/>
      <c r="AL94" s="302"/>
      <c r="AM94" s="302"/>
      <c r="AN94" s="364" t="s">
        <v>3388</v>
      </c>
      <c r="AO94" s="64"/>
      <c r="AP94" s="190" t="s">
        <v>1962</v>
      </c>
      <c r="AQ94" s="72"/>
      <c r="AR94" s="64"/>
      <c r="AS94" s="324"/>
      <c r="AT94" s="324"/>
      <c r="AU94" s="72"/>
      <c r="AV94" s="72"/>
      <c r="AW94" s="324"/>
      <c r="AX94" s="324"/>
      <c r="AY94" s="60"/>
      <c r="AZ94" s="95"/>
      <c r="BA94" s="60"/>
      <c r="BB94" s="60"/>
      <c r="BC94" s="60"/>
      <c r="BD94" s="60"/>
      <c r="BE94" s="75"/>
      <c r="BF94" s="64"/>
      <c r="BG94" s="64" t="s">
        <v>3555</v>
      </c>
      <c r="BH94" s="245"/>
      <c r="BI94" s="64" t="s">
        <v>3551</v>
      </c>
      <c r="BJ94" s="229" t="s">
        <v>3552</v>
      </c>
    </row>
    <row r="95" spans="1:62" s="171" customFormat="1" ht="52.5" customHeight="1">
      <c r="A95" s="171">
        <v>3</v>
      </c>
      <c r="B95" s="16" t="s">
        <v>85</v>
      </c>
      <c r="C95" s="164">
        <v>12492</v>
      </c>
      <c r="D95" s="292">
        <v>3139423854</v>
      </c>
      <c r="E95" s="220" t="s">
        <v>330</v>
      </c>
      <c r="F95" s="130" t="s">
        <v>3562</v>
      </c>
      <c r="G95" s="10"/>
      <c r="H95" s="265"/>
      <c r="I95" s="168">
        <v>2</v>
      </c>
      <c r="J95" s="197">
        <v>1</v>
      </c>
      <c r="K95" s="178"/>
      <c r="L95" s="52" t="s">
        <v>502</v>
      </c>
      <c r="M95" s="295" t="s">
        <v>42</v>
      </c>
      <c r="N95" s="335">
        <v>41535</v>
      </c>
      <c r="O95" s="158">
        <f t="shared" si="1"/>
        <v>41535</v>
      </c>
      <c r="P95" s="133" t="s">
        <v>3587</v>
      </c>
      <c r="Q95" s="354" t="s">
        <v>1084</v>
      </c>
      <c r="R95" s="52" t="s">
        <v>505</v>
      </c>
      <c r="S95" s="295" t="s">
        <v>1111</v>
      </c>
      <c r="T95" s="228">
        <v>15148</v>
      </c>
      <c r="U95" s="114" t="s">
        <v>1871</v>
      </c>
      <c r="V95" s="114" t="s">
        <v>1871</v>
      </c>
      <c r="W95" s="114" t="s">
        <v>1873</v>
      </c>
      <c r="X95" s="114" t="s">
        <v>43</v>
      </c>
      <c r="Y95" s="295" t="s">
        <v>125</v>
      </c>
      <c r="Z95" s="295" t="s">
        <v>1174</v>
      </c>
      <c r="AA95" s="114"/>
      <c r="AB95" s="302" t="s">
        <v>1122</v>
      </c>
      <c r="AC95" s="64" t="s">
        <v>505</v>
      </c>
      <c r="AD95" s="302" t="s">
        <v>20</v>
      </c>
      <c r="AE95" s="302" t="s">
        <v>921</v>
      </c>
      <c r="AF95" s="302" t="s">
        <v>946</v>
      </c>
      <c r="AG95" s="364" t="s">
        <v>3129</v>
      </c>
      <c r="AH95" s="114"/>
      <c r="AI95" s="302" t="s">
        <v>1148</v>
      </c>
      <c r="AJ95" s="64" t="s">
        <v>505</v>
      </c>
      <c r="AK95" s="302" t="s">
        <v>22</v>
      </c>
      <c r="AL95" s="302" t="s">
        <v>921</v>
      </c>
      <c r="AM95" s="302" t="s">
        <v>948</v>
      </c>
      <c r="AN95" s="364" t="s">
        <v>3389</v>
      </c>
      <c r="AO95" s="114"/>
      <c r="AP95" s="191" t="s">
        <v>1963</v>
      </c>
      <c r="AQ95" s="322"/>
      <c r="AR95" s="114"/>
      <c r="AS95" s="323"/>
      <c r="AT95" s="323"/>
      <c r="AU95" s="322"/>
      <c r="AV95" s="322"/>
      <c r="AW95" s="323"/>
      <c r="AX95" s="323"/>
      <c r="AY95" s="109"/>
      <c r="AZ95" s="95"/>
      <c r="BA95" s="109"/>
      <c r="BB95" s="109"/>
      <c r="BC95" s="109"/>
      <c r="BD95" s="109"/>
      <c r="BE95" s="113"/>
      <c r="BF95" s="114"/>
      <c r="BG95" s="64" t="s">
        <v>3555</v>
      </c>
      <c r="BH95" s="245"/>
      <c r="BI95" s="64" t="s">
        <v>3551</v>
      </c>
      <c r="BJ95" s="229" t="s">
        <v>3552</v>
      </c>
    </row>
    <row r="96" spans="1:62" s="51" customFormat="1" ht="52.5" customHeight="1">
      <c r="A96" s="51">
        <v>4</v>
      </c>
      <c r="B96" s="16" t="s">
        <v>85</v>
      </c>
      <c r="C96" s="164">
        <v>12495</v>
      </c>
      <c r="D96" s="383" t="s">
        <v>2697</v>
      </c>
      <c r="E96" s="220" t="s">
        <v>331</v>
      </c>
      <c r="F96" s="130" t="s">
        <v>3562</v>
      </c>
      <c r="G96" s="10"/>
      <c r="H96" s="131"/>
      <c r="I96" s="55">
        <v>2</v>
      </c>
      <c r="J96" s="196">
        <v>1</v>
      </c>
      <c r="K96" s="178"/>
      <c r="L96" s="52" t="s">
        <v>502</v>
      </c>
      <c r="M96" s="295" t="s">
        <v>23</v>
      </c>
      <c r="N96" s="335">
        <v>41597</v>
      </c>
      <c r="O96" s="158">
        <f t="shared" si="1"/>
        <v>41597</v>
      </c>
      <c r="P96" s="133" t="s">
        <v>3588</v>
      </c>
      <c r="Q96" s="354" t="s">
        <v>1085</v>
      </c>
      <c r="R96" s="52" t="s">
        <v>505</v>
      </c>
      <c r="S96" s="295" t="s">
        <v>1964</v>
      </c>
      <c r="T96" s="79">
        <v>55252</v>
      </c>
      <c r="U96" s="64" t="s">
        <v>1175</v>
      </c>
      <c r="V96" s="64" t="s">
        <v>1175</v>
      </c>
      <c r="W96" s="64" t="s">
        <v>695</v>
      </c>
      <c r="X96" s="64" t="s">
        <v>696</v>
      </c>
      <c r="Y96" s="295" t="s">
        <v>132</v>
      </c>
      <c r="Z96" s="295" t="s">
        <v>1175</v>
      </c>
      <c r="AA96" s="64"/>
      <c r="AB96" s="302" t="s">
        <v>1123</v>
      </c>
      <c r="AC96" s="64" t="s">
        <v>505</v>
      </c>
      <c r="AD96" s="302" t="s">
        <v>30</v>
      </c>
      <c r="AE96" s="302" t="s">
        <v>21</v>
      </c>
      <c r="AF96" s="302" t="s">
        <v>947</v>
      </c>
      <c r="AG96" s="364" t="s">
        <v>3130</v>
      </c>
      <c r="AH96" s="114"/>
      <c r="AI96" s="302" t="s">
        <v>1149</v>
      </c>
      <c r="AJ96" s="64" t="s">
        <v>505</v>
      </c>
      <c r="AK96" s="302" t="s">
        <v>20</v>
      </c>
      <c r="AL96" s="302" t="s">
        <v>926</v>
      </c>
      <c r="AM96" s="302" t="s">
        <v>946</v>
      </c>
      <c r="AN96" s="364" t="s">
        <v>3390</v>
      </c>
      <c r="AO96" s="64"/>
      <c r="AP96" s="190" t="s">
        <v>1965</v>
      </c>
      <c r="AQ96" s="72"/>
      <c r="AR96" s="64"/>
      <c r="AS96" s="324"/>
      <c r="AT96" s="324"/>
      <c r="AU96" s="72"/>
      <c r="AV96" s="64"/>
      <c r="AW96" s="324"/>
      <c r="AX96" s="324"/>
      <c r="AY96" s="60"/>
      <c r="AZ96" s="95"/>
      <c r="BA96" s="60"/>
      <c r="BB96" s="60"/>
      <c r="BC96" s="60"/>
      <c r="BD96" s="60"/>
      <c r="BE96" s="75"/>
      <c r="BF96" s="64"/>
      <c r="BG96" s="64" t="s">
        <v>3555</v>
      </c>
      <c r="BH96" s="245"/>
      <c r="BI96" s="64" t="s">
        <v>3551</v>
      </c>
      <c r="BJ96" s="229" t="s">
        <v>3552</v>
      </c>
    </row>
    <row r="97" spans="1:62" s="51" customFormat="1" ht="52.5" customHeight="1">
      <c r="A97" s="51">
        <v>5</v>
      </c>
      <c r="B97" s="16" t="s">
        <v>85</v>
      </c>
      <c r="C97" s="164">
        <v>12502</v>
      </c>
      <c r="D97" s="292">
        <v>3134998663</v>
      </c>
      <c r="E97" s="220" t="s">
        <v>332</v>
      </c>
      <c r="F97" s="130" t="s">
        <v>3562</v>
      </c>
      <c r="G97" s="10"/>
      <c r="H97" s="131"/>
      <c r="I97" s="55">
        <v>1</v>
      </c>
      <c r="J97" s="196">
        <v>1</v>
      </c>
      <c r="K97" s="178"/>
      <c r="L97" s="52" t="s">
        <v>502</v>
      </c>
      <c r="M97" s="295" t="s">
        <v>84</v>
      </c>
      <c r="N97" s="335">
        <v>41460</v>
      </c>
      <c r="O97" s="158">
        <f t="shared" si="1"/>
        <v>41460</v>
      </c>
      <c r="P97" s="133" t="s">
        <v>3589</v>
      </c>
      <c r="Q97" s="354" t="s">
        <v>1086</v>
      </c>
      <c r="R97" s="52" t="s">
        <v>505</v>
      </c>
      <c r="S97" s="295" t="s">
        <v>1112</v>
      </c>
      <c r="T97" s="79"/>
      <c r="U97" s="64" t="s">
        <v>2101</v>
      </c>
      <c r="V97" s="64" t="s">
        <v>733</v>
      </c>
      <c r="W97" s="64" t="s">
        <v>19</v>
      </c>
      <c r="X97" s="64" t="s">
        <v>696</v>
      </c>
      <c r="Y97" s="295" t="s">
        <v>130</v>
      </c>
      <c r="Z97" s="295" t="s">
        <v>1176</v>
      </c>
      <c r="AA97" s="64"/>
      <c r="AB97" s="302" t="s">
        <v>1124</v>
      </c>
      <c r="AC97" s="64" t="s">
        <v>505</v>
      </c>
      <c r="AD97" s="302" t="s">
        <v>30</v>
      </c>
      <c r="AE97" s="302" t="s">
        <v>924</v>
      </c>
      <c r="AF97" s="302" t="s">
        <v>948</v>
      </c>
      <c r="AG97" s="364" t="s">
        <v>3131</v>
      </c>
      <c r="AH97" s="114"/>
      <c r="AI97" s="302" t="s">
        <v>1150</v>
      </c>
      <c r="AJ97" s="64" t="s">
        <v>505</v>
      </c>
      <c r="AK97" s="302" t="s">
        <v>20</v>
      </c>
      <c r="AL97" s="302" t="s">
        <v>921</v>
      </c>
      <c r="AM97" s="302" t="s">
        <v>949</v>
      </c>
      <c r="AN97" s="364" t="s">
        <v>3391</v>
      </c>
      <c r="AO97" s="64"/>
      <c r="AP97" s="190" t="s">
        <v>1966</v>
      </c>
      <c r="AQ97" s="72"/>
      <c r="AR97" s="64"/>
      <c r="AS97" s="324"/>
      <c r="AT97" s="324"/>
      <c r="AU97" s="72"/>
      <c r="AV97" s="72"/>
      <c r="AW97" s="324"/>
      <c r="AX97" s="324"/>
      <c r="AY97" s="60"/>
      <c r="AZ97" s="95"/>
      <c r="BA97" s="60"/>
      <c r="BB97" s="60"/>
      <c r="BC97" s="60"/>
      <c r="BD97" s="60"/>
      <c r="BE97" s="75"/>
      <c r="BF97" s="64"/>
      <c r="BG97" s="64" t="s">
        <v>3555</v>
      </c>
      <c r="BH97" s="245"/>
      <c r="BI97" s="64" t="s">
        <v>3551</v>
      </c>
      <c r="BJ97" s="229" t="s">
        <v>3552</v>
      </c>
    </row>
    <row r="98" spans="1:62" s="51" customFormat="1" ht="52.5" customHeight="1">
      <c r="A98" s="51">
        <v>6</v>
      </c>
      <c r="B98" s="16" t="s">
        <v>85</v>
      </c>
      <c r="C98" s="164">
        <v>12503</v>
      </c>
      <c r="D98" s="383" t="s">
        <v>2698</v>
      </c>
      <c r="E98" s="220" t="s">
        <v>333</v>
      </c>
      <c r="F98" s="130" t="s">
        <v>3562</v>
      </c>
      <c r="G98" s="10"/>
      <c r="H98" s="263"/>
      <c r="I98" s="55">
        <v>3</v>
      </c>
      <c r="J98" s="196">
        <v>2</v>
      </c>
      <c r="K98" s="178"/>
      <c r="L98" s="52" t="s">
        <v>502</v>
      </c>
      <c r="M98" s="295" t="s">
        <v>31</v>
      </c>
      <c r="N98" s="335">
        <v>41784</v>
      </c>
      <c r="O98" s="158">
        <f t="shared" si="1"/>
        <v>41784</v>
      </c>
      <c r="P98" s="133" t="s">
        <v>3590</v>
      </c>
      <c r="Q98" s="354" t="s">
        <v>1087</v>
      </c>
      <c r="R98" s="52" t="s">
        <v>505</v>
      </c>
      <c r="S98" s="295" t="s">
        <v>2106</v>
      </c>
      <c r="T98" s="79"/>
      <c r="U98" s="64" t="s">
        <v>2102</v>
      </c>
      <c r="V98" s="64" t="s">
        <v>705</v>
      </c>
      <c r="W98" s="64" t="s">
        <v>695</v>
      </c>
      <c r="X98" s="64" t="s">
        <v>696</v>
      </c>
      <c r="Y98" s="295" t="s">
        <v>2876</v>
      </c>
      <c r="Z98" s="295" t="s">
        <v>1177</v>
      </c>
      <c r="AA98" s="64"/>
      <c r="AB98" s="303" t="s">
        <v>1125</v>
      </c>
      <c r="AC98" s="64" t="s">
        <v>505</v>
      </c>
      <c r="AD98" s="302" t="s">
        <v>22</v>
      </c>
      <c r="AE98" s="302" t="s">
        <v>21</v>
      </c>
      <c r="AF98" s="302" t="s">
        <v>947</v>
      </c>
      <c r="AG98" s="364" t="s">
        <v>3132</v>
      </c>
      <c r="AH98" s="114"/>
      <c r="AI98" s="302" t="s">
        <v>1151</v>
      </c>
      <c r="AJ98" s="64" t="s">
        <v>505</v>
      </c>
      <c r="AK98" s="302" t="s">
        <v>22</v>
      </c>
      <c r="AL98" s="302" t="s">
        <v>21</v>
      </c>
      <c r="AM98" s="302" t="s">
        <v>946</v>
      </c>
      <c r="AN98" s="364" t="s">
        <v>3392</v>
      </c>
      <c r="AO98" s="64"/>
      <c r="AP98" s="190" t="s">
        <v>1967</v>
      </c>
      <c r="AQ98" s="72"/>
      <c r="AR98" s="64"/>
      <c r="AS98" s="324"/>
      <c r="AT98" s="324"/>
      <c r="AU98" s="72"/>
      <c r="AV98" s="72"/>
      <c r="AW98" s="324"/>
      <c r="AX98" s="324"/>
      <c r="AY98" s="60"/>
      <c r="AZ98" s="95"/>
      <c r="BA98" s="60"/>
      <c r="BB98" s="60"/>
      <c r="BC98" s="60"/>
      <c r="BD98" s="60"/>
      <c r="BE98" s="75"/>
      <c r="BF98" s="64"/>
      <c r="BG98" s="64" t="s">
        <v>3555</v>
      </c>
      <c r="BH98" s="245"/>
      <c r="BI98" s="64" t="s">
        <v>3551</v>
      </c>
      <c r="BJ98" s="229" t="s">
        <v>3552</v>
      </c>
    </row>
    <row r="99" spans="1:62" s="51" customFormat="1" ht="52.5" customHeight="1">
      <c r="A99" s="51">
        <v>7</v>
      </c>
      <c r="B99" s="16" t="s">
        <v>85</v>
      </c>
      <c r="C99" s="52">
        <v>12505</v>
      </c>
      <c r="D99" s="383" t="s">
        <v>2699</v>
      </c>
      <c r="E99" s="220" t="s">
        <v>334</v>
      </c>
      <c r="F99" s="130" t="s">
        <v>3562</v>
      </c>
      <c r="G99" s="10"/>
      <c r="H99" s="131"/>
      <c r="I99" s="55">
        <v>3</v>
      </c>
      <c r="J99" s="196">
        <v>2</v>
      </c>
      <c r="K99" s="178"/>
      <c r="L99" s="52" t="s">
        <v>502</v>
      </c>
      <c r="M99" s="295" t="s">
        <v>23</v>
      </c>
      <c r="N99" s="335">
        <v>41621</v>
      </c>
      <c r="O99" s="158">
        <f t="shared" si="1"/>
        <v>41621</v>
      </c>
      <c r="P99" s="133">
        <f t="shared" ref="P70:P132" si="2">N99</f>
        <v>41621</v>
      </c>
      <c r="Q99" s="354" t="s">
        <v>1088</v>
      </c>
      <c r="R99" s="52" t="s">
        <v>505</v>
      </c>
      <c r="S99" s="295" t="s">
        <v>2105</v>
      </c>
      <c r="T99" s="79">
        <v>55172</v>
      </c>
      <c r="U99" s="64" t="s">
        <v>2104</v>
      </c>
      <c r="V99" s="64" t="s">
        <v>2100</v>
      </c>
      <c r="W99" s="64" t="s">
        <v>695</v>
      </c>
      <c r="X99" s="64" t="s">
        <v>696</v>
      </c>
      <c r="Y99" s="295" t="s">
        <v>1178</v>
      </c>
      <c r="Z99" s="295" t="s">
        <v>1179</v>
      </c>
      <c r="AA99" s="64"/>
      <c r="AB99" s="302" t="s">
        <v>1126</v>
      </c>
      <c r="AC99" s="64" t="s">
        <v>505</v>
      </c>
      <c r="AD99" s="302" t="s">
        <v>20</v>
      </c>
      <c r="AE99" s="302" t="s">
        <v>165</v>
      </c>
      <c r="AF99" s="302" t="s">
        <v>948</v>
      </c>
      <c r="AG99" s="364" t="s">
        <v>3133</v>
      </c>
      <c r="AH99" s="114"/>
      <c r="AI99" s="302" t="s">
        <v>1152</v>
      </c>
      <c r="AJ99" s="64" t="s">
        <v>505</v>
      </c>
      <c r="AK99" s="302" t="s">
        <v>30</v>
      </c>
      <c r="AL99" s="302" t="s">
        <v>924</v>
      </c>
      <c r="AM99" s="302" t="s">
        <v>948</v>
      </c>
      <c r="AN99" s="364" t="s">
        <v>3393</v>
      </c>
      <c r="AO99" s="64"/>
      <c r="AP99" s="190" t="s">
        <v>1968</v>
      </c>
      <c r="AQ99" s="72"/>
      <c r="AR99" s="64"/>
      <c r="AS99" s="324"/>
      <c r="AT99" s="324"/>
      <c r="AU99" s="72"/>
      <c r="AV99" s="72"/>
      <c r="AW99" s="324"/>
      <c r="AX99" s="324"/>
      <c r="AY99" s="60"/>
      <c r="AZ99" s="95"/>
      <c r="BA99" s="60"/>
      <c r="BB99" s="60"/>
      <c r="BC99" s="60"/>
      <c r="BD99" s="60"/>
      <c r="BE99" s="75"/>
      <c r="BF99" s="64"/>
      <c r="BG99" s="64" t="s">
        <v>3555</v>
      </c>
      <c r="BH99" s="245"/>
      <c r="BI99" s="64" t="s">
        <v>3551</v>
      </c>
      <c r="BJ99" s="229" t="s">
        <v>3552</v>
      </c>
    </row>
    <row r="100" spans="1:62" s="51" customFormat="1" ht="52.5" customHeight="1">
      <c r="A100" s="51">
        <v>8</v>
      </c>
      <c r="B100" s="16" t="s">
        <v>85</v>
      </c>
      <c r="C100" s="52">
        <v>12510</v>
      </c>
      <c r="D100" s="383" t="s">
        <v>2700</v>
      </c>
      <c r="E100" s="220" t="s">
        <v>335</v>
      </c>
      <c r="F100" s="130" t="s">
        <v>3562</v>
      </c>
      <c r="G100" s="10"/>
      <c r="H100" s="131"/>
      <c r="I100" s="55">
        <v>1</v>
      </c>
      <c r="J100" s="196">
        <v>2</v>
      </c>
      <c r="K100" s="52"/>
      <c r="L100" s="52" t="s">
        <v>502</v>
      </c>
      <c r="M100" s="295" t="s">
        <v>1081</v>
      </c>
      <c r="N100" s="335">
        <v>41443</v>
      </c>
      <c r="O100" s="158">
        <f t="shared" si="1"/>
        <v>41443</v>
      </c>
      <c r="P100" s="133" t="s">
        <v>3591</v>
      </c>
      <c r="Q100" s="354" t="s">
        <v>1089</v>
      </c>
      <c r="R100" s="52" t="s">
        <v>505</v>
      </c>
      <c r="S100" s="295" t="s">
        <v>2107</v>
      </c>
      <c r="T100" s="79"/>
      <c r="U100" s="64" t="s">
        <v>2111</v>
      </c>
      <c r="V100" s="64" t="s">
        <v>2109</v>
      </c>
      <c r="W100" s="64" t="s">
        <v>102</v>
      </c>
      <c r="X100" s="64" t="s">
        <v>29</v>
      </c>
      <c r="Y100" s="295" t="s">
        <v>1180</v>
      </c>
      <c r="Z100" s="295" t="s">
        <v>1181</v>
      </c>
      <c r="AA100" s="64"/>
      <c r="AB100" s="302" t="s">
        <v>1127</v>
      </c>
      <c r="AC100" s="64" t="s">
        <v>505</v>
      </c>
      <c r="AD100" s="302" t="s">
        <v>20</v>
      </c>
      <c r="AE100" s="302" t="s">
        <v>165</v>
      </c>
      <c r="AF100" s="302" t="s">
        <v>947</v>
      </c>
      <c r="AG100" s="364" t="s">
        <v>3134</v>
      </c>
      <c r="AH100" s="114"/>
      <c r="AI100" s="302" t="s">
        <v>1153</v>
      </c>
      <c r="AJ100" s="64" t="s">
        <v>505</v>
      </c>
      <c r="AK100" s="302" t="s">
        <v>922</v>
      </c>
      <c r="AL100" s="302" t="s">
        <v>923</v>
      </c>
      <c r="AM100" s="302" t="s">
        <v>950</v>
      </c>
      <c r="AN100" s="364" t="s">
        <v>3394</v>
      </c>
      <c r="AO100" s="64"/>
      <c r="AP100" s="190" t="s">
        <v>1969</v>
      </c>
      <c r="AQ100" s="72"/>
      <c r="AR100" s="64"/>
      <c r="AS100" s="324"/>
      <c r="AT100" s="324"/>
      <c r="AU100" s="72"/>
      <c r="AV100" s="72"/>
      <c r="AW100" s="324"/>
      <c r="AX100" s="324"/>
      <c r="AY100" s="60"/>
      <c r="AZ100" s="95"/>
      <c r="BA100" s="60"/>
      <c r="BB100" s="60"/>
      <c r="BC100" s="60"/>
      <c r="BD100" s="60"/>
      <c r="BE100" s="75"/>
      <c r="BF100" s="64"/>
      <c r="BG100" s="64" t="s">
        <v>3555</v>
      </c>
      <c r="BH100" s="245"/>
      <c r="BI100" s="64" t="s">
        <v>3551</v>
      </c>
      <c r="BJ100" s="229" t="s">
        <v>3552</v>
      </c>
    </row>
    <row r="101" spans="1:62" s="51" customFormat="1" ht="47.25">
      <c r="A101" s="51">
        <v>9</v>
      </c>
      <c r="B101" s="16" t="s">
        <v>85</v>
      </c>
      <c r="C101" s="52">
        <v>12511</v>
      </c>
      <c r="D101" s="383" t="s">
        <v>2701</v>
      </c>
      <c r="E101" s="220" t="s">
        <v>336</v>
      </c>
      <c r="F101" s="130" t="s">
        <v>3562</v>
      </c>
      <c r="G101" s="10"/>
      <c r="H101" s="131"/>
      <c r="I101" s="55">
        <v>1</v>
      </c>
      <c r="J101" s="196">
        <v>1</v>
      </c>
      <c r="K101" s="52"/>
      <c r="L101" s="52" t="s">
        <v>502</v>
      </c>
      <c r="M101" s="295" t="s">
        <v>52</v>
      </c>
      <c r="N101" s="335">
        <v>41500</v>
      </c>
      <c r="O101" s="158">
        <f t="shared" si="1"/>
        <v>41500</v>
      </c>
      <c r="P101" s="133" t="s">
        <v>3592</v>
      </c>
      <c r="Q101" s="354" t="s">
        <v>1090</v>
      </c>
      <c r="R101" s="52" t="s">
        <v>505</v>
      </c>
      <c r="S101" s="295" t="s">
        <v>1113</v>
      </c>
      <c r="T101" s="79">
        <v>56513</v>
      </c>
      <c r="U101" s="64" t="s">
        <v>2108</v>
      </c>
      <c r="V101" s="64" t="s">
        <v>52</v>
      </c>
      <c r="W101" s="64" t="s">
        <v>52</v>
      </c>
      <c r="X101" s="64" t="s">
        <v>696</v>
      </c>
      <c r="Y101" s="295" t="s">
        <v>1182</v>
      </c>
      <c r="Z101" s="295" t="s">
        <v>1183</v>
      </c>
      <c r="AA101" s="64"/>
      <c r="AB101" s="303" t="s">
        <v>1128</v>
      </c>
      <c r="AC101" s="64" t="s">
        <v>505</v>
      </c>
      <c r="AD101" s="302" t="s">
        <v>20</v>
      </c>
      <c r="AE101" s="302" t="s">
        <v>921</v>
      </c>
      <c r="AF101" s="302" t="s">
        <v>946</v>
      </c>
      <c r="AG101" s="364" t="s">
        <v>3135</v>
      </c>
      <c r="AH101" s="114"/>
      <c r="AI101" s="302" t="s">
        <v>1154</v>
      </c>
      <c r="AJ101" s="64" t="s">
        <v>505</v>
      </c>
      <c r="AK101" s="302" t="s">
        <v>20</v>
      </c>
      <c r="AL101" s="302" t="s">
        <v>921</v>
      </c>
      <c r="AM101" s="302" t="s">
        <v>948</v>
      </c>
      <c r="AN101" s="364" t="s">
        <v>3395</v>
      </c>
      <c r="AO101" s="64"/>
      <c r="AP101" s="190" t="s">
        <v>1970</v>
      </c>
      <c r="AQ101" s="72"/>
      <c r="AR101" s="64"/>
      <c r="AS101" s="324"/>
      <c r="AT101" s="324"/>
      <c r="AU101" s="72"/>
      <c r="AV101" s="72"/>
      <c r="AW101" s="324"/>
      <c r="AX101" s="324"/>
      <c r="AY101" s="60"/>
      <c r="AZ101" s="95"/>
      <c r="BA101" s="60"/>
      <c r="BB101" s="60"/>
      <c r="BC101" s="60"/>
      <c r="BD101" s="60"/>
      <c r="BE101" s="75"/>
      <c r="BF101" s="64"/>
      <c r="BG101" s="64" t="s">
        <v>3555</v>
      </c>
      <c r="BH101" s="245"/>
      <c r="BI101" s="64" t="s">
        <v>3551</v>
      </c>
      <c r="BJ101" s="229" t="s">
        <v>3552</v>
      </c>
    </row>
    <row r="102" spans="1:62" s="171" customFormat="1" ht="47.25">
      <c r="A102" s="171">
        <v>10</v>
      </c>
      <c r="B102" s="16" t="s">
        <v>85</v>
      </c>
      <c r="C102" s="52">
        <v>12519</v>
      </c>
      <c r="D102" s="383" t="s">
        <v>2702</v>
      </c>
      <c r="E102" s="220" t="s">
        <v>337</v>
      </c>
      <c r="F102" s="130" t="s">
        <v>3562</v>
      </c>
      <c r="G102" s="10"/>
      <c r="H102" s="265"/>
      <c r="I102" s="168">
        <v>3</v>
      </c>
      <c r="J102" s="197">
        <v>2</v>
      </c>
      <c r="K102" s="165"/>
      <c r="L102" s="52" t="s">
        <v>502</v>
      </c>
      <c r="M102" s="295" t="s">
        <v>45</v>
      </c>
      <c r="N102" s="335">
        <v>41619</v>
      </c>
      <c r="O102" s="158">
        <f t="shared" si="1"/>
        <v>41619</v>
      </c>
      <c r="P102" s="133" t="s">
        <v>3593</v>
      </c>
      <c r="Q102" s="354" t="s">
        <v>1091</v>
      </c>
      <c r="R102" s="52" t="s">
        <v>505</v>
      </c>
      <c r="S102" s="295" t="s">
        <v>1971</v>
      </c>
      <c r="T102" s="79">
        <v>60128</v>
      </c>
      <c r="U102" s="64" t="s">
        <v>2113</v>
      </c>
      <c r="V102" s="64" t="s">
        <v>2110</v>
      </c>
      <c r="W102" s="64" t="s">
        <v>524</v>
      </c>
      <c r="X102" s="64" t="s">
        <v>39</v>
      </c>
      <c r="Y102" s="295" t="s">
        <v>1184</v>
      </c>
      <c r="Z102" s="295" t="s">
        <v>1185</v>
      </c>
      <c r="AA102" s="114"/>
      <c r="AB102" s="302" t="s">
        <v>1129</v>
      </c>
      <c r="AC102" s="64" t="s">
        <v>505</v>
      </c>
      <c r="AD102" s="302" t="s">
        <v>30</v>
      </c>
      <c r="AE102" s="302" t="s">
        <v>924</v>
      </c>
      <c r="AF102" s="302" t="s">
        <v>949</v>
      </c>
      <c r="AG102" s="364" t="s">
        <v>3136</v>
      </c>
      <c r="AH102" s="114"/>
      <c r="AI102" s="302" t="s">
        <v>1155</v>
      </c>
      <c r="AJ102" s="64" t="s">
        <v>505</v>
      </c>
      <c r="AK102" s="302" t="s">
        <v>20</v>
      </c>
      <c r="AL102" s="302" t="s">
        <v>924</v>
      </c>
      <c r="AM102" s="302" t="s">
        <v>949</v>
      </c>
      <c r="AN102" s="364" t="s">
        <v>3396</v>
      </c>
      <c r="AO102" s="114"/>
      <c r="AP102" s="190" t="s">
        <v>1972</v>
      </c>
      <c r="AQ102" s="72"/>
      <c r="AR102" s="64"/>
      <c r="AS102" s="324"/>
      <c r="AT102" s="323"/>
      <c r="AU102" s="72"/>
      <c r="AV102" s="72"/>
      <c r="AW102" s="324"/>
      <c r="AX102" s="323"/>
      <c r="AY102" s="109"/>
      <c r="AZ102" s="95"/>
      <c r="BA102" s="109"/>
      <c r="BB102" s="109"/>
      <c r="BC102" s="109"/>
      <c r="BD102" s="109"/>
      <c r="BE102" s="113"/>
      <c r="BF102" s="114"/>
      <c r="BG102" s="64" t="s">
        <v>3555</v>
      </c>
      <c r="BH102" s="245"/>
      <c r="BI102" s="64" t="s">
        <v>3551</v>
      </c>
      <c r="BJ102" s="229" t="s">
        <v>3552</v>
      </c>
    </row>
    <row r="103" spans="1:62" s="51" customFormat="1" ht="47.25">
      <c r="A103" s="51">
        <v>11</v>
      </c>
      <c r="B103" s="16" t="s">
        <v>85</v>
      </c>
      <c r="C103" s="164">
        <v>12526</v>
      </c>
      <c r="D103" s="383" t="s">
        <v>2703</v>
      </c>
      <c r="E103" s="220" t="s">
        <v>338</v>
      </c>
      <c r="F103" s="130" t="s">
        <v>3562</v>
      </c>
      <c r="G103" s="10"/>
      <c r="H103" s="131"/>
      <c r="I103" s="55">
        <v>2</v>
      </c>
      <c r="J103" s="196">
        <v>1</v>
      </c>
      <c r="K103" s="178"/>
      <c r="L103" s="52" t="s">
        <v>502</v>
      </c>
      <c r="M103" s="295" t="s">
        <v>23</v>
      </c>
      <c r="N103" s="336">
        <v>41582</v>
      </c>
      <c r="O103" s="158">
        <f t="shared" si="1"/>
        <v>41582</v>
      </c>
      <c r="P103" s="133" t="s">
        <v>3594</v>
      </c>
      <c r="Q103" s="354" t="s">
        <v>1092</v>
      </c>
      <c r="R103" s="52" t="s">
        <v>505</v>
      </c>
      <c r="S103" s="295" t="s">
        <v>1114</v>
      </c>
      <c r="T103" s="79"/>
      <c r="U103" s="64" t="s">
        <v>2089</v>
      </c>
      <c r="V103" s="64" t="s">
        <v>2078</v>
      </c>
      <c r="W103" s="64" t="s">
        <v>19</v>
      </c>
      <c r="X103" s="64" t="s">
        <v>696</v>
      </c>
      <c r="Y103" s="295" t="s">
        <v>1186</v>
      </c>
      <c r="Z103" s="295" t="s">
        <v>1187</v>
      </c>
      <c r="AA103" s="64"/>
      <c r="AB103" s="302" t="s">
        <v>1130</v>
      </c>
      <c r="AC103" s="64" t="s">
        <v>505</v>
      </c>
      <c r="AD103" s="302" t="s">
        <v>20</v>
      </c>
      <c r="AE103" s="302" t="s">
        <v>165</v>
      </c>
      <c r="AF103" s="302" t="s">
        <v>948</v>
      </c>
      <c r="AG103" s="364" t="s">
        <v>3137</v>
      </c>
      <c r="AH103" s="114"/>
      <c r="AI103" s="302" t="s">
        <v>1156</v>
      </c>
      <c r="AJ103" s="64" t="s">
        <v>505</v>
      </c>
      <c r="AK103" s="302" t="s">
        <v>20</v>
      </c>
      <c r="AL103" s="302" t="s">
        <v>21</v>
      </c>
      <c r="AM103" s="302" t="s">
        <v>948</v>
      </c>
      <c r="AN103" s="364" t="s">
        <v>3397</v>
      </c>
      <c r="AO103" s="64"/>
      <c r="AP103" s="190" t="s">
        <v>1973</v>
      </c>
      <c r="AQ103" s="72"/>
      <c r="AR103" s="64"/>
      <c r="AS103" s="324"/>
      <c r="AT103" s="324"/>
      <c r="AU103" s="72"/>
      <c r="AV103" s="72"/>
      <c r="AW103" s="324"/>
      <c r="AX103" s="324"/>
      <c r="AY103" s="60"/>
      <c r="AZ103" s="95"/>
      <c r="BA103" s="60"/>
      <c r="BB103" s="60"/>
      <c r="BC103" s="60"/>
      <c r="BD103" s="60"/>
      <c r="BE103" s="75"/>
      <c r="BF103" s="64"/>
      <c r="BG103" s="64" t="s">
        <v>3555</v>
      </c>
      <c r="BH103" s="245"/>
      <c r="BI103" s="64" t="s">
        <v>3551</v>
      </c>
      <c r="BJ103" s="229" t="s">
        <v>3552</v>
      </c>
    </row>
    <row r="104" spans="1:62" s="51" customFormat="1" ht="47.25">
      <c r="A104" s="51">
        <v>12</v>
      </c>
      <c r="B104" s="16" t="s">
        <v>85</v>
      </c>
      <c r="C104" s="52">
        <v>12531</v>
      </c>
      <c r="D104" s="383" t="s">
        <v>2704</v>
      </c>
      <c r="E104" s="220" t="s">
        <v>339</v>
      </c>
      <c r="F104" s="130" t="s">
        <v>3562</v>
      </c>
      <c r="G104" s="10"/>
      <c r="H104" s="131"/>
      <c r="I104" s="55">
        <v>1</v>
      </c>
      <c r="J104" s="196">
        <v>2</v>
      </c>
      <c r="K104" s="178"/>
      <c r="L104" s="52" t="s">
        <v>502</v>
      </c>
      <c r="M104" s="295" t="s">
        <v>101</v>
      </c>
      <c r="N104" s="335">
        <v>41640</v>
      </c>
      <c r="O104" s="158">
        <f t="shared" si="1"/>
        <v>41640</v>
      </c>
      <c r="P104" s="133" t="s">
        <v>3595</v>
      </c>
      <c r="Q104" s="363" t="s">
        <v>1974</v>
      </c>
      <c r="R104" s="52" t="s">
        <v>505</v>
      </c>
      <c r="S104" s="295" t="s">
        <v>2137</v>
      </c>
      <c r="T104" s="79">
        <v>53391</v>
      </c>
      <c r="U104" s="64" t="s">
        <v>2114</v>
      </c>
      <c r="V104" s="64" t="s">
        <v>2103</v>
      </c>
      <c r="W104" s="64" t="s">
        <v>101</v>
      </c>
      <c r="X104" s="64" t="s">
        <v>29</v>
      </c>
      <c r="Y104" s="295" t="s">
        <v>1188</v>
      </c>
      <c r="Z104" s="295"/>
      <c r="AA104" s="64"/>
      <c r="AB104" s="302" t="s">
        <v>1131</v>
      </c>
      <c r="AC104" s="64" t="s">
        <v>505</v>
      </c>
      <c r="AD104" s="302" t="s">
        <v>1975</v>
      </c>
      <c r="AE104" s="302" t="s">
        <v>511</v>
      </c>
      <c r="AF104" s="302"/>
      <c r="AG104" s="364" t="s">
        <v>3138</v>
      </c>
      <c r="AH104" s="114"/>
      <c r="AI104" s="302" t="s">
        <v>1157</v>
      </c>
      <c r="AJ104" s="64" t="s">
        <v>505</v>
      </c>
      <c r="AK104" s="302" t="s">
        <v>20</v>
      </c>
      <c r="AL104" s="302" t="s">
        <v>511</v>
      </c>
      <c r="AM104" s="302"/>
      <c r="AN104" s="364" t="s">
        <v>3398</v>
      </c>
      <c r="AO104" s="64"/>
      <c r="AP104" s="190" t="s">
        <v>1976</v>
      </c>
      <c r="AQ104" s="72"/>
      <c r="AR104" s="64"/>
      <c r="AS104" s="324"/>
      <c r="AT104" s="324"/>
      <c r="AU104" s="72"/>
      <c r="AV104" s="72"/>
      <c r="AW104" s="324"/>
      <c r="AX104" s="324"/>
      <c r="AY104" s="60"/>
      <c r="AZ104" s="95"/>
      <c r="BA104" s="60"/>
      <c r="BB104" s="60"/>
      <c r="BC104" s="60"/>
      <c r="BD104" s="60"/>
      <c r="BE104" s="75"/>
      <c r="BF104" s="64"/>
      <c r="BG104" s="64" t="s">
        <v>3555</v>
      </c>
      <c r="BH104" s="245"/>
      <c r="BI104" s="64" t="s">
        <v>3551</v>
      </c>
      <c r="BJ104" s="229" t="s">
        <v>3552</v>
      </c>
    </row>
    <row r="105" spans="1:62" s="51" customFormat="1" ht="47.25">
      <c r="A105" s="51">
        <v>13</v>
      </c>
      <c r="B105" s="16" t="s">
        <v>85</v>
      </c>
      <c r="C105" s="52">
        <v>12539</v>
      </c>
      <c r="D105" s="383" t="s">
        <v>2705</v>
      </c>
      <c r="E105" s="220" t="s">
        <v>340</v>
      </c>
      <c r="F105" s="130" t="s">
        <v>3562</v>
      </c>
      <c r="G105" s="10"/>
      <c r="H105" s="263"/>
      <c r="I105" s="55">
        <v>4</v>
      </c>
      <c r="J105" s="196">
        <v>3</v>
      </c>
      <c r="K105" s="177"/>
      <c r="L105" s="52" t="s">
        <v>502</v>
      </c>
      <c r="M105" s="295" t="s">
        <v>102</v>
      </c>
      <c r="N105" s="336">
        <v>41671</v>
      </c>
      <c r="O105" s="158">
        <f t="shared" si="1"/>
        <v>41671</v>
      </c>
      <c r="P105" s="133" t="s">
        <v>3596</v>
      </c>
      <c r="Q105" s="354" t="s">
        <v>1093</v>
      </c>
      <c r="R105" s="52" t="s">
        <v>505</v>
      </c>
      <c r="S105" s="295" t="s">
        <v>2839</v>
      </c>
      <c r="T105" s="79">
        <v>0</v>
      </c>
      <c r="U105" s="64" t="s">
        <v>2138</v>
      </c>
      <c r="V105" s="64" t="s">
        <v>2139</v>
      </c>
      <c r="W105" s="64" t="s">
        <v>102</v>
      </c>
      <c r="X105" s="64" t="s">
        <v>29</v>
      </c>
      <c r="Y105" s="295" t="s">
        <v>107</v>
      </c>
      <c r="Z105" s="295" t="s">
        <v>1189</v>
      </c>
      <c r="AA105" s="64"/>
      <c r="AB105" s="302" t="s">
        <v>2926</v>
      </c>
      <c r="AC105" s="64" t="s">
        <v>505</v>
      </c>
      <c r="AD105" s="302" t="s">
        <v>20</v>
      </c>
      <c r="AE105" s="302" t="s">
        <v>1057</v>
      </c>
      <c r="AF105" s="302" t="s">
        <v>946</v>
      </c>
      <c r="AG105" s="364" t="s">
        <v>3139</v>
      </c>
      <c r="AH105" s="114"/>
      <c r="AI105" s="302" t="s">
        <v>2970</v>
      </c>
      <c r="AJ105" s="64" t="s">
        <v>505</v>
      </c>
      <c r="AK105" s="302" t="s">
        <v>30</v>
      </c>
      <c r="AL105" s="302" t="s">
        <v>21</v>
      </c>
      <c r="AM105" s="302" t="s">
        <v>946</v>
      </c>
      <c r="AN105" s="364" t="s">
        <v>3399</v>
      </c>
      <c r="AO105" s="64"/>
      <c r="AP105" s="191" t="s">
        <v>1977</v>
      </c>
      <c r="AQ105" s="322"/>
      <c r="AR105" s="114"/>
      <c r="AS105" s="323"/>
      <c r="AT105" s="323"/>
      <c r="AU105" s="322"/>
      <c r="AV105" s="322"/>
      <c r="AW105" s="323"/>
      <c r="AX105" s="324"/>
      <c r="AY105" s="60"/>
      <c r="AZ105" s="95"/>
      <c r="BA105" s="60"/>
      <c r="BB105" s="60"/>
      <c r="BC105" s="60"/>
      <c r="BD105" s="60"/>
      <c r="BE105" s="75"/>
      <c r="BF105" s="64"/>
      <c r="BG105" s="64" t="s">
        <v>3555</v>
      </c>
      <c r="BH105" s="245"/>
      <c r="BI105" s="64" t="s">
        <v>3551</v>
      </c>
      <c r="BJ105" s="229" t="s">
        <v>3552</v>
      </c>
    </row>
    <row r="106" spans="1:62" s="51" customFormat="1" ht="52.5" customHeight="1">
      <c r="A106" s="51">
        <v>14</v>
      </c>
      <c r="B106" s="16" t="s">
        <v>85</v>
      </c>
      <c r="C106" s="52">
        <v>12540</v>
      </c>
      <c r="D106" s="383" t="s">
        <v>2706</v>
      </c>
      <c r="E106" s="220" t="s">
        <v>341</v>
      </c>
      <c r="F106" s="130" t="s">
        <v>3562</v>
      </c>
      <c r="G106" s="10"/>
      <c r="H106" s="131"/>
      <c r="I106" s="55">
        <v>1</v>
      </c>
      <c r="J106" s="196">
        <v>2</v>
      </c>
      <c r="K106" s="178"/>
      <c r="L106" s="52" t="s">
        <v>502</v>
      </c>
      <c r="M106" s="295" t="s">
        <v>49</v>
      </c>
      <c r="N106" s="335">
        <v>41754</v>
      </c>
      <c r="O106" s="158">
        <f t="shared" si="1"/>
        <v>41754</v>
      </c>
      <c r="P106" s="133" t="s">
        <v>3597</v>
      </c>
      <c r="Q106" s="354" t="s">
        <v>1094</v>
      </c>
      <c r="R106" s="52" t="s">
        <v>505</v>
      </c>
      <c r="S106" s="295" t="s">
        <v>2141</v>
      </c>
      <c r="T106" s="79">
        <v>61173</v>
      </c>
      <c r="U106" s="64" t="s">
        <v>2140</v>
      </c>
      <c r="V106" s="64" t="s">
        <v>2142</v>
      </c>
      <c r="W106" s="64" t="s">
        <v>49</v>
      </c>
      <c r="X106" s="64" t="s">
        <v>39</v>
      </c>
      <c r="Y106" s="295" t="s">
        <v>2877</v>
      </c>
      <c r="Z106" s="295" t="s">
        <v>1190</v>
      </c>
      <c r="AA106" s="64"/>
      <c r="AB106" s="302" t="s">
        <v>1132</v>
      </c>
      <c r="AC106" s="64" t="s">
        <v>505</v>
      </c>
      <c r="AD106" s="302" t="s">
        <v>20</v>
      </c>
      <c r="AE106" s="302" t="s">
        <v>921</v>
      </c>
      <c r="AF106" s="302" t="s">
        <v>946</v>
      </c>
      <c r="AG106" s="364" t="s">
        <v>3140</v>
      </c>
      <c r="AH106" s="114"/>
      <c r="AI106" s="302" t="s">
        <v>1158</v>
      </c>
      <c r="AJ106" s="64" t="s">
        <v>505</v>
      </c>
      <c r="AK106" s="302" t="s">
        <v>20</v>
      </c>
      <c r="AL106" s="302" t="s">
        <v>921</v>
      </c>
      <c r="AM106" s="302" t="s">
        <v>948</v>
      </c>
      <c r="AN106" s="364" t="s">
        <v>3400</v>
      </c>
      <c r="AO106" s="64"/>
      <c r="AP106" s="191" t="s">
        <v>1978</v>
      </c>
      <c r="AQ106" s="322"/>
      <c r="AR106" s="114"/>
      <c r="AS106" s="323"/>
      <c r="AT106" s="323"/>
      <c r="AU106" s="322"/>
      <c r="AV106" s="322"/>
      <c r="AW106" s="323"/>
      <c r="AX106" s="324"/>
      <c r="AY106" s="60"/>
      <c r="AZ106" s="95"/>
      <c r="BA106" s="60"/>
      <c r="BB106" s="60"/>
      <c r="BC106" s="60"/>
      <c r="BD106" s="60"/>
      <c r="BE106" s="75"/>
      <c r="BF106" s="64"/>
      <c r="BG106" s="64" t="s">
        <v>3555</v>
      </c>
      <c r="BH106" s="245"/>
      <c r="BI106" s="64" t="s">
        <v>3551</v>
      </c>
      <c r="BJ106" s="229" t="s">
        <v>3552</v>
      </c>
    </row>
    <row r="107" spans="1:62" s="51" customFormat="1" ht="52.5" customHeight="1">
      <c r="A107" s="51">
        <v>15</v>
      </c>
      <c r="B107" s="16" t="s">
        <v>85</v>
      </c>
      <c r="C107" s="164">
        <v>12579</v>
      </c>
      <c r="D107" s="383" t="s">
        <v>2707</v>
      </c>
      <c r="E107" s="220" t="s">
        <v>342</v>
      </c>
      <c r="F107" s="130" t="s">
        <v>3562</v>
      </c>
      <c r="G107" s="10"/>
      <c r="H107" s="131"/>
      <c r="I107" s="55">
        <v>1</v>
      </c>
      <c r="J107" s="196">
        <v>1</v>
      </c>
      <c r="K107" s="52"/>
      <c r="L107" s="52" t="s">
        <v>502</v>
      </c>
      <c r="M107" s="295" t="s">
        <v>702</v>
      </c>
      <c r="N107" s="335">
        <v>41683</v>
      </c>
      <c r="O107" s="158">
        <f t="shared" si="1"/>
        <v>41683</v>
      </c>
      <c r="P107" s="133" t="s">
        <v>3598</v>
      </c>
      <c r="Q107" s="354" t="s">
        <v>1095</v>
      </c>
      <c r="R107" s="52" t="s">
        <v>505</v>
      </c>
      <c r="S107" s="295" t="s">
        <v>1979</v>
      </c>
      <c r="T107" s="79">
        <v>52411</v>
      </c>
      <c r="U107" s="64" t="s">
        <v>2144</v>
      </c>
      <c r="V107" s="64" t="s">
        <v>2115</v>
      </c>
      <c r="W107" s="64" t="s">
        <v>90</v>
      </c>
      <c r="X107" s="64" t="s">
        <v>29</v>
      </c>
      <c r="Y107" s="295" t="s">
        <v>1191</v>
      </c>
      <c r="Z107" s="295" t="s">
        <v>1192</v>
      </c>
      <c r="AA107" s="64"/>
      <c r="AB107" s="302" t="s">
        <v>1133</v>
      </c>
      <c r="AC107" s="64" t="s">
        <v>505</v>
      </c>
      <c r="AD107" s="302" t="s">
        <v>22</v>
      </c>
      <c r="AE107" s="302" t="s">
        <v>926</v>
      </c>
      <c r="AF107" s="302" t="s">
        <v>946</v>
      </c>
      <c r="AG107" s="364" t="s">
        <v>3141</v>
      </c>
      <c r="AH107" s="114"/>
      <c r="AI107" s="302" t="s">
        <v>1159</v>
      </c>
      <c r="AJ107" s="64" t="s">
        <v>505</v>
      </c>
      <c r="AK107" s="302" t="s">
        <v>30</v>
      </c>
      <c r="AL107" s="302" t="s">
        <v>924</v>
      </c>
      <c r="AM107" s="302" t="s">
        <v>946</v>
      </c>
      <c r="AN107" s="364" t="s">
        <v>3141</v>
      </c>
      <c r="AO107" s="64"/>
      <c r="AP107" s="191" t="s">
        <v>1980</v>
      </c>
      <c r="AQ107" s="322"/>
      <c r="AR107" s="114"/>
      <c r="AS107" s="323"/>
      <c r="AT107" s="323"/>
      <c r="AU107" s="322"/>
      <c r="AV107" s="322"/>
      <c r="AW107" s="323"/>
      <c r="AX107" s="324"/>
      <c r="AY107" s="60"/>
      <c r="AZ107" s="95"/>
      <c r="BA107" s="60"/>
      <c r="BB107" s="60"/>
      <c r="BC107" s="60"/>
      <c r="BD107" s="60"/>
      <c r="BE107" s="75"/>
      <c r="BF107" s="64"/>
      <c r="BG107" s="64" t="s">
        <v>3555</v>
      </c>
      <c r="BH107" s="245"/>
      <c r="BI107" s="64" t="s">
        <v>3551</v>
      </c>
      <c r="BJ107" s="229" t="s">
        <v>3552</v>
      </c>
    </row>
    <row r="108" spans="1:62" s="51" customFormat="1" ht="52.5" customHeight="1">
      <c r="A108" s="51">
        <v>16</v>
      </c>
      <c r="B108" s="16" t="s">
        <v>85</v>
      </c>
      <c r="C108" s="52">
        <v>12582</v>
      </c>
      <c r="D108" s="383" t="s">
        <v>2708</v>
      </c>
      <c r="E108" s="220" t="s">
        <v>343</v>
      </c>
      <c r="F108" s="130" t="s">
        <v>3562</v>
      </c>
      <c r="G108" s="10"/>
      <c r="H108" s="131"/>
      <c r="I108" s="55">
        <v>5</v>
      </c>
      <c r="J108" s="196">
        <v>5</v>
      </c>
      <c r="K108" s="178"/>
      <c r="L108" s="52" t="s">
        <v>502</v>
      </c>
      <c r="M108" s="295" t="s">
        <v>117</v>
      </c>
      <c r="N108" s="335">
        <v>41668</v>
      </c>
      <c r="O108" s="158">
        <f t="shared" si="1"/>
        <v>41668</v>
      </c>
      <c r="P108" s="133" t="s">
        <v>3599</v>
      </c>
      <c r="Q108" s="354" t="s">
        <v>1096</v>
      </c>
      <c r="R108" s="52" t="s">
        <v>505</v>
      </c>
      <c r="S108" s="295" t="s">
        <v>1115</v>
      </c>
      <c r="T108" s="79">
        <v>51372</v>
      </c>
      <c r="U108" s="64" t="s">
        <v>2070</v>
      </c>
      <c r="V108" s="64" t="s">
        <v>1861</v>
      </c>
      <c r="W108" s="64" t="s">
        <v>117</v>
      </c>
      <c r="X108" s="64" t="s">
        <v>29</v>
      </c>
      <c r="Y108" s="295" t="s">
        <v>771</v>
      </c>
      <c r="Z108" s="295" t="s">
        <v>1193</v>
      </c>
      <c r="AA108" s="64"/>
      <c r="AB108" s="302" t="s">
        <v>1134</v>
      </c>
      <c r="AC108" s="64" t="s">
        <v>505</v>
      </c>
      <c r="AD108" s="302" t="s">
        <v>30</v>
      </c>
      <c r="AE108" s="302" t="s">
        <v>21</v>
      </c>
      <c r="AF108" s="302" t="s">
        <v>947</v>
      </c>
      <c r="AG108" s="364" t="s">
        <v>3142</v>
      </c>
      <c r="AH108" s="114"/>
      <c r="AI108" s="302" t="s">
        <v>1160</v>
      </c>
      <c r="AJ108" s="64" t="s">
        <v>505</v>
      </c>
      <c r="AK108" s="302" t="s">
        <v>20</v>
      </c>
      <c r="AL108" s="302" t="s">
        <v>923</v>
      </c>
      <c r="AM108" s="302" t="s">
        <v>950</v>
      </c>
      <c r="AN108" s="364" t="s">
        <v>3401</v>
      </c>
      <c r="AO108" s="64"/>
      <c r="AP108" s="191" t="s">
        <v>1981</v>
      </c>
      <c r="AQ108" s="322"/>
      <c r="AR108" s="114"/>
      <c r="AS108" s="323"/>
      <c r="AT108" s="323"/>
      <c r="AU108" s="322"/>
      <c r="AV108" s="322"/>
      <c r="AW108" s="323"/>
      <c r="AX108" s="324"/>
      <c r="AY108" s="60"/>
      <c r="AZ108" s="95"/>
      <c r="BA108" s="60"/>
      <c r="BB108" s="60"/>
      <c r="BC108" s="60"/>
      <c r="BD108" s="60"/>
      <c r="BE108" s="75"/>
      <c r="BF108" s="64"/>
      <c r="BG108" s="64" t="s">
        <v>3555</v>
      </c>
      <c r="BH108" s="245"/>
      <c r="BI108" s="64" t="s">
        <v>3551</v>
      </c>
      <c r="BJ108" s="229" t="s">
        <v>3552</v>
      </c>
    </row>
    <row r="109" spans="1:62" s="51" customFormat="1" ht="52.5" customHeight="1">
      <c r="A109" s="51">
        <v>17</v>
      </c>
      <c r="B109" s="16" t="s">
        <v>85</v>
      </c>
      <c r="C109" s="52">
        <v>12584</v>
      </c>
      <c r="D109" s="383" t="s">
        <v>2709</v>
      </c>
      <c r="E109" s="220" t="s">
        <v>344</v>
      </c>
      <c r="F109" s="130" t="s">
        <v>3562</v>
      </c>
      <c r="G109" s="10"/>
      <c r="H109" s="131"/>
      <c r="I109" s="55">
        <v>1</v>
      </c>
      <c r="J109" s="196">
        <v>2</v>
      </c>
      <c r="K109" s="178"/>
      <c r="L109" s="52" t="s">
        <v>502</v>
      </c>
      <c r="M109" s="295" t="s">
        <v>27</v>
      </c>
      <c r="N109" s="335">
        <v>41652</v>
      </c>
      <c r="O109" s="158">
        <f t="shared" si="1"/>
        <v>41652</v>
      </c>
      <c r="P109" s="133" t="s">
        <v>3600</v>
      </c>
      <c r="Q109" s="354" t="s">
        <v>1097</v>
      </c>
      <c r="R109" s="52" t="s">
        <v>505</v>
      </c>
      <c r="S109" s="295" t="s">
        <v>2151</v>
      </c>
      <c r="T109" s="79"/>
      <c r="U109" s="64" t="s">
        <v>2148</v>
      </c>
      <c r="V109" s="64" t="s">
        <v>2146</v>
      </c>
      <c r="W109" s="64" t="s">
        <v>2143</v>
      </c>
      <c r="X109" s="64" t="s">
        <v>65</v>
      </c>
      <c r="Y109" s="295" t="s">
        <v>1194</v>
      </c>
      <c r="Z109" s="295" t="s">
        <v>1195</v>
      </c>
      <c r="AA109" s="64"/>
      <c r="AB109" s="302" t="s">
        <v>1135</v>
      </c>
      <c r="AC109" s="64" t="s">
        <v>505</v>
      </c>
      <c r="AD109" s="302" t="s">
        <v>20</v>
      </c>
      <c r="AE109" s="302" t="s">
        <v>165</v>
      </c>
      <c r="AF109" s="302" t="s">
        <v>946</v>
      </c>
      <c r="AG109" s="364" t="s">
        <v>3143</v>
      </c>
      <c r="AH109" s="114"/>
      <c r="AI109" s="302" t="s">
        <v>1161</v>
      </c>
      <c r="AJ109" s="64" t="s">
        <v>505</v>
      </c>
      <c r="AK109" s="302" t="s">
        <v>30</v>
      </c>
      <c r="AL109" s="302" t="s">
        <v>924</v>
      </c>
      <c r="AM109" s="302" t="s">
        <v>946</v>
      </c>
      <c r="AN109" s="364" t="s">
        <v>3402</v>
      </c>
      <c r="AO109" s="64"/>
      <c r="AP109" s="191" t="s">
        <v>1982</v>
      </c>
      <c r="AQ109" s="243"/>
      <c r="AR109" s="128"/>
      <c r="AS109" s="337"/>
      <c r="AT109" s="323"/>
      <c r="AU109" s="322"/>
      <c r="AV109" s="322"/>
      <c r="AW109" s="323"/>
      <c r="AX109" s="324"/>
      <c r="AY109" s="60"/>
      <c r="AZ109" s="95"/>
      <c r="BA109" s="60"/>
      <c r="BB109" s="60"/>
      <c r="BC109" s="60"/>
      <c r="BD109" s="60"/>
      <c r="BE109" s="75"/>
      <c r="BF109" s="64"/>
      <c r="BG109" s="64" t="s">
        <v>3555</v>
      </c>
      <c r="BH109" s="245"/>
      <c r="BI109" s="64" t="s">
        <v>3551</v>
      </c>
      <c r="BJ109" s="229" t="s">
        <v>3552</v>
      </c>
    </row>
    <row r="110" spans="1:62" s="51" customFormat="1" ht="52.5" customHeight="1">
      <c r="A110" s="51">
        <v>18</v>
      </c>
      <c r="B110" s="16" t="s">
        <v>85</v>
      </c>
      <c r="C110" s="52">
        <v>12602</v>
      </c>
      <c r="D110" s="383" t="s">
        <v>2710</v>
      </c>
      <c r="E110" s="220" t="s">
        <v>345</v>
      </c>
      <c r="F110" s="130" t="s">
        <v>3562</v>
      </c>
      <c r="G110" s="10"/>
      <c r="H110" s="131"/>
      <c r="I110" s="55">
        <v>1</v>
      </c>
      <c r="J110" s="196">
        <v>1</v>
      </c>
      <c r="K110" s="178"/>
      <c r="L110" s="52" t="s">
        <v>502</v>
      </c>
      <c r="M110" s="295" t="s">
        <v>41</v>
      </c>
      <c r="N110" s="336">
        <v>41476</v>
      </c>
      <c r="O110" s="158">
        <f t="shared" si="1"/>
        <v>41476</v>
      </c>
      <c r="P110" s="133" t="s">
        <v>3601</v>
      </c>
      <c r="Q110" s="354" t="s">
        <v>1098</v>
      </c>
      <c r="R110" s="52" t="s">
        <v>505</v>
      </c>
      <c r="S110" s="295" t="s">
        <v>3033</v>
      </c>
      <c r="T110" s="79">
        <v>50199</v>
      </c>
      <c r="U110" s="64" t="s">
        <v>2152</v>
      </c>
      <c r="V110" s="64" t="s">
        <v>2153</v>
      </c>
      <c r="W110" s="64" t="s">
        <v>1904</v>
      </c>
      <c r="X110" s="64" t="s">
        <v>29</v>
      </c>
      <c r="Y110" s="295" t="s">
        <v>1196</v>
      </c>
      <c r="Z110" s="295" t="s">
        <v>1197</v>
      </c>
      <c r="AA110" s="64"/>
      <c r="AB110" s="302" t="s">
        <v>1136</v>
      </c>
      <c r="AC110" s="64" t="s">
        <v>505</v>
      </c>
      <c r="AD110" s="302" t="s">
        <v>20</v>
      </c>
      <c r="AE110" s="302" t="s">
        <v>21</v>
      </c>
      <c r="AF110" s="302" t="s">
        <v>946</v>
      </c>
      <c r="AG110" s="364" t="s">
        <v>3144</v>
      </c>
      <c r="AH110" s="114"/>
      <c r="AI110" s="302" t="s">
        <v>1162</v>
      </c>
      <c r="AJ110" s="64" t="s">
        <v>505</v>
      </c>
      <c r="AK110" s="302" t="s">
        <v>75</v>
      </c>
      <c r="AL110" s="302" t="s">
        <v>924</v>
      </c>
      <c r="AM110" s="302" t="s">
        <v>947</v>
      </c>
      <c r="AN110" s="364" t="s">
        <v>3403</v>
      </c>
      <c r="AO110" s="64"/>
      <c r="AP110" s="191" t="s">
        <v>1983</v>
      </c>
      <c r="AQ110" s="322"/>
      <c r="AR110" s="114"/>
      <c r="AS110" s="323"/>
      <c r="AT110" s="323"/>
      <c r="AU110" s="322"/>
      <c r="AV110" s="322"/>
      <c r="AW110" s="323"/>
      <c r="AX110" s="324"/>
      <c r="AY110" s="60"/>
      <c r="AZ110" s="95"/>
      <c r="BA110" s="60"/>
      <c r="BB110" s="60"/>
      <c r="BC110" s="60"/>
      <c r="BD110" s="60"/>
      <c r="BE110" s="75"/>
      <c r="BF110" s="64"/>
      <c r="BG110" s="64" t="s">
        <v>3555</v>
      </c>
      <c r="BH110" s="245"/>
      <c r="BI110" s="64" t="s">
        <v>3551</v>
      </c>
      <c r="BJ110" s="229" t="s">
        <v>3552</v>
      </c>
    </row>
    <row r="111" spans="1:62" s="51" customFormat="1" ht="52.5" customHeight="1">
      <c r="A111" s="51">
        <v>19</v>
      </c>
      <c r="B111" s="16" t="s">
        <v>85</v>
      </c>
      <c r="C111" s="52">
        <v>12608</v>
      </c>
      <c r="D111" s="383" t="s">
        <v>2711</v>
      </c>
      <c r="E111" s="220" t="s">
        <v>346</v>
      </c>
      <c r="F111" s="130" t="s">
        <v>3562</v>
      </c>
      <c r="G111" s="10"/>
      <c r="H111" s="263"/>
      <c r="I111" s="55">
        <v>4</v>
      </c>
      <c r="J111" s="196">
        <v>4</v>
      </c>
      <c r="K111" s="178"/>
      <c r="L111" s="52" t="s">
        <v>502</v>
      </c>
      <c r="M111" s="295" t="s">
        <v>100</v>
      </c>
      <c r="N111" s="335">
        <v>41406</v>
      </c>
      <c r="O111" s="158">
        <f t="shared" si="1"/>
        <v>41406</v>
      </c>
      <c r="P111" s="133" t="s">
        <v>3602</v>
      </c>
      <c r="Q111" s="354" t="s">
        <v>1099</v>
      </c>
      <c r="R111" s="52" t="s">
        <v>505</v>
      </c>
      <c r="S111" s="295" t="s">
        <v>1116</v>
      </c>
      <c r="T111" s="79">
        <v>55761</v>
      </c>
      <c r="U111" s="64" t="s">
        <v>2147</v>
      </c>
      <c r="V111" s="64" t="s">
        <v>2145</v>
      </c>
      <c r="W111" s="64" t="s">
        <v>19</v>
      </c>
      <c r="X111" s="64" t="s">
        <v>696</v>
      </c>
      <c r="Y111" s="295" t="s">
        <v>1198</v>
      </c>
      <c r="Z111" s="295" t="s">
        <v>1199</v>
      </c>
      <c r="AA111" s="64"/>
      <c r="AB111" s="302" t="s">
        <v>1137</v>
      </c>
      <c r="AC111" s="64" t="s">
        <v>505</v>
      </c>
      <c r="AD111" s="302" t="s">
        <v>20</v>
      </c>
      <c r="AE111" s="302" t="s">
        <v>926</v>
      </c>
      <c r="AF111" s="302" t="s">
        <v>946</v>
      </c>
      <c r="AG111" s="364" t="s">
        <v>3145</v>
      </c>
      <c r="AH111" s="114"/>
      <c r="AI111" s="302" t="s">
        <v>1163</v>
      </c>
      <c r="AJ111" s="64" t="s">
        <v>505</v>
      </c>
      <c r="AK111" s="302" t="s">
        <v>75</v>
      </c>
      <c r="AL111" s="302" t="s">
        <v>924</v>
      </c>
      <c r="AM111" s="302" t="s">
        <v>946</v>
      </c>
      <c r="AN111" s="364" t="s">
        <v>3404</v>
      </c>
      <c r="AO111" s="64"/>
      <c r="AP111" s="191" t="s">
        <v>1984</v>
      </c>
      <c r="AQ111" s="322"/>
      <c r="AR111" s="114"/>
      <c r="AS111" s="323"/>
      <c r="AT111" s="323"/>
      <c r="AU111" s="322"/>
      <c r="AV111" s="322"/>
      <c r="AW111" s="323"/>
      <c r="AX111" s="324"/>
      <c r="AY111" s="60"/>
      <c r="AZ111" s="95"/>
      <c r="BA111" s="60"/>
      <c r="BB111" s="60"/>
      <c r="BC111" s="60"/>
      <c r="BD111" s="60"/>
      <c r="BE111" s="75"/>
      <c r="BF111" s="64"/>
      <c r="BG111" s="64" t="s">
        <v>3555</v>
      </c>
      <c r="BH111" s="245"/>
      <c r="BI111" s="64" t="s">
        <v>3551</v>
      </c>
      <c r="BJ111" s="229" t="s">
        <v>3552</v>
      </c>
    </row>
    <row r="112" spans="1:62" s="51" customFormat="1" ht="52.5" customHeight="1">
      <c r="A112" s="51">
        <v>20</v>
      </c>
      <c r="B112" s="16" t="s">
        <v>85</v>
      </c>
      <c r="C112" s="164">
        <v>12611</v>
      </c>
      <c r="D112" s="383" t="s">
        <v>2712</v>
      </c>
      <c r="E112" s="220" t="s">
        <v>347</v>
      </c>
      <c r="F112" s="130" t="s">
        <v>3562</v>
      </c>
      <c r="G112" s="10"/>
      <c r="H112" s="263"/>
      <c r="I112" s="55">
        <v>1</v>
      </c>
      <c r="J112" s="196">
        <v>1</v>
      </c>
      <c r="K112" s="178"/>
      <c r="L112" s="52" t="s">
        <v>502</v>
      </c>
      <c r="M112" s="295" t="s">
        <v>23</v>
      </c>
      <c r="N112" s="335">
        <v>41603</v>
      </c>
      <c r="O112" s="158">
        <f t="shared" si="1"/>
        <v>41603</v>
      </c>
      <c r="P112" s="133" t="s">
        <v>3603</v>
      </c>
      <c r="Q112" s="354" t="s">
        <v>1100</v>
      </c>
      <c r="R112" s="52" t="s">
        <v>505</v>
      </c>
      <c r="S112" s="295" t="s">
        <v>1985</v>
      </c>
      <c r="T112" s="79">
        <v>55172</v>
      </c>
      <c r="U112" s="64" t="s">
        <v>2116</v>
      </c>
      <c r="V112" s="64" t="s">
        <v>2149</v>
      </c>
      <c r="W112" s="64" t="s">
        <v>19</v>
      </c>
      <c r="X112" s="64" t="s">
        <v>696</v>
      </c>
      <c r="Y112" s="295" t="s">
        <v>1200</v>
      </c>
      <c r="Z112" s="295" t="s">
        <v>1201</v>
      </c>
      <c r="AA112" s="64"/>
      <c r="AB112" s="302" t="s">
        <v>1138</v>
      </c>
      <c r="AC112" s="64" t="s">
        <v>505</v>
      </c>
      <c r="AD112" s="302" t="s">
        <v>30</v>
      </c>
      <c r="AE112" s="302" t="s">
        <v>21</v>
      </c>
      <c r="AF112" s="302" t="s">
        <v>948</v>
      </c>
      <c r="AG112" s="364" t="s">
        <v>3146</v>
      </c>
      <c r="AH112" s="206"/>
      <c r="AI112" s="302" t="s">
        <v>1164</v>
      </c>
      <c r="AJ112" s="64" t="s">
        <v>505</v>
      </c>
      <c r="AK112" s="302" t="s">
        <v>20</v>
      </c>
      <c r="AL112" s="302" t="s">
        <v>923</v>
      </c>
      <c r="AM112" s="302" t="s">
        <v>950</v>
      </c>
      <c r="AN112" s="364" t="s">
        <v>3405</v>
      </c>
      <c r="AO112" s="64"/>
      <c r="AP112" s="191" t="s">
        <v>1986</v>
      </c>
      <c r="AQ112" s="322"/>
      <c r="AR112" s="114"/>
      <c r="AS112" s="323"/>
      <c r="AT112" s="323"/>
      <c r="AU112" s="322"/>
      <c r="AV112" s="322"/>
      <c r="AW112" s="323"/>
      <c r="AX112" s="324"/>
      <c r="AY112" s="60"/>
      <c r="AZ112" s="95"/>
      <c r="BA112" s="60"/>
      <c r="BB112" s="60"/>
      <c r="BC112" s="60"/>
      <c r="BD112" s="60"/>
      <c r="BE112" s="75"/>
      <c r="BF112" s="64"/>
      <c r="BG112" s="64" t="s">
        <v>3555</v>
      </c>
      <c r="BH112" s="245"/>
      <c r="BI112" s="64" t="s">
        <v>3551</v>
      </c>
      <c r="BJ112" s="229" t="s">
        <v>3552</v>
      </c>
    </row>
    <row r="113" spans="1:62" s="51" customFormat="1" ht="52.5" customHeight="1">
      <c r="A113" s="51">
        <v>21</v>
      </c>
      <c r="B113" s="16" t="s">
        <v>85</v>
      </c>
      <c r="C113" s="52">
        <v>12612</v>
      </c>
      <c r="D113" s="383" t="s">
        <v>2713</v>
      </c>
      <c r="E113" s="220" t="s">
        <v>348</v>
      </c>
      <c r="F113" s="130" t="s">
        <v>3562</v>
      </c>
      <c r="G113" s="10"/>
      <c r="H113" s="131"/>
      <c r="I113" s="55">
        <v>1</v>
      </c>
      <c r="J113" s="196">
        <v>1</v>
      </c>
      <c r="K113" s="178"/>
      <c r="L113" s="52" t="s">
        <v>502</v>
      </c>
      <c r="M113" s="295" t="s">
        <v>23</v>
      </c>
      <c r="N113" s="335">
        <v>41708</v>
      </c>
      <c r="O113" s="158">
        <f t="shared" si="1"/>
        <v>41708</v>
      </c>
      <c r="P113" s="133" t="s">
        <v>3604</v>
      </c>
      <c r="Q113" s="354" t="s">
        <v>1101</v>
      </c>
      <c r="R113" s="52" t="s">
        <v>505</v>
      </c>
      <c r="S113" s="295" t="s">
        <v>2840</v>
      </c>
      <c r="T113" s="79"/>
      <c r="U113" s="64" t="s">
        <v>2156</v>
      </c>
      <c r="V113" s="64" t="s">
        <v>2155</v>
      </c>
      <c r="W113" s="64" t="s">
        <v>89</v>
      </c>
      <c r="X113" s="64" t="s">
        <v>29</v>
      </c>
      <c r="Y113" s="295" t="s">
        <v>1202</v>
      </c>
      <c r="Z113" s="295" t="s">
        <v>1203</v>
      </c>
      <c r="AA113" s="64"/>
      <c r="AB113" s="302" t="s">
        <v>2927</v>
      </c>
      <c r="AC113" s="64" t="s">
        <v>505</v>
      </c>
      <c r="AD113" s="302" t="s">
        <v>20</v>
      </c>
      <c r="AE113" s="302" t="s">
        <v>921</v>
      </c>
      <c r="AF113" s="302" t="s">
        <v>946</v>
      </c>
      <c r="AG113" s="364" t="s">
        <v>3147</v>
      </c>
      <c r="AH113" s="114"/>
      <c r="AI113" s="302" t="s">
        <v>2971</v>
      </c>
      <c r="AJ113" s="64" t="s">
        <v>505</v>
      </c>
      <c r="AK113" s="302" t="s">
        <v>30</v>
      </c>
      <c r="AL113" s="302" t="s">
        <v>924</v>
      </c>
      <c r="AM113" s="302" t="s">
        <v>948</v>
      </c>
      <c r="AN113" s="364" t="s">
        <v>3406</v>
      </c>
      <c r="AO113" s="64"/>
      <c r="AP113" s="191" t="s">
        <v>1987</v>
      </c>
      <c r="AQ113" s="322"/>
      <c r="AR113" s="114"/>
      <c r="AS113" s="323"/>
      <c r="AT113" s="323"/>
      <c r="AU113" s="322"/>
      <c r="AV113" s="322"/>
      <c r="AW113" s="323"/>
      <c r="AX113" s="324"/>
      <c r="AY113" s="60"/>
      <c r="AZ113" s="95"/>
      <c r="BA113" s="60"/>
      <c r="BB113" s="60"/>
      <c r="BC113" s="60"/>
      <c r="BD113" s="60"/>
      <c r="BE113" s="75"/>
      <c r="BF113" s="64"/>
      <c r="BG113" s="64" t="s">
        <v>3555</v>
      </c>
      <c r="BH113" s="245"/>
      <c r="BI113" s="64" t="s">
        <v>3551</v>
      </c>
      <c r="BJ113" s="229" t="s">
        <v>3552</v>
      </c>
    </row>
    <row r="114" spans="1:62" s="51" customFormat="1" ht="52.5" customHeight="1">
      <c r="A114" s="51">
        <v>22</v>
      </c>
      <c r="B114" s="16" t="s">
        <v>85</v>
      </c>
      <c r="C114" s="164">
        <v>12615</v>
      </c>
      <c r="D114" s="309">
        <v>3130813127</v>
      </c>
      <c r="E114" s="220" t="s">
        <v>349</v>
      </c>
      <c r="F114" s="130" t="s">
        <v>3562</v>
      </c>
      <c r="G114" s="10"/>
      <c r="H114" s="131"/>
      <c r="I114" s="55">
        <v>1</v>
      </c>
      <c r="J114" s="196">
        <v>1</v>
      </c>
      <c r="K114" s="178"/>
      <c r="L114" s="52" t="s">
        <v>502</v>
      </c>
      <c r="M114" s="300" t="s">
        <v>124</v>
      </c>
      <c r="N114" s="338">
        <v>41978</v>
      </c>
      <c r="O114" s="158">
        <f t="shared" si="1"/>
        <v>41978</v>
      </c>
      <c r="P114" s="133" t="s">
        <v>3605</v>
      </c>
      <c r="Q114" s="356" t="s">
        <v>1102</v>
      </c>
      <c r="R114" s="52" t="s">
        <v>505</v>
      </c>
      <c r="S114" s="300" t="s">
        <v>1117</v>
      </c>
      <c r="T114" s="79">
        <v>52354</v>
      </c>
      <c r="U114" s="64" t="s">
        <v>2157</v>
      </c>
      <c r="V114" s="64" t="s">
        <v>2154</v>
      </c>
      <c r="W114" s="64" t="s">
        <v>124</v>
      </c>
      <c r="X114" s="64" t="s">
        <v>29</v>
      </c>
      <c r="Y114" s="300" t="s">
        <v>1204</v>
      </c>
      <c r="Z114" s="300" t="s">
        <v>1205</v>
      </c>
      <c r="AA114" s="64"/>
      <c r="AB114" s="328" t="s">
        <v>1139</v>
      </c>
      <c r="AC114" s="64" t="s">
        <v>505</v>
      </c>
      <c r="AD114" s="326" t="s">
        <v>925</v>
      </c>
      <c r="AE114" s="326" t="s">
        <v>165</v>
      </c>
      <c r="AF114" s="326" t="s">
        <v>946</v>
      </c>
      <c r="AG114" s="397" t="s">
        <v>3148</v>
      </c>
      <c r="AH114" s="114"/>
      <c r="AI114" s="326" t="s">
        <v>1165</v>
      </c>
      <c r="AJ114" s="64" t="s">
        <v>505</v>
      </c>
      <c r="AK114" s="326" t="s">
        <v>925</v>
      </c>
      <c r="AL114" s="326" t="s">
        <v>926</v>
      </c>
      <c r="AM114" s="326" t="s">
        <v>948</v>
      </c>
      <c r="AN114" s="397" t="s">
        <v>3407</v>
      </c>
      <c r="AO114" s="64"/>
      <c r="AP114" s="191" t="s">
        <v>1988</v>
      </c>
      <c r="AQ114" s="322"/>
      <c r="AR114" s="114"/>
      <c r="AS114" s="323"/>
      <c r="AT114" s="323"/>
      <c r="AU114" s="322"/>
      <c r="AV114" s="322"/>
      <c r="AW114" s="323"/>
      <c r="AX114" s="324"/>
      <c r="AY114" s="60"/>
      <c r="AZ114" s="95"/>
      <c r="BA114" s="60"/>
      <c r="BB114" s="60"/>
      <c r="BC114" s="60"/>
      <c r="BD114" s="60"/>
      <c r="BE114" s="75"/>
      <c r="BF114" s="64"/>
      <c r="BG114" s="64" t="s">
        <v>3555</v>
      </c>
      <c r="BH114" s="245"/>
      <c r="BI114" s="64" t="s">
        <v>3551</v>
      </c>
      <c r="BJ114" s="229" t="s">
        <v>3552</v>
      </c>
    </row>
    <row r="115" spans="1:62" s="51" customFormat="1" ht="63.75" customHeight="1">
      <c r="A115" s="51">
        <v>23</v>
      </c>
      <c r="B115" s="16" t="s">
        <v>85</v>
      </c>
      <c r="C115" s="52">
        <v>12621</v>
      </c>
      <c r="D115" s="383" t="s">
        <v>2714</v>
      </c>
      <c r="E115" s="220" t="s">
        <v>350</v>
      </c>
      <c r="F115" s="130" t="s">
        <v>3562</v>
      </c>
      <c r="G115" s="10"/>
      <c r="H115" s="131"/>
      <c r="I115" s="55">
        <v>2</v>
      </c>
      <c r="J115" s="196">
        <v>1</v>
      </c>
      <c r="K115" s="178"/>
      <c r="L115" s="52" t="s">
        <v>502</v>
      </c>
      <c r="M115" s="295" t="s">
        <v>1082</v>
      </c>
      <c r="N115" s="335">
        <v>41645</v>
      </c>
      <c r="O115" s="158">
        <f t="shared" si="1"/>
        <v>41645</v>
      </c>
      <c r="P115" s="133" t="s">
        <v>3018</v>
      </c>
      <c r="Q115" s="354" t="s">
        <v>1103</v>
      </c>
      <c r="R115" s="52" t="s">
        <v>505</v>
      </c>
      <c r="S115" s="295" t="s">
        <v>1989</v>
      </c>
      <c r="T115" s="79">
        <v>55753</v>
      </c>
      <c r="U115" s="64" t="s">
        <v>2117</v>
      </c>
      <c r="V115" s="64" t="s">
        <v>2150</v>
      </c>
      <c r="W115" s="64" t="s">
        <v>19</v>
      </c>
      <c r="X115" s="64" t="s">
        <v>696</v>
      </c>
      <c r="Y115" s="295" t="s">
        <v>1206</v>
      </c>
      <c r="Z115" s="295" t="s">
        <v>1207</v>
      </c>
      <c r="AA115" s="64"/>
      <c r="AB115" s="302" t="s">
        <v>1140</v>
      </c>
      <c r="AC115" s="64" t="s">
        <v>505</v>
      </c>
      <c r="AD115" s="302" t="s">
        <v>20</v>
      </c>
      <c r="AE115" s="302" t="s">
        <v>21</v>
      </c>
      <c r="AF115" s="302" t="s">
        <v>946</v>
      </c>
      <c r="AG115" s="364" t="s">
        <v>3149</v>
      </c>
      <c r="AH115" s="114"/>
      <c r="AI115" s="302" t="s">
        <v>1166</v>
      </c>
      <c r="AJ115" s="64" t="s">
        <v>505</v>
      </c>
      <c r="AK115" s="302" t="s">
        <v>20</v>
      </c>
      <c r="AL115" s="302" t="s">
        <v>923</v>
      </c>
      <c r="AM115" s="302" t="s">
        <v>950</v>
      </c>
      <c r="AN115" s="364" t="s">
        <v>3408</v>
      </c>
      <c r="AO115" s="64"/>
      <c r="AP115" s="191" t="s">
        <v>1990</v>
      </c>
      <c r="AQ115" s="322"/>
      <c r="AR115" s="114"/>
      <c r="AS115" s="323"/>
      <c r="AT115" s="323"/>
      <c r="AU115" s="322"/>
      <c r="AV115" s="322"/>
      <c r="AW115" s="323"/>
      <c r="AX115" s="324"/>
      <c r="AY115" s="60"/>
      <c r="AZ115" s="95"/>
      <c r="BA115" s="60"/>
      <c r="BB115" s="60"/>
      <c r="BC115" s="60"/>
      <c r="BD115" s="60"/>
      <c r="BE115" s="75"/>
      <c r="BF115" s="64"/>
      <c r="BG115" s="64" t="s">
        <v>3555</v>
      </c>
      <c r="BH115" s="245"/>
      <c r="BI115" s="64" t="s">
        <v>3551</v>
      </c>
      <c r="BJ115" s="229" t="s">
        <v>3552</v>
      </c>
    </row>
    <row r="116" spans="1:62" s="51" customFormat="1" ht="52.5" customHeight="1">
      <c r="A116" s="51">
        <v>24</v>
      </c>
      <c r="B116" s="16" t="s">
        <v>85</v>
      </c>
      <c r="C116" s="52">
        <v>12625</v>
      </c>
      <c r="D116" s="383" t="s">
        <v>2715</v>
      </c>
      <c r="E116" s="220" t="s">
        <v>351</v>
      </c>
      <c r="F116" s="130" t="s">
        <v>3562</v>
      </c>
      <c r="G116" s="10"/>
      <c r="H116" s="131"/>
      <c r="I116" s="55">
        <v>2</v>
      </c>
      <c r="J116" s="196">
        <v>1</v>
      </c>
      <c r="K116" s="178"/>
      <c r="L116" s="52" t="s">
        <v>502</v>
      </c>
      <c r="M116" s="295" t="s">
        <v>37</v>
      </c>
      <c r="N116" s="335">
        <v>41479</v>
      </c>
      <c r="O116" s="158">
        <f t="shared" si="1"/>
        <v>41479</v>
      </c>
      <c r="P116" s="133" t="s">
        <v>3565</v>
      </c>
      <c r="Q116" s="354" t="s">
        <v>1104</v>
      </c>
      <c r="R116" s="52" t="s">
        <v>505</v>
      </c>
      <c r="S116" s="295" t="s">
        <v>2841</v>
      </c>
      <c r="T116" s="79">
        <v>0</v>
      </c>
      <c r="U116" s="64" t="s">
        <v>2159</v>
      </c>
      <c r="V116" s="64" t="s">
        <v>2160</v>
      </c>
      <c r="W116" s="64" t="s">
        <v>2158</v>
      </c>
      <c r="X116" s="64" t="s">
        <v>36</v>
      </c>
      <c r="Y116" s="295" t="s">
        <v>1208</v>
      </c>
      <c r="Z116" s="295" t="s">
        <v>1209</v>
      </c>
      <c r="AA116" s="64"/>
      <c r="AB116" s="302" t="s">
        <v>1141</v>
      </c>
      <c r="AC116" s="64" t="s">
        <v>505</v>
      </c>
      <c r="AD116" s="302" t="s">
        <v>20</v>
      </c>
      <c r="AE116" s="302" t="s">
        <v>926</v>
      </c>
      <c r="AF116" s="302" t="s">
        <v>947</v>
      </c>
      <c r="AG116" s="364" t="s">
        <v>3150</v>
      </c>
      <c r="AH116" s="114"/>
      <c r="AI116" s="302" t="s">
        <v>1167</v>
      </c>
      <c r="AJ116" s="64" t="s">
        <v>505</v>
      </c>
      <c r="AK116" s="302" t="s">
        <v>20</v>
      </c>
      <c r="AL116" s="302" t="s">
        <v>923</v>
      </c>
      <c r="AM116" s="302" t="s">
        <v>950</v>
      </c>
      <c r="AN116" s="364" t="s">
        <v>3409</v>
      </c>
      <c r="AO116" s="64"/>
      <c r="AP116" s="191" t="s">
        <v>1991</v>
      </c>
      <c r="AQ116" s="322"/>
      <c r="AR116" s="114"/>
      <c r="AS116" s="323"/>
      <c r="AT116" s="323"/>
      <c r="AU116" s="322"/>
      <c r="AV116" s="322"/>
      <c r="AW116" s="323"/>
      <c r="AX116" s="324"/>
      <c r="AY116" s="60"/>
      <c r="AZ116" s="95"/>
      <c r="BA116" s="60"/>
      <c r="BB116" s="60"/>
      <c r="BC116" s="60"/>
      <c r="BD116" s="60"/>
      <c r="BE116" s="75"/>
      <c r="BF116" s="64"/>
      <c r="BG116" s="64" t="s">
        <v>3555</v>
      </c>
      <c r="BH116" s="245"/>
      <c r="BI116" s="64" t="s">
        <v>3551</v>
      </c>
      <c r="BJ116" s="229" t="s">
        <v>3552</v>
      </c>
    </row>
    <row r="117" spans="1:62" s="51" customFormat="1" ht="52.5" customHeight="1">
      <c r="A117" s="51">
        <v>25</v>
      </c>
      <c r="B117" s="16" t="s">
        <v>85</v>
      </c>
      <c r="C117" s="52">
        <v>12632</v>
      </c>
      <c r="D117" s="384" t="s">
        <v>2716</v>
      </c>
      <c r="E117" s="220" t="s">
        <v>352</v>
      </c>
      <c r="F117" s="130" t="s">
        <v>3562</v>
      </c>
      <c r="G117" s="10"/>
      <c r="H117" s="263"/>
      <c r="I117" s="55">
        <v>2</v>
      </c>
      <c r="J117" s="196">
        <v>2</v>
      </c>
      <c r="K117" s="178"/>
      <c r="L117" s="52" t="s">
        <v>502</v>
      </c>
      <c r="M117" s="300" t="s">
        <v>1992</v>
      </c>
      <c r="N117" s="338">
        <v>41575</v>
      </c>
      <c r="O117" s="158">
        <f t="shared" si="1"/>
        <v>41575</v>
      </c>
      <c r="P117" s="133" t="s">
        <v>3027</v>
      </c>
      <c r="Q117" s="356" t="s">
        <v>1993</v>
      </c>
      <c r="R117" s="52" t="s">
        <v>505</v>
      </c>
      <c r="S117" s="300" t="s">
        <v>1994</v>
      </c>
      <c r="T117" s="79">
        <v>55184</v>
      </c>
      <c r="U117" s="64" t="s">
        <v>2118</v>
      </c>
      <c r="V117" s="64" t="s">
        <v>2046</v>
      </c>
      <c r="W117" s="64" t="s">
        <v>19</v>
      </c>
      <c r="X117" s="64" t="s">
        <v>696</v>
      </c>
      <c r="Y117" s="300" t="s">
        <v>1210</v>
      </c>
      <c r="Z117" s="300"/>
      <c r="AA117" s="64"/>
      <c r="AB117" s="326" t="s">
        <v>1142</v>
      </c>
      <c r="AC117" s="64" t="s">
        <v>505</v>
      </c>
      <c r="AD117" s="326" t="s">
        <v>518</v>
      </c>
      <c r="AE117" s="326" t="s">
        <v>511</v>
      </c>
      <c r="AF117" s="326"/>
      <c r="AG117" s="397" t="s">
        <v>3151</v>
      </c>
      <c r="AH117" s="114"/>
      <c r="AI117" s="326" t="s">
        <v>1168</v>
      </c>
      <c r="AJ117" s="64" t="s">
        <v>505</v>
      </c>
      <c r="AK117" s="326" t="s">
        <v>22</v>
      </c>
      <c r="AL117" s="326" t="s">
        <v>651</v>
      </c>
      <c r="AM117" s="326"/>
      <c r="AN117" s="397" t="s">
        <v>3410</v>
      </c>
      <c r="AO117" s="64"/>
      <c r="AP117" s="191" t="s">
        <v>1995</v>
      </c>
      <c r="AQ117" s="322"/>
      <c r="AR117" s="114"/>
      <c r="AS117" s="323"/>
      <c r="AT117" s="323"/>
      <c r="AU117" s="322"/>
      <c r="AV117" s="322"/>
      <c r="AW117" s="323"/>
      <c r="AX117" s="324"/>
      <c r="AY117" s="60"/>
      <c r="AZ117" s="95"/>
      <c r="BA117" s="60"/>
      <c r="BB117" s="60"/>
      <c r="BC117" s="60"/>
      <c r="BD117" s="60"/>
      <c r="BE117" s="75"/>
      <c r="BF117" s="64"/>
      <c r="BG117" s="64" t="s">
        <v>3555</v>
      </c>
      <c r="BH117" s="245"/>
      <c r="BI117" s="64" t="s">
        <v>3551</v>
      </c>
      <c r="BJ117" s="229" t="s">
        <v>3552</v>
      </c>
    </row>
    <row r="118" spans="1:62" s="51" customFormat="1" ht="52.5" customHeight="1">
      <c r="A118" s="51">
        <v>26</v>
      </c>
      <c r="B118" s="16" t="s">
        <v>85</v>
      </c>
      <c r="C118" s="52">
        <v>12647</v>
      </c>
      <c r="D118" s="383" t="s">
        <v>2717</v>
      </c>
      <c r="E118" s="220" t="s">
        <v>353</v>
      </c>
      <c r="F118" s="130" t="s">
        <v>3562</v>
      </c>
      <c r="G118" s="10"/>
      <c r="H118" s="131"/>
      <c r="I118" s="55">
        <v>2</v>
      </c>
      <c r="J118" s="196">
        <v>2</v>
      </c>
      <c r="K118" s="178"/>
      <c r="L118" s="52" t="s">
        <v>502</v>
      </c>
      <c r="M118" s="295" t="s">
        <v>59</v>
      </c>
      <c r="N118" s="335">
        <v>41730</v>
      </c>
      <c r="O118" s="158">
        <f t="shared" si="1"/>
        <v>41730</v>
      </c>
      <c r="P118" s="133" t="s">
        <v>3571</v>
      </c>
      <c r="Q118" s="354" t="s">
        <v>1105</v>
      </c>
      <c r="R118" s="52" t="s">
        <v>505</v>
      </c>
      <c r="S118" s="295" t="s">
        <v>2842</v>
      </c>
      <c r="T118" s="79">
        <v>54393</v>
      </c>
      <c r="U118" s="64" t="s">
        <v>2163</v>
      </c>
      <c r="V118" s="64" t="s">
        <v>2164</v>
      </c>
      <c r="W118" s="64" t="s">
        <v>59</v>
      </c>
      <c r="X118" s="64" t="s">
        <v>29</v>
      </c>
      <c r="Y118" s="295" t="s">
        <v>2878</v>
      </c>
      <c r="Z118" s="295" t="s">
        <v>1211</v>
      </c>
      <c r="AA118" s="64"/>
      <c r="AB118" s="302" t="s">
        <v>2928</v>
      </c>
      <c r="AC118" s="64" t="s">
        <v>505</v>
      </c>
      <c r="AD118" s="302" t="s">
        <v>922</v>
      </c>
      <c r="AE118" s="302" t="s">
        <v>165</v>
      </c>
      <c r="AF118" s="302" t="s">
        <v>947</v>
      </c>
      <c r="AG118" s="364" t="s">
        <v>3152</v>
      </c>
      <c r="AH118" s="114"/>
      <c r="AI118" s="302" t="s">
        <v>2972</v>
      </c>
      <c r="AJ118" s="64" t="s">
        <v>505</v>
      </c>
      <c r="AK118" s="302" t="s">
        <v>922</v>
      </c>
      <c r="AL118" s="302" t="s">
        <v>923</v>
      </c>
      <c r="AM118" s="302" t="s">
        <v>950</v>
      </c>
      <c r="AN118" s="364" t="s">
        <v>3411</v>
      </c>
      <c r="AO118" s="64"/>
      <c r="AP118" s="191" t="s">
        <v>1996</v>
      </c>
      <c r="AQ118" s="322"/>
      <c r="AR118" s="114"/>
      <c r="AS118" s="323"/>
      <c r="AT118" s="323"/>
      <c r="AU118" s="322"/>
      <c r="AV118" s="322"/>
      <c r="AW118" s="323"/>
      <c r="AX118" s="324"/>
      <c r="AY118" s="60"/>
      <c r="AZ118" s="95"/>
      <c r="BA118" s="60"/>
      <c r="BB118" s="60"/>
      <c r="BC118" s="60"/>
      <c r="BD118" s="60"/>
      <c r="BE118" s="75"/>
      <c r="BF118" s="64"/>
      <c r="BG118" s="64" t="s">
        <v>3555</v>
      </c>
      <c r="BH118" s="245"/>
      <c r="BI118" s="64" t="s">
        <v>3551</v>
      </c>
      <c r="BJ118" s="229" t="s">
        <v>3552</v>
      </c>
    </row>
    <row r="119" spans="1:62" s="51" customFormat="1" ht="52.5" customHeight="1">
      <c r="A119" s="51">
        <v>27</v>
      </c>
      <c r="B119" s="16" t="s">
        <v>85</v>
      </c>
      <c r="C119" s="52">
        <v>12664</v>
      </c>
      <c r="D119" s="383" t="s">
        <v>2718</v>
      </c>
      <c r="E119" s="220" t="s">
        <v>354</v>
      </c>
      <c r="F119" s="130" t="s">
        <v>3562</v>
      </c>
      <c r="G119" s="10"/>
      <c r="H119" s="131"/>
      <c r="I119" s="55">
        <v>1</v>
      </c>
      <c r="J119" s="196">
        <v>1</v>
      </c>
      <c r="K119" s="52"/>
      <c r="L119" s="52" t="s">
        <v>502</v>
      </c>
      <c r="M119" s="295" t="s">
        <v>41</v>
      </c>
      <c r="N119" s="335">
        <v>41754</v>
      </c>
      <c r="O119" s="158">
        <f t="shared" si="1"/>
        <v>41754</v>
      </c>
      <c r="P119" s="133" t="s">
        <v>3597</v>
      </c>
      <c r="Q119" s="354" t="s">
        <v>1106</v>
      </c>
      <c r="R119" s="52" t="s">
        <v>505</v>
      </c>
      <c r="S119" s="295" t="s">
        <v>1997</v>
      </c>
      <c r="T119" s="79">
        <v>50778</v>
      </c>
      <c r="U119" s="64" t="s">
        <v>2165</v>
      </c>
      <c r="V119" s="64" t="s">
        <v>1861</v>
      </c>
      <c r="W119" s="64" t="s">
        <v>41</v>
      </c>
      <c r="X119" s="64" t="s">
        <v>29</v>
      </c>
      <c r="Y119" s="295" t="s">
        <v>2879</v>
      </c>
      <c r="Z119" s="295" t="s">
        <v>1212</v>
      </c>
      <c r="AA119" s="64"/>
      <c r="AB119" s="302" t="s">
        <v>2929</v>
      </c>
      <c r="AC119" s="64" t="s">
        <v>505</v>
      </c>
      <c r="AD119" s="302" t="s">
        <v>922</v>
      </c>
      <c r="AE119" s="302" t="s">
        <v>165</v>
      </c>
      <c r="AF119" s="302" t="s">
        <v>946</v>
      </c>
      <c r="AG119" s="364" t="s">
        <v>3153</v>
      </c>
      <c r="AH119" s="114"/>
      <c r="AI119" s="302" t="s">
        <v>2973</v>
      </c>
      <c r="AJ119" s="64" t="s">
        <v>505</v>
      </c>
      <c r="AK119" s="302" t="s">
        <v>922</v>
      </c>
      <c r="AL119" s="302" t="s">
        <v>923</v>
      </c>
      <c r="AM119" s="302" t="s">
        <v>950</v>
      </c>
      <c r="AN119" s="364" t="s">
        <v>3412</v>
      </c>
      <c r="AO119" s="64"/>
      <c r="AP119" s="191" t="s">
        <v>1998</v>
      </c>
      <c r="AQ119" s="322"/>
      <c r="AR119" s="114"/>
      <c r="AS119" s="323"/>
      <c r="AT119" s="323"/>
      <c r="AU119" s="322"/>
      <c r="AV119" s="322"/>
      <c r="AW119" s="323"/>
      <c r="AX119" s="324"/>
      <c r="AY119" s="60"/>
      <c r="AZ119" s="95"/>
      <c r="BA119" s="60"/>
      <c r="BB119" s="60"/>
      <c r="BC119" s="60"/>
      <c r="BD119" s="60"/>
      <c r="BE119" s="75"/>
      <c r="BF119" s="64"/>
      <c r="BG119" s="64" t="s">
        <v>3555</v>
      </c>
      <c r="BH119" s="245"/>
      <c r="BI119" s="64" t="s">
        <v>3551</v>
      </c>
      <c r="BJ119" s="229" t="s">
        <v>3552</v>
      </c>
    </row>
    <row r="120" spans="1:62" s="51" customFormat="1" ht="52.5" customHeight="1">
      <c r="A120" s="51">
        <v>28</v>
      </c>
      <c r="B120" s="16" t="s">
        <v>85</v>
      </c>
      <c r="C120" s="52">
        <v>12667</v>
      </c>
      <c r="D120" s="383" t="s">
        <v>2719</v>
      </c>
      <c r="E120" s="220" t="s">
        <v>355</v>
      </c>
      <c r="F120" s="130" t="s">
        <v>3562</v>
      </c>
      <c r="G120" s="10"/>
      <c r="H120" s="131"/>
      <c r="I120" s="55">
        <v>1</v>
      </c>
      <c r="J120" s="196">
        <v>1</v>
      </c>
      <c r="K120" s="178"/>
      <c r="L120" s="52" t="s">
        <v>502</v>
      </c>
      <c r="M120" s="295" t="s">
        <v>55</v>
      </c>
      <c r="N120" s="335">
        <v>41794</v>
      </c>
      <c r="O120" s="158">
        <f t="shared" si="1"/>
        <v>41794</v>
      </c>
      <c r="P120" s="133" t="s">
        <v>3606</v>
      </c>
      <c r="Q120" s="354" t="s">
        <v>1107</v>
      </c>
      <c r="R120" s="52" t="s">
        <v>505</v>
      </c>
      <c r="S120" s="295" t="s">
        <v>1118</v>
      </c>
      <c r="T120" s="79">
        <v>56361</v>
      </c>
      <c r="U120" s="64" t="s">
        <v>2161</v>
      </c>
      <c r="V120" s="64" t="s">
        <v>2162</v>
      </c>
      <c r="W120" s="64" t="s">
        <v>55</v>
      </c>
      <c r="X120" s="64" t="s">
        <v>29</v>
      </c>
      <c r="Y120" s="295" t="s">
        <v>1213</v>
      </c>
      <c r="Z120" s="295" t="s">
        <v>1214</v>
      </c>
      <c r="AA120" s="64"/>
      <c r="AB120" s="302" t="s">
        <v>1143</v>
      </c>
      <c r="AC120" s="64" t="s">
        <v>505</v>
      </c>
      <c r="AD120" s="302" t="s">
        <v>30</v>
      </c>
      <c r="AE120" s="302" t="s">
        <v>1057</v>
      </c>
      <c r="AF120" s="302" t="s">
        <v>948</v>
      </c>
      <c r="AG120" s="364" t="s">
        <v>3154</v>
      </c>
      <c r="AH120" s="114"/>
      <c r="AI120" s="302" t="s">
        <v>1169</v>
      </c>
      <c r="AJ120" s="64" t="s">
        <v>505</v>
      </c>
      <c r="AK120" s="302" t="s">
        <v>20</v>
      </c>
      <c r="AL120" s="302" t="s">
        <v>21</v>
      </c>
      <c r="AM120" s="302" t="s">
        <v>948</v>
      </c>
      <c r="AN120" s="364" t="s">
        <v>3413</v>
      </c>
      <c r="AO120" s="64"/>
      <c r="AP120" s="191" t="s">
        <v>1999</v>
      </c>
      <c r="AQ120" s="322"/>
      <c r="AR120" s="114"/>
      <c r="AS120" s="323"/>
      <c r="AT120" s="323"/>
      <c r="AU120" s="322"/>
      <c r="AV120" s="322"/>
      <c r="AW120" s="323"/>
      <c r="AX120" s="324"/>
      <c r="AY120" s="60"/>
      <c r="AZ120" s="95"/>
      <c r="BA120" s="60"/>
      <c r="BB120" s="60"/>
      <c r="BC120" s="60"/>
      <c r="BD120" s="60"/>
      <c r="BE120" s="75"/>
      <c r="BF120" s="64"/>
      <c r="BG120" s="64" t="s">
        <v>3555</v>
      </c>
      <c r="BH120" s="245"/>
      <c r="BI120" s="64" t="s">
        <v>3551</v>
      </c>
      <c r="BJ120" s="229" t="s">
        <v>3552</v>
      </c>
    </row>
    <row r="121" spans="1:62" s="51" customFormat="1" ht="52.5" customHeight="1">
      <c r="A121" s="51">
        <v>29</v>
      </c>
      <c r="B121" s="16" t="s">
        <v>85</v>
      </c>
      <c r="C121" s="52">
        <v>12700</v>
      </c>
      <c r="D121" s="383" t="s">
        <v>2720</v>
      </c>
      <c r="E121" s="220" t="s">
        <v>356</v>
      </c>
      <c r="F121" s="130" t="s">
        <v>3562</v>
      </c>
      <c r="G121" s="10"/>
      <c r="H121" s="131"/>
      <c r="I121" s="55">
        <v>1</v>
      </c>
      <c r="J121" s="196">
        <v>2</v>
      </c>
      <c r="K121" s="178"/>
      <c r="L121" s="52" t="s">
        <v>502</v>
      </c>
      <c r="M121" s="295" t="s">
        <v>89</v>
      </c>
      <c r="N121" s="335">
        <v>41619</v>
      </c>
      <c r="O121" s="158">
        <f t="shared" si="1"/>
        <v>41619</v>
      </c>
      <c r="P121" s="133" t="s">
        <v>3593</v>
      </c>
      <c r="Q121" s="354" t="s">
        <v>1108</v>
      </c>
      <c r="R121" s="52" t="s">
        <v>505</v>
      </c>
      <c r="S121" s="295" t="s">
        <v>2000</v>
      </c>
      <c r="T121" s="79">
        <v>78852</v>
      </c>
      <c r="U121" s="64" t="s">
        <v>2168</v>
      </c>
      <c r="V121" s="64" t="s">
        <v>2167</v>
      </c>
      <c r="W121" s="64" t="s">
        <v>2166</v>
      </c>
      <c r="X121" s="64" t="s">
        <v>67</v>
      </c>
      <c r="Y121" s="295" t="s">
        <v>1215</v>
      </c>
      <c r="Z121" s="295" t="s">
        <v>1216</v>
      </c>
      <c r="AA121" s="64"/>
      <c r="AB121" s="302" t="s">
        <v>1144</v>
      </c>
      <c r="AC121" s="64" t="s">
        <v>505</v>
      </c>
      <c r="AD121" s="302" t="s">
        <v>30</v>
      </c>
      <c r="AE121" s="302" t="s">
        <v>21</v>
      </c>
      <c r="AF121" s="302" t="s">
        <v>948</v>
      </c>
      <c r="AG121" s="364" t="s">
        <v>3155</v>
      </c>
      <c r="AH121" s="114"/>
      <c r="AI121" s="302" t="s">
        <v>1170</v>
      </c>
      <c r="AJ121" s="64" t="s">
        <v>505</v>
      </c>
      <c r="AK121" s="302" t="s">
        <v>30</v>
      </c>
      <c r="AL121" s="302" t="s">
        <v>1080</v>
      </c>
      <c r="AM121" s="302" t="s">
        <v>947</v>
      </c>
      <c r="AN121" s="364" t="s">
        <v>3414</v>
      </c>
      <c r="AO121" s="64"/>
      <c r="AP121" s="191" t="s">
        <v>2001</v>
      </c>
      <c r="AQ121" s="322"/>
      <c r="AR121" s="114"/>
      <c r="AS121" s="323"/>
      <c r="AT121" s="323"/>
      <c r="AU121" s="322"/>
      <c r="AV121" s="322"/>
      <c r="AW121" s="323"/>
      <c r="AX121" s="324"/>
      <c r="AY121" s="60"/>
      <c r="AZ121" s="95"/>
      <c r="BA121" s="60"/>
      <c r="BB121" s="60"/>
      <c r="BC121" s="60"/>
      <c r="BD121" s="60"/>
      <c r="BE121" s="75"/>
      <c r="BF121" s="64"/>
      <c r="BG121" s="64" t="s">
        <v>3555</v>
      </c>
      <c r="BH121" s="245"/>
      <c r="BI121" s="64" t="s">
        <v>3551</v>
      </c>
      <c r="BJ121" s="229" t="s">
        <v>3552</v>
      </c>
    </row>
    <row r="122" spans="1:62" s="51" customFormat="1" ht="52.5" customHeight="1">
      <c r="A122" s="51">
        <v>30</v>
      </c>
      <c r="B122" s="16" t="s">
        <v>85</v>
      </c>
      <c r="C122" s="52">
        <v>12707</v>
      </c>
      <c r="D122" s="386" t="s">
        <v>2721</v>
      </c>
      <c r="E122" s="220" t="s">
        <v>357</v>
      </c>
      <c r="F122" s="130" t="s">
        <v>3562</v>
      </c>
      <c r="G122" s="10"/>
      <c r="H122" s="131"/>
      <c r="I122" s="55">
        <v>2</v>
      </c>
      <c r="J122" s="196">
        <v>2</v>
      </c>
      <c r="K122" s="178"/>
      <c r="L122" s="52" t="s">
        <v>502</v>
      </c>
      <c r="M122" s="331" t="s">
        <v>23</v>
      </c>
      <c r="N122" s="339">
        <v>41842</v>
      </c>
      <c r="O122" s="158">
        <f t="shared" si="1"/>
        <v>41842</v>
      </c>
      <c r="P122" s="133" t="s">
        <v>3607</v>
      </c>
      <c r="Q122" s="357" t="s">
        <v>1109</v>
      </c>
      <c r="R122" s="52" t="s">
        <v>505</v>
      </c>
      <c r="S122" s="331" t="s">
        <v>1119</v>
      </c>
      <c r="T122" s="79">
        <v>55753</v>
      </c>
      <c r="U122" s="64" t="s">
        <v>2117</v>
      </c>
      <c r="V122" s="64" t="s">
        <v>2150</v>
      </c>
      <c r="W122" s="64" t="s">
        <v>19</v>
      </c>
      <c r="X122" s="64" t="s">
        <v>696</v>
      </c>
      <c r="Y122" s="331" t="s">
        <v>1217</v>
      </c>
      <c r="Z122" s="331" t="s">
        <v>1218</v>
      </c>
      <c r="AA122" s="64"/>
      <c r="AB122" s="333" t="s">
        <v>1145</v>
      </c>
      <c r="AC122" s="64" t="s">
        <v>505</v>
      </c>
      <c r="AD122" s="333" t="s">
        <v>30</v>
      </c>
      <c r="AE122" s="333" t="s">
        <v>21</v>
      </c>
      <c r="AF122" s="333" t="s">
        <v>946</v>
      </c>
      <c r="AG122" s="398" t="s">
        <v>3156</v>
      </c>
      <c r="AH122" s="114"/>
      <c r="AI122" s="333" t="s">
        <v>1171</v>
      </c>
      <c r="AJ122" s="64" t="s">
        <v>505</v>
      </c>
      <c r="AK122" s="333" t="s">
        <v>20</v>
      </c>
      <c r="AL122" s="333" t="s">
        <v>21</v>
      </c>
      <c r="AM122" s="333" t="s">
        <v>948</v>
      </c>
      <c r="AN122" s="398" t="s">
        <v>3415</v>
      </c>
      <c r="AO122" s="64"/>
      <c r="AP122" s="191" t="s">
        <v>2002</v>
      </c>
      <c r="AQ122" s="322"/>
      <c r="AR122" s="114"/>
      <c r="AS122" s="323"/>
      <c r="AT122" s="323"/>
      <c r="AU122" s="322"/>
      <c r="AV122" s="322"/>
      <c r="AW122" s="323"/>
      <c r="AX122" s="324"/>
      <c r="AY122" s="60"/>
      <c r="AZ122" s="95"/>
      <c r="BA122" s="60"/>
      <c r="BB122" s="60"/>
      <c r="BC122" s="60"/>
      <c r="BD122" s="60"/>
      <c r="BE122" s="75"/>
      <c r="BF122" s="64"/>
      <c r="BG122" s="64" t="s">
        <v>3555</v>
      </c>
      <c r="BH122" s="245"/>
      <c r="BI122" s="64" t="s">
        <v>3551</v>
      </c>
      <c r="BJ122" s="229" t="s">
        <v>3552</v>
      </c>
    </row>
    <row r="123" spans="1:62" s="171" customFormat="1" ht="52.5" customHeight="1" thickBot="1">
      <c r="A123" s="51">
        <v>31</v>
      </c>
      <c r="B123" s="16" t="s">
        <v>85</v>
      </c>
      <c r="C123" s="164">
        <v>12710</v>
      </c>
      <c r="D123" s="385" t="s">
        <v>2722</v>
      </c>
      <c r="E123" s="269" t="s">
        <v>358</v>
      </c>
      <c r="F123" s="130" t="s">
        <v>3562</v>
      </c>
      <c r="G123" s="10"/>
      <c r="H123" s="131"/>
      <c r="I123" s="168">
        <v>3</v>
      </c>
      <c r="J123" s="197">
        <v>2</v>
      </c>
      <c r="K123" s="165"/>
      <c r="L123" s="52" t="s">
        <v>502</v>
      </c>
      <c r="M123" s="126" t="s">
        <v>101</v>
      </c>
      <c r="N123" s="242">
        <v>41430</v>
      </c>
      <c r="O123" s="158">
        <f t="shared" si="1"/>
        <v>41430</v>
      </c>
      <c r="P123" s="133" t="s">
        <v>3608</v>
      </c>
      <c r="Q123" s="358" t="s">
        <v>1110</v>
      </c>
      <c r="R123" s="52" t="s">
        <v>505</v>
      </c>
      <c r="S123" s="126" t="s">
        <v>2843</v>
      </c>
      <c r="T123" s="228">
        <v>53471</v>
      </c>
      <c r="U123" s="64" t="s">
        <v>2169</v>
      </c>
      <c r="V123" s="114" t="s">
        <v>2169</v>
      </c>
      <c r="W123" s="114" t="s">
        <v>63</v>
      </c>
      <c r="X123" s="64" t="s">
        <v>29</v>
      </c>
      <c r="Y123" s="126" t="s">
        <v>2880</v>
      </c>
      <c r="Z123" s="126" t="s">
        <v>1219</v>
      </c>
      <c r="AA123" s="114"/>
      <c r="AB123" s="174" t="s">
        <v>2930</v>
      </c>
      <c r="AC123" s="64" t="s">
        <v>505</v>
      </c>
      <c r="AD123" s="174" t="s">
        <v>20</v>
      </c>
      <c r="AE123" s="174" t="s">
        <v>21</v>
      </c>
      <c r="AF123" s="174" t="s">
        <v>946</v>
      </c>
      <c r="AG123" s="399" t="s">
        <v>3157</v>
      </c>
      <c r="AH123" s="114"/>
      <c r="AI123" s="174" t="s">
        <v>2974</v>
      </c>
      <c r="AJ123" s="64" t="s">
        <v>505</v>
      </c>
      <c r="AK123" s="174" t="s">
        <v>20</v>
      </c>
      <c r="AL123" s="174" t="s">
        <v>21</v>
      </c>
      <c r="AM123" s="174" t="s">
        <v>946</v>
      </c>
      <c r="AN123" s="399" t="s">
        <v>3416</v>
      </c>
      <c r="AO123" s="114"/>
      <c r="AP123" s="191" t="s">
        <v>2003</v>
      </c>
      <c r="AQ123" s="322"/>
      <c r="AR123" s="114"/>
      <c r="AS123" s="323"/>
      <c r="AT123" s="323"/>
      <c r="AU123" s="322"/>
      <c r="AV123" s="322"/>
      <c r="AW123" s="323"/>
      <c r="AX123" s="323"/>
      <c r="AY123" s="109"/>
      <c r="AZ123" s="95"/>
      <c r="BA123" s="109"/>
      <c r="BB123" s="109"/>
      <c r="BC123" s="109"/>
      <c r="BD123" s="109"/>
      <c r="BE123" s="113"/>
      <c r="BF123" s="114"/>
      <c r="BG123" s="64" t="s">
        <v>3555</v>
      </c>
      <c r="BH123" s="246"/>
      <c r="BI123" s="64" t="s">
        <v>3551</v>
      </c>
      <c r="BJ123" s="229" t="s">
        <v>3552</v>
      </c>
    </row>
    <row r="124" spans="1:62" s="51" customFormat="1" ht="52.5" customHeight="1">
      <c r="A124" s="171">
        <v>1</v>
      </c>
      <c r="B124" s="15" t="s">
        <v>144</v>
      </c>
      <c r="C124" s="164">
        <v>12463</v>
      </c>
      <c r="D124" s="383" t="s">
        <v>2723</v>
      </c>
      <c r="E124" s="219" t="s">
        <v>359</v>
      </c>
      <c r="F124" s="130" t="s">
        <v>3562</v>
      </c>
      <c r="G124" s="10"/>
      <c r="H124" s="263"/>
      <c r="I124" s="55">
        <v>1</v>
      </c>
      <c r="J124" s="196">
        <v>2</v>
      </c>
      <c r="K124" s="178"/>
      <c r="L124" s="52" t="s">
        <v>502</v>
      </c>
      <c r="M124" s="295" t="s">
        <v>1220</v>
      </c>
      <c r="N124" s="336">
        <v>41849</v>
      </c>
      <c r="O124" s="158">
        <f t="shared" si="1"/>
        <v>41849</v>
      </c>
      <c r="P124" s="133" t="s">
        <v>3609</v>
      </c>
      <c r="Q124" s="354" t="s">
        <v>1227</v>
      </c>
      <c r="R124" s="52" t="s">
        <v>505</v>
      </c>
      <c r="S124" s="295" t="s">
        <v>1256</v>
      </c>
      <c r="T124" s="79">
        <v>31512</v>
      </c>
      <c r="U124" s="64" t="s">
        <v>1220</v>
      </c>
      <c r="V124" s="64" t="s">
        <v>1220</v>
      </c>
      <c r="W124" s="64" t="s">
        <v>1220</v>
      </c>
      <c r="X124" s="64" t="s">
        <v>69</v>
      </c>
      <c r="Y124" s="295" t="s">
        <v>2881</v>
      </c>
      <c r="Z124" s="295" t="s">
        <v>1316</v>
      </c>
      <c r="AA124" s="64"/>
      <c r="AB124" s="302" t="s">
        <v>1268</v>
      </c>
      <c r="AC124" s="64" t="s">
        <v>505</v>
      </c>
      <c r="AD124" s="302" t="s">
        <v>20</v>
      </c>
      <c r="AE124" s="302" t="s">
        <v>924</v>
      </c>
      <c r="AF124" s="302" t="s">
        <v>948</v>
      </c>
      <c r="AG124" s="364" t="s">
        <v>3158</v>
      </c>
      <c r="AH124" s="114"/>
      <c r="AI124" s="302" t="s">
        <v>1292</v>
      </c>
      <c r="AJ124" s="64" t="s">
        <v>505</v>
      </c>
      <c r="AK124" s="302" t="s">
        <v>20</v>
      </c>
      <c r="AL124" s="302" t="s">
        <v>924</v>
      </c>
      <c r="AM124" s="302" t="s">
        <v>948</v>
      </c>
      <c r="AN124" s="364" t="s">
        <v>3417</v>
      </c>
      <c r="AO124" s="64"/>
      <c r="AP124" s="191" t="s">
        <v>2004</v>
      </c>
      <c r="AQ124" s="322"/>
      <c r="AR124" s="114"/>
      <c r="AS124" s="323"/>
      <c r="AT124" s="323"/>
      <c r="AU124" s="322"/>
      <c r="AV124" s="322"/>
      <c r="AW124" s="323"/>
      <c r="AX124" s="324"/>
      <c r="AY124" s="60"/>
      <c r="AZ124" s="95"/>
      <c r="BA124" s="60"/>
      <c r="BB124" s="60"/>
      <c r="BC124" s="60"/>
      <c r="BD124" s="60"/>
      <c r="BE124" s="75"/>
      <c r="BF124" s="64"/>
      <c r="BG124" s="114" t="s">
        <v>3556</v>
      </c>
      <c r="BH124" s="246">
        <v>1150480</v>
      </c>
      <c r="BI124" s="64" t="s">
        <v>3551</v>
      </c>
      <c r="BJ124" s="229" t="s">
        <v>3552</v>
      </c>
    </row>
    <row r="125" spans="1:62" s="51" customFormat="1" ht="52.5" customHeight="1">
      <c r="A125" s="51">
        <v>2</v>
      </c>
      <c r="B125" s="15" t="s">
        <v>144</v>
      </c>
      <c r="C125" s="52">
        <v>12469</v>
      </c>
      <c r="D125" s="383" t="s">
        <v>2724</v>
      </c>
      <c r="E125" s="220" t="s">
        <v>360</v>
      </c>
      <c r="F125" s="130" t="s">
        <v>3562</v>
      </c>
      <c r="G125" s="10"/>
      <c r="H125" s="131"/>
      <c r="I125" s="55">
        <v>2</v>
      </c>
      <c r="J125" s="196">
        <v>1</v>
      </c>
      <c r="K125" s="178"/>
      <c r="L125" s="52" t="s">
        <v>502</v>
      </c>
      <c r="M125" s="295" t="s">
        <v>1221</v>
      </c>
      <c r="N125" s="335">
        <v>41755</v>
      </c>
      <c r="O125" s="158">
        <f t="shared" si="1"/>
        <v>41755</v>
      </c>
      <c r="P125" s="133" t="s">
        <v>3610</v>
      </c>
      <c r="Q125" s="354" t="s">
        <v>1228</v>
      </c>
      <c r="R125" s="52" t="s">
        <v>505</v>
      </c>
      <c r="S125" s="295" t="s">
        <v>1257</v>
      </c>
      <c r="T125" s="79">
        <v>30681</v>
      </c>
      <c r="U125" s="64" t="s">
        <v>2170</v>
      </c>
      <c r="V125" s="64" t="s">
        <v>2171</v>
      </c>
      <c r="W125" s="64" t="s">
        <v>108</v>
      </c>
      <c r="X125" s="64" t="s">
        <v>69</v>
      </c>
      <c r="Y125" s="295" t="s">
        <v>1317</v>
      </c>
      <c r="Z125" s="295" t="s">
        <v>1318</v>
      </c>
      <c r="AA125" s="64"/>
      <c r="AB125" s="302" t="s">
        <v>2931</v>
      </c>
      <c r="AC125" s="64" t="s">
        <v>505</v>
      </c>
      <c r="AD125" s="302" t="s">
        <v>20</v>
      </c>
      <c r="AE125" s="302" t="s">
        <v>21</v>
      </c>
      <c r="AF125" s="302" t="s">
        <v>947</v>
      </c>
      <c r="AG125" s="364" t="s">
        <v>3159</v>
      </c>
      <c r="AH125" s="114"/>
      <c r="AI125" s="302" t="s">
        <v>1293</v>
      </c>
      <c r="AJ125" s="64" t="s">
        <v>505</v>
      </c>
      <c r="AK125" s="302" t="s">
        <v>22</v>
      </c>
      <c r="AL125" s="302" t="s">
        <v>165</v>
      </c>
      <c r="AM125" s="302" t="s">
        <v>949</v>
      </c>
      <c r="AN125" s="364" t="s">
        <v>3418</v>
      </c>
      <c r="AO125" s="64"/>
      <c r="AP125" s="191" t="s">
        <v>2006</v>
      </c>
      <c r="AQ125" s="322"/>
      <c r="AR125" s="114"/>
      <c r="AS125" s="323"/>
      <c r="AT125" s="323"/>
      <c r="AU125" s="322"/>
      <c r="AV125" s="114"/>
      <c r="AW125" s="323"/>
      <c r="AX125" s="324"/>
      <c r="AY125" s="60"/>
      <c r="AZ125" s="95"/>
      <c r="BA125" s="60"/>
      <c r="BB125" s="60"/>
      <c r="BC125" s="60"/>
      <c r="BD125" s="60"/>
      <c r="BE125" s="75"/>
      <c r="BF125" s="64"/>
      <c r="BG125" s="114" t="s">
        <v>3556</v>
      </c>
      <c r="BH125" s="246">
        <v>1150480</v>
      </c>
      <c r="BI125" s="64" t="s">
        <v>3551</v>
      </c>
      <c r="BJ125" s="229" t="s">
        <v>3552</v>
      </c>
    </row>
    <row r="126" spans="1:62" s="51" customFormat="1" ht="52.5" customHeight="1">
      <c r="A126" s="51">
        <v>3</v>
      </c>
      <c r="B126" s="15" t="s">
        <v>144</v>
      </c>
      <c r="C126" s="270">
        <v>12485</v>
      </c>
      <c r="D126" s="383" t="s">
        <v>2725</v>
      </c>
      <c r="E126" s="220" t="s">
        <v>361</v>
      </c>
      <c r="F126" s="130" t="s">
        <v>3562</v>
      </c>
      <c r="G126" s="10"/>
      <c r="H126" s="263"/>
      <c r="I126" s="55">
        <v>1</v>
      </c>
      <c r="J126" s="196">
        <v>1</v>
      </c>
      <c r="K126" s="178"/>
      <c r="L126" s="52" t="s">
        <v>502</v>
      </c>
      <c r="M126" s="295" t="s">
        <v>52</v>
      </c>
      <c r="N126" s="335">
        <v>41448</v>
      </c>
      <c r="O126" s="158">
        <f t="shared" si="1"/>
        <v>41448</v>
      </c>
      <c r="P126" s="133" t="s">
        <v>3611</v>
      </c>
      <c r="Q126" s="354" t="s">
        <v>1229</v>
      </c>
      <c r="R126" s="52" t="s">
        <v>505</v>
      </c>
      <c r="S126" s="295" t="s">
        <v>2844</v>
      </c>
      <c r="T126" s="79">
        <v>57277</v>
      </c>
      <c r="U126" s="64" t="s">
        <v>2173</v>
      </c>
      <c r="V126" s="64" t="s">
        <v>2174</v>
      </c>
      <c r="W126" s="64" t="s">
        <v>94</v>
      </c>
      <c r="X126" s="64" t="s">
        <v>29</v>
      </c>
      <c r="Y126" s="295" t="s">
        <v>2882</v>
      </c>
      <c r="Z126" s="295" t="s">
        <v>1319</v>
      </c>
      <c r="AA126" s="64"/>
      <c r="AB126" s="302" t="s">
        <v>1269</v>
      </c>
      <c r="AC126" s="64" t="s">
        <v>505</v>
      </c>
      <c r="AD126" s="302" t="s">
        <v>22</v>
      </c>
      <c r="AE126" s="302" t="s">
        <v>921</v>
      </c>
      <c r="AF126" s="302" t="s">
        <v>946</v>
      </c>
      <c r="AG126" s="364" t="s">
        <v>3160</v>
      </c>
      <c r="AH126" s="114"/>
      <c r="AI126" s="302" t="s">
        <v>1294</v>
      </c>
      <c r="AJ126" s="64" t="s">
        <v>505</v>
      </c>
      <c r="AK126" s="302" t="s">
        <v>922</v>
      </c>
      <c r="AL126" s="302" t="s">
        <v>923</v>
      </c>
      <c r="AM126" s="302" t="s">
        <v>950</v>
      </c>
      <c r="AN126" s="364" t="s">
        <v>3419</v>
      </c>
      <c r="AO126" s="64"/>
      <c r="AP126" s="191" t="s">
        <v>2005</v>
      </c>
      <c r="AQ126" s="322"/>
      <c r="AR126" s="114"/>
      <c r="AS126" s="323"/>
      <c r="AT126" s="323"/>
      <c r="AU126" s="322"/>
      <c r="AV126" s="322"/>
      <c r="AW126" s="323"/>
      <c r="AX126" s="324"/>
      <c r="AY126" s="60"/>
      <c r="AZ126" s="95"/>
      <c r="BA126" s="60"/>
      <c r="BB126" s="60"/>
      <c r="BC126" s="60"/>
      <c r="BD126" s="60"/>
      <c r="BE126" s="75"/>
      <c r="BF126" s="64"/>
      <c r="BG126" s="114" t="s">
        <v>3556</v>
      </c>
      <c r="BH126" s="246">
        <v>1150480</v>
      </c>
      <c r="BI126" s="64" t="s">
        <v>3551</v>
      </c>
      <c r="BJ126" s="229" t="s">
        <v>3552</v>
      </c>
    </row>
    <row r="127" spans="1:62" s="51" customFormat="1" ht="47.25">
      <c r="A127" s="51">
        <v>4</v>
      </c>
      <c r="B127" s="15" t="s">
        <v>144</v>
      </c>
      <c r="C127" s="164">
        <v>12498</v>
      </c>
      <c r="D127" s="383" t="s">
        <v>2726</v>
      </c>
      <c r="E127" s="220" t="s">
        <v>362</v>
      </c>
      <c r="F127" s="130" t="s">
        <v>3562</v>
      </c>
      <c r="G127" s="10"/>
      <c r="H127" s="131"/>
      <c r="I127" s="55">
        <v>2</v>
      </c>
      <c r="J127" s="196">
        <v>1</v>
      </c>
      <c r="K127" s="178"/>
      <c r="L127" s="52" t="s">
        <v>502</v>
      </c>
      <c r="M127" s="295" t="s">
        <v>33</v>
      </c>
      <c r="N127" s="335">
        <v>41636</v>
      </c>
      <c r="O127" s="158">
        <f t="shared" si="1"/>
        <v>41636</v>
      </c>
      <c r="P127" s="133" t="s">
        <v>3612</v>
      </c>
      <c r="Q127" s="354" t="s">
        <v>1230</v>
      </c>
      <c r="R127" s="52" t="s">
        <v>505</v>
      </c>
      <c r="S127" s="295" t="s">
        <v>2845</v>
      </c>
      <c r="T127" s="79">
        <v>51152</v>
      </c>
      <c r="U127" s="64" t="s">
        <v>2119</v>
      </c>
      <c r="V127" s="64" t="s">
        <v>1895</v>
      </c>
      <c r="W127" s="64" t="s">
        <v>33</v>
      </c>
      <c r="X127" s="64" t="s">
        <v>29</v>
      </c>
      <c r="Y127" s="295" t="s">
        <v>1320</v>
      </c>
      <c r="Z127" s="295" t="s">
        <v>1321</v>
      </c>
      <c r="AA127" s="64"/>
      <c r="AB127" s="302" t="s">
        <v>1270</v>
      </c>
      <c r="AC127" s="64" t="s">
        <v>505</v>
      </c>
      <c r="AD127" s="302" t="s">
        <v>20</v>
      </c>
      <c r="AE127" s="302" t="s">
        <v>165</v>
      </c>
      <c r="AF127" s="302" t="s">
        <v>949</v>
      </c>
      <c r="AG127" s="364" t="s">
        <v>3161</v>
      </c>
      <c r="AH127" s="114"/>
      <c r="AI127" s="302" t="s">
        <v>1295</v>
      </c>
      <c r="AJ127" s="64" t="s">
        <v>505</v>
      </c>
      <c r="AK127" s="302" t="s">
        <v>20</v>
      </c>
      <c r="AL127" s="302" t="s">
        <v>165</v>
      </c>
      <c r="AM127" s="302" t="s">
        <v>946</v>
      </c>
      <c r="AN127" s="364" t="s">
        <v>3420</v>
      </c>
      <c r="AO127" s="64"/>
      <c r="AP127" s="191" t="s">
        <v>2007</v>
      </c>
      <c r="AQ127" s="322"/>
      <c r="AR127" s="114"/>
      <c r="AS127" s="323"/>
      <c r="AT127" s="323"/>
      <c r="AU127" s="322"/>
      <c r="AV127" s="322"/>
      <c r="AW127" s="323"/>
      <c r="AX127" s="324"/>
      <c r="AY127" s="60"/>
      <c r="AZ127" s="95"/>
      <c r="BA127" s="60"/>
      <c r="BB127" s="60"/>
      <c r="BC127" s="60"/>
      <c r="BD127" s="60"/>
      <c r="BE127" s="75"/>
      <c r="BF127" s="64"/>
      <c r="BG127" s="114" t="s">
        <v>3556</v>
      </c>
      <c r="BH127" s="246">
        <v>1150480</v>
      </c>
      <c r="BI127" s="64" t="s">
        <v>3551</v>
      </c>
      <c r="BJ127" s="229" t="s">
        <v>3552</v>
      </c>
    </row>
    <row r="128" spans="1:62" s="51" customFormat="1" ht="52.5" customHeight="1">
      <c r="A128" s="51">
        <v>5</v>
      </c>
      <c r="B128" s="15" t="s">
        <v>144</v>
      </c>
      <c r="C128" s="164">
        <v>12509</v>
      </c>
      <c r="D128" s="292">
        <v>3144968390</v>
      </c>
      <c r="E128" s="220" t="s">
        <v>363</v>
      </c>
      <c r="F128" s="130" t="s">
        <v>3562</v>
      </c>
      <c r="G128" s="10"/>
      <c r="H128" s="263"/>
      <c r="I128" s="55">
        <v>1</v>
      </c>
      <c r="J128" s="196">
        <v>4</v>
      </c>
      <c r="K128" s="178"/>
      <c r="L128" s="52" t="s">
        <v>502</v>
      </c>
      <c r="M128" s="295" t="s">
        <v>1222</v>
      </c>
      <c r="N128" s="335">
        <v>41852</v>
      </c>
      <c r="O128" s="158">
        <f t="shared" si="1"/>
        <v>41852</v>
      </c>
      <c r="P128" s="133" t="s">
        <v>3613</v>
      </c>
      <c r="Q128" s="354" t="s">
        <v>1231</v>
      </c>
      <c r="R128" s="52" t="s">
        <v>505</v>
      </c>
      <c r="S128" s="295" t="s">
        <v>2178</v>
      </c>
      <c r="T128" s="79"/>
      <c r="U128" s="64" t="s">
        <v>2177</v>
      </c>
      <c r="V128" s="64" t="s">
        <v>2179</v>
      </c>
      <c r="W128" s="64" t="s">
        <v>2172</v>
      </c>
      <c r="X128" s="64" t="s">
        <v>122</v>
      </c>
      <c r="Y128" s="295" t="s">
        <v>2883</v>
      </c>
      <c r="Z128" s="295" t="s">
        <v>1322</v>
      </c>
      <c r="AA128" s="64"/>
      <c r="AB128" s="302" t="s">
        <v>2932</v>
      </c>
      <c r="AC128" s="64" t="s">
        <v>505</v>
      </c>
      <c r="AD128" s="302" t="s">
        <v>20</v>
      </c>
      <c r="AE128" s="302" t="s">
        <v>926</v>
      </c>
      <c r="AF128" s="302" t="s">
        <v>948</v>
      </c>
      <c r="AG128" s="364" t="s">
        <v>3162</v>
      </c>
      <c r="AH128" s="114"/>
      <c r="AI128" s="302" t="s">
        <v>2975</v>
      </c>
      <c r="AJ128" s="64" t="s">
        <v>505</v>
      </c>
      <c r="AK128" s="302" t="s">
        <v>20</v>
      </c>
      <c r="AL128" s="302" t="s">
        <v>21</v>
      </c>
      <c r="AM128" s="302" t="s">
        <v>948</v>
      </c>
      <c r="AN128" s="364" t="s">
        <v>3421</v>
      </c>
      <c r="AO128" s="64"/>
      <c r="AP128" s="191" t="s">
        <v>2008</v>
      </c>
      <c r="AQ128" s="322"/>
      <c r="AR128" s="114"/>
      <c r="AS128" s="323"/>
      <c r="AT128" s="323"/>
      <c r="AU128" s="322"/>
      <c r="AV128" s="322"/>
      <c r="AW128" s="323"/>
      <c r="AX128" s="324"/>
      <c r="AY128" s="60"/>
      <c r="AZ128" s="95"/>
      <c r="BA128" s="60"/>
      <c r="BB128" s="60"/>
      <c r="BC128" s="60"/>
      <c r="BD128" s="60"/>
      <c r="BE128" s="75"/>
      <c r="BF128" s="64"/>
      <c r="BG128" s="114" t="s">
        <v>3556</v>
      </c>
      <c r="BH128" s="246">
        <v>1150480</v>
      </c>
      <c r="BI128" s="64" t="s">
        <v>3551</v>
      </c>
      <c r="BJ128" s="229" t="s">
        <v>3552</v>
      </c>
    </row>
    <row r="129" spans="1:62" s="51" customFormat="1" ht="52.5" customHeight="1">
      <c r="A129" s="51">
        <v>6</v>
      </c>
      <c r="B129" s="15" t="s">
        <v>144</v>
      </c>
      <c r="C129" s="52">
        <v>12520</v>
      </c>
      <c r="D129" s="383" t="s">
        <v>2727</v>
      </c>
      <c r="E129" s="220" t="s">
        <v>364</v>
      </c>
      <c r="F129" s="130" t="s">
        <v>3562</v>
      </c>
      <c r="G129" s="10"/>
      <c r="H129" s="131"/>
      <c r="I129" s="55">
        <v>3</v>
      </c>
      <c r="J129" s="196">
        <v>2</v>
      </c>
      <c r="K129" s="178"/>
      <c r="L129" s="52" t="s">
        <v>502</v>
      </c>
      <c r="M129" s="295" t="s">
        <v>33</v>
      </c>
      <c r="N129" s="335">
        <v>41621</v>
      </c>
      <c r="O129" s="158">
        <f t="shared" si="1"/>
        <v>41621</v>
      </c>
      <c r="P129" s="133" t="s">
        <v>3028</v>
      </c>
      <c r="Q129" s="354" t="s">
        <v>1232</v>
      </c>
      <c r="R129" s="52" t="s">
        <v>505</v>
      </c>
      <c r="S129" s="295" t="s">
        <v>2180</v>
      </c>
      <c r="T129" s="79">
        <v>51161</v>
      </c>
      <c r="U129" s="64" t="s">
        <v>2175</v>
      </c>
      <c r="V129" s="64" t="s">
        <v>2175</v>
      </c>
      <c r="W129" s="64" t="s">
        <v>33</v>
      </c>
      <c r="X129" s="64" t="s">
        <v>29</v>
      </c>
      <c r="Y129" s="295" t="s">
        <v>773</v>
      </c>
      <c r="Z129" s="295" t="s">
        <v>1323</v>
      </c>
      <c r="AA129" s="64"/>
      <c r="AB129" s="302" t="s">
        <v>1271</v>
      </c>
      <c r="AC129" s="64" t="s">
        <v>505</v>
      </c>
      <c r="AD129" s="302" t="s">
        <v>20</v>
      </c>
      <c r="AE129" s="302" t="s">
        <v>921</v>
      </c>
      <c r="AF129" s="302" t="s">
        <v>949</v>
      </c>
      <c r="AG129" s="364" t="s">
        <v>3163</v>
      </c>
      <c r="AH129" s="114"/>
      <c r="AI129" s="302" t="s">
        <v>1296</v>
      </c>
      <c r="AJ129" s="64" t="s">
        <v>505</v>
      </c>
      <c r="AK129" s="302" t="s">
        <v>20</v>
      </c>
      <c r="AL129" s="302" t="s">
        <v>21</v>
      </c>
      <c r="AM129" s="302" t="s">
        <v>948</v>
      </c>
      <c r="AN129" s="364" t="s">
        <v>3422</v>
      </c>
      <c r="AO129" s="64"/>
      <c r="AP129" s="191" t="s">
        <v>2009</v>
      </c>
      <c r="AQ129" s="322"/>
      <c r="AR129" s="114"/>
      <c r="AS129" s="323"/>
      <c r="AT129" s="323"/>
      <c r="AU129" s="322"/>
      <c r="AV129" s="322"/>
      <c r="AW129" s="323"/>
      <c r="AX129" s="324"/>
      <c r="AY129" s="60"/>
      <c r="AZ129" s="95"/>
      <c r="BA129" s="60"/>
      <c r="BB129" s="60"/>
      <c r="BC129" s="60"/>
      <c r="BD129" s="60"/>
      <c r="BE129" s="75"/>
      <c r="BF129" s="64"/>
      <c r="BG129" s="114" t="s">
        <v>3556</v>
      </c>
      <c r="BH129" s="246">
        <v>1150480</v>
      </c>
      <c r="BI129" s="64" t="s">
        <v>3551</v>
      </c>
      <c r="BJ129" s="229" t="s">
        <v>3552</v>
      </c>
    </row>
    <row r="130" spans="1:62" s="51" customFormat="1" ht="52.5" customHeight="1">
      <c r="A130" s="51">
        <v>7</v>
      </c>
      <c r="B130" s="15" t="s">
        <v>144</v>
      </c>
      <c r="C130" s="52">
        <v>12521</v>
      </c>
      <c r="D130" s="292">
        <v>3147299385</v>
      </c>
      <c r="E130" s="220" t="s">
        <v>365</v>
      </c>
      <c r="F130" s="130" t="s">
        <v>3562</v>
      </c>
      <c r="G130" s="10"/>
      <c r="H130" s="131"/>
      <c r="I130" s="55">
        <v>2</v>
      </c>
      <c r="J130" s="196">
        <v>1</v>
      </c>
      <c r="K130" s="178"/>
      <c r="L130" s="52" t="s">
        <v>502</v>
      </c>
      <c r="M130" s="295" t="s">
        <v>1223</v>
      </c>
      <c r="N130" s="336">
        <v>41651</v>
      </c>
      <c r="O130" s="158">
        <f t="shared" si="1"/>
        <v>41651</v>
      </c>
      <c r="P130" s="133" t="s">
        <v>3614</v>
      </c>
      <c r="Q130" s="359" t="s">
        <v>1233</v>
      </c>
      <c r="R130" s="52" t="s">
        <v>505</v>
      </c>
      <c r="S130" s="295" t="s">
        <v>2010</v>
      </c>
      <c r="T130" s="79"/>
      <c r="U130" s="64" t="s">
        <v>2181</v>
      </c>
      <c r="V130" s="64" t="s">
        <v>2182</v>
      </c>
      <c r="W130" s="64" t="s">
        <v>2183</v>
      </c>
      <c r="X130" s="64" t="s">
        <v>98</v>
      </c>
      <c r="Y130" s="295" t="s">
        <v>1324</v>
      </c>
      <c r="Z130" s="295" t="s">
        <v>1258</v>
      </c>
      <c r="AA130" s="64"/>
      <c r="AB130" s="302" t="s">
        <v>1272</v>
      </c>
      <c r="AC130" s="64" t="s">
        <v>505</v>
      </c>
      <c r="AD130" s="302" t="s">
        <v>20</v>
      </c>
      <c r="AE130" s="302" t="s">
        <v>165</v>
      </c>
      <c r="AF130" s="302" t="s">
        <v>949</v>
      </c>
      <c r="AG130" s="364" t="s">
        <v>3164</v>
      </c>
      <c r="AH130" s="114"/>
      <c r="AI130" s="302" t="s">
        <v>1297</v>
      </c>
      <c r="AJ130" s="64" t="s">
        <v>505</v>
      </c>
      <c r="AK130" s="302" t="s">
        <v>20</v>
      </c>
      <c r="AL130" s="302" t="s">
        <v>21</v>
      </c>
      <c r="AM130" s="302" t="s">
        <v>948</v>
      </c>
      <c r="AN130" s="364" t="s">
        <v>3423</v>
      </c>
      <c r="AO130" s="64"/>
      <c r="AP130" s="191" t="s">
        <v>2011</v>
      </c>
      <c r="AQ130" s="322"/>
      <c r="AR130" s="114"/>
      <c r="AS130" s="323"/>
      <c r="AT130" s="323"/>
      <c r="AU130" s="322"/>
      <c r="AV130" s="114"/>
      <c r="AW130" s="323"/>
      <c r="AX130" s="324"/>
      <c r="AY130" s="60"/>
      <c r="AZ130" s="95"/>
      <c r="BA130" s="60"/>
      <c r="BB130" s="60"/>
      <c r="BC130" s="60"/>
      <c r="BD130" s="60"/>
      <c r="BE130" s="75"/>
      <c r="BF130" s="64"/>
      <c r="BG130" s="114" t="s">
        <v>3556</v>
      </c>
      <c r="BH130" s="246">
        <v>1150480</v>
      </c>
      <c r="BI130" s="64" t="s">
        <v>3551</v>
      </c>
      <c r="BJ130" s="229" t="s">
        <v>3552</v>
      </c>
    </row>
    <row r="131" spans="1:62" s="51" customFormat="1" ht="52.5" customHeight="1">
      <c r="A131" s="51">
        <v>8</v>
      </c>
      <c r="B131" s="15" t="s">
        <v>144</v>
      </c>
      <c r="C131" s="164">
        <v>12525</v>
      </c>
      <c r="D131" s="383" t="s">
        <v>2728</v>
      </c>
      <c r="E131" s="220" t="s">
        <v>366</v>
      </c>
      <c r="F131" s="130" t="s">
        <v>3562</v>
      </c>
      <c r="G131" s="10"/>
      <c r="H131" s="131"/>
      <c r="I131" s="55">
        <v>1</v>
      </c>
      <c r="J131" s="196">
        <v>2</v>
      </c>
      <c r="K131" s="178"/>
      <c r="L131" s="52" t="s">
        <v>502</v>
      </c>
      <c r="M131" s="295" t="s">
        <v>76</v>
      </c>
      <c r="N131" s="336">
        <v>41451</v>
      </c>
      <c r="O131" s="158">
        <f t="shared" ref="O131:O194" si="3">N131</f>
        <v>41451</v>
      </c>
      <c r="P131" s="133" t="s">
        <v>3615</v>
      </c>
      <c r="Q131" s="354" t="s">
        <v>1234</v>
      </c>
      <c r="R131" s="52" t="s">
        <v>505</v>
      </c>
      <c r="S131" s="295" t="s">
        <v>2012</v>
      </c>
      <c r="T131" s="79">
        <v>56153</v>
      </c>
      <c r="U131" s="64" t="s">
        <v>2184</v>
      </c>
      <c r="V131" s="64" t="s">
        <v>2185</v>
      </c>
      <c r="W131" s="64" t="s">
        <v>76</v>
      </c>
      <c r="X131" s="64" t="s">
        <v>29</v>
      </c>
      <c r="Y131" s="295" t="s">
        <v>2884</v>
      </c>
      <c r="Z131" s="295" t="s">
        <v>1325</v>
      </c>
      <c r="AA131" s="64"/>
      <c r="AB131" s="302" t="s">
        <v>1273</v>
      </c>
      <c r="AC131" s="64" t="s">
        <v>505</v>
      </c>
      <c r="AD131" s="302" t="s">
        <v>922</v>
      </c>
      <c r="AE131" s="302" t="s">
        <v>165</v>
      </c>
      <c r="AF131" s="302" t="s">
        <v>949</v>
      </c>
      <c r="AG131" s="364" t="s">
        <v>3165</v>
      </c>
      <c r="AH131" s="114"/>
      <c r="AI131" s="302" t="s">
        <v>1298</v>
      </c>
      <c r="AJ131" s="64" t="s">
        <v>505</v>
      </c>
      <c r="AK131" s="302" t="s">
        <v>922</v>
      </c>
      <c r="AL131" s="302" t="s">
        <v>923</v>
      </c>
      <c r="AM131" s="302" t="s">
        <v>950</v>
      </c>
      <c r="AN131" s="364" t="s">
        <v>3424</v>
      </c>
      <c r="AO131" s="64"/>
      <c r="AP131" s="191" t="s">
        <v>2013</v>
      </c>
      <c r="AQ131" s="322"/>
      <c r="AR131" s="114"/>
      <c r="AS131" s="323"/>
      <c r="AT131" s="323"/>
      <c r="AU131" s="322"/>
      <c r="AV131" s="322"/>
      <c r="AW131" s="323"/>
      <c r="AX131" s="324"/>
      <c r="AY131" s="60"/>
      <c r="AZ131" s="95"/>
      <c r="BA131" s="60"/>
      <c r="BB131" s="60"/>
      <c r="BC131" s="60"/>
      <c r="BD131" s="60"/>
      <c r="BE131" s="75"/>
      <c r="BF131" s="64"/>
      <c r="BG131" s="114" t="s">
        <v>3556</v>
      </c>
      <c r="BH131" s="246">
        <v>1150480</v>
      </c>
      <c r="BI131" s="64" t="s">
        <v>3551</v>
      </c>
      <c r="BJ131" s="229" t="s">
        <v>3552</v>
      </c>
    </row>
    <row r="132" spans="1:62" s="171" customFormat="1" ht="52.5" customHeight="1">
      <c r="A132" s="51">
        <v>9</v>
      </c>
      <c r="B132" s="15" t="s">
        <v>144</v>
      </c>
      <c r="C132" s="52">
        <v>12532</v>
      </c>
      <c r="D132" s="383" t="s">
        <v>2729</v>
      </c>
      <c r="E132" s="220" t="s">
        <v>367</v>
      </c>
      <c r="F132" s="130" t="s">
        <v>3562</v>
      </c>
      <c r="G132" s="10"/>
      <c r="H132" s="265"/>
      <c r="I132" s="168">
        <v>2</v>
      </c>
      <c r="J132" s="197">
        <v>2</v>
      </c>
      <c r="K132" s="178"/>
      <c r="L132" s="52" t="s">
        <v>502</v>
      </c>
      <c r="M132" s="295" t="s">
        <v>55</v>
      </c>
      <c r="N132" s="336">
        <v>41505</v>
      </c>
      <c r="O132" s="158">
        <f t="shared" si="3"/>
        <v>41505</v>
      </c>
      <c r="P132" s="133" t="s">
        <v>3616</v>
      </c>
      <c r="Q132" s="354" t="s">
        <v>1235</v>
      </c>
      <c r="R132" s="52" t="s">
        <v>505</v>
      </c>
      <c r="S132" s="295" t="s">
        <v>2186</v>
      </c>
      <c r="T132" s="228"/>
      <c r="U132" s="64" t="s">
        <v>2176</v>
      </c>
      <c r="V132" s="114" t="s">
        <v>2162</v>
      </c>
      <c r="W132" s="114" t="s">
        <v>55</v>
      </c>
      <c r="X132" s="114" t="s">
        <v>29</v>
      </c>
      <c r="Y132" s="295" t="s">
        <v>1326</v>
      </c>
      <c r="Z132" s="295" t="s">
        <v>1327</v>
      </c>
      <c r="AA132" s="114"/>
      <c r="AB132" s="302" t="s">
        <v>2933</v>
      </c>
      <c r="AC132" s="64" t="s">
        <v>505</v>
      </c>
      <c r="AD132" s="302" t="s">
        <v>20</v>
      </c>
      <c r="AE132" s="302" t="s">
        <v>921</v>
      </c>
      <c r="AF132" s="302" t="s">
        <v>946</v>
      </c>
      <c r="AG132" s="364" t="s">
        <v>3166</v>
      </c>
      <c r="AH132" s="114"/>
      <c r="AI132" s="302" t="s">
        <v>1299</v>
      </c>
      <c r="AJ132" s="64" t="s">
        <v>505</v>
      </c>
      <c r="AK132" s="302" t="s">
        <v>22</v>
      </c>
      <c r="AL132" s="302" t="s">
        <v>21</v>
      </c>
      <c r="AM132" s="302" t="s">
        <v>946</v>
      </c>
      <c r="AN132" s="364" t="s">
        <v>3425</v>
      </c>
      <c r="AO132" s="114"/>
      <c r="AP132" s="191" t="s">
        <v>2014</v>
      </c>
      <c r="AQ132" s="322"/>
      <c r="AR132" s="114"/>
      <c r="AS132" s="323"/>
      <c r="AT132" s="323"/>
      <c r="AU132" s="322"/>
      <c r="AV132" s="114"/>
      <c r="AW132" s="323"/>
      <c r="AX132" s="323"/>
      <c r="AY132" s="109"/>
      <c r="AZ132" s="95"/>
      <c r="BA132" s="109"/>
      <c r="BB132" s="109"/>
      <c r="BC132" s="109"/>
      <c r="BD132" s="109"/>
      <c r="BE132" s="113"/>
      <c r="BF132" s="114"/>
      <c r="BG132" s="114" t="s">
        <v>3556</v>
      </c>
      <c r="BH132" s="246">
        <v>1150480</v>
      </c>
      <c r="BI132" s="64" t="s">
        <v>3551</v>
      </c>
      <c r="BJ132" s="229" t="s">
        <v>3552</v>
      </c>
    </row>
    <row r="133" spans="1:62" s="51" customFormat="1" ht="52.5" customHeight="1">
      <c r="A133" s="51">
        <v>10</v>
      </c>
      <c r="B133" s="15" t="s">
        <v>144</v>
      </c>
      <c r="C133" s="164">
        <v>12535</v>
      </c>
      <c r="D133" s="383" t="s">
        <v>2730</v>
      </c>
      <c r="E133" s="220" t="s">
        <v>368</v>
      </c>
      <c r="F133" s="130" t="s">
        <v>3562</v>
      </c>
      <c r="G133" s="10"/>
      <c r="H133" s="131"/>
      <c r="I133" s="55">
        <v>1</v>
      </c>
      <c r="J133" s="196">
        <v>2</v>
      </c>
      <c r="K133" s="52"/>
      <c r="L133" s="52" t="s">
        <v>502</v>
      </c>
      <c r="M133" s="295" t="s">
        <v>63</v>
      </c>
      <c r="N133" s="335">
        <v>41478</v>
      </c>
      <c r="O133" s="158">
        <f t="shared" si="3"/>
        <v>41478</v>
      </c>
      <c r="P133" s="133" t="s">
        <v>3617</v>
      </c>
      <c r="Q133" s="354" t="s">
        <v>1236</v>
      </c>
      <c r="R133" s="52" t="s">
        <v>505</v>
      </c>
      <c r="S133" s="295" t="s">
        <v>1259</v>
      </c>
      <c r="T133" s="79"/>
      <c r="U133" s="64" t="s">
        <v>2187</v>
      </c>
      <c r="V133" s="64" t="s">
        <v>733</v>
      </c>
      <c r="W133" s="64" t="s">
        <v>19</v>
      </c>
      <c r="X133" s="64" t="s">
        <v>696</v>
      </c>
      <c r="Y133" s="295" t="s">
        <v>1328</v>
      </c>
      <c r="Z133" s="295" t="s">
        <v>1329</v>
      </c>
      <c r="AA133" s="64"/>
      <c r="AB133" s="302" t="s">
        <v>1274</v>
      </c>
      <c r="AC133" s="64" t="s">
        <v>505</v>
      </c>
      <c r="AD133" s="302" t="s">
        <v>30</v>
      </c>
      <c r="AE133" s="302" t="s">
        <v>924</v>
      </c>
      <c r="AF133" s="302" t="s">
        <v>946</v>
      </c>
      <c r="AG133" s="364" t="s">
        <v>3167</v>
      </c>
      <c r="AH133" s="114"/>
      <c r="AI133" s="302" t="s">
        <v>1300</v>
      </c>
      <c r="AJ133" s="64" t="s">
        <v>505</v>
      </c>
      <c r="AK133" s="302" t="s">
        <v>20</v>
      </c>
      <c r="AL133" s="302" t="s">
        <v>923</v>
      </c>
      <c r="AM133" s="302" t="s">
        <v>950</v>
      </c>
      <c r="AN133" s="364" t="s">
        <v>3426</v>
      </c>
      <c r="AO133" s="64"/>
      <c r="AP133" s="191" t="s">
        <v>2015</v>
      </c>
      <c r="AQ133" s="322"/>
      <c r="AR133" s="114"/>
      <c r="AS133" s="323"/>
      <c r="AT133" s="323"/>
      <c r="AU133" s="322"/>
      <c r="AV133" s="322"/>
      <c r="AW133" s="323"/>
      <c r="AX133" s="324"/>
      <c r="AY133" s="60"/>
      <c r="AZ133" s="95"/>
      <c r="BA133" s="60"/>
      <c r="BB133" s="60"/>
      <c r="BC133" s="60"/>
      <c r="BD133" s="60"/>
      <c r="BE133" s="75"/>
      <c r="BF133" s="64"/>
      <c r="BG133" s="114" t="s">
        <v>3556</v>
      </c>
      <c r="BH133" s="246">
        <v>1150480</v>
      </c>
      <c r="BI133" s="64" t="s">
        <v>3551</v>
      </c>
      <c r="BJ133" s="229" t="s">
        <v>3552</v>
      </c>
    </row>
    <row r="134" spans="1:62" s="171" customFormat="1" ht="52.5" customHeight="1">
      <c r="A134" s="51">
        <v>11</v>
      </c>
      <c r="B134" s="15" t="s">
        <v>144</v>
      </c>
      <c r="C134" s="164">
        <v>12538</v>
      </c>
      <c r="D134" s="383" t="s">
        <v>2731</v>
      </c>
      <c r="E134" s="220" t="s">
        <v>369</v>
      </c>
      <c r="F134" s="130" t="s">
        <v>3562</v>
      </c>
      <c r="G134" s="10"/>
      <c r="H134" s="167"/>
      <c r="I134" s="168">
        <v>1</v>
      </c>
      <c r="J134" s="197">
        <v>2</v>
      </c>
      <c r="K134" s="165"/>
      <c r="L134" s="52" t="s">
        <v>502</v>
      </c>
      <c r="M134" s="295" t="s">
        <v>28</v>
      </c>
      <c r="N134" s="335">
        <v>41424</v>
      </c>
      <c r="O134" s="158">
        <f t="shared" si="3"/>
        <v>41424</v>
      </c>
      <c r="P134" s="133" t="s">
        <v>3618</v>
      </c>
      <c r="Q134" s="354" t="s">
        <v>1237</v>
      </c>
      <c r="R134" s="52" t="s">
        <v>505</v>
      </c>
      <c r="S134" s="295" t="s">
        <v>1260</v>
      </c>
      <c r="T134" s="79">
        <v>52276</v>
      </c>
      <c r="U134" s="64" t="s">
        <v>2189</v>
      </c>
      <c r="V134" s="64" t="s">
        <v>2188</v>
      </c>
      <c r="W134" s="64" t="s">
        <v>28</v>
      </c>
      <c r="X134" s="64" t="s">
        <v>29</v>
      </c>
      <c r="Y134" s="295" t="s">
        <v>1330</v>
      </c>
      <c r="Z134" s="295" t="s">
        <v>1331</v>
      </c>
      <c r="AA134" s="114"/>
      <c r="AB134" s="302" t="s">
        <v>1275</v>
      </c>
      <c r="AC134" s="64" t="s">
        <v>505</v>
      </c>
      <c r="AD134" s="302" t="s">
        <v>922</v>
      </c>
      <c r="AE134" s="302" t="s">
        <v>1289</v>
      </c>
      <c r="AF134" s="302" t="s">
        <v>949</v>
      </c>
      <c r="AG134" s="364" t="s">
        <v>3168</v>
      </c>
      <c r="AH134" s="64"/>
      <c r="AI134" s="302" t="s">
        <v>1301</v>
      </c>
      <c r="AJ134" s="64" t="s">
        <v>505</v>
      </c>
      <c r="AK134" s="302" t="s">
        <v>922</v>
      </c>
      <c r="AL134" s="302" t="s">
        <v>165</v>
      </c>
      <c r="AM134" s="302" t="s">
        <v>949</v>
      </c>
      <c r="AN134" s="364" t="s">
        <v>3427</v>
      </c>
      <c r="AO134" s="114"/>
      <c r="AP134" s="191" t="s">
        <v>2016</v>
      </c>
      <c r="AQ134" s="322"/>
      <c r="AR134" s="114"/>
      <c r="AS134" s="323"/>
      <c r="AT134" s="323"/>
      <c r="AU134" s="322"/>
      <c r="AV134" s="322"/>
      <c r="AW134" s="323"/>
      <c r="AX134" s="323"/>
      <c r="AY134" s="109"/>
      <c r="AZ134" s="95"/>
      <c r="BA134" s="109"/>
      <c r="BB134" s="109"/>
      <c r="BC134" s="109"/>
      <c r="BD134" s="109"/>
      <c r="BE134" s="113"/>
      <c r="BF134" s="114"/>
      <c r="BG134" s="114" t="s">
        <v>3556</v>
      </c>
      <c r="BH134" s="246">
        <v>1150480</v>
      </c>
      <c r="BI134" s="64" t="s">
        <v>3551</v>
      </c>
      <c r="BJ134" s="229" t="s">
        <v>3552</v>
      </c>
    </row>
    <row r="135" spans="1:62" s="51" customFormat="1" ht="52.5" customHeight="1">
      <c r="A135" s="51">
        <v>12</v>
      </c>
      <c r="B135" s="15" t="s">
        <v>144</v>
      </c>
      <c r="C135" s="164">
        <v>12547</v>
      </c>
      <c r="D135" s="383" t="s">
        <v>2732</v>
      </c>
      <c r="E135" s="220" t="s">
        <v>370</v>
      </c>
      <c r="F135" s="130" t="s">
        <v>3562</v>
      </c>
      <c r="G135" s="10"/>
      <c r="H135" s="131"/>
      <c r="I135" s="55">
        <v>1</v>
      </c>
      <c r="J135" s="196">
        <v>1</v>
      </c>
      <c r="K135" s="178"/>
      <c r="L135" s="52" t="s">
        <v>502</v>
      </c>
      <c r="M135" s="295" t="s">
        <v>38</v>
      </c>
      <c r="N135" s="335">
        <v>41524</v>
      </c>
      <c r="O135" s="158">
        <f t="shared" si="3"/>
        <v>41524</v>
      </c>
      <c r="P135" s="133" t="s">
        <v>3619</v>
      </c>
      <c r="Q135" s="354" t="s">
        <v>1238</v>
      </c>
      <c r="R135" s="52" t="s">
        <v>505</v>
      </c>
      <c r="S135" s="295" t="s">
        <v>2194</v>
      </c>
      <c r="T135" s="79">
        <v>55711</v>
      </c>
      <c r="U135" s="64" t="s">
        <v>2191</v>
      </c>
      <c r="V135" s="64" t="s">
        <v>2192</v>
      </c>
      <c r="W135" s="64" t="s">
        <v>1904</v>
      </c>
      <c r="X135" s="64" t="s">
        <v>29</v>
      </c>
      <c r="Y135" s="295" t="s">
        <v>1332</v>
      </c>
      <c r="Z135" s="295" t="s">
        <v>1333</v>
      </c>
      <c r="AA135" s="64"/>
      <c r="AB135" s="302" t="s">
        <v>1276</v>
      </c>
      <c r="AC135" s="64" t="s">
        <v>505</v>
      </c>
      <c r="AD135" s="302" t="s">
        <v>20</v>
      </c>
      <c r="AE135" s="302" t="s">
        <v>21</v>
      </c>
      <c r="AF135" s="302" t="s">
        <v>946</v>
      </c>
      <c r="AG135" s="364" t="s">
        <v>3169</v>
      </c>
      <c r="AH135" s="114"/>
      <c r="AI135" s="302" t="s">
        <v>1302</v>
      </c>
      <c r="AJ135" s="64" t="s">
        <v>505</v>
      </c>
      <c r="AK135" s="302" t="s">
        <v>20</v>
      </c>
      <c r="AL135" s="302" t="s">
        <v>21</v>
      </c>
      <c r="AM135" s="302" t="s">
        <v>946</v>
      </c>
      <c r="AN135" s="364" t="s">
        <v>3428</v>
      </c>
      <c r="AO135" s="64"/>
      <c r="AP135" s="191" t="s">
        <v>2017</v>
      </c>
      <c r="AQ135" s="322"/>
      <c r="AR135" s="114"/>
      <c r="AS135" s="323"/>
      <c r="AT135" s="323"/>
      <c r="AU135" s="322"/>
      <c r="AV135" s="322"/>
      <c r="AW135" s="323"/>
      <c r="AX135" s="324"/>
      <c r="AY135" s="60"/>
      <c r="AZ135" s="95"/>
      <c r="BA135" s="60"/>
      <c r="BB135" s="60"/>
      <c r="BC135" s="60"/>
      <c r="BD135" s="60"/>
      <c r="BE135" s="75"/>
      <c r="BF135" s="64"/>
      <c r="BG135" s="114" t="s">
        <v>3556</v>
      </c>
      <c r="BH135" s="246">
        <v>1150480</v>
      </c>
      <c r="BI135" s="64" t="s">
        <v>3551</v>
      </c>
      <c r="BJ135" s="229" t="s">
        <v>3552</v>
      </c>
    </row>
    <row r="136" spans="1:62" s="51" customFormat="1" ht="52.5" customHeight="1">
      <c r="A136" s="51">
        <v>13</v>
      </c>
      <c r="B136" s="15" t="s">
        <v>144</v>
      </c>
      <c r="C136" s="52">
        <v>12559</v>
      </c>
      <c r="D136" s="383" t="s">
        <v>2733</v>
      </c>
      <c r="E136" s="220" t="s">
        <v>371</v>
      </c>
      <c r="F136" s="130" t="s">
        <v>3562</v>
      </c>
      <c r="G136" s="10"/>
      <c r="H136" s="131"/>
      <c r="I136" s="55">
        <v>2</v>
      </c>
      <c r="J136" s="196">
        <v>2</v>
      </c>
      <c r="K136" s="177"/>
      <c r="L136" s="52" t="s">
        <v>502</v>
      </c>
      <c r="M136" s="295" t="s">
        <v>117</v>
      </c>
      <c r="N136" s="336">
        <v>41491</v>
      </c>
      <c r="O136" s="158">
        <f t="shared" si="3"/>
        <v>41491</v>
      </c>
      <c r="P136" s="133" t="s">
        <v>3620</v>
      </c>
      <c r="Q136" s="363" t="s">
        <v>2018</v>
      </c>
      <c r="R136" s="52" t="s">
        <v>505</v>
      </c>
      <c r="S136" s="295" t="s">
        <v>2846</v>
      </c>
      <c r="T136" s="79">
        <v>51355</v>
      </c>
      <c r="U136" s="64" t="s">
        <v>2196</v>
      </c>
      <c r="V136" s="64" t="s">
        <v>2195</v>
      </c>
      <c r="W136" s="64" t="s">
        <v>117</v>
      </c>
      <c r="X136" s="64" t="s">
        <v>29</v>
      </c>
      <c r="Y136" s="295" t="s">
        <v>2885</v>
      </c>
      <c r="Z136" s="295" t="s">
        <v>1334</v>
      </c>
      <c r="AA136" s="64"/>
      <c r="AB136" s="302" t="s">
        <v>2934</v>
      </c>
      <c r="AC136" s="64" t="s">
        <v>505</v>
      </c>
      <c r="AD136" s="302" t="s">
        <v>20</v>
      </c>
      <c r="AE136" s="302" t="s">
        <v>165</v>
      </c>
      <c r="AF136" s="302" t="s">
        <v>948</v>
      </c>
      <c r="AG136" s="364" t="s">
        <v>3170</v>
      </c>
      <c r="AH136" s="114"/>
      <c r="AI136" s="302" t="s">
        <v>2976</v>
      </c>
      <c r="AJ136" s="64" t="s">
        <v>505</v>
      </c>
      <c r="AK136" s="302" t="s">
        <v>22</v>
      </c>
      <c r="AL136" s="302" t="s">
        <v>165</v>
      </c>
      <c r="AM136" s="302" t="s">
        <v>949</v>
      </c>
      <c r="AN136" s="364" t="s">
        <v>3429</v>
      </c>
      <c r="AO136" s="64"/>
      <c r="AP136" s="191" t="s">
        <v>2019</v>
      </c>
      <c r="AQ136" s="322"/>
      <c r="AR136" s="114"/>
      <c r="AS136" s="323"/>
      <c r="AT136" s="323"/>
      <c r="AU136" s="322"/>
      <c r="AV136" s="322"/>
      <c r="AW136" s="323"/>
      <c r="AX136" s="324"/>
      <c r="AY136" s="60"/>
      <c r="AZ136" s="95"/>
      <c r="BA136" s="60"/>
      <c r="BB136" s="60"/>
      <c r="BC136" s="60"/>
      <c r="BD136" s="60"/>
      <c r="BE136" s="75"/>
      <c r="BF136" s="64"/>
      <c r="BG136" s="114" t="s">
        <v>3556</v>
      </c>
      <c r="BH136" s="246">
        <v>1150480</v>
      </c>
      <c r="BI136" s="64" t="s">
        <v>3551</v>
      </c>
      <c r="BJ136" s="229" t="s">
        <v>3552</v>
      </c>
    </row>
    <row r="137" spans="1:62" s="51" customFormat="1" ht="52.5" customHeight="1">
      <c r="A137" s="51">
        <v>14</v>
      </c>
      <c r="B137" s="15" t="s">
        <v>144</v>
      </c>
      <c r="C137" s="52">
        <v>12565</v>
      </c>
      <c r="D137" s="384" t="s">
        <v>2734</v>
      </c>
      <c r="E137" s="220" t="s">
        <v>372</v>
      </c>
      <c r="F137" s="130" t="s">
        <v>3562</v>
      </c>
      <c r="G137" s="10"/>
      <c r="H137" s="131"/>
      <c r="I137" s="55">
        <v>2</v>
      </c>
      <c r="J137" s="196">
        <v>2</v>
      </c>
      <c r="K137" s="178"/>
      <c r="L137" s="52" t="s">
        <v>502</v>
      </c>
      <c r="M137" s="300" t="s">
        <v>63</v>
      </c>
      <c r="N137" s="338">
        <v>41673</v>
      </c>
      <c r="O137" s="158">
        <f t="shared" si="3"/>
        <v>41673</v>
      </c>
      <c r="P137" s="133" t="s">
        <v>3621</v>
      </c>
      <c r="Q137" s="356" t="s">
        <v>1239</v>
      </c>
      <c r="R137" s="52" t="s">
        <v>505</v>
      </c>
      <c r="S137" s="300" t="s">
        <v>2199</v>
      </c>
      <c r="T137" s="79">
        <v>50228</v>
      </c>
      <c r="U137" s="64" t="s">
        <v>2197</v>
      </c>
      <c r="V137" s="64" t="s">
        <v>2198</v>
      </c>
      <c r="W137" s="64" t="s">
        <v>1904</v>
      </c>
      <c r="X137" s="64" t="s">
        <v>29</v>
      </c>
      <c r="Y137" s="300" t="s">
        <v>1335</v>
      </c>
      <c r="Z137" s="300" t="s">
        <v>1336</v>
      </c>
      <c r="AA137" s="64"/>
      <c r="AB137" s="326" t="s">
        <v>1277</v>
      </c>
      <c r="AC137" s="64" t="s">
        <v>505</v>
      </c>
      <c r="AD137" s="326" t="s">
        <v>75</v>
      </c>
      <c r="AE137" s="326" t="s">
        <v>21</v>
      </c>
      <c r="AF137" s="326" t="s">
        <v>948</v>
      </c>
      <c r="AG137" s="397" t="s">
        <v>3171</v>
      </c>
      <c r="AH137" s="114"/>
      <c r="AI137" s="326" t="s">
        <v>1303</v>
      </c>
      <c r="AJ137" s="64" t="s">
        <v>505</v>
      </c>
      <c r="AK137" s="326" t="s">
        <v>30</v>
      </c>
      <c r="AL137" s="326" t="s">
        <v>21</v>
      </c>
      <c r="AM137" s="326" t="s">
        <v>948</v>
      </c>
      <c r="AN137" s="397" t="s">
        <v>3430</v>
      </c>
      <c r="AO137" s="64"/>
      <c r="AP137" s="191" t="s">
        <v>2020</v>
      </c>
      <c r="AQ137" s="322"/>
      <c r="AR137" s="114"/>
      <c r="AS137" s="323"/>
      <c r="AT137" s="323"/>
      <c r="AU137" s="322"/>
      <c r="AV137" s="322"/>
      <c r="AW137" s="323"/>
      <c r="AX137" s="324"/>
      <c r="AY137" s="60"/>
      <c r="AZ137" s="95"/>
      <c r="BA137" s="60"/>
      <c r="BB137" s="60"/>
      <c r="BC137" s="60"/>
      <c r="BD137" s="60"/>
      <c r="BE137" s="75"/>
      <c r="BF137" s="64"/>
      <c r="BG137" s="114" t="s">
        <v>3556</v>
      </c>
      <c r="BH137" s="246">
        <v>1150480</v>
      </c>
      <c r="BI137" s="64" t="s">
        <v>3551</v>
      </c>
      <c r="BJ137" s="229" t="s">
        <v>3552</v>
      </c>
    </row>
    <row r="138" spans="1:62" s="51" customFormat="1" ht="52.5" customHeight="1">
      <c r="A138" s="51">
        <v>15</v>
      </c>
      <c r="B138" s="15" t="s">
        <v>144</v>
      </c>
      <c r="C138" s="52">
        <v>12566</v>
      </c>
      <c r="D138" s="383" t="s">
        <v>2735</v>
      </c>
      <c r="E138" s="220" t="s">
        <v>373</v>
      </c>
      <c r="F138" s="130" t="s">
        <v>3562</v>
      </c>
      <c r="G138" s="10"/>
      <c r="H138" s="131"/>
      <c r="I138" s="55">
        <v>1</v>
      </c>
      <c r="J138" s="196">
        <v>0</v>
      </c>
      <c r="K138" s="178"/>
      <c r="L138" s="52" t="s">
        <v>502</v>
      </c>
      <c r="M138" s="295" t="s">
        <v>57</v>
      </c>
      <c r="N138" s="335">
        <v>41763</v>
      </c>
      <c r="O138" s="158">
        <f t="shared" si="3"/>
        <v>41763</v>
      </c>
      <c r="P138" s="133" t="s">
        <v>3622</v>
      </c>
      <c r="Q138" s="354" t="s">
        <v>1240</v>
      </c>
      <c r="R138" s="52" t="s">
        <v>505</v>
      </c>
      <c r="S138" s="295" t="s">
        <v>1261</v>
      </c>
      <c r="T138" s="79">
        <v>74771</v>
      </c>
      <c r="U138" s="64" t="s">
        <v>2200</v>
      </c>
      <c r="V138" s="64" t="s">
        <v>2201</v>
      </c>
      <c r="W138" s="64" t="s">
        <v>2193</v>
      </c>
      <c r="X138" s="64" t="s">
        <v>724</v>
      </c>
      <c r="Y138" s="295" t="s">
        <v>1337</v>
      </c>
      <c r="Z138" s="295" t="s">
        <v>1338</v>
      </c>
      <c r="AA138" s="64"/>
      <c r="AB138" s="302" t="s">
        <v>1278</v>
      </c>
      <c r="AC138" s="64" t="s">
        <v>505</v>
      </c>
      <c r="AD138" s="302" t="s">
        <v>20</v>
      </c>
      <c r="AE138" s="302" t="s">
        <v>21</v>
      </c>
      <c r="AF138" s="302" t="s">
        <v>948</v>
      </c>
      <c r="AG138" s="364" t="s">
        <v>3172</v>
      </c>
      <c r="AH138" s="114"/>
      <c r="AI138" s="302" t="s">
        <v>1304</v>
      </c>
      <c r="AJ138" s="64" t="s">
        <v>505</v>
      </c>
      <c r="AK138" s="302" t="s">
        <v>20</v>
      </c>
      <c r="AL138" s="302" t="s">
        <v>21</v>
      </c>
      <c r="AM138" s="302" t="s">
        <v>948</v>
      </c>
      <c r="AN138" s="364" t="s">
        <v>3431</v>
      </c>
      <c r="AO138" s="64"/>
      <c r="AP138" s="191" t="s">
        <v>2021</v>
      </c>
      <c r="AQ138" s="322"/>
      <c r="AR138" s="114"/>
      <c r="AS138" s="323"/>
      <c r="AT138" s="323"/>
      <c r="AU138" s="322"/>
      <c r="AV138" s="322"/>
      <c r="AW138" s="323"/>
      <c r="AX138" s="324"/>
      <c r="AY138" s="60"/>
      <c r="AZ138" s="95"/>
      <c r="BA138" s="60"/>
      <c r="BB138" s="60"/>
      <c r="BC138" s="60"/>
      <c r="BD138" s="60"/>
      <c r="BE138" s="75"/>
      <c r="BF138" s="64"/>
      <c r="BG138" s="114" t="s">
        <v>3556</v>
      </c>
      <c r="BH138" s="246">
        <v>1150480</v>
      </c>
      <c r="BI138" s="64" t="s">
        <v>3551</v>
      </c>
      <c r="BJ138" s="229" t="s">
        <v>3552</v>
      </c>
    </row>
    <row r="139" spans="1:62" s="51" customFormat="1" ht="52.5" customHeight="1">
      <c r="A139" s="51">
        <v>16</v>
      </c>
      <c r="B139" s="15" t="s">
        <v>144</v>
      </c>
      <c r="C139" s="52">
        <v>12573</v>
      </c>
      <c r="D139" s="383" t="s">
        <v>2736</v>
      </c>
      <c r="E139" s="220" t="s">
        <v>374</v>
      </c>
      <c r="F139" s="130" t="s">
        <v>3562</v>
      </c>
      <c r="G139" s="10"/>
      <c r="H139" s="131"/>
      <c r="I139" s="55"/>
      <c r="J139" s="196"/>
      <c r="K139" s="178"/>
      <c r="L139" s="52" t="s">
        <v>502</v>
      </c>
      <c r="M139" s="295" t="s">
        <v>89</v>
      </c>
      <c r="N139" s="335">
        <v>41540</v>
      </c>
      <c r="O139" s="158">
        <f t="shared" si="3"/>
        <v>41540</v>
      </c>
      <c r="P139" s="133" t="s">
        <v>3623</v>
      </c>
      <c r="Q139" s="354" t="s">
        <v>1241</v>
      </c>
      <c r="R139" s="52" t="s">
        <v>505</v>
      </c>
      <c r="S139" s="295" t="s">
        <v>1262</v>
      </c>
      <c r="T139" s="79"/>
      <c r="U139" s="64" t="s">
        <v>2066</v>
      </c>
      <c r="V139" s="64" t="s">
        <v>111</v>
      </c>
      <c r="W139" s="64" t="s">
        <v>111</v>
      </c>
      <c r="X139" s="64" t="s">
        <v>29</v>
      </c>
      <c r="Y139" s="295" t="s">
        <v>1339</v>
      </c>
      <c r="Z139" s="295" t="s">
        <v>1340</v>
      </c>
      <c r="AA139" s="64"/>
      <c r="AB139" s="302" t="s">
        <v>1279</v>
      </c>
      <c r="AC139" s="64" t="s">
        <v>505</v>
      </c>
      <c r="AD139" s="302" t="s">
        <v>22</v>
      </c>
      <c r="AE139" s="302" t="s">
        <v>165</v>
      </c>
      <c r="AF139" s="302" t="s">
        <v>948</v>
      </c>
      <c r="AG139" s="364" t="s">
        <v>3173</v>
      </c>
      <c r="AH139" s="114"/>
      <c r="AI139" s="302" t="s">
        <v>1305</v>
      </c>
      <c r="AJ139" s="64" t="s">
        <v>505</v>
      </c>
      <c r="AK139" s="302" t="s">
        <v>20</v>
      </c>
      <c r="AL139" s="302" t="s">
        <v>21</v>
      </c>
      <c r="AM139" s="302" t="s">
        <v>946</v>
      </c>
      <c r="AN139" s="364" t="s">
        <v>3432</v>
      </c>
      <c r="AO139" s="64"/>
      <c r="AP139" s="191"/>
      <c r="AQ139" s="322"/>
      <c r="AR139" s="114"/>
      <c r="AS139" s="323"/>
      <c r="AT139" s="323"/>
      <c r="AU139" s="322"/>
      <c r="AV139" s="322"/>
      <c r="AW139" s="323"/>
      <c r="AX139" s="324"/>
      <c r="AY139" s="60"/>
      <c r="AZ139" s="95"/>
      <c r="BA139" s="60"/>
      <c r="BB139" s="60"/>
      <c r="BC139" s="60"/>
      <c r="BD139" s="60"/>
      <c r="BE139" s="75"/>
      <c r="BF139" s="64"/>
      <c r="BG139" s="114" t="s">
        <v>3556</v>
      </c>
      <c r="BH139" s="246">
        <v>1150480</v>
      </c>
      <c r="BI139" s="64" t="s">
        <v>3551</v>
      </c>
      <c r="BJ139" s="229" t="s">
        <v>3552</v>
      </c>
    </row>
    <row r="140" spans="1:62" s="51" customFormat="1" ht="52.5" customHeight="1">
      <c r="A140" s="51">
        <v>17</v>
      </c>
      <c r="B140" s="15" t="s">
        <v>144</v>
      </c>
      <c r="C140" s="52">
        <v>12576</v>
      </c>
      <c r="D140" s="383" t="s">
        <v>2737</v>
      </c>
      <c r="E140" s="220" t="s">
        <v>375</v>
      </c>
      <c r="F140" s="130" t="s">
        <v>3562</v>
      </c>
      <c r="G140" s="10"/>
      <c r="H140" s="131"/>
      <c r="I140" s="55">
        <v>3</v>
      </c>
      <c r="J140" s="196">
        <v>2</v>
      </c>
      <c r="K140" s="178"/>
      <c r="L140" s="52" t="s">
        <v>502</v>
      </c>
      <c r="M140" s="295" t="s">
        <v>84</v>
      </c>
      <c r="N140" s="335">
        <v>41517</v>
      </c>
      <c r="O140" s="158">
        <f t="shared" si="3"/>
        <v>41517</v>
      </c>
      <c r="P140" s="133" t="s">
        <v>3624</v>
      </c>
      <c r="Q140" s="354" t="s">
        <v>1242</v>
      </c>
      <c r="R140" s="52" t="s">
        <v>505</v>
      </c>
      <c r="S140" s="295" t="s">
        <v>2022</v>
      </c>
      <c r="T140" s="79">
        <v>63115</v>
      </c>
      <c r="U140" s="64" t="s">
        <v>2202</v>
      </c>
      <c r="V140" s="64" t="s">
        <v>2120</v>
      </c>
      <c r="W140" s="64" t="s">
        <v>84</v>
      </c>
      <c r="X140" s="64" t="s">
        <v>29</v>
      </c>
      <c r="Y140" s="295" t="s">
        <v>1341</v>
      </c>
      <c r="Z140" s="295" t="s">
        <v>1342</v>
      </c>
      <c r="AA140" s="64"/>
      <c r="AB140" s="302" t="s">
        <v>1280</v>
      </c>
      <c r="AC140" s="64" t="s">
        <v>505</v>
      </c>
      <c r="AD140" s="302" t="s">
        <v>20</v>
      </c>
      <c r="AE140" s="302" t="s">
        <v>21</v>
      </c>
      <c r="AF140" s="302" t="s">
        <v>948</v>
      </c>
      <c r="AG140" s="364" t="s">
        <v>3174</v>
      </c>
      <c r="AH140" s="114"/>
      <c r="AI140" s="302" t="s">
        <v>1306</v>
      </c>
      <c r="AJ140" s="64" t="s">
        <v>505</v>
      </c>
      <c r="AK140" s="302" t="s">
        <v>20</v>
      </c>
      <c r="AL140" s="302" t="s">
        <v>924</v>
      </c>
      <c r="AM140" s="302" t="s">
        <v>948</v>
      </c>
      <c r="AN140" s="364" t="s">
        <v>3433</v>
      </c>
      <c r="AO140" s="64"/>
      <c r="AP140" s="191" t="s">
        <v>2023</v>
      </c>
      <c r="AQ140" s="322"/>
      <c r="AR140" s="114"/>
      <c r="AS140" s="323"/>
      <c r="AT140" s="323"/>
      <c r="AU140" s="322"/>
      <c r="AV140" s="322"/>
      <c r="AW140" s="323"/>
      <c r="AX140" s="324"/>
      <c r="AY140" s="60"/>
      <c r="AZ140" s="95"/>
      <c r="BA140" s="60"/>
      <c r="BB140" s="60"/>
      <c r="BC140" s="60"/>
      <c r="BD140" s="60"/>
      <c r="BE140" s="75"/>
      <c r="BF140" s="64"/>
      <c r="BG140" s="114" t="s">
        <v>3556</v>
      </c>
      <c r="BH140" s="246">
        <v>1150480</v>
      </c>
      <c r="BI140" s="64" t="s">
        <v>3551</v>
      </c>
      <c r="BJ140" s="229" t="s">
        <v>3552</v>
      </c>
    </row>
    <row r="141" spans="1:62" s="51" customFormat="1" ht="52.5" customHeight="1">
      <c r="A141" s="51">
        <v>18</v>
      </c>
      <c r="B141" s="15" t="s">
        <v>144</v>
      </c>
      <c r="C141" s="52">
        <v>12580</v>
      </c>
      <c r="D141" s="383" t="s">
        <v>2738</v>
      </c>
      <c r="E141" s="220" t="s">
        <v>376</v>
      </c>
      <c r="F141" s="130" t="s">
        <v>3562</v>
      </c>
      <c r="G141" s="10"/>
      <c r="H141" s="131"/>
      <c r="I141" s="55">
        <v>2</v>
      </c>
      <c r="J141" s="196">
        <v>1</v>
      </c>
      <c r="K141" s="178"/>
      <c r="L141" s="52" t="s">
        <v>502</v>
      </c>
      <c r="M141" s="295" t="s">
        <v>76</v>
      </c>
      <c r="N141" s="336">
        <v>41593</v>
      </c>
      <c r="O141" s="158">
        <f t="shared" si="3"/>
        <v>41593</v>
      </c>
      <c r="P141" s="133" t="s">
        <v>3019</v>
      </c>
      <c r="Q141" s="354" t="s">
        <v>1243</v>
      </c>
      <c r="R141" s="52" t="s">
        <v>505</v>
      </c>
      <c r="S141" s="295" t="s">
        <v>1263</v>
      </c>
      <c r="T141" s="79">
        <v>55561</v>
      </c>
      <c r="U141" s="64" t="s">
        <v>2190</v>
      </c>
      <c r="V141" s="64" t="s">
        <v>2190</v>
      </c>
      <c r="W141" s="64" t="s">
        <v>76</v>
      </c>
      <c r="X141" s="64" t="s">
        <v>29</v>
      </c>
      <c r="Y141" s="295" t="s">
        <v>103</v>
      </c>
      <c r="Z141" s="295" t="s">
        <v>1343</v>
      </c>
      <c r="AA141" s="64"/>
      <c r="AB141" s="303" t="s">
        <v>96</v>
      </c>
      <c r="AC141" s="64" t="s">
        <v>505</v>
      </c>
      <c r="AD141" s="302" t="s">
        <v>22</v>
      </c>
      <c r="AE141" s="302" t="s">
        <v>21</v>
      </c>
      <c r="AF141" s="302" t="s">
        <v>948</v>
      </c>
      <c r="AG141" s="364" t="s">
        <v>3175</v>
      </c>
      <c r="AH141" s="114"/>
      <c r="AI141" s="302" t="s">
        <v>95</v>
      </c>
      <c r="AJ141" s="64" t="s">
        <v>505</v>
      </c>
      <c r="AK141" s="302" t="s">
        <v>20</v>
      </c>
      <c r="AL141" s="302" t="s">
        <v>21</v>
      </c>
      <c r="AM141" s="302" t="s">
        <v>948</v>
      </c>
      <c r="AN141" s="364" t="s">
        <v>178</v>
      </c>
      <c r="AO141" s="64"/>
      <c r="AP141" s="191" t="s">
        <v>2024</v>
      </c>
      <c r="AQ141" s="322"/>
      <c r="AR141" s="114"/>
      <c r="AS141" s="323"/>
      <c r="AT141" s="323"/>
      <c r="AU141" s="322"/>
      <c r="AV141" s="322"/>
      <c r="AW141" s="323"/>
      <c r="AX141" s="324"/>
      <c r="AY141" s="60"/>
      <c r="AZ141" s="95"/>
      <c r="BA141" s="60"/>
      <c r="BB141" s="60"/>
      <c r="BC141" s="60"/>
      <c r="BD141" s="60"/>
      <c r="BE141" s="75"/>
      <c r="BF141" s="64"/>
      <c r="BG141" s="114" t="s">
        <v>3556</v>
      </c>
      <c r="BH141" s="246">
        <v>1150480</v>
      </c>
      <c r="BI141" s="64" t="s">
        <v>3551</v>
      </c>
      <c r="BJ141" s="229" t="s">
        <v>3552</v>
      </c>
    </row>
    <row r="142" spans="1:62" s="51" customFormat="1" ht="63">
      <c r="A142" s="51">
        <v>19</v>
      </c>
      <c r="B142" s="15" t="s">
        <v>144</v>
      </c>
      <c r="C142" s="52">
        <v>12600</v>
      </c>
      <c r="D142" s="292">
        <v>3136991117</v>
      </c>
      <c r="E142" s="220" t="s">
        <v>377</v>
      </c>
      <c r="F142" s="130" t="s">
        <v>3562</v>
      </c>
      <c r="G142" s="10"/>
      <c r="H142" s="131"/>
      <c r="I142" s="55">
        <v>2</v>
      </c>
      <c r="J142" s="196">
        <v>1</v>
      </c>
      <c r="K142" s="178"/>
      <c r="L142" s="52" t="s">
        <v>502</v>
      </c>
      <c r="M142" s="295" t="s">
        <v>124</v>
      </c>
      <c r="N142" s="335">
        <v>41569</v>
      </c>
      <c r="O142" s="158">
        <f t="shared" si="3"/>
        <v>41569</v>
      </c>
      <c r="P142" s="133" t="s">
        <v>3625</v>
      </c>
      <c r="Q142" s="354" t="s">
        <v>1244</v>
      </c>
      <c r="R142" s="52" t="s">
        <v>505</v>
      </c>
      <c r="S142" s="295" t="s">
        <v>1264</v>
      </c>
      <c r="T142" s="79">
        <v>52356</v>
      </c>
      <c r="U142" s="64" t="s">
        <v>2203</v>
      </c>
      <c r="V142" s="64" t="s">
        <v>2203</v>
      </c>
      <c r="W142" s="64" t="s">
        <v>124</v>
      </c>
      <c r="X142" s="64" t="s">
        <v>29</v>
      </c>
      <c r="Y142" s="295" t="s">
        <v>2886</v>
      </c>
      <c r="Z142" s="295" t="s">
        <v>1344</v>
      </c>
      <c r="AA142" s="64"/>
      <c r="AB142" s="302" t="s">
        <v>2935</v>
      </c>
      <c r="AC142" s="64" t="s">
        <v>505</v>
      </c>
      <c r="AD142" s="302" t="s">
        <v>922</v>
      </c>
      <c r="AE142" s="302" t="s">
        <v>926</v>
      </c>
      <c r="AF142" s="302" t="s">
        <v>949</v>
      </c>
      <c r="AG142" s="364" t="s">
        <v>3176</v>
      </c>
      <c r="AH142" s="114"/>
      <c r="AI142" s="302" t="s">
        <v>2977</v>
      </c>
      <c r="AJ142" s="64" t="s">
        <v>505</v>
      </c>
      <c r="AK142" s="302" t="s">
        <v>925</v>
      </c>
      <c r="AL142" s="302" t="s">
        <v>926</v>
      </c>
      <c r="AM142" s="302" t="s">
        <v>949</v>
      </c>
      <c r="AN142" s="364" t="s">
        <v>3434</v>
      </c>
      <c r="AO142" s="64"/>
      <c r="AP142" s="191" t="s">
        <v>2025</v>
      </c>
      <c r="AQ142" s="322"/>
      <c r="AR142" s="114"/>
      <c r="AS142" s="323"/>
      <c r="AT142" s="323"/>
      <c r="AU142" s="322"/>
      <c r="AV142" s="322"/>
      <c r="AW142" s="323"/>
      <c r="AX142" s="324"/>
      <c r="AY142" s="60"/>
      <c r="AZ142" s="95"/>
      <c r="BA142" s="60"/>
      <c r="BB142" s="60"/>
      <c r="BC142" s="60"/>
      <c r="BD142" s="60"/>
      <c r="BE142" s="75"/>
      <c r="BF142" s="64"/>
      <c r="BG142" s="114" t="s">
        <v>3556</v>
      </c>
      <c r="BH142" s="246">
        <v>1150480</v>
      </c>
      <c r="BI142" s="64" t="s">
        <v>3551</v>
      </c>
      <c r="BJ142" s="229" t="s">
        <v>3552</v>
      </c>
    </row>
    <row r="143" spans="1:62" s="51" customFormat="1" ht="52.5" customHeight="1">
      <c r="A143" s="51">
        <v>20</v>
      </c>
      <c r="B143" s="15" t="s">
        <v>144</v>
      </c>
      <c r="C143" s="52">
        <v>12607</v>
      </c>
      <c r="D143" s="383" t="s">
        <v>2739</v>
      </c>
      <c r="E143" s="220" t="s">
        <v>378</v>
      </c>
      <c r="F143" s="130" t="s">
        <v>3562</v>
      </c>
      <c r="G143" s="10"/>
      <c r="H143" s="131"/>
      <c r="I143" s="55">
        <v>3</v>
      </c>
      <c r="J143" s="196">
        <v>2</v>
      </c>
      <c r="K143" s="178"/>
      <c r="L143" s="52" t="s">
        <v>502</v>
      </c>
      <c r="M143" s="295" t="s">
        <v>23</v>
      </c>
      <c r="N143" s="335">
        <v>41570</v>
      </c>
      <c r="O143" s="158">
        <f t="shared" si="3"/>
        <v>41570</v>
      </c>
      <c r="P143" s="133" t="s">
        <v>3626</v>
      </c>
      <c r="Q143" s="354" t="s">
        <v>1245</v>
      </c>
      <c r="R143" s="52" t="s">
        <v>505</v>
      </c>
      <c r="S143" s="295" t="s">
        <v>2026</v>
      </c>
      <c r="T143" s="79">
        <v>55191</v>
      </c>
      <c r="U143" s="64" t="s">
        <v>2047</v>
      </c>
      <c r="V143" s="64" t="s">
        <v>733</v>
      </c>
      <c r="W143" s="64" t="s">
        <v>19</v>
      </c>
      <c r="X143" s="64" t="s">
        <v>696</v>
      </c>
      <c r="Y143" s="295" t="s">
        <v>35</v>
      </c>
      <c r="Z143" s="295" t="s">
        <v>1345</v>
      </c>
      <c r="AA143" s="64"/>
      <c r="AB143" s="302" t="s">
        <v>1281</v>
      </c>
      <c r="AC143" s="64" t="s">
        <v>505</v>
      </c>
      <c r="AD143" s="302" t="s">
        <v>20</v>
      </c>
      <c r="AE143" s="302" t="s">
        <v>926</v>
      </c>
      <c r="AF143" s="302" t="s">
        <v>949</v>
      </c>
      <c r="AG143" s="364" t="s">
        <v>3177</v>
      </c>
      <c r="AH143" s="114"/>
      <c r="AI143" s="302" t="s">
        <v>2979</v>
      </c>
      <c r="AJ143" s="64" t="s">
        <v>505</v>
      </c>
      <c r="AK143" s="302" t="s">
        <v>20</v>
      </c>
      <c r="AL143" s="302" t="s">
        <v>924</v>
      </c>
      <c r="AM143" s="302" t="s">
        <v>948</v>
      </c>
      <c r="AN143" s="364" t="s">
        <v>3435</v>
      </c>
      <c r="AO143" s="64"/>
      <c r="AP143" s="191" t="s">
        <v>2027</v>
      </c>
      <c r="AQ143" s="322"/>
      <c r="AR143" s="114"/>
      <c r="AS143" s="323"/>
      <c r="AT143" s="323"/>
      <c r="AU143" s="322"/>
      <c r="AV143" s="322"/>
      <c r="AW143" s="323"/>
      <c r="AX143" s="324"/>
      <c r="AY143" s="60"/>
      <c r="AZ143" s="95"/>
      <c r="BA143" s="60"/>
      <c r="BB143" s="60"/>
      <c r="BC143" s="60"/>
      <c r="BD143" s="60"/>
      <c r="BE143" s="75"/>
      <c r="BF143" s="64"/>
      <c r="BG143" s="114" t="s">
        <v>3556</v>
      </c>
      <c r="BH143" s="246">
        <v>1150480</v>
      </c>
      <c r="BI143" s="64" t="s">
        <v>3551</v>
      </c>
      <c r="BJ143" s="229" t="s">
        <v>3552</v>
      </c>
    </row>
    <row r="144" spans="1:62" s="51" customFormat="1" ht="52.5" customHeight="1">
      <c r="A144" s="51">
        <v>21</v>
      </c>
      <c r="B144" s="15" t="s">
        <v>144</v>
      </c>
      <c r="C144" s="52">
        <v>12618</v>
      </c>
      <c r="D144" s="384" t="s">
        <v>2740</v>
      </c>
      <c r="E144" s="220" t="s">
        <v>379</v>
      </c>
      <c r="F144" s="130" t="s">
        <v>3562</v>
      </c>
      <c r="G144" s="10"/>
      <c r="H144" s="131"/>
      <c r="I144" s="55">
        <v>3</v>
      </c>
      <c r="J144" s="196">
        <v>2</v>
      </c>
      <c r="K144" s="178"/>
      <c r="L144" s="52" t="s">
        <v>502</v>
      </c>
      <c r="M144" s="300" t="s">
        <v>1224</v>
      </c>
      <c r="N144" s="340">
        <v>41759</v>
      </c>
      <c r="O144" s="158">
        <f t="shared" si="3"/>
        <v>41759</v>
      </c>
      <c r="P144" s="133" t="s">
        <v>3627</v>
      </c>
      <c r="Q144" s="356" t="s">
        <v>1246</v>
      </c>
      <c r="R144" s="52" t="s">
        <v>505</v>
      </c>
      <c r="S144" s="300" t="s">
        <v>2028</v>
      </c>
      <c r="T144" s="79">
        <v>90911</v>
      </c>
      <c r="U144" s="64" t="s">
        <v>2205</v>
      </c>
      <c r="V144" s="64" t="s">
        <v>2121</v>
      </c>
      <c r="W144" s="64" t="s">
        <v>2204</v>
      </c>
      <c r="X144" s="64" t="s">
        <v>106</v>
      </c>
      <c r="Y144" s="300" t="s">
        <v>2887</v>
      </c>
      <c r="Z144" s="300" t="s">
        <v>1346</v>
      </c>
      <c r="AA144" s="64"/>
      <c r="AB144" s="326" t="s">
        <v>2936</v>
      </c>
      <c r="AC144" s="64" t="s">
        <v>505</v>
      </c>
      <c r="AD144" s="326" t="s">
        <v>925</v>
      </c>
      <c r="AE144" s="326" t="s">
        <v>1290</v>
      </c>
      <c r="AF144" s="326" t="s">
        <v>949</v>
      </c>
      <c r="AG144" s="397" t="s">
        <v>3178</v>
      </c>
      <c r="AH144" s="114"/>
      <c r="AI144" s="326" t="s">
        <v>2978</v>
      </c>
      <c r="AJ144" s="64" t="s">
        <v>505</v>
      </c>
      <c r="AK144" s="326" t="s">
        <v>20</v>
      </c>
      <c r="AL144" s="326" t="s">
        <v>924</v>
      </c>
      <c r="AM144" s="326" t="s">
        <v>948</v>
      </c>
      <c r="AN144" s="397" t="s">
        <v>3436</v>
      </c>
      <c r="AO144" s="64"/>
      <c r="AP144" s="191" t="s">
        <v>2029</v>
      </c>
      <c r="AQ144" s="322"/>
      <c r="AR144" s="114"/>
      <c r="AS144" s="323"/>
      <c r="AT144" s="323"/>
      <c r="AU144" s="322"/>
      <c r="AV144" s="322"/>
      <c r="AW144" s="323"/>
      <c r="AX144" s="324"/>
      <c r="AY144" s="60"/>
      <c r="AZ144" s="95"/>
      <c r="BA144" s="60"/>
      <c r="BB144" s="60"/>
      <c r="BC144" s="60"/>
      <c r="BD144" s="60"/>
      <c r="BE144" s="75"/>
      <c r="BF144" s="64"/>
      <c r="BG144" s="114" t="s">
        <v>3556</v>
      </c>
      <c r="BH144" s="246">
        <v>1150480</v>
      </c>
      <c r="BI144" s="64" t="s">
        <v>3551</v>
      </c>
      <c r="BJ144" s="229" t="s">
        <v>3552</v>
      </c>
    </row>
    <row r="145" spans="1:62" s="51" customFormat="1" ht="52.5" customHeight="1">
      <c r="A145" s="51">
        <v>22</v>
      </c>
      <c r="B145" s="15" t="s">
        <v>144</v>
      </c>
      <c r="C145" s="52">
        <v>12620</v>
      </c>
      <c r="D145" s="292">
        <v>3138099112</v>
      </c>
      <c r="E145" s="220" t="s">
        <v>380</v>
      </c>
      <c r="F145" s="130" t="s">
        <v>3562</v>
      </c>
      <c r="G145" s="10"/>
      <c r="H145" s="131"/>
      <c r="I145" s="55">
        <v>2</v>
      </c>
      <c r="J145" s="196">
        <v>1</v>
      </c>
      <c r="K145" s="52"/>
      <c r="L145" s="52" t="s">
        <v>502</v>
      </c>
      <c r="M145" s="295" t="s">
        <v>1225</v>
      </c>
      <c r="N145" s="335">
        <v>41590</v>
      </c>
      <c r="O145" s="158">
        <f t="shared" si="3"/>
        <v>41590</v>
      </c>
      <c r="P145" s="133" t="s">
        <v>3628</v>
      </c>
      <c r="Q145" s="354" t="s">
        <v>1247</v>
      </c>
      <c r="R145" s="52" t="s">
        <v>505</v>
      </c>
      <c r="S145" s="295" t="s">
        <v>1265</v>
      </c>
      <c r="T145" s="79">
        <v>55652</v>
      </c>
      <c r="U145" s="64" t="s">
        <v>2059</v>
      </c>
      <c r="V145" s="64" t="s">
        <v>2059</v>
      </c>
      <c r="W145" s="64" t="s">
        <v>53</v>
      </c>
      <c r="X145" s="64" t="s">
        <v>696</v>
      </c>
      <c r="Y145" s="295" t="s">
        <v>1347</v>
      </c>
      <c r="Z145" s="295" t="s">
        <v>1348</v>
      </c>
      <c r="AA145" s="64"/>
      <c r="AB145" s="303" t="s">
        <v>2937</v>
      </c>
      <c r="AC145" s="64" t="s">
        <v>505</v>
      </c>
      <c r="AD145" s="302" t="s">
        <v>30</v>
      </c>
      <c r="AE145" s="302" t="s">
        <v>1057</v>
      </c>
      <c r="AF145" s="302" t="s">
        <v>946</v>
      </c>
      <c r="AG145" s="364" t="s">
        <v>3179</v>
      </c>
      <c r="AH145" s="114"/>
      <c r="AI145" s="302" t="s">
        <v>1307</v>
      </c>
      <c r="AJ145" s="64" t="s">
        <v>505</v>
      </c>
      <c r="AK145" s="302" t="s">
        <v>30</v>
      </c>
      <c r="AL145" s="302" t="s">
        <v>926</v>
      </c>
      <c r="AM145" s="302" t="s">
        <v>949</v>
      </c>
      <c r="AN145" s="364" t="s">
        <v>3437</v>
      </c>
      <c r="AO145" s="64"/>
      <c r="AP145" s="191" t="s">
        <v>2030</v>
      </c>
      <c r="AQ145" s="322"/>
      <c r="AR145" s="114"/>
      <c r="AS145" s="323"/>
      <c r="AT145" s="323"/>
      <c r="AU145" s="322"/>
      <c r="AV145" s="322"/>
      <c r="AW145" s="323"/>
      <c r="AX145" s="324"/>
      <c r="AY145" s="60"/>
      <c r="AZ145" s="95"/>
      <c r="BA145" s="60"/>
      <c r="BB145" s="60"/>
      <c r="BC145" s="60"/>
      <c r="BD145" s="60"/>
      <c r="BE145" s="75"/>
      <c r="BF145" s="64"/>
      <c r="BG145" s="114" t="s">
        <v>3556</v>
      </c>
      <c r="BH145" s="246">
        <v>1150480</v>
      </c>
      <c r="BI145" s="64" t="s">
        <v>3551</v>
      </c>
      <c r="BJ145" s="229" t="s">
        <v>3552</v>
      </c>
    </row>
    <row r="146" spans="1:62" s="51" customFormat="1" ht="52.5" customHeight="1">
      <c r="A146" s="51">
        <v>23</v>
      </c>
      <c r="B146" s="15" t="s">
        <v>144</v>
      </c>
      <c r="C146" s="52">
        <v>12627</v>
      </c>
      <c r="D146" s="383" t="s">
        <v>2741</v>
      </c>
      <c r="E146" s="220" t="s">
        <v>381</v>
      </c>
      <c r="F146" s="130" t="s">
        <v>3562</v>
      </c>
      <c r="G146" s="10"/>
      <c r="H146" s="131"/>
      <c r="I146" s="55">
        <v>3</v>
      </c>
      <c r="J146" s="196">
        <v>3</v>
      </c>
      <c r="K146" s="52"/>
      <c r="L146" s="52" t="s">
        <v>502</v>
      </c>
      <c r="M146" s="295" t="s">
        <v>160</v>
      </c>
      <c r="N146" s="335">
        <v>41650</v>
      </c>
      <c r="O146" s="158">
        <f t="shared" si="3"/>
        <v>41650</v>
      </c>
      <c r="P146" s="133" t="s">
        <v>3629</v>
      </c>
      <c r="Q146" s="354" t="s">
        <v>1248</v>
      </c>
      <c r="R146" s="52" t="s">
        <v>505</v>
      </c>
      <c r="S146" s="295" t="s">
        <v>1266</v>
      </c>
      <c r="T146" s="79">
        <v>59465</v>
      </c>
      <c r="U146" s="64" t="s">
        <v>2206</v>
      </c>
      <c r="V146" s="64" t="s">
        <v>2207</v>
      </c>
      <c r="W146" s="64" t="s">
        <v>160</v>
      </c>
      <c r="X146" s="64" t="s">
        <v>29</v>
      </c>
      <c r="Y146" s="295" t="s">
        <v>1349</v>
      </c>
      <c r="Z146" s="295" t="s">
        <v>1350</v>
      </c>
      <c r="AA146" s="64"/>
      <c r="AB146" s="302" t="s">
        <v>1282</v>
      </c>
      <c r="AC146" s="64" t="s">
        <v>505</v>
      </c>
      <c r="AD146" s="302" t="s">
        <v>30</v>
      </c>
      <c r="AE146" s="302" t="s">
        <v>924</v>
      </c>
      <c r="AF146" s="302" t="s">
        <v>947</v>
      </c>
      <c r="AG146" s="364" t="s">
        <v>3180</v>
      </c>
      <c r="AH146" s="114"/>
      <c r="AI146" s="302" t="s">
        <v>1308</v>
      </c>
      <c r="AJ146" s="64" t="s">
        <v>505</v>
      </c>
      <c r="AK146" s="302" t="s">
        <v>20</v>
      </c>
      <c r="AL146" s="302" t="s">
        <v>165</v>
      </c>
      <c r="AM146" s="302" t="s">
        <v>948</v>
      </c>
      <c r="AN146" s="364" t="s">
        <v>3438</v>
      </c>
      <c r="AO146" s="64"/>
      <c r="AP146" s="191" t="s">
        <v>2031</v>
      </c>
      <c r="AQ146" s="322"/>
      <c r="AR146" s="114"/>
      <c r="AS146" s="323"/>
      <c r="AT146" s="323"/>
      <c r="AU146" s="322"/>
      <c r="AV146" s="322"/>
      <c r="AW146" s="323"/>
      <c r="AX146" s="324"/>
      <c r="AY146" s="60"/>
      <c r="AZ146" s="95"/>
      <c r="BA146" s="60"/>
      <c r="BB146" s="60"/>
      <c r="BC146" s="60"/>
      <c r="BD146" s="60"/>
      <c r="BE146" s="75"/>
      <c r="BF146" s="64"/>
      <c r="BG146" s="114" t="s">
        <v>3556</v>
      </c>
      <c r="BH146" s="246">
        <v>1150480</v>
      </c>
      <c r="BI146" s="64" t="s">
        <v>3551</v>
      </c>
      <c r="BJ146" s="229" t="s">
        <v>3552</v>
      </c>
    </row>
    <row r="147" spans="1:62" s="51" customFormat="1" ht="52.5" customHeight="1">
      <c r="A147" s="51">
        <v>24</v>
      </c>
      <c r="B147" s="15" t="s">
        <v>144</v>
      </c>
      <c r="C147" s="164">
        <v>12630</v>
      </c>
      <c r="D147" s="383" t="s">
        <v>2742</v>
      </c>
      <c r="E147" s="220" t="s">
        <v>382</v>
      </c>
      <c r="F147" s="130" t="s">
        <v>3562</v>
      </c>
      <c r="G147" s="10"/>
      <c r="H147" s="263"/>
      <c r="I147" s="55">
        <v>1</v>
      </c>
      <c r="J147" s="196">
        <v>1</v>
      </c>
      <c r="K147" s="178"/>
      <c r="L147" s="52" t="s">
        <v>502</v>
      </c>
      <c r="M147" s="295" t="s">
        <v>27</v>
      </c>
      <c r="N147" s="336">
        <v>41736</v>
      </c>
      <c r="O147" s="158">
        <f t="shared" si="3"/>
        <v>41736</v>
      </c>
      <c r="P147" s="133" t="s">
        <v>3630</v>
      </c>
      <c r="Q147" s="354" t="s">
        <v>1249</v>
      </c>
      <c r="R147" s="52" t="s">
        <v>505</v>
      </c>
      <c r="S147" s="295" t="s">
        <v>2208</v>
      </c>
      <c r="T147" s="79">
        <v>15412</v>
      </c>
      <c r="U147" s="64" t="s">
        <v>2209</v>
      </c>
      <c r="V147" s="64" t="s">
        <v>2210</v>
      </c>
      <c r="W147" s="64" t="s">
        <v>2211</v>
      </c>
      <c r="X147" s="64" t="s">
        <v>43</v>
      </c>
      <c r="Y147" s="295" t="s">
        <v>1351</v>
      </c>
      <c r="Z147" s="295" t="s">
        <v>1352</v>
      </c>
      <c r="AA147" s="64"/>
      <c r="AB147" s="302" t="s">
        <v>1283</v>
      </c>
      <c r="AC147" s="64" t="s">
        <v>505</v>
      </c>
      <c r="AD147" s="302" t="s">
        <v>20</v>
      </c>
      <c r="AE147" s="302" t="s">
        <v>21</v>
      </c>
      <c r="AF147" s="302" t="s">
        <v>946</v>
      </c>
      <c r="AG147" s="364" t="s">
        <v>3181</v>
      </c>
      <c r="AH147" s="114"/>
      <c r="AI147" s="302" t="s">
        <v>1309</v>
      </c>
      <c r="AJ147" s="64" t="s">
        <v>505</v>
      </c>
      <c r="AK147" s="302" t="s">
        <v>20</v>
      </c>
      <c r="AL147" s="302" t="s">
        <v>1080</v>
      </c>
      <c r="AM147" s="302" t="s">
        <v>946</v>
      </c>
      <c r="AN147" s="364" t="s">
        <v>3439</v>
      </c>
      <c r="AO147" s="64"/>
      <c r="AP147" s="191" t="s">
        <v>2032</v>
      </c>
      <c r="AQ147" s="322"/>
      <c r="AR147" s="114"/>
      <c r="AS147" s="323"/>
      <c r="AT147" s="323"/>
      <c r="AU147" s="322"/>
      <c r="AV147" s="322"/>
      <c r="AW147" s="323"/>
      <c r="AX147" s="324"/>
      <c r="AY147" s="60"/>
      <c r="AZ147" s="95"/>
      <c r="BA147" s="60"/>
      <c r="BB147" s="60"/>
      <c r="BC147" s="60"/>
      <c r="BD147" s="60"/>
      <c r="BE147" s="75"/>
      <c r="BF147" s="64"/>
      <c r="BG147" s="114" t="s">
        <v>3556</v>
      </c>
      <c r="BH147" s="246">
        <v>1150480</v>
      </c>
      <c r="BI147" s="64" t="s">
        <v>3551</v>
      </c>
      <c r="BJ147" s="229" t="s">
        <v>3552</v>
      </c>
    </row>
    <row r="148" spans="1:62" s="51" customFormat="1" ht="52.5" customHeight="1">
      <c r="A148" s="51">
        <v>25</v>
      </c>
      <c r="B148" s="15" t="s">
        <v>144</v>
      </c>
      <c r="C148" s="52">
        <v>12644</v>
      </c>
      <c r="D148" s="292">
        <v>3147551538</v>
      </c>
      <c r="E148" s="220" t="s">
        <v>383</v>
      </c>
      <c r="F148" s="130" t="s">
        <v>3562</v>
      </c>
      <c r="G148" s="10">
        <v>2026</v>
      </c>
      <c r="H148" s="263" t="s">
        <v>3549</v>
      </c>
      <c r="I148" s="55">
        <v>1</v>
      </c>
      <c r="J148" s="196">
        <v>2</v>
      </c>
      <c r="K148" s="178"/>
      <c r="L148" s="52" t="s">
        <v>502</v>
      </c>
      <c r="M148" s="295" t="s">
        <v>52</v>
      </c>
      <c r="N148" s="336">
        <v>41804</v>
      </c>
      <c r="O148" s="158">
        <f t="shared" si="3"/>
        <v>41804</v>
      </c>
      <c r="P148" s="133" t="s">
        <v>3631</v>
      </c>
      <c r="Q148" s="354" t="s">
        <v>1250</v>
      </c>
      <c r="R148" s="52" t="s">
        <v>505</v>
      </c>
      <c r="S148" s="295" t="s">
        <v>2033</v>
      </c>
      <c r="T148" s="79">
        <v>55514</v>
      </c>
      <c r="U148" s="64" t="s">
        <v>1913</v>
      </c>
      <c r="V148" s="64" t="s">
        <v>52</v>
      </c>
      <c r="W148" s="64" t="s">
        <v>52</v>
      </c>
      <c r="X148" s="64" t="s">
        <v>696</v>
      </c>
      <c r="Y148" s="295" t="s">
        <v>1353</v>
      </c>
      <c r="Z148" s="295" t="s">
        <v>1354</v>
      </c>
      <c r="AA148" s="64"/>
      <c r="AB148" s="302" t="s">
        <v>1284</v>
      </c>
      <c r="AC148" s="64" t="s">
        <v>505</v>
      </c>
      <c r="AD148" s="302" t="s">
        <v>20</v>
      </c>
      <c r="AE148" s="302" t="s">
        <v>165</v>
      </c>
      <c r="AF148" s="302" t="s">
        <v>946</v>
      </c>
      <c r="AG148" s="364" t="s">
        <v>3182</v>
      </c>
      <c r="AH148" s="114"/>
      <c r="AI148" s="302" t="s">
        <v>1310</v>
      </c>
      <c r="AJ148" s="64" t="s">
        <v>505</v>
      </c>
      <c r="AK148" s="302" t="s">
        <v>20</v>
      </c>
      <c r="AL148" s="302" t="s">
        <v>921</v>
      </c>
      <c r="AM148" s="302" t="s">
        <v>946</v>
      </c>
      <c r="AN148" s="364" t="s">
        <v>3440</v>
      </c>
      <c r="AO148" s="64"/>
      <c r="AP148" s="191" t="s">
        <v>2034</v>
      </c>
      <c r="AQ148" s="322"/>
      <c r="AR148" s="341"/>
      <c r="AS148" s="323"/>
      <c r="AT148" s="323"/>
      <c r="AU148" s="322"/>
      <c r="AV148" s="322"/>
      <c r="AW148" s="323"/>
      <c r="AX148" s="324"/>
      <c r="AY148" s="60"/>
      <c r="AZ148" s="95"/>
      <c r="BA148" s="60"/>
      <c r="BB148" s="60"/>
      <c r="BC148" s="60"/>
      <c r="BD148" s="60"/>
      <c r="BE148" s="75"/>
      <c r="BF148" s="64"/>
      <c r="BG148" s="114" t="s">
        <v>3556</v>
      </c>
      <c r="BH148" s="246">
        <v>1150480</v>
      </c>
      <c r="BI148" s="64" t="s">
        <v>3551</v>
      </c>
      <c r="BJ148" s="229" t="s">
        <v>3552</v>
      </c>
    </row>
    <row r="149" spans="1:62" s="51" customFormat="1" ht="47.25">
      <c r="A149" s="51">
        <v>26</v>
      </c>
      <c r="B149" s="15" t="s">
        <v>144</v>
      </c>
      <c r="C149" s="52">
        <v>12661</v>
      </c>
      <c r="D149" s="383" t="s">
        <v>2743</v>
      </c>
      <c r="E149" s="220" t="s">
        <v>384</v>
      </c>
      <c r="F149" s="130" t="s">
        <v>3562</v>
      </c>
      <c r="G149" s="10"/>
      <c r="H149" s="131"/>
      <c r="I149" s="55">
        <v>2</v>
      </c>
      <c r="J149" s="196">
        <v>1</v>
      </c>
      <c r="K149" s="178"/>
      <c r="L149" s="52" t="s">
        <v>502</v>
      </c>
      <c r="M149" s="295" t="s">
        <v>49</v>
      </c>
      <c r="N149" s="335">
        <v>41882</v>
      </c>
      <c r="O149" s="158">
        <f t="shared" si="3"/>
        <v>41882</v>
      </c>
      <c r="P149" s="133" t="s">
        <v>3632</v>
      </c>
      <c r="Q149" s="354" t="s">
        <v>1251</v>
      </c>
      <c r="R149" s="52" t="s">
        <v>505</v>
      </c>
      <c r="S149" s="295" t="s">
        <v>2035</v>
      </c>
      <c r="T149" s="79">
        <v>61124</v>
      </c>
      <c r="U149" s="64" t="s">
        <v>2212</v>
      </c>
      <c r="V149" s="64" t="s">
        <v>691</v>
      </c>
      <c r="W149" s="64" t="s">
        <v>49</v>
      </c>
      <c r="X149" s="64" t="s">
        <v>39</v>
      </c>
      <c r="Y149" s="295" t="s">
        <v>116</v>
      </c>
      <c r="Z149" s="295" t="s">
        <v>1355</v>
      </c>
      <c r="AA149" s="64"/>
      <c r="AB149" s="302" t="s">
        <v>1285</v>
      </c>
      <c r="AC149" s="64" t="s">
        <v>505</v>
      </c>
      <c r="AD149" s="302" t="s">
        <v>30</v>
      </c>
      <c r="AE149" s="302" t="s">
        <v>924</v>
      </c>
      <c r="AF149" s="302" t="s">
        <v>948</v>
      </c>
      <c r="AG149" s="364" t="s">
        <v>3183</v>
      </c>
      <c r="AH149" s="114"/>
      <c r="AI149" s="302" t="s">
        <v>1311</v>
      </c>
      <c r="AJ149" s="64" t="s">
        <v>505</v>
      </c>
      <c r="AK149" s="302" t="s">
        <v>20</v>
      </c>
      <c r="AL149" s="302" t="s">
        <v>924</v>
      </c>
      <c r="AM149" s="302" t="s">
        <v>948</v>
      </c>
      <c r="AN149" s="364" t="s">
        <v>3441</v>
      </c>
      <c r="AO149" s="64"/>
      <c r="AP149" s="191" t="s">
        <v>2036</v>
      </c>
      <c r="AQ149" s="322"/>
      <c r="AR149" s="114"/>
      <c r="AS149" s="323"/>
      <c r="AT149" s="323"/>
      <c r="AU149" s="322"/>
      <c r="AV149" s="322"/>
      <c r="AW149" s="323"/>
      <c r="AX149" s="324"/>
      <c r="AY149" s="60"/>
      <c r="AZ149" s="95"/>
      <c r="BA149" s="60"/>
      <c r="BB149" s="60"/>
      <c r="BC149" s="60"/>
      <c r="BD149" s="60"/>
      <c r="BE149" s="75"/>
      <c r="BF149" s="64"/>
      <c r="BG149" s="114" t="s">
        <v>3556</v>
      </c>
      <c r="BH149" s="246">
        <v>1150480</v>
      </c>
      <c r="BI149" s="64" t="s">
        <v>3551</v>
      </c>
      <c r="BJ149" s="229" t="s">
        <v>3552</v>
      </c>
    </row>
    <row r="150" spans="1:62" s="51" customFormat="1" ht="52.5" customHeight="1">
      <c r="A150" s="51">
        <v>27</v>
      </c>
      <c r="B150" s="15" t="s">
        <v>144</v>
      </c>
      <c r="C150" s="164">
        <v>12662</v>
      </c>
      <c r="D150" s="292">
        <v>3148199373</v>
      </c>
      <c r="E150" s="220" t="s">
        <v>385</v>
      </c>
      <c r="F150" s="130" t="s">
        <v>3562</v>
      </c>
      <c r="G150" s="10"/>
      <c r="H150" s="263"/>
      <c r="I150" s="55">
        <v>1</v>
      </c>
      <c r="J150" s="196">
        <v>1</v>
      </c>
      <c r="K150" s="178"/>
      <c r="L150" s="52" t="s">
        <v>502</v>
      </c>
      <c r="M150" s="295" t="s">
        <v>27</v>
      </c>
      <c r="N150" s="335">
        <v>41831</v>
      </c>
      <c r="O150" s="158">
        <f t="shared" si="3"/>
        <v>41831</v>
      </c>
      <c r="P150" s="133" t="s">
        <v>3633</v>
      </c>
      <c r="Q150" s="354" t="s">
        <v>1252</v>
      </c>
      <c r="R150" s="52" t="s">
        <v>505</v>
      </c>
      <c r="S150" s="295" t="s">
        <v>2848</v>
      </c>
      <c r="T150" s="79">
        <v>10650</v>
      </c>
      <c r="U150" s="64" t="s">
        <v>2214</v>
      </c>
      <c r="V150" s="64" t="s">
        <v>2215</v>
      </c>
      <c r="W150" s="64" t="s">
        <v>2216</v>
      </c>
      <c r="X150" s="64" t="s">
        <v>40</v>
      </c>
      <c r="Y150" s="295" t="s">
        <v>2888</v>
      </c>
      <c r="Z150" s="295" t="s">
        <v>1356</v>
      </c>
      <c r="AA150" s="64"/>
      <c r="AB150" s="302" t="s">
        <v>2938</v>
      </c>
      <c r="AC150" s="64" t="s">
        <v>505</v>
      </c>
      <c r="AD150" s="302" t="s">
        <v>20</v>
      </c>
      <c r="AE150" s="302" t="s">
        <v>921</v>
      </c>
      <c r="AF150" s="302" t="s">
        <v>946</v>
      </c>
      <c r="AG150" s="364" t="s">
        <v>3184</v>
      </c>
      <c r="AH150" s="114"/>
      <c r="AI150" s="302" t="s">
        <v>2980</v>
      </c>
      <c r="AJ150" s="64" t="s">
        <v>505</v>
      </c>
      <c r="AK150" s="302" t="s">
        <v>20</v>
      </c>
      <c r="AL150" s="302" t="s">
        <v>921</v>
      </c>
      <c r="AM150" s="302" t="s">
        <v>946</v>
      </c>
      <c r="AN150" s="364" t="s">
        <v>3442</v>
      </c>
      <c r="AO150" s="64"/>
      <c r="AP150" s="191" t="s">
        <v>2037</v>
      </c>
      <c r="AQ150" s="322"/>
      <c r="AR150" s="114"/>
      <c r="AS150" s="323"/>
      <c r="AT150" s="323"/>
      <c r="AU150" s="322"/>
      <c r="AV150" s="322"/>
      <c r="AW150" s="323"/>
      <c r="AX150" s="324"/>
      <c r="AY150" s="60"/>
      <c r="AZ150" s="95"/>
      <c r="BA150" s="60"/>
      <c r="BB150" s="60"/>
      <c r="BC150" s="60"/>
      <c r="BD150" s="60"/>
      <c r="BE150" s="75"/>
      <c r="BF150" s="64"/>
      <c r="BG150" s="114" t="s">
        <v>3556</v>
      </c>
      <c r="BH150" s="246">
        <v>1150480</v>
      </c>
      <c r="BI150" s="64" t="s">
        <v>3551</v>
      </c>
      <c r="BJ150" s="229" t="s">
        <v>3552</v>
      </c>
    </row>
    <row r="151" spans="1:62" s="51" customFormat="1" ht="52.5" customHeight="1">
      <c r="A151" s="51">
        <v>28</v>
      </c>
      <c r="B151" s="15" t="s">
        <v>144</v>
      </c>
      <c r="C151" s="164">
        <v>12687</v>
      </c>
      <c r="D151" s="383" t="s">
        <v>2744</v>
      </c>
      <c r="E151" s="220" t="s">
        <v>386</v>
      </c>
      <c r="F151" s="130" t="s">
        <v>3562</v>
      </c>
      <c r="G151" s="10"/>
      <c r="H151" s="131"/>
      <c r="I151" s="55">
        <v>1</v>
      </c>
      <c r="J151" s="196">
        <v>4</v>
      </c>
      <c r="K151" s="178"/>
      <c r="L151" s="52" t="s">
        <v>502</v>
      </c>
      <c r="M151" s="295" t="s">
        <v>27</v>
      </c>
      <c r="N151" s="335">
        <v>41634</v>
      </c>
      <c r="O151" s="158">
        <f t="shared" si="3"/>
        <v>41634</v>
      </c>
      <c r="P151" s="133" t="s">
        <v>3634</v>
      </c>
      <c r="Q151" s="354" t="s">
        <v>1253</v>
      </c>
      <c r="R151" s="52" t="s">
        <v>505</v>
      </c>
      <c r="S151" s="295" t="s">
        <v>2847</v>
      </c>
      <c r="T151" s="79">
        <v>12510</v>
      </c>
      <c r="U151" s="64" t="s">
        <v>2217</v>
      </c>
      <c r="V151" s="64" t="s">
        <v>2218</v>
      </c>
      <c r="W151" s="64" t="s">
        <v>2213</v>
      </c>
      <c r="X151" s="64" t="s">
        <v>65</v>
      </c>
      <c r="Y151" s="295" t="s">
        <v>1357</v>
      </c>
      <c r="Z151" s="295" t="s">
        <v>1358</v>
      </c>
      <c r="AA151" s="64"/>
      <c r="AB151" s="302" t="s">
        <v>1286</v>
      </c>
      <c r="AC151" s="64" t="s">
        <v>505</v>
      </c>
      <c r="AD151" s="302" t="s">
        <v>20</v>
      </c>
      <c r="AE151" s="302" t="s">
        <v>1291</v>
      </c>
      <c r="AF151" s="302" t="s">
        <v>947</v>
      </c>
      <c r="AG151" s="364" t="s">
        <v>3185</v>
      </c>
      <c r="AH151" s="114"/>
      <c r="AI151" s="302" t="s">
        <v>1312</v>
      </c>
      <c r="AJ151" s="64" t="s">
        <v>505</v>
      </c>
      <c r="AK151" s="302" t="s">
        <v>20</v>
      </c>
      <c r="AL151" s="302" t="s">
        <v>165</v>
      </c>
      <c r="AM151" s="302" t="s">
        <v>948</v>
      </c>
      <c r="AN151" s="364" t="s">
        <v>3443</v>
      </c>
      <c r="AO151" s="64"/>
      <c r="AP151" s="191" t="s">
        <v>2038</v>
      </c>
      <c r="AQ151" s="322"/>
      <c r="AR151" s="114"/>
      <c r="AS151" s="323"/>
      <c r="AT151" s="323"/>
      <c r="AU151" s="322"/>
      <c r="AV151" s="322"/>
      <c r="AW151" s="323"/>
      <c r="AX151" s="324"/>
      <c r="AY151" s="60"/>
      <c r="AZ151" s="95"/>
      <c r="BA151" s="60"/>
      <c r="BB151" s="60"/>
      <c r="BC151" s="60"/>
      <c r="BD151" s="60"/>
      <c r="BE151" s="75"/>
      <c r="BF151" s="64"/>
      <c r="BG151" s="114" t="s">
        <v>3556</v>
      </c>
      <c r="BH151" s="246">
        <v>1150480</v>
      </c>
      <c r="BI151" s="64" t="s">
        <v>3551</v>
      </c>
      <c r="BJ151" s="229" t="s">
        <v>3552</v>
      </c>
    </row>
    <row r="152" spans="1:62" s="51" customFormat="1" ht="52.5" customHeight="1">
      <c r="A152" s="51">
        <v>29</v>
      </c>
      <c r="B152" s="15" t="s">
        <v>144</v>
      </c>
      <c r="C152" s="164">
        <v>12693</v>
      </c>
      <c r="D152" s="386" t="s">
        <v>2745</v>
      </c>
      <c r="E152" s="220" t="s">
        <v>387</v>
      </c>
      <c r="F152" s="130" t="s">
        <v>3562</v>
      </c>
      <c r="G152" s="10"/>
      <c r="H152" s="131"/>
      <c r="I152" s="55">
        <v>3</v>
      </c>
      <c r="J152" s="196">
        <v>2</v>
      </c>
      <c r="K152" s="52"/>
      <c r="L152" s="52" t="s">
        <v>502</v>
      </c>
      <c r="M152" s="331" t="s">
        <v>52</v>
      </c>
      <c r="N152" s="339">
        <v>41581</v>
      </c>
      <c r="O152" s="158">
        <f t="shared" si="3"/>
        <v>41581</v>
      </c>
      <c r="P152" s="133" t="s">
        <v>3635</v>
      </c>
      <c r="Q152" s="357" t="s">
        <v>1254</v>
      </c>
      <c r="R152" s="52" t="s">
        <v>505</v>
      </c>
      <c r="S152" s="331" t="s">
        <v>2039</v>
      </c>
      <c r="T152" s="79">
        <v>55581</v>
      </c>
      <c r="U152" s="64" t="s">
        <v>2122</v>
      </c>
      <c r="V152" s="64" t="s">
        <v>2219</v>
      </c>
      <c r="W152" s="64" t="s">
        <v>52</v>
      </c>
      <c r="X152" s="64" t="s">
        <v>696</v>
      </c>
      <c r="Y152" s="331" t="s">
        <v>2889</v>
      </c>
      <c r="Z152" s="331" t="s">
        <v>1359</v>
      </c>
      <c r="AA152" s="64"/>
      <c r="AB152" s="333" t="s">
        <v>1287</v>
      </c>
      <c r="AC152" s="64" t="s">
        <v>505</v>
      </c>
      <c r="AD152" s="333" t="s">
        <v>922</v>
      </c>
      <c r="AE152" s="333" t="s">
        <v>921</v>
      </c>
      <c r="AF152" s="333" t="s">
        <v>949</v>
      </c>
      <c r="AG152" s="398" t="s">
        <v>3186</v>
      </c>
      <c r="AH152" s="114"/>
      <c r="AI152" s="333" t="s">
        <v>1313</v>
      </c>
      <c r="AJ152" s="64" t="s">
        <v>505</v>
      </c>
      <c r="AK152" s="333" t="s">
        <v>1315</v>
      </c>
      <c r="AL152" s="333" t="s">
        <v>165</v>
      </c>
      <c r="AM152" s="333" t="s">
        <v>951</v>
      </c>
      <c r="AN152" s="398" t="s">
        <v>3444</v>
      </c>
      <c r="AO152" s="64"/>
      <c r="AP152" s="191" t="s">
        <v>2040</v>
      </c>
      <c r="AQ152" s="322"/>
      <c r="AR152" s="114"/>
      <c r="AS152" s="323"/>
      <c r="AT152" s="323"/>
      <c r="AU152" s="322"/>
      <c r="AV152" s="322"/>
      <c r="AW152" s="323"/>
      <c r="AX152" s="324"/>
      <c r="AY152" s="60"/>
      <c r="AZ152" s="95"/>
      <c r="BA152" s="60"/>
      <c r="BB152" s="60"/>
      <c r="BC152" s="60"/>
      <c r="BD152" s="60"/>
      <c r="BE152" s="75"/>
      <c r="BF152" s="64"/>
      <c r="BG152" s="114" t="s">
        <v>3556</v>
      </c>
      <c r="BH152" s="246">
        <v>1150480</v>
      </c>
      <c r="BI152" s="64" t="s">
        <v>3551</v>
      </c>
      <c r="BJ152" s="229" t="s">
        <v>3552</v>
      </c>
    </row>
    <row r="153" spans="1:62" s="171" customFormat="1" ht="52.5" customHeight="1" thickBot="1">
      <c r="A153" s="51">
        <v>30</v>
      </c>
      <c r="B153" s="15" t="s">
        <v>144</v>
      </c>
      <c r="C153" s="164">
        <v>12708</v>
      </c>
      <c r="D153" s="385" t="s">
        <v>2746</v>
      </c>
      <c r="E153" s="269" t="s">
        <v>388</v>
      </c>
      <c r="F153" s="130" t="s">
        <v>3562</v>
      </c>
      <c r="G153" s="10"/>
      <c r="H153" s="167"/>
      <c r="I153" s="168">
        <v>1</v>
      </c>
      <c r="J153" s="197">
        <v>2</v>
      </c>
      <c r="K153" s="165"/>
      <c r="L153" s="52" t="s">
        <v>502</v>
      </c>
      <c r="M153" s="126" t="s">
        <v>1226</v>
      </c>
      <c r="N153" s="242">
        <v>41549</v>
      </c>
      <c r="O153" s="158">
        <f t="shared" si="3"/>
        <v>41549</v>
      </c>
      <c r="P153" s="133" t="s">
        <v>3636</v>
      </c>
      <c r="Q153" s="358" t="s">
        <v>1255</v>
      </c>
      <c r="R153" s="52" t="s">
        <v>505</v>
      </c>
      <c r="S153" s="126" t="s">
        <v>1267</v>
      </c>
      <c r="T153" s="228">
        <v>61485</v>
      </c>
      <c r="U153" s="64" t="s">
        <v>2222</v>
      </c>
      <c r="V153" s="114" t="s">
        <v>2222</v>
      </c>
      <c r="W153" s="114" t="s">
        <v>1226</v>
      </c>
      <c r="X153" s="114" t="s">
        <v>39</v>
      </c>
      <c r="Y153" s="126" t="s">
        <v>1360</v>
      </c>
      <c r="Z153" s="126" t="s">
        <v>1361</v>
      </c>
      <c r="AA153" s="114"/>
      <c r="AB153" s="174" t="s">
        <v>1288</v>
      </c>
      <c r="AC153" s="64" t="s">
        <v>505</v>
      </c>
      <c r="AD153" s="174" t="s">
        <v>20</v>
      </c>
      <c r="AE153" s="174" t="s">
        <v>21</v>
      </c>
      <c r="AF153" s="174" t="s">
        <v>948</v>
      </c>
      <c r="AG153" s="399" t="s">
        <v>3187</v>
      </c>
      <c r="AH153" s="114"/>
      <c r="AI153" s="174" t="s">
        <v>1314</v>
      </c>
      <c r="AJ153" s="64" t="s">
        <v>505</v>
      </c>
      <c r="AK153" s="174" t="s">
        <v>22</v>
      </c>
      <c r="AL153" s="174" t="s">
        <v>926</v>
      </c>
      <c r="AM153" s="174" t="s">
        <v>948</v>
      </c>
      <c r="AN153" s="399" t="s">
        <v>3445</v>
      </c>
      <c r="AO153" s="114"/>
      <c r="AP153" s="191" t="s">
        <v>2041</v>
      </c>
      <c r="AQ153" s="322"/>
      <c r="AR153" s="114"/>
      <c r="AS153" s="323"/>
      <c r="AT153" s="323"/>
      <c r="AU153" s="322"/>
      <c r="AV153" s="322"/>
      <c r="AW153" s="323"/>
      <c r="AX153" s="323"/>
      <c r="AY153" s="109"/>
      <c r="AZ153" s="95"/>
      <c r="BA153" s="109"/>
      <c r="BB153" s="109"/>
      <c r="BC153" s="109"/>
      <c r="BD153" s="109"/>
      <c r="BE153" s="113"/>
      <c r="BF153" s="114"/>
      <c r="BG153" s="114" t="s">
        <v>3556</v>
      </c>
      <c r="BH153" s="246">
        <v>1150480</v>
      </c>
      <c r="BI153" s="64" t="s">
        <v>3551</v>
      </c>
      <c r="BJ153" s="229" t="s">
        <v>3552</v>
      </c>
    </row>
    <row r="154" spans="1:62" s="51" customFormat="1" ht="52.5" customHeight="1">
      <c r="A154" s="50">
        <v>1</v>
      </c>
      <c r="B154" s="160" t="s">
        <v>141</v>
      </c>
      <c r="C154" s="271">
        <v>12464</v>
      </c>
      <c r="D154" s="383" t="s">
        <v>2747</v>
      </c>
      <c r="E154" s="219" t="s">
        <v>389</v>
      </c>
      <c r="F154" s="130" t="s">
        <v>3562</v>
      </c>
      <c r="G154" s="10"/>
      <c r="H154" s="131"/>
      <c r="I154" s="55">
        <v>1</v>
      </c>
      <c r="J154" s="196">
        <v>2</v>
      </c>
      <c r="K154" s="52"/>
      <c r="L154" s="52" t="s">
        <v>502</v>
      </c>
      <c r="M154" s="295" t="s">
        <v>111</v>
      </c>
      <c r="N154" s="335">
        <v>41555</v>
      </c>
      <c r="O154" s="158">
        <f t="shared" si="3"/>
        <v>41555</v>
      </c>
      <c r="P154" s="133" t="s">
        <v>3637</v>
      </c>
      <c r="Q154" s="354" t="s">
        <v>1364</v>
      </c>
      <c r="R154" s="52" t="s">
        <v>505</v>
      </c>
      <c r="S154" s="295" t="s">
        <v>1390</v>
      </c>
      <c r="T154" s="79">
        <v>56258</v>
      </c>
      <c r="U154" s="64" t="s">
        <v>2223</v>
      </c>
      <c r="V154" s="64" t="s">
        <v>2220</v>
      </c>
      <c r="W154" s="64" t="s">
        <v>111</v>
      </c>
      <c r="X154" s="114" t="s">
        <v>29</v>
      </c>
      <c r="Y154" s="295" t="s">
        <v>170</v>
      </c>
      <c r="Z154" s="295" t="s">
        <v>1407</v>
      </c>
      <c r="AA154" s="64"/>
      <c r="AB154" s="64" t="s">
        <v>2230</v>
      </c>
      <c r="AC154" s="64" t="s">
        <v>505</v>
      </c>
      <c r="AD154" s="302" t="s">
        <v>30</v>
      </c>
      <c r="AE154" s="302" t="s">
        <v>921</v>
      </c>
      <c r="AF154" s="302" t="s">
        <v>946</v>
      </c>
      <c r="AG154" s="364" t="s">
        <v>3188</v>
      </c>
      <c r="AH154" s="114"/>
      <c r="AI154" s="302" t="s">
        <v>1474</v>
      </c>
      <c r="AJ154" s="64" t="s">
        <v>505</v>
      </c>
      <c r="AK154" s="302" t="s">
        <v>20</v>
      </c>
      <c r="AL154" s="302" t="s">
        <v>21</v>
      </c>
      <c r="AM154" s="302" t="s">
        <v>948</v>
      </c>
      <c r="AN154" s="364" t="s">
        <v>3446</v>
      </c>
      <c r="AO154" s="64"/>
      <c r="AP154" s="191" t="s">
        <v>2231</v>
      </c>
      <c r="AQ154" s="322"/>
      <c r="AR154" s="114"/>
      <c r="AS154" s="323"/>
      <c r="AT154" s="323"/>
      <c r="AU154" s="322"/>
      <c r="AV154" s="322"/>
      <c r="AW154" s="323"/>
      <c r="AX154" s="324"/>
      <c r="AY154" s="60"/>
      <c r="AZ154" s="95"/>
      <c r="BA154" s="60"/>
      <c r="BB154" s="60"/>
      <c r="BC154" s="60"/>
      <c r="BD154" s="60"/>
      <c r="BE154" s="75"/>
      <c r="BF154" s="64"/>
      <c r="BG154" s="64" t="s">
        <v>3558</v>
      </c>
      <c r="BH154" s="245">
        <v>673997</v>
      </c>
      <c r="BI154" s="64" t="s">
        <v>3551</v>
      </c>
      <c r="BJ154" s="229" t="s">
        <v>3552</v>
      </c>
    </row>
    <row r="155" spans="1:62" s="51" customFormat="1" ht="52.5" customHeight="1">
      <c r="A155" s="166">
        <v>2</v>
      </c>
      <c r="B155" s="160" t="s">
        <v>141</v>
      </c>
      <c r="C155" s="52">
        <v>12467</v>
      </c>
      <c r="D155" s="383" t="s">
        <v>2748</v>
      </c>
      <c r="E155" s="220" t="s">
        <v>390</v>
      </c>
      <c r="F155" s="130" t="s">
        <v>3562</v>
      </c>
      <c r="G155" s="10"/>
      <c r="H155" s="131"/>
      <c r="I155" s="55">
        <v>4</v>
      </c>
      <c r="J155" s="196">
        <v>3</v>
      </c>
      <c r="K155" s="52"/>
      <c r="L155" s="52" t="s">
        <v>502</v>
      </c>
      <c r="M155" s="295" t="s">
        <v>23</v>
      </c>
      <c r="N155" s="335">
        <v>41564</v>
      </c>
      <c r="O155" s="158">
        <f t="shared" si="3"/>
        <v>41564</v>
      </c>
      <c r="P155" s="133" t="s">
        <v>3638</v>
      </c>
      <c r="Q155" s="354" t="s">
        <v>1365</v>
      </c>
      <c r="R155" s="52" t="s">
        <v>505</v>
      </c>
      <c r="S155" s="295" t="s">
        <v>1391</v>
      </c>
      <c r="T155" s="79">
        <v>55162</v>
      </c>
      <c r="U155" s="64" t="s">
        <v>2221</v>
      </c>
      <c r="V155" s="64" t="s">
        <v>705</v>
      </c>
      <c r="W155" s="64" t="s">
        <v>695</v>
      </c>
      <c r="X155" s="64" t="s">
        <v>696</v>
      </c>
      <c r="Y155" s="295" t="s">
        <v>176</v>
      </c>
      <c r="Z155" s="295" t="s">
        <v>1408</v>
      </c>
      <c r="AA155" s="64"/>
      <c r="AB155" s="302" t="s">
        <v>1452</v>
      </c>
      <c r="AC155" s="64" t="s">
        <v>505</v>
      </c>
      <c r="AD155" s="302" t="s">
        <v>30</v>
      </c>
      <c r="AE155" s="302" t="s">
        <v>21</v>
      </c>
      <c r="AF155" s="302" t="s">
        <v>947</v>
      </c>
      <c r="AG155" s="364" t="s">
        <v>3189</v>
      </c>
      <c r="AH155" s="114"/>
      <c r="AI155" s="302" t="s">
        <v>1475</v>
      </c>
      <c r="AJ155" s="64" t="s">
        <v>505</v>
      </c>
      <c r="AK155" s="302" t="s">
        <v>20</v>
      </c>
      <c r="AL155" s="302" t="s">
        <v>926</v>
      </c>
      <c r="AM155" s="302" t="s">
        <v>950</v>
      </c>
      <c r="AN155" s="364" t="s">
        <v>3447</v>
      </c>
      <c r="AO155" s="64"/>
      <c r="AP155" s="191" t="s">
        <v>2232</v>
      </c>
      <c r="AQ155" s="322"/>
      <c r="AR155" s="114"/>
      <c r="AS155" s="323"/>
      <c r="AT155" s="323"/>
      <c r="AU155" s="322"/>
      <c r="AV155" s="322"/>
      <c r="AW155" s="323"/>
      <c r="AX155" s="324"/>
      <c r="AY155" s="60"/>
      <c r="AZ155" s="95"/>
      <c r="BA155" s="60"/>
      <c r="BB155" s="60"/>
      <c r="BC155" s="60"/>
      <c r="BD155" s="60"/>
      <c r="BE155" s="75"/>
      <c r="BF155" s="64"/>
      <c r="BG155" s="64" t="s">
        <v>3558</v>
      </c>
      <c r="BH155" s="245">
        <v>673997</v>
      </c>
      <c r="BI155" s="64" t="s">
        <v>3551</v>
      </c>
      <c r="BJ155" s="229" t="s">
        <v>3552</v>
      </c>
    </row>
    <row r="156" spans="1:62" s="51" customFormat="1" ht="63">
      <c r="A156" s="50">
        <v>3</v>
      </c>
      <c r="B156" s="160" t="s">
        <v>141</v>
      </c>
      <c r="C156" s="271">
        <v>12472</v>
      </c>
      <c r="D156" s="383" t="s">
        <v>2749</v>
      </c>
      <c r="E156" s="220" t="s">
        <v>391</v>
      </c>
      <c r="F156" s="130" t="s">
        <v>3562</v>
      </c>
      <c r="G156" s="10"/>
      <c r="H156" s="131"/>
      <c r="I156" s="55">
        <v>1</v>
      </c>
      <c r="J156" s="196">
        <v>2</v>
      </c>
      <c r="K156" s="52"/>
      <c r="L156" s="52" t="s">
        <v>502</v>
      </c>
      <c r="M156" s="295" t="s">
        <v>1362</v>
      </c>
      <c r="N156" s="335">
        <v>41738</v>
      </c>
      <c r="O156" s="158">
        <f t="shared" si="3"/>
        <v>41738</v>
      </c>
      <c r="P156" s="133" t="s">
        <v>3639</v>
      </c>
      <c r="Q156" s="354" t="s">
        <v>1366</v>
      </c>
      <c r="R156" s="52" t="s">
        <v>505</v>
      </c>
      <c r="S156" s="295" t="s">
        <v>1392</v>
      </c>
      <c r="T156" s="79">
        <v>71812</v>
      </c>
      <c r="U156" s="64" t="s">
        <v>2227</v>
      </c>
      <c r="V156" s="64" t="s">
        <v>2227</v>
      </c>
      <c r="W156" s="64" t="s">
        <v>1362</v>
      </c>
      <c r="X156" s="64" t="s">
        <v>48</v>
      </c>
      <c r="Y156" s="295" t="s">
        <v>1409</v>
      </c>
      <c r="Z156" s="295" t="s">
        <v>1410</v>
      </c>
      <c r="AA156" s="64"/>
      <c r="AB156" s="302" t="s">
        <v>1453</v>
      </c>
      <c r="AC156" s="64" t="s">
        <v>505</v>
      </c>
      <c r="AD156" s="302" t="s">
        <v>20</v>
      </c>
      <c r="AE156" s="302" t="s">
        <v>926</v>
      </c>
      <c r="AF156" s="302" t="s">
        <v>949</v>
      </c>
      <c r="AG156" s="364" t="s">
        <v>3190</v>
      </c>
      <c r="AH156" s="114"/>
      <c r="AI156" s="302" t="s">
        <v>1476</v>
      </c>
      <c r="AJ156" s="64" t="s">
        <v>505</v>
      </c>
      <c r="AK156" s="302" t="s">
        <v>20</v>
      </c>
      <c r="AL156" s="302" t="s">
        <v>926</v>
      </c>
      <c r="AM156" s="302" t="s">
        <v>948</v>
      </c>
      <c r="AN156" s="364" t="s">
        <v>3448</v>
      </c>
      <c r="AO156" s="64"/>
      <c r="AP156" s="191" t="s">
        <v>2233</v>
      </c>
      <c r="AQ156" s="322"/>
      <c r="AR156" s="114"/>
      <c r="AS156" s="323"/>
      <c r="AT156" s="323"/>
      <c r="AU156" s="322"/>
      <c r="AV156" s="322"/>
      <c r="AW156" s="323"/>
      <c r="AX156" s="324"/>
      <c r="AY156" s="60"/>
      <c r="AZ156" s="95"/>
      <c r="BA156" s="60"/>
      <c r="BB156" s="60"/>
      <c r="BC156" s="60"/>
      <c r="BD156" s="60"/>
      <c r="BE156" s="75"/>
      <c r="BF156" s="64"/>
      <c r="BG156" s="64" t="s">
        <v>3558</v>
      </c>
      <c r="BH156" s="245">
        <v>673997</v>
      </c>
      <c r="BI156" s="64" t="s">
        <v>3551</v>
      </c>
      <c r="BJ156" s="229" t="s">
        <v>3552</v>
      </c>
    </row>
    <row r="157" spans="1:62" s="51" customFormat="1" ht="52.5" customHeight="1">
      <c r="A157" s="50">
        <v>4</v>
      </c>
      <c r="B157" s="160" t="s">
        <v>141</v>
      </c>
      <c r="C157" s="271">
        <v>12476</v>
      </c>
      <c r="D157" s="383" t="s">
        <v>2750</v>
      </c>
      <c r="E157" s="220" t="s">
        <v>392</v>
      </c>
      <c r="F157" s="130" t="s">
        <v>3562</v>
      </c>
      <c r="G157" s="10"/>
      <c r="H157" s="131"/>
      <c r="I157" s="55">
        <v>1</v>
      </c>
      <c r="J157" s="196">
        <v>1</v>
      </c>
      <c r="K157" s="52"/>
      <c r="L157" s="52" t="s">
        <v>502</v>
      </c>
      <c r="M157" s="295" t="s">
        <v>41</v>
      </c>
      <c r="N157" s="335">
        <v>41679</v>
      </c>
      <c r="O157" s="158">
        <f t="shared" si="3"/>
        <v>41679</v>
      </c>
      <c r="P157" s="133">
        <f t="shared" ref="P133:P196" si="4">N157</f>
        <v>41679</v>
      </c>
      <c r="Q157" s="354" t="s">
        <v>1367</v>
      </c>
      <c r="R157" s="52" t="s">
        <v>505</v>
      </c>
      <c r="S157" s="295" t="s">
        <v>1393</v>
      </c>
      <c r="T157" s="79">
        <v>50189</v>
      </c>
      <c r="U157" s="64" t="s">
        <v>2224</v>
      </c>
      <c r="V157" s="64" t="s">
        <v>2192</v>
      </c>
      <c r="W157" s="64" t="s">
        <v>1904</v>
      </c>
      <c r="X157" s="64" t="s">
        <v>29</v>
      </c>
      <c r="Y157" s="295" t="s">
        <v>1411</v>
      </c>
      <c r="Z157" s="295" t="s">
        <v>1412</v>
      </c>
      <c r="AA157" s="64"/>
      <c r="AB157" s="302" t="s">
        <v>1454</v>
      </c>
      <c r="AC157" s="64" t="s">
        <v>505</v>
      </c>
      <c r="AD157" s="302" t="s">
        <v>20</v>
      </c>
      <c r="AE157" s="302" t="s">
        <v>165</v>
      </c>
      <c r="AF157" s="302" t="s">
        <v>946</v>
      </c>
      <c r="AG157" s="364" t="s">
        <v>3191</v>
      </c>
      <c r="AH157" s="114"/>
      <c r="AI157" s="302" t="s">
        <v>1477</v>
      </c>
      <c r="AJ157" s="64" t="s">
        <v>505</v>
      </c>
      <c r="AK157" s="302" t="s">
        <v>20</v>
      </c>
      <c r="AL157" s="302" t="s">
        <v>923</v>
      </c>
      <c r="AM157" s="302" t="s">
        <v>950</v>
      </c>
      <c r="AN157" s="364" t="s">
        <v>3449</v>
      </c>
      <c r="AO157" s="64"/>
      <c r="AP157" s="191" t="s">
        <v>2234</v>
      </c>
      <c r="AQ157" s="322"/>
      <c r="AR157" s="114"/>
      <c r="AS157" s="323"/>
      <c r="AT157" s="323"/>
      <c r="AU157" s="322"/>
      <c r="AV157" s="322"/>
      <c r="AW157" s="323"/>
      <c r="AX157" s="324"/>
      <c r="AY157" s="60"/>
      <c r="AZ157" s="95"/>
      <c r="BA157" s="60"/>
      <c r="BB157" s="60"/>
      <c r="BC157" s="60"/>
      <c r="BD157" s="60"/>
      <c r="BE157" s="75"/>
      <c r="BF157" s="64"/>
      <c r="BG157" s="64" t="s">
        <v>3558</v>
      </c>
      <c r="BH157" s="245">
        <v>673997</v>
      </c>
      <c r="BI157" s="64" t="s">
        <v>3551</v>
      </c>
      <c r="BJ157" s="229" t="s">
        <v>3552</v>
      </c>
    </row>
    <row r="158" spans="1:62" s="51" customFormat="1" ht="52.5" customHeight="1">
      <c r="A158" s="50">
        <v>5</v>
      </c>
      <c r="B158" s="160" t="s">
        <v>141</v>
      </c>
      <c r="C158" s="52">
        <v>12480</v>
      </c>
      <c r="D158" s="383" t="s">
        <v>2751</v>
      </c>
      <c r="E158" s="220" t="s">
        <v>393</v>
      </c>
      <c r="F158" s="130" t="s">
        <v>3562</v>
      </c>
      <c r="G158" s="10"/>
      <c r="H158" s="263"/>
      <c r="I158" s="55">
        <v>3</v>
      </c>
      <c r="J158" s="196">
        <v>2</v>
      </c>
      <c r="K158" s="52"/>
      <c r="L158" s="52" t="s">
        <v>502</v>
      </c>
      <c r="M158" s="295" t="s">
        <v>23</v>
      </c>
      <c r="N158" s="336">
        <v>41611</v>
      </c>
      <c r="O158" s="158">
        <f t="shared" si="3"/>
        <v>41611</v>
      </c>
      <c r="P158" s="133" t="s">
        <v>3640</v>
      </c>
      <c r="Q158" s="354">
        <v>3471070312130000</v>
      </c>
      <c r="R158" s="52" t="s">
        <v>505</v>
      </c>
      <c r="S158" s="295" t="s">
        <v>1394</v>
      </c>
      <c r="T158" s="79">
        <v>55251</v>
      </c>
      <c r="U158" s="64" t="s">
        <v>2118</v>
      </c>
      <c r="V158" s="64" t="s">
        <v>2046</v>
      </c>
      <c r="W158" s="64" t="s">
        <v>19</v>
      </c>
      <c r="X158" s="64" t="s">
        <v>696</v>
      </c>
      <c r="Y158" s="295" t="s">
        <v>24</v>
      </c>
      <c r="Z158" s="295"/>
      <c r="AA158" s="64"/>
      <c r="AB158" s="302" t="s">
        <v>25</v>
      </c>
      <c r="AC158" s="64" t="s">
        <v>505</v>
      </c>
      <c r="AD158" s="302" t="s">
        <v>22</v>
      </c>
      <c r="AE158" s="302" t="s">
        <v>511</v>
      </c>
      <c r="AF158" s="302"/>
      <c r="AG158" s="364" t="s">
        <v>177</v>
      </c>
      <c r="AH158" s="114"/>
      <c r="AI158" s="302" t="s">
        <v>26</v>
      </c>
      <c r="AJ158" s="64" t="s">
        <v>505</v>
      </c>
      <c r="AK158" s="302" t="s">
        <v>518</v>
      </c>
      <c r="AL158" s="302" t="s">
        <v>511</v>
      </c>
      <c r="AM158" s="302"/>
      <c r="AN158" s="306" t="s">
        <v>3452</v>
      </c>
      <c r="AO158" s="64"/>
      <c r="AP158" s="191" t="s">
        <v>2229</v>
      </c>
      <c r="AQ158" s="322"/>
      <c r="AR158" s="114"/>
      <c r="AS158" s="323"/>
      <c r="AT158" s="323"/>
      <c r="AU158" s="322"/>
      <c r="AV158" s="322"/>
      <c r="AW158" s="323"/>
      <c r="AX158" s="324"/>
      <c r="AY158" s="60"/>
      <c r="AZ158" s="95"/>
      <c r="BA158" s="60"/>
      <c r="BB158" s="60"/>
      <c r="BC158" s="60"/>
      <c r="BD158" s="60"/>
      <c r="BE158" s="75"/>
      <c r="BF158" s="64"/>
      <c r="BG158" s="64" t="s">
        <v>3558</v>
      </c>
      <c r="BH158" s="245">
        <v>673997</v>
      </c>
      <c r="BI158" s="64" t="s">
        <v>3551</v>
      </c>
      <c r="BJ158" s="229" t="s">
        <v>3552</v>
      </c>
    </row>
    <row r="159" spans="1:62" s="51" customFormat="1" ht="52.5" customHeight="1">
      <c r="A159" s="50">
        <v>6</v>
      </c>
      <c r="B159" s="161" t="s">
        <v>141</v>
      </c>
      <c r="C159" s="52">
        <v>12493</v>
      </c>
      <c r="D159" s="383" t="s">
        <v>2752</v>
      </c>
      <c r="E159" s="220" t="s">
        <v>394</v>
      </c>
      <c r="F159" s="130" t="s">
        <v>3562</v>
      </c>
      <c r="G159" s="10"/>
      <c r="H159" s="263"/>
      <c r="I159" s="55">
        <v>1</v>
      </c>
      <c r="J159" s="196">
        <v>3</v>
      </c>
      <c r="K159" s="52"/>
      <c r="L159" s="52" t="s">
        <v>502</v>
      </c>
      <c r="M159" s="295" t="s">
        <v>19</v>
      </c>
      <c r="N159" s="335">
        <v>41641</v>
      </c>
      <c r="O159" s="158">
        <f t="shared" si="3"/>
        <v>41641</v>
      </c>
      <c r="P159" s="133" t="s">
        <v>3641</v>
      </c>
      <c r="Q159" s="354" t="s">
        <v>1368</v>
      </c>
      <c r="R159" s="52" t="s">
        <v>505</v>
      </c>
      <c r="S159" s="295" t="s">
        <v>2228</v>
      </c>
      <c r="T159" s="79">
        <v>55287</v>
      </c>
      <c r="U159" s="64" t="s">
        <v>2225</v>
      </c>
      <c r="V159" s="64" t="s">
        <v>2226</v>
      </c>
      <c r="W159" s="64" t="s">
        <v>52</v>
      </c>
      <c r="X159" s="64" t="s">
        <v>696</v>
      </c>
      <c r="Y159" s="295" t="s">
        <v>114</v>
      </c>
      <c r="Z159" s="295" t="s">
        <v>1413</v>
      </c>
      <c r="AA159" s="64"/>
      <c r="AB159" s="302" t="s">
        <v>1455</v>
      </c>
      <c r="AC159" s="64" t="s">
        <v>505</v>
      </c>
      <c r="AD159" s="302" t="s">
        <v>30</v>
      </c>
      <c r="AE159" s="302" t="s">
        <v>165</v>
      </c>
      <c r="AF159" s="302" t="s">
        <v>948</v>
      </c>
      <c r="AG159" s="364" t="s">
        <v>3192</v>
      </c>
      <c r="AH159" s="114"/>
      <c r="AI159" s="302" t="s">
        <v>1478</v>
      </c>
      <c r="AJ159" s="64" t="s">
        <v>505</v>
      </c>
      <c r="AK159" s="302" t="s">
        <v>30</v>
      </c>
      <c r="AL159" s="302" t="s">
        <v>21</v>
      </c>
      <c r="AM159" s="302" t="s">
        <v>948</v>
      </c>
      <c r="AN159" s="364" t="s">
        <v>3450</v>
      </c>
      <c r="AO159" s="64"/>
      <c r="AP159" s="191" t="s">
        <v>2235</v>
      </c>
      <c r="AQ159" s="322"/>
      <c r="AR159" s="114"/>
      <c r="AS159" s="323"/>
      <c r="AT159" s="323"/>
      <c r="AU159" s="322"/>
      <c r="AV159" s="114"/>
      <c r="AW159" s="323"/>
      <c r="AX159" s="324"/>
      <c r="AY159" s="60"/>
      <c r="AZ159" s="95"/>
      <c r="BA159" s="60"/>
      <c r="BB159" s="60"/>
      <c r="BC159" s="60"/>
      <c r="BD159" s="60"/>
      <c r="BE159" s="75"/>
      <c r="BF159" s="64"/>
      <c r="BG159" s="64" t="s">
        <v>3558</v>
      </c>
      <c r="BH159" s="245">
        <v>673997</v>
      </c>
      <c r="BI159" s="64" t="s">
        <v>3551</v>
      </c>
      <c r="BJ159" s="229" t="s">
        <v>3552</v>
      </c>
    </row>
    <row r="160" spans="1:62" s="51" customFormat="1" ht="63" customHeight="1">
      <c r="A160" s="50">
        <v>7</v>
      </c>
      <c r="B160" s="160" t="s">
        <v>141</v>
      </c>
      <c r="C160" s="271">
        <v>12494</v>
      </c>
      <c r="D160" s="384" t="s">
        <v>2753</v>
      </c>
      <c r="E160" s="220" t="s">
        <v>395</v>
      </c>
      <c r="F160" s="130" t="s">
        <v>3562</v>
      </c>
      <c r="G160" s="10"/>
      <c r="H160" s="131"/>
      <c r="I160" s="55">
        <v>2</v>
      </c>
      <c r="J160" s="196">
        <v>1</v>
      </c>
      <c r="K160" s="52"/>
      <c r="L160" s="52" t="s">
        <v>502</v>
      </c>
      <c r="M160" s="300" t="s">
        <v>19</v>
      </c>
      <c r="N160" s="340">
        <v>41756</v>
      </c>
      <c r="O160" s="158">
        <f t="shared" si="3"/>
        <v>41756</v>
      </c>
      <c r="P160" s="133" t="s">
        <v>3642</v>
      </c>
      <c r="Q160" s="356" t="s">
        <v>1369</v>
      </c>
      <c r="R160" s="52" t="s">
        <v>505</v>
      </c>
      <c r="S160" s="300" t="s">
        <v>2437</v>
      </c>
      <c r="T160" s="79">
        <v>55763</v>
      </c>
      <c r="U160" s="64" t="s">
        <v>2435</v>
      </c>
      <c r="V160" s="64" t="s">
        <v>2149</v>
      </c>
      <c r="W160" s="64" t="s">
        <v>19</v>
      </c>
      <c r="X160" s="64" t="s">
        <v>696</v>
      </c>
      <c r="Y160" s="300" t="s">
        <v>173</v>
      </c>
      <c r="Z160" s="300" t="s">
        <v>1414</v>
      </c>
      <c r="AA160" s="64"/>
      <c r="AB160" s="326" t="s">
        <v>1456</v>
      </c>
      <c r="AC160" s="64" t="s">
        <v>505</v>
      </c>
      <c r="AD160" s="326" t="s">
        <v>20</v>
      </c>
      <c r="AE160" s="326" t="s">
        <v>921</v>
      </c>
      <c r="AF160" s="326" t="s">
        <v>947</v>
      </c>
      <c r="AG160" s="397" t="s">
        <v>3193</v>
      </c>
      <c r="AH160" s="114"/>
      <c r="AI160" s="326" t="s">
        <v>1479</v>
      </c>
      <c r="AJ160" s="64" t="s">
        <v>505</v>
      </c>
      <c r="AK160" s="326" t="s">
        <v>22</v>
      </c>
      <c r="AL160" s="326" t="s">
        <v>1080</v>
      </c>
      <c r="AM160" s="326" t="s">
        <v>948</v>
      </c>
      <c r="AN160" s="397" t="s">
        <v>3451</v>
      </c>
      <c r="AO160" s="64"/>
      <c r="AP160" s="191" t="s">
        <v>2236</v>
      </c>
      <c r="AQ160" s="322"/>
      <c r="AR160" s="114"/>
      <c r="AS160" s="323"/>
      <c r="AT160" s="323"/>
      <c r="AU160" s="322"/>
      <c r="AV160" s="322"/>
      <c r="AW160" s="323"/>
      <c r="AX160" s="324"/>
      <c r="AY160" s="60"/>
      <c r="AZ160" s="95"/>
      <c r="BA160" s="60"/>
      <c r="BB160" s="60"/>
      <c r="BC160" s="60"/>
      <c r="BD160" s="60"/>
      <c r="BE160" s="75"/>
      <c r="BF160" s="64"/>
      <c r="BG160" s="64" t="s">
        <v>3558</v>
      </c>
      <c r="BH160" s="245">
        <v>673997</v>
      </c>
      <c r="BI160" s="64" t="s">
        <v>3551</v>
      </c>
      <c r="BJ160" s="229" t="s">
        <v>3552</v>
      </c>
    </row>
    <row r="161" spans="1:62" s="51" customFormat="1" ht="52.5" customHeight="1">
      <c r="A161" s="50">
        <v>8</v>
      </c>
      <c r="B161" s="160" t="s">
        <v>141</v>
      </c>
      <c r="C161" s="271">
        <v>12501</v>
      </c>
      <c r="D161" s="383" t="s">
        <v>2754</v>
      </c>
      <c r="E161" s="220" t="s">
        <v>396</v>
      </c>
      <c r="F161" s="130" t="s">
        <v>3562</v>
      </c>
      <c r="G161" s="10"/>
      <c r="H161" s="131"/>
      <c r="I161" s="55">
        <v>2</v>
      </c>
      <c r="J161" s="196">
        <v>2</v>
      </c>
      <c r="K161" s="52"/>
      <c r="L161" s="52" t="s">
        <v>502</v>
      </c>
      <c r="M161" s="295" t="s">
        <v>52</v>
      </c>
      <c r="N161" s="335">
        <v>41613</v>
      </c>
      <c r="O161" s="158">
        <f t="shared" si="3"/>
        <v>41613</v>
      </c>
      <c r="P161" s="133" t="s">
        <v>3643</v>
      </c>
      <c r="Q161" s="354" t="s">
        <v>1370</v>
      </c>
      <c r="R161" s="52" t="s">
        <v>505</v>
      </c>
      <c r="S161" s="295" t="s">
        <v>2438</v>
      </c>
      <c r="T161" s="79">
        <v>55563</v>
      </c>
      <c r="U161" s="64" t="s">
        <v>2436</v>
      </c>
      <c r="V161" s="64" t="s">
        <v>2439</v>
      </c>
      <c r="W161" s="64" t="s">
        <v>52</v>
      </c>
      <c r="X161" s="64" t="s">
        <v>696</v>
      </c>
      <c r="Y161" s="295" t="s">
        <v>1415</v>
      </c>
      <c r="Z161" s="295" t="s">
        <v>1416</v>
      </c>
      <c r="AA161" s="64"/>
      <c r="AB161" s="302" t="s">
        <v>1457</v>
      </c>
      <c r="AC161" s="64" t="s">
        <v>505</v>
      </c>
      <c r="AD161" s="302" t="s">
        <v>20</v>
      </c>
      <c r="AE161" s="302" t="s">
        <v>1290</v>
      </c>
      <c r="AF161" s="302" t="s">
        <v>949</v>
      </c>
      <c r="AG161" s="364" t="s">
        <v>3194</v>
      </c>
      <c r="AH161" s="114"/>
      <c r="AI161" s="302" t="s">
        <v>1480</v>
      </c>
      <c r="AJ161" s="64" t="s">
        <v>505</v>
      </c>
      <c r="AK161" s="302" t="s">
        <v>1315</v>
      </c>
      <c r="AL161" s="302" t="s">
        <v>923</v>
      </c>
      <c r="AM161" s="302" t="s">
        <v>950</v>
      </c>
      <c r="AN161" s="364" t="s">
        <v>3194</v>
      </c>
      <c r="AO161" s="64"/>
      <c r="AP161" s="191" t="s">
        <v>2237</v>
      </c>
      <c r="AQ161" s="322"/>
      <c r="AR161" s="114"/>
      <c r="AS161" s="323"/>
      <c r="AT161" s="323"/>
      <c r="AU161" s="322"/>
      <c r="AV161" s="322"/>
      <c r="AW161" s="323"/>
      <c r="AX161" s="324"/>
      <c r="AY161" s="60"/>
      <c r="AZ161" s="95"/>
      <c r="BA161" s="60"/>
      <c r="BB161" s="60"/>
      <c r="BC161" s="60"/>
      <c r="BD161" s="60"/>
      <c r="BE161" s="75"/>
      <c r="BF161" s="64"/>
      <c r="BG161" s="64" t="s">
        <v>3558</v>
      </c>
      <c r="BH161" s="245">
        <v>673997</v>
      </c>
      <c r="BI161" s="64" t="s">
        <v>3551</v>
      </c>
      <c r="BJ161" s="229" t="s">
        <v>3552</v>
      </c>
    </row>
    <row r="162" spans="1:62" s="51" customFormat="1" ht="52.5" customHeight="1">
      <c r="A162" s="50">
        <v>9</v>
      </c>
      <c r="B162" s="160" t="s">
        <v>141</v>
      </c>
      <c r="C162" s="52">
        <v>12507</v>
      </c>
      <c r="D162" s="292">
        <v>3148321609</v>
      </c>
      <c r="E162" s="220" t="s">
        <v>397</v>
      </c>
      <c r="F162" s="130" t="s">
        <v>3562</v>
      </c>
      <c r="G162" s="10"/>
      <c r="H162" s="131"/>
      <c r="I162" s="55">
        <v>1</v>
      </c>
      <c r="J162" s="196">
        <v>2</v>
      </c>
      <c r="K162" s="52"/>
      <c r="L162" s="52" t="s">
        <v>502</v>
      </c>
      <c r="M162" s="295" t="s">
        <v>108</v>
      </c>
      <c r="N162" s="335">
        <v>41841</v>
      </c>
      <c r="O162" s="158">
        <f t="shared" si="3"/>
        <v>41841</v>
      </c>
      <c r="P162" s="133" t="s">
        <v>3644</v>
      </c>
      <c r="Q162" s="354" t="s">
        <v>1371</v>
      </c>
      <c r="R162" s="52" t="s">
        <v>505</v>
      </c>
      <c r="S162" s="295" t="s">
        <v>2444</v>
      </c>
      <c r="T162" s="79">
        <v>30265</v>
      </c>
      <c r="U162" s="64" t="s">
        <v>2443</v>
      </c>
      <c r="V162" s="64" t="s">
        <v>2445</v>
      </c>
      <c r="W162" s="64" t="s">
        <v>1885</v>
      </c>
      <c r="X162" s="64" t="s">
        <v>69</v>
      </c>
      <c r="Y162" s="295" t="s">
        <v>2890</v>
      </c>
      <c r="Z162" s="295" t="s">
        <v>1417</v>
      </c>
      <c r="AA162" s="64"/>
      <c r="AB162" s="302" t="s">
        <v>1458</v>
      </c>
      <c r="AC162" s="64" t="s">
        <v>505</v>
      </c>
      <c r="AD162" s="302" t="s">
        <v>20</v>
      </c>
      <c r="AE162" s="302" t="s">
        <v>165</v>
      </c>
      <c r="AF162" s="302" t="s">
        <v>946</v>
      </c>
      <c r="AG162" s="364" t="s">
        <v>3195</v>
      </c>
      <c r="AH162" s="114"/>
      <c r="AI162" s="302" t="s">
        <v>1481</v>
      </c>
      <c r="AJ162" s="64" t="s">
        <v>505</v>
      </c>
      <c r="AK162" s="302" t="s">
        <v>20</v>
      </c>
      <c r="AL162" s="302" t="s">
        <v>165</v>
      </c>
      <c r="AM162" s="302" t="s">
        <v>946</v>
      </c>
      <c r="AN162" s="364" t="s">
        <v>3453</v>
      </c>
      <c r="AO162" s="64"/>
      <c r="AP162" s="191" t="s">
        <v>2238</v>
      </c>
      <c r="AQ162" s="322"/>
      <c r="AR162" s="114"/>
      <c r="AS162" s="323"/>
      <c r="AT162" s="323"/>
      <c r="AU162" s="322"/>
      <c r="AV162" s="322"/>
      <c r="AW162" s="323"/>
      <c r="AX162" s="324"/>
      <c r="AY162" s="60"/>
      <c r="AZ162" s="95"/>
      <c r="BA162" s="60"/>
      <c r="BB162" s="60"/>
      <c r="BC162" s="60"/>
      <c r="BD162" s="60"/>
      <c r="BE162" s="75"/>
      <c r="BF162" s="64"/>
      <c r="BG162" s="64" t="s">
        <v>3558</v>
      </c>
      <c r="BH162" s="245">
        <v>673997</v>
      </c>
      <c r="BI162" s="64" t="s">
        <v>3551</v>
      </c>
      <c r="BJ162" s="229" t="s">
        <v>3552</v>
      </c>
    </row>
    <row r="163" spans="1:62" s="51" customFormat="1" ht="52.5" customHeight="1">
      <c r="A163" s="50">
        <v>10</v>
      </c>
      <c r="B163" s="160" t="s">
        <v>141</v>
      </c>
      <c r="C163" s="52">
        <v>12517</v>
      </c>
      <c r="D163" s="383" t="s">
        <v>2755</v>
      </c>
      <c r="E163" s="220" t="s">
        <v>398</v>
      </c>
      <c r="F163" s="130" t="s">
        <v>3562</v>
      </c>
      <c r="G163" s="10"/>
      <c r="H163" s="263"/>
      <c r="I163" s="55">
        <v>1</v>
      </c>
      <c r="J163" s="196">
        <v>0</v>
      </c>
      <c r="K163" s="52"/>
      <c r="L163" s="52" t="s">
        <v>502</v>
      </c>
      <c r="M163" s="295" t="s">
        <v>126</v>
      </c>
      <c r="N163" s="335">
        <v>41297</v>
      </c>
      <c r="O163" s="158">
        <f t="shared" si="3"/>
        <v>41297</v>
      </c>
      <c r="P163" s="133" t="s">
        <v>3645</v>
      </c>
      <c r="Q163" s="354" t="s">
        <v>1372</v>
      </c>
      <c r="R163" s="52" t="s">
        <v>505</v>
      </c>
      <c r="S163" s="295" t="s">
        <v>1395</v>
      </c>
      <c r="T163" s="79">
        <v>55571</v>
      </c>
      <c r="U163" s="64" t="s">
        <v>2123</v>
      </c>
      <c r="V163" s="64" t="s">
        <v>2441</v>
      </c>
      <c r="W163" s="64" t="s">
        <v>52</v>
      </c>
      <c r="X163" s="64" t="s">
        <v>696</v>
      </c>
      <c r="Y163" s="295" t="s">
        <v>1418</v>
      </c>
      <c r="Z163" s="295" t="s">
        <v>1419</v>
      </c>
      <c r="AA163" s="64"/>
      <c r="AB163" s="302" t="s">
        <v>1459</v>
      </c>
      <c r="AC163" s="64" t="s">
        <v>505</v>
      </c>
      <c r="AD163" s="302" t="s">
        <v>922</v>
      </c>
      <c r="AE163" s="302" t="s">
        <v>1057</v>
      </c>
      <c r="AF163" s="302" t="s">
        <v>948</v>
      </c>
      <c r="AG163" s="364" t="s">
        <v>3196</v>
      </c>
      <c r="AH163" s="114"/>
      <c r="AI163" s="302" t="s">
        <v>1482</v>
      </c>
      <c r="AJ163" s="64" t="s">
        <v>505</v>
      </c>
      <c r="AK163" s="302" t="s">
        <v>20</v>
      </c>
      <c r="AL163" s="302" t="s">
        <v>923</v>
      </c>
      <c r="AM163" s="302" t="s">
        <v>950</v>
      </c>
      <c r="AN163" s="364" t="s">
        <v>3454</v>
      </c>
      <c r="AO163" s="64"/>
      <c r="AP163" s="191" t="s">
        <v>2239</v>
      </c>
      <c r="AQ163" s="322"/>
      <c r="AR163" s="114"/>
      <c r="AS163" s="323"/>
      <c r="AT163" s="323"/>
      <c r="AU163" s="322"/>
      <c r="AV163" s="322"/>
      <c r="AW163" s="323"/>
      <c r="AX163" s="324"/>
      <c r="AY163" s="60"/>
      <c r="AZ163" s="95"/>
      <c r="BA163" s="60"/>
      <c r="BB163" s="60"/>
      <c r="BC163" s="60"/>
      <c r="BD163" s="60"/>
      <c r="BE163" s="75"/>
      <c r="BF163" s="64"/>
      <c r="BG163" s="64" t="s">
        <v>3558</v>
      </c>
      <c r="BH163" s="245">
        <v>673997</v>
      </c>
      <c r="BI163" s="64" t="s">
        <v>3551</v>
      </c>
      <c r="BJ163" s="229" t="s">
        <v>3552</v>
      </c>
    </row>
    <row r="164" spans="1:62" s="171" customFormat="1" ht="52.5" customHeight="1">
      <c r="A164" s="50">
        <v>11</v>
      </c>
      <c r="B164" s="160" t="s">
        <v>141</v>
      </c>
      <c r="C164" s="52">
        <v>12528</v>
      </c>
      <c r="D164" s="383" t="s">
        <v>2756</v>
      </c>
      <c r="E164" s="220" t="s">
        <v>399</v>
      </c>
      <c r="F164" s="130" t="s">
        <v>3562</v>
      </c>
      <c r="G164" s="10"/>
      <c r="H164" s="167"/>
      <c r="I164" s="168"/>
      <c r="J164" s="197"/>
      <c r="K164" s="165"/>
      <c r="L164" s="52" t="s">
        <v>502</v>
      </c>
      <c r="M164" s="295" t="s">
        <v>52</v>
      </c>
      <c r="N164" s="335">
        <v>41680</v>
      </c>
      <c r="O164" s="158">
        <f t="shared" si="3"/>
        <v>41680</v>
      </c>
      <c r="P164" s="133" t="s">
        <v>3646</v>
      </c>
      <c r="Q164" s="354" t="s">
        <v>1373</v>
      </c>
      <c r="R164" s="52" t="s">
        <v>505</v>
      </c>
      <c r="S164" s="295" t="s">
        <v>1396</v>
      </c>
      <c r="T164" s="228"/>
      <c r="U164" s="64" t="s">
        <v>2124</v>
      </c>
      <c r="V164" s="114" t="s">
        <v>2440</v>
      </c>
      <c r="W164" s="114" t="s">
        <v>52</v>
      </c>
      <c r="X164" s="114" t="s">
        <v>696</v>
      </c>
      <c r="Y164" s="295" t="s">
        <v>99</v>
      </c>
      <c r="Z164" s="295" t="s">
        <v>1420</v>
      </c>
      <c r="AA164" s="114"/>
      <c r="AB164" s="303" t="s">
        <v>1460</v>
      </c>
      <c r="AC164" s="64" t="s">
        <v>505</v>
      </c>
      <c r="AD164" s="302" t="s">
        <v>20</v>
      </c>
      <c r="AE164" s="302" t="s">
        <v>921</v>
      </c>
      <c r="AF164" s="302" t="s">
        <v>946</v>
      </c>
      <c r="AG164" s="364" t="s">
        <v>3197</v>
      </c>
      <c r="AH164" s="114"/>
      <c r="AI164" s="302" t="s">
        <v>1483</v>
      </c>
      <c r="AJ164" s="64" t="s">
        <v>505</v>
      </c>
      <c r="AK164" s="302" t="s">
        <v>20</v>
      </c>
      <c r="AL164" s="302" t="s">
        <v>921</v>
      </c>
      <c r="AM164" s="302" t="s">
        <v>948</v>
      </c>
      <c r="AN164" s="364" t="s">
        <v>3455</v>
      </c>
      <c r="AO164" s="114"/>
      <c r="AP164" s="191"/>
      <c r="AQ164" s="322"/>
      <c r="AR164" s="114"/>
      <c r="AS164" s="323"/>
      <c r="AT164" s="323"/>
      <c r="AU164" s="322"/>
      <c r="AV164" s="322"/>
      <c r="AW164" s="323"/>
      <c r="AX164" s="323"/>
      <c r="AY164" s="109"/>
      <c r="AZ164" s="95"/>
      <c r="BA164" s="109"/>
      <c r="BB164" s="109"/>
      <c r="BC164" s="109"/>
      <c r="BD164" s="109"/>
      <c r="BE164" s="113"/>
      <c r="BF164" s="114"/>
      <c r="BG164" s="64" t="s">
        <v>3558</v>
      </c>
      <c r="BH164" s="245">
        <v>673997</v>
      </c>
      <c r="BI164" s="64" t="s">
        <v>3551</v>
      </c>
      <c r="BJ164" s="229" t="s">
        <v>3552</v>
      </c>
    </row>
    <row r="165" spans="1:62" s="51" customFormat="1" ht="52.5" customHeight="1">
      <c r="A165" s="50">
        <v>12</v>
      </c>
      <c r="B165" s="160" t="s">
        <v>141</v>
      </c>
      <c r="C165" s="52">
        <v>12544</v>
      </c>
      <c r="D165" s="383" t="s">
        <v>2757</v>
      </c>
      <c r="E165" s="220" t="s">
        <v>400</v>
      </c>
      <c r="F165" s="130" t="s">
        <v>3562</v>
      </c>
      <c r="G165" s="10"/>
      <c r="H165" s="131"/>
      <c r="I165" s="55">
        <v>1</v>
      </c>
      <c r="J165" s="196">
        <v>1</v>
      </c>
      <c r="K165" s="52"/>
      <c r="L165" s="52" t="s">
        <v>502</v>
      </c>
      <c r="M165" s="295" t="s">
        <v>52</v>
      </c>
      <c r="N165" s="335">
        <v>41542</v>
      </c>
      <c r="O165" s="158">
        <f t="shared" si="3"/>
        <v>41542</v>
      </c>
      <c r="P165" s="133" t="s">
        <v>3647</v>
      </c>
      <c r="Q165" s="354" t="s">
        <v>1374</v>
      </c>
      <c r="R165" s="52" t="s">
        <v>505</v>
      </c>
      <c r="S165" s="295" t="s">
        <v>1397</v>
      </c>
      <c r="T165" s="79">
        <v>55572</v>
      </c>
      <c r="U165" s="64" t="s">
        <v>2125</v>
      </c>
      <c r="V165" s="64" t="s">
        <v>2155</v>
      </c>
      <c r="W165" s="64" t="s">
        <v>52</v>
      </c>
      <c r="X165" s="64" t="s">
        <v>696</v>
      </c>
      <c r="Y165" s="295" t="s">
        <v>1421</v>
      </c>
      <c r="Z165" s="295" t="s">
        <v>1422</v>
      </c>
      <c r="AA165" s="64"/>
      <c r="AB165" s="302" t="s">
        <v>1461</v>
      </c>
      <c r="AC165" s="64" t="s">
        <v>505</v>
      </c>
      <c r="AD165" s="302" t="s">
        <v>922</v>
      </c>
      <c r="AE165" s="302" t="s">
        <v>165</v>
      </c>
      <c r="AF165" s="302" t="s">
        <v>951</v>
      </c>
      <c r="AG165" s="364" t="s">
        <v>3198</v>
      </c>
      <c r="AH165" s="114"/>
      <c r="AI165" s="302" t="s">
        <v>1484</v>
      </c>
      <c r="AJ165" s="64" t="s">
        <v>505</v>
      </c>
      <c r="AK165" s="302" t="s">
        <v>30</v>
      </c>
      <c r="AL165" s="302" t="s">
        <v>924</v>
      </c>
      <c r="AM165" s="302" t="s">
        <v>949</v>
      </c>
      <c r="AN165" s="364" t="s">
        <v>3456</v>
      </c>
      <c r="AO165" s="64"/>
      <c r="AP165" s="191" t="s">
        <v>2240</v>
      </c>
      <c r="AQ165" s="322"/>
      <c r="AR165" s="114"/>
      <c r="AS165" s="323"/>
      <c r="AT165" s="323"/>
      <c r="AU165" s="322"/>
      <c r="AV165" s="322"/>
      <c r="AW165" s="323"/>
      <c r="AX165" s="324"/>
      <c r="AY165" s="60"/>
      <c r="AZ165" s="95"/>
      <c r="BA165" s="60"/>
      <c r="BB165" s="60"/>
      <c r="BC165" s="60"/>
      <c r="BD165" s="60"/>
      <c r="BE165" s="75"/>
      <c r="BF165" s="64"/>
      <c r="BG165" s="64" t="s">
        <v>3558</v>
      </c>
      <c r="BH165" s="245">
        <v>673997</v>
      </c>
      <c r="BI165" s="64" t="s">
        <v>3551</v>
      </c>
      <c r="BJ165" s="229" t="s">
        <v>3552</v>
      </c>
    </row>
    <row r="166" spans="1:62" s="51" customFormat="1" ht="52.5" customHeight="1">
      <c r="A166" s="166">
        <v>13</v>
      </c>
      <c r="B166" s="160" t="s">
        <v>141</v>
      </c>
      <c r="C166" s="52">
        <v>12560</v>
      </c>
      <c r="D166" s="384" t="s">
        <v>2758</v>
      </c>
      <c r="E166" s="220" t="s">
        <v>401</v>
      </c>
      <c r="F166" s="130" t="s">
        <v>3562</v>
      </c>
      <c r="G166" s="10"/>
      <c r="H166" s="131"/>
      <c r="I166" s="55">
        <v>2</v>
      </c>
      <c r="J166" s="196">
        <v>4</v>
      </c>
      <c r="K166" s="52"/>
      <c r="L166" s="52" t="s">
        <v>502</v>
      </c>
      <c r="M166" s="300" t="s">
        <v>37</v>
      </c>
      <c r="N166" s="340">
        <v>41471</v>
      </c>
      <c r="O166" s="158">
        <f t="shared" si="3"/>
        <v>41471</v>
      </c>
      <c r="P166" s="133" t="s">
        <v>3648</v>
      </c>
      <c r="Q166" s="356">
        <v>6471041607130000</v>
      </c>
      <c r="R166" s="52" t="s">
        <v>505</v>
      </c>
      <c r="S166" s="300" t="s">
        <v>2241</v>
      </c>
      <c r="T166" s="79"/>
      <c r="U166" s="64" t="s">
        <v>2446</v>
      </c>
      <c r="V166" s="64" t="s">
        <v>2447</v>
      </c>
      <c r="W166" s="64" t="s">
        <v>2158</v>
      </c>
      <c r="X166" s="64" t="s">
        <v>36</v>
      </c>
      <c r="Y166" s="300" t="s">
        <v>1423</v>
      </c>
      <c r="Z166" s="300"/>
      <c r="AA166" s="64"/>
      <c r="AB166" s="326" t="s">
        <v>1462</v>
      </c>
      <c r="AC166" s="64" t="s">
        <v>505</v>
      </c>
      <c r="AD166" s="326" t="s">
        <v>22</v>
      </c>
      <c r="AE166" s="326" t="s">
        <v>1734</v>
      </c>
      <c r="AF166" s="326"/>
      <c r="AG166" s="397" t="s">
        <v>3199</v>
      </c>
      <c r="AH166" s="114"/>
      <c r="AI166" s="326" t="s">
        <v>1485</v>
      </c>
      <c r="AJ166" s="64" t="s">
        <v>505</v>
      </c>
      <c r="AK166" s="326" t="s">
        <v>22</v>
      </c>
      <c r="AL166" s="326" t="s">
        <v>520</v>
      </c>
      <c r="AM166" s="326"/>
      <c r="AN166" s="397" t="s">
        <v>3457</v>
      </c>
      <c r="AO166" s="64"/>
      <c r="AP166" s="191" t="s">
        <v>2242</v>
      </c>
      <c r="AQ166" s="322"/>
      <c r="AR166" s="114"/>
      <c r="AS166" s="323"/>
      <c r="AT166" s="323"/>
      <c r="AU166" s="322"/>
      <c r="AV166" s="322"/>
      <c r="AW166" s="323"/>
      <c r="AX166" s="324"/>
      <c r="AY166" s="60"/>
      <c r="AZ166" s="95"/>
      <c r="BA166" s="60"/>
      <c r="BB166" s="60"/>
      <c r="BC166" s="60"/>
      <c r="BD166" s="60"/>
      <c r="BE166" s="75"/>
      <c r="BF166" s="64"/>
      <c r="BG166" s="64" t="s">
        <v>3558</v>
      </c>
      <c r="BH166" s="245">
        <v>673997</v>
      </c>
      <c r="BI166" s="64" t="s">
        <v>3551</v>
      </c>
      <c r="BJ166" s="229" t="s">
        <v>3552</v>
      </c>
    </row>
    <row r="167" spans="1:62" s="51" customFormat="1" ht="52.5" customHeight="1">
      <c r="A167" s="50">
        <v>14</v>
      </c>
      <c r="B167" s="160" t="s">
        <v>141</v>
      </c>
      <c r="C167" s="165">
        <v>12564</v>
      </c>
      <c r="D167" s="383" t="s">
        <v>2759</v>
      </c>
      <c r="E167" s="220" t="s">
        <v>402</v>
      </c>
      <c r="F167" s="130" t="s">
        <v>3562</v>
      </c>
      <c r="G167" s="10"/>
      <c r="H167" s="263"/>
      <c r="I167" s="55">
        <v>1</v>
      </c>
      <c r="J167" s="196">
        <v>1</v>
      </c>
      <c r="K167" s="52"/>
      <c r="L167" s="52" t="s">
        <v>502</v>
      </c>
      <c r="M167" s="295" t="s">
        <v>23</v>
      </c>
      <c r="N167" s="335">
        <v>41529</v>
      </c>
      <c r="O167" s="158">
        <f t="shared" si="3"/>
        <v>41529</v>
      </c>
      <c r="P167" s="133" t="s">
        <v>3623</v>
      </c>
      <c r="Q167" s="354">
        <v>340212109130003</v>
      </c>
      <c r="R167" s="52" t="s">
        <v>505</v>
      </c>
      <c r="S167" s="295" t="s">
        <v>1398</v>
      </c>
      <c r="T167" s="79">
        <v>55571</v>
      </c>
      <c r="U167" s="64" t="s">
        <v>2126</v>
      </c>
      <c r="V167" s="64" t="s">
        <v>2441</v>
      </c>
      <c r="W167" s="64" t="s">
        <v>52</v>
      </c>
      <c r="X167" s="64" t="s">
        <v>696</v>
      </c>
      <c r="Y167" s="295" t="s">
        <v>1424</v>
      </c>
      <c r="Z167" s="295" t="s">
        <v>1425</v>
      </c>
      <c r="AA167" s="64"/>
      <c r="AB167" s="302" t="s">
        <v>1463</v>
      </c>
      <c r="AC167" s="64" t="s">
        <v>505</v>
      </c>
      <c r="AD167" s="302" t="s">
        <v>30</v>
      </c>
      <c r="AE167" s="302" t="s">
        <v>924</v>
      </c>
      <c r="AF167" s="302" t="s">
        <v>949</v>
      </c>
      <c r="AG167" s="364" t="s">
        <v>3200</v>
      </c>
      <c r="AH167" s="114"/>
      <c r="AI167" s="302" t="s">
        <v>1486</v>
      </c>
      <c r="AJ167" s="64" t="s">
        <v>505</v>
      </c>
      <c r="AK167" s="302" t="s">
        <v>30</v>
      </c>
      <c r="AL167" s="302" t="s">
        <v>924</v>
      </c>
      <c r="AM167" s="302" t="s">
        <v>949</v>
      </c>
      <c r="AN167" s="364" t="s">
        <v>3458</v>
      </c>
      <c r="AO167" s="64"/>
      <c r="AP167" s="191" t="s">
        <v>2243</v>
      </c>
      <c r="AQ167" s="322"/>
      <c r="AR167" s="114"/>
      <c r="AS167" s="323"/>
      <c r="AT167" s="323"/>
      <c r="AU167" s="322"/>
      <c r="AV167" s="322"/>
      <c r="AW167" s="323"/>
      <c r="AX167" s="324"/>
      <c r="AY167" s="60"/>
      <c r="AZ167" s="95"/>
      <c r="BA167" s="60"/>
      <c r="BB167" s="60"/>
      <c r="BC167" s="60"/>
      <c r="BD167" s="60"/>
      <c r="BE167" s="75"/>
      <c r="BF167" s="64"/>
      <c r="BG167" s="64" t="s">
        <v>3558</v>
      </c>
      <c r="BH167" s="245">
        <v>673997</v>
      </c>
      <c r="BI167" s="64" t="s">
        <v>3551</v>
      </c>
      <c r="BJ167" s="229" t="s">
        <v>3552</v>
      </c>
    </row>
    <row r="168" spans="1:62" s="51" customFormat="1" ht="52.5" customHeight="1">
      <c r="A168" s="50">
        <v>15</v>
      </c>
      <c r="B168" s="160" t="s">
        <v>141</v>
      </c>
      <c r="C168" s="271">
        <v>12585</v>
      </c>
      <c r="D168" s="383" t="s">
        <v>2760</v>
      </c>
      <c r="E168" s="220" t="s">
        <v>403</v>
      </c>
      <c r="F168" s="130" t="s">
        <v>3562</v>
      </c>
      <c r="G168" s="10"/>
      <c r="H168" s="131"/>
      <c r="I168" s="55">
        <v>1</v>
      </c>
      <c r="J168" s="196">
        <v>1</v>
      </c>
      <c r="K168" s="52"/>
      <c r="L168" s="52" t="s">
        <v>502</v>
      </c>
      <c r="M168" s="295" t="s">
        <v>27</v>
      </c>
      <c r="N168" s="335">
        <v>41507</v>
      </c>
      <c r="O168" s="158">
        <f t="shared" si="3"/>
        <v>41507</v>
      </c>
      <c r="P168" s="133" t="s">
        <v>3649</v>
      </c>
      <c r="Q168" s="354" t="s">
        <v>1375</v>
      </c>
      <c r="R168" s="52" t="s">
        <v>505</v>
      </c>
      <c r="S168" s="295" t="s">
        <v>2451</v>
      </c>
      <c r="T168" s="79">
        <v>16967</v>
      </c>
      <c r="U168" s="64" t="s">
        <v>2453</v>
      </c>
      <c r="V168" s="64" t="s">
        <v>2452</v>
      </c>
      <c r="W168" s="64" t="s">
        <v>2216</v>
      </c>
      <c r="X168" s="64" t="s">
        <v>40</v>
      </c>
      <c r="Y168" s="295" t="s">
        <v>1426</v>
      </c>
      <c r="Z168" s="295" t="s">
        <v>1427</v>
      </c>
      <c r="AA168" s="64"/>
      <c r="AB168" s="302" t="s">
        <v>1464</v>
      </c>
      <c r="AC168" s="64" t="s">
        <v>505</v>
      </c>
      <c r="AD168" s="302" t="s">
        <v>20</v>
      </c>
      <c r="AE168" s="302" t="s">
        <v>921</v>
      </c>
      <c r="AF168" s="302" t="s">
        <v>947</v>
      </c>
      <c r="AG168" s="364" t="s">
        <v>3201</v>
      </c>
      <c r="AH168" s="114"/>
      <c r="AI168" s="302" t="s">
        <v>1487</v>
      </c>
      <c r="AJ168" s="64" t="s">
        <v>505</v>
      </c>
      <c r="AK168" s="302" t="s">
        <v>922</v>
      </c>
      <c r="AL168" s="302" t="s">
        <v>165</v>
      </c>
      <c r="AM168" s="302" t="s">
        <v>949</v>
      </c>
      <c r="AN168" s="364" t="s">
        <v>3459</v>
      </c>
      <c r="AO168" s="64"/>
      <c r="AP168" s="191" t="s">
        <v>2244</v>
      </c>
      <c r="AQ168" s="322"/>
      <c r="AR168" s="114"/>
      <c r="AS168" s="323"/>
      <c r="AT168" s="323"/>
      <c r="AU168" s="322"/>
      <c r="AV168" s="322"/>
      <c r="AW168" s="323"/>
      <c r="AX168" s="324"/>
      <c r="AY168" s="60"/>
      <c r="AZ168" s="95"/>
      <c r="BA168" s="60"/>
      <c r="BB168" s="60"/>
      <c r="BC168" s="60"/>
      <c r="BD168" s="60"/>
      <c r="BE168" s="75"/>
      <c r="BF168" s="64"/>
      <c r="BG168" s="64" t="s">
        <v>3558</v>
      </c>
      <c r="BH168" s="245">
        <v>673997</v>
      </c>
      <c r="BI168" s="64" t="s">
        <v>3551</v>
      </c>
      <c r="BJ168" s="229" t="s">
        <v>3552</v>
      </c>
    </row>
    <row r="169" spans="1:62" s="51" customFormat="1" ht="52.5" customHeight="1">
      <c r="A169" s="50">
        <v>16</v>
      </c>
      <c r="B169" s="160" t="s">
        <v>141</v>
      </c>
      <c r="C169" s="271">
        <v>12591</v>
      </c>
      <c r="D169" s="292">
        <v>313735049</v>
      </c>
      <c r="E169" s="220" t="s">
        <v>404</v>
      </c>
      <c r="F169" s="130" t="s">
        <v>3562</v>
      </c>
      <c r="G169" s="10"/>
      <c r="H169" s="131"/>
      <c r="I169" s="55">
        <v>2</v>
      </c>
      <c r="J169" s="196">
        <v>2</v>
      </c>
      <c r="K169" s="52"/>
      <c r="L169" s="52" t="s">
        <v>502</v>
      </c>
      <c r="M169" s="295" t="s">
        <v>956</v>
      </c>
      <c r="N169" s="335">
        <v>41590</v>
      </c>
      <c r="O169" s="158">
        <f t="shared" si="3"/>
        <v>41590</v>
      </c>
      <c r="P169" s="133" t="s">
        <v>3628</v>
      </c>
      <c r="Q169" s="354" t="s">
        <v>1376</v>
      </c>
      <c r="R169" s="52" t="s">
        <v>505</v>
      </c>
      <c r="S169" s="295" t="s">
        <v>2849</v>
      </c>
      <c r="T169" s="79"/>
      <c r="U169" s="64" t="s">
        <v>2454</v>
      </c>
      <c r="V169" s="64" t="s">
        <v>2454</v>
      </c>
      <c r="W169" s="64" t="s">
        <v>2084</v>
      </c>
      <c r="X169" s="64" t="s">
        <v>29</v>
      </c>
      <c r="Y169" s="295" t="s">
        <v>2891</v>
      </c>
      <c r="Z169" s="295" t="s">
        <v>1428</v>
      </c>
      <c r="AA169" s="64"/>
      <c r="AB169" s="302" t="s">
        <v>2939</v>
      </c>
      <c r="AC169" s="64" t="s">
        <v>505</v>
      </c>
      <c r="AD169" s="302" t="s">
        <v>20</v>
      </c>
      <c r="AE169" s="302" t="s">
        <v>1057</v>
      </c>
      <c r="AF169" s="302" t="s">
        <v>948</v>
      </c>
      <c r="AG169" s="364" t="s">
        <v>3202</v>
      </c>
      <c r="AH169" s="114"/>
      <c r="AI169" s="302" t="s">
        <v>2981</v>
      </c>
      <c r="AJ169" s="64" t="s">
        <v>505</v>
      </c>
      <c r="AK169" s="302" t="s">
        <v>22</v>
      </c>
      <c r="AL169" s="302" t="s">
        <v>1080</v>
      </c>
      <c r="AM169" s="302" t="s">
        <v>949</v>
      </c>
      <c r="AN169" s="364" t="s">
        <v>3460</v>
      </c>
      <c r="AO169" s="64"/>
      <c r="AP169" s="191" t="s">
        <v>2245</v>
      </c>
      <c r="AQ169" s="322"/>
      <c r="AR169" s="114"/>
      <c r="AS169" s="323"/>
      <c r="AT169" s="323"/>
      <c r="AU169" s="322"/>
      <c r="AV169" s="322"/>
      <c r="AW169" s="323"/>
      <c r="AX169" s="324"/>
      <c r="AY169" s="60"/>
      <c r="AZ169" s="95"/>
      <c r="BA169" s="60"/>
      <c r="BB169" s="60"/>
      <c r="BC169" s="60"/>
      <c r="BD169" s="60"/>
      <c r="BE169" s="75"/>
      <c r="BF169" s="64"/>
      <c r="BG169" s="64" t="s">
        <v>3558</v>
      </c>
      <c r="BH169" s="245">
        <v>673997</v>
      </c>
      <c r="BI169" s="64" t="s">
        <v>3551</v>
      </c>
      <c r="BJ169" s="229" t="s">
        <v>3552</v>
      </c>
    </row>
    <row r="170" spans="1:62" s="171" customFormat="1" ht="52.5" customHeight="1">
      <c r="A170" s="50">
        <v>17</v>
      </c>
      <c r="B170" s="160" t="s">
        <v>141</v>
      </c>
      <c r="C170" s="52">
        <v>12592</v>
      </c>
      <c r="D170" s="292">
        <v>3146417745</v>
      </c>
      <c r="E170" s="220" t="s">
        <v>405</v>
      </c>
      <c r="F170" s="130" t="s">
        <v>3562</v>
      </c>
      <c r="G170" s="10"/>
      <c r="H170" s="167"/>
      <c r="I170" s="168">
        <v>1</v>
      </c>
      <c r="J170" s="197">
        <v>1</v>
      </c>
      <c r="K170" s="165"/>
      <c r="L170" s="52" t="s">
        <v>502</v>
      </c>
      <c r="M170" s="295" t="s">
        <v>23</v>
      </c>
      <c r="N170" s="336">
        <v>41838</v>
      </c>
      <c r="O170" s="158">
        <f t="shared" si="3"/>
        <v>41838</v>
      </c>
      <c r="P170" s="133" t="s">
        <v>3650</v>
      </c>
      <c r="Q170" s="354" t="s">
        <v>1377</v>
      </c>
      <c r="R170" s="52" t="s">
        <v>505</v>
      </c>
      <c r="S170" s="295" t="s">
        <v>1399</v>
      </c>
      <c r="T170" s="228">
        <v>55283</v>
      </c>
      <c r="U170" s="114" t="s">
        <v>2442</v>
      </c>
      <c r="V170" s="114" t="s">
        <v>1081</v>
      </c>
      <c r="W170" s="114" t="s">
        <v>52</v>
      </c>
      <c r="X170" s="114" t="s">
        <v>696</v>
      </c>
      <c r="Y170" s="295" t="s">
        <v>131</v>
      </c>
      <c r="Z170" s="295" t="s">
        <v>1429</v>
      </c>
      <c r="AA170" s="114"/>
      <c r="AB170" s="302" t="s">
        <v>1465</v>
      </c>
      <c r="AC170" s="64" t="s">
        <v>505</v>
      </c>
      <c r="AD170" s="302" t="s">
        <v>20</v>
      </c>
      <c r="AE170" s="302" t="s">
        <v>924</v>
      </c>
      <c r="AF170" s="302" t="s">
        <v>948</v>
      </c>
      <c r="AG170" s="364" t="s">
        <v>3203</v>
      </c>
      <c r="AH170" s="114"/>
      <c r="AI170" s="302" t="s">
        <v>1488</v>
      </c>
      <c r="AJ170" s="64" t="s">
        <v>505</v>
      </c>
      <c r="AK170" s="302" t="s">
        <v>30</v>
      </c>
      <c r="AL170" s="302" t="s">
        <v>921</v>
      </c>
      <c r="AM170" s="302" t="s">
        <v>946</v>
      </c>
      <c r="AN170" s="364" t="s">
        <v>3461</v>
      </c>
      <c r="AO170" s="114"/>
      <c r="AP170" s="191" t="s">
        <v>2246</v>
      </c>
      <c r="AQ170" s="322"/>
      <c r="AR170" s="114"/>
      <c r="AS170" s="323"/>
      <c r="AT170" s="323"/>
      <c r="AU170" s="322"/>
      <c r="AV170" s="114"/>
      <c r="AW170" s="323"/>
      <c r="AX170" s="323"/>
      <c r="AY170" s="109"/>
      <c r="AZ170" s="95"/>
      <c r="BA170" s="109"/>
      <c r="BB170" s="109"/>
      <c r="BC170" s="109"/>
      <c r="BD170" s="109"/>
      <c r="BE170" s="113"/>
      <c r="BF170" s="114"/>
      <c r="BG170" s="64" t="s">
        <v>3558</v>
      </c>
      <c r="BH170" s="245">
        <v>673997</v>
      </c>
      <c r="BI170" s="64" t="s">
        <v>3551</v>
      </c>
      <c r="BJ170" s="229" t="s">
        <v>3552</v>
      </c>
    </row>
    <row r="171" spans="1:62" s="51" customFormat="1" ht="47.25">
      <c r="A171" s="50">
        <v>18</v>
      </c>
      <c r="B171" s="160" t="s">
        <v>141</v>
      </c>
      <c r="C171" s="271">
        <v>12594</v>
      </c>
      <c r="D171" s="383" t="s">
        <v>2761</v>
      </c>
      <c r="E171" s="220" t="s">
        <v>406</v>
      </c>
      <c r="F171" s="130" t="s">
        <v>3562</v>
      </c>
      <c r="G171" s="10"/>
      <c r="H171" s="263"/>
      <c r="I171" s="55">
        <v>1</v>
      </c>
      <c r="J171" s="196">
        <v>1</v>
      </c>
      <c r="K171" s="52"/>
      <c r="L171" s="52" t="s">
        <v>502</v>
      </c>
      <c r="M171" s="295" t="s">
        <v>23</v>
      </c>
      <c r="N171" s="335">
        <v>41751</v>
      </c>
      <c r="O171" s="158">
        <f t="shared" si="3"/>
        <v>41751</v>
      </c>
      <c r="P171" s="133" t="s">
        <v>3651</v>
      </c>
      <c r="Q171" s="354" t="s">
        <v>1378</v>
      </c>
      <c r="R171" s="52" t="s">
        <v>505</v>
      </c>
      <c r="S171" s="295" t="s">
        <v>2456</v>
      </c>
      <c r="T171" s="79">
        <v>57452</v>
      </c>
      <c r="U171" s="64" t="s">
        <v>2127</v>
      </c>
      <c r="V171" s="64" t="s">
        <v>2455</v>
      </c>
      <c r="W171" s="64" t="s">
        <v>89</v>
      </c>
      <c r="X171" s="64" t="s">
        <v>29</v>
      </c>
      <c r="Y171" s="295" t="s">
        <v>2892</v>
      </c>
      <c r="Z171" s="295" t="s">
        <v>1430</v>
      </c>
      <c r="AA171" s="64"/>
      <c r="AB171" s="302" t="s">
        <v>1466</v>
      </c>
      <c r="AC171" s="64" t="s">
        <v>505</v>
      </c>
      <c r="AD171" s="302" t="s">
        <v>20</v>
      </c>
      <c r="AE171" s="302" t="s">
        <v>921</v>
      </c>
      <c r="AF171" s="302" t="s">
        <v>946</v>
      </c>
      <c r="AG171" s="364" t="s">
        <v>3204</v>
      </c>
      <c r="AH171" s="114"/>
      <c r="AI171" s="302" t="s">
        <v>1489</v>
      </c>
      <c r="AJ171" s="64" t="s">
        <v>505</v>
      </c>
      <c r="AK171" s="302" t="s">
        <v>22</v>
      </c>
      <c r="AL171" s="302" t="s">
        <v>923</v>
      </c>
      <c r="AM171" s="302" t="s">
        <v>950</v>
      </c>
      <c r="AN171" s="364" t="s">
        <v>3462</v>
      </c>
      <c r="AO171" s="64"/>
      <c r="AP171" s="191" t="s">
        <v>2247</v>
      </c>
      <c r="AQ171" s="342"/>
      <c r="AR171" s="228"/>
      <c r="AS171" s="337"/>
      <c r="AT171" s="323"/>
      <c r="AU171" s="322"/>
      <c r="AV171" s="114"/>
      <c r="AW171" s="323"/>
      <c r="AX171" s="324"/>
      <c r="AY171" s="60"/>
      <c r="AZ171" s="95"/>
      <c r="BA171" s="60"/>
      <c r="BB171" s="60"/>
      <c r="BC171" s="60"/>
      <c r="BD171" s="60"/>
      <c r="BE171" s="75"/>
      <c r="BF171" s="64"/>
      <c r="BG171" s="64" t="s">
        <v>3558</v>
      </c>
      <c r="BH171" s="245">
        <v>673997</v>
      </c>
      <c r="BI171" s="64" t="s">
        <v>3551</v>
      </c>
      <c r="BJ171" s="229" t="s">
        <v>3552</v>
      </c>
    </row>
    <row r="172" spans="1:62" s="51" customFormat="1" ht="52.5" customHeight="1">
      <c r="A172" s="166">
        <v>19</v>
      </c>
      <c r="B172" s="160" t="s">
        <v>141</v>
      </c>
      <c r="C172" s="52">
        <v>12597</v>
      </c>
      <c r="D172" s="292">
        <v>3134724300</v>
      </c>
      <c r="E172" s="220" t="s">
        <v>407</v>
      </c>
      <c r="F172" s="130" t="s">
        <v>3562</v>
      </c>
      <c r="G172" s="10"/>
      <c r="H172" s="131"/>
      <c r="I172" s="55">
        <v>2</v>
      </c>
      <c r="J172" s="196">
        <v>1</v>
      </c>
      <c r="K172" s="52"/>
      <c r="L172" s="52" t="s">
        <v>502</v>
      </c>
      <c r="M172" s="295" t="s">
        <v>52</v>
      </c>
      <c r="N172" s="335">
        <v>41516</v>
      </c>
      <c r="O172" s="158">
        <f t="shared" si="3"/>
        <v>41516</v>
      </c>
      <c r="P172" s="133" t="s">
        <v>3652</v>
      </c>
      <c r="Q172" s="354" t="s">
        <v>1379</v>
      </c>
      <c r="R172" s="52" t="s">
        <v>505</v>
      </c>
      <c r="S172" s="295" t="s">
        <v>1400</v>
      </c>
      <c r="T172" s="79">
        <v>55551</v>
      </c>
      <c r="U172" s="64" t="s">
        <v>2448</v>
      </c>
      <c r="V172" s="64" t="s">
        <v>2449</v>
      </c>
      <c r="W172" s="64" t="s">
        <v>52</v>
      </c>
      <c r="X172" s="64" t="s">
        <v>696</v>
      </c>
      <c r="Y172" s="295" t="s">
        <v>1431</v>
      </c>
      <c r="Z172" s="295" t="s">
        <v>1432</v>
      </c>
      <c r="AA172" s="64"/>
      <c r="AB172" s="302" t="s">
        <v>1467</v>
      </c>
      <c r="AC172" s="64" t="s">
        <v>505</v>
      </c>
      <c r="AD172" s="302" t="s">
        <v>20</v>
      </c>
      <c r="AE172" s="302" t="s">
        <v>921</v>
      </c>
      <c r="AF172" s="302" t="s">
        <v>948</v>
      </c>
      <c r="AG172" s="364" t="s">
        <v>3205</v>
      </c>
      <c r="AH172" s="114"/>
      <c r="AI172" s="302" t="s">
        <v>1490</v>
      </c>
      <c r="AJ172" s="64" t="s">
        <v>505</v>
      </c>
      <c r="AK172" s="302" t="s">
        <v>20</v>
      </c>
      <c r="AL172" s="302" t="s">
        <v>921</v>
      </c>
      <c r="AM172" s="302" t="s">
        <v>949</v>
      </c>
      <c r="AN172" s="364" t="s">
        <v>3463</v>
      </c>
      <c r="AO172" s="64"/>
      <c r="AP172" s="191" t="s">
        <v>2248</v>
      </c>
      <c r="AQ172" s="322"/>
      <c r="AR172" s="114"/>
      <c r="AS172" s="323"/>
      <c r="AT172" s="323"/>
      <c r="AU172" s="322"/>
      <c r="AV172" s="322"/>
      <c r="AW172" s="323"/>
      <c r="AX172" s="324"/>
      <c r="AY172" s="60"/>
      <c r="AZ172" s="95"/>
      <c r="BA172" s="60"/>
      <c r="BB172" s="60"/>
      <c r="BC172" s="60"/>
      <c r="BD172" s="60"/>
      <c r="BE172" s="75"/>
      <c r="BF172" s="64"/>
      <c r="BG172" s="64" t="s">
        <v>3558</v>
      </c>
      <c r="BH172" s="245">
        <v>673997</v>
      </c>
      <c r="BI172" s="64" t="s">
        <v>3551</v>
      </c>
      <c r="BJ172" s="229" t="s">
        <v>3552</v>
      </c>
    </row>
    <row r="173" spans="1:62" s="51" customFormat="1" ht="52.5" customHeight="1">
      <c r="A173" s="50">
        <v>20</v>
      </c>
      <c r="B173" s="160" t="s">
        <v>141</v>
      </c>
      <c r="C173" s="52">
        <v>12598</v>
      </c>
      <c r="D173" s="383" t="s">
        <v>2762</v>
      </c>
      <c r="E173" s="220" t="s">
        <v>408</v>
      </c>
      <c r="F173" s="130" t="s">
        <v>3562</v>
      </c>
      <c r="G173" s="10"/>
      <c r="H173" s="131"/>
      <c r="I173" s="55">
        <v>1</v>
      </c>
      <c r="J173" s="196">
        <v>0</v>
      </c>
      <c r="K173" s="52"/>
      <c r="L173" s="52" t="s">
        <v>502</v>
      </c>
      <c r="M173" s="295" t="s">
        <v>89</v>
      </c>
      <c r="N173" s="335">
        <v>41500</v>
      </c>
      <c r="O173" s="158">
        <f t="shared" si="3"/>
        <v>41500</v>
      </c>
      <c r="P173" s="133" t="s">
        <v>3592</v>
      </c>
      <c r="Q173" s="354" t="s">
        <v>1380</v>
      </c>
      <c r="R173" s="52" t="s">
        <v>505</v>
      </c>
      <c r="S173" s="295" t="s">
        <v>2458</v>
      </c>
      <c r="T173" s="79">
        <v>57461</v>
      </c>
      <c r="U173" s="64" t="s">
        <v>2450</v>
      </c>
      <c r="V173" s="64" t="s">
        <v>2457</v>
      </c>
      <c r="W173" s="64" t="s">
        <v>89</v>
      </c>
      <c r="X173" s="64" t="s">
        <v>29</v>
      </c>
      <c r="Y173" s="295" t="s">
        <v>1433</v>
      </c>
      <c r="Z173" s="295" t="s">
        <v>1434</v>
      </c>
      <c r="AA173" s="64"/>
      <c r="AB173" s="302" t="s">
        <v>1468</v>
      </c>
      <c r="AC173" s="64" t="s">
        <v>505</v>
      </c>
      <c r="AD173" s="302" t="s">
        <v>20</v>
      </c>
      <c r="AE173" s="302" t="s">
        <v>165</v>
      </c>
      <c r="AF173" s="302" t="s">
        <v>946</v>
      </c>
      <c r="AG173" s="364" t="s">
        <v>3206</v>
      </c>
      <c r="AH173" s="114"/>
      <c r="AI173" s="302" t="s">
        <v>1491</v>
      </c>
      <c r="AJ173" s="64" t="s">
        <v>505</v>
      </c>
      <c r="AK173" s="302" t="s">
        <v>20</v>
      </c>
      <c r="AL173" s="302" t="s">
        <v>923</v>
      </c>
      <c r="AM173" s="302" t="s">
        <v>950</v>
      </c>
      <c r="AN173" s="364" t="s">
        <v>3464</v>
      </c>
      <c r="AO173" s="64"/>
      <c r="AP173" s="191" t="s">
        <v>2249</v>
      </c>
      <c r="AQ173" s="322"/>
      <c r="AR173" s="114"/>
      <c r="AS173" s="323"/>
      <c r="AT173" s="323"/>
      <c r="AU173" s="322"/>
      <c r="AV173" s="322"/>
      <c r="AW173" s="323"/>
      <c r="AX173" s="324"/>
      <c r="AY173" s="60"/>
      <c r="AZ173" s="95"/>
      <c r="BA173" s="60"/>
      <c r="BB173" s="60"/>
      <c r="BC173" s="60"/>
      <c r="BD173" s="60"/>
      <c r="BE173" s="75"/>
      <c r="BF173" s="64"/>
      <c r="BG173" s="64" t="s">
        <v>3558</v>
      </c>
      <c r="BH173" s="245">
        <v>673997</v>
      </c>
      <c r="BI173" s="64" t="s">
        <v>3551</v>
      </c>
      <c r="BJ173" s="229" t="s">
        <v>3552</v>
      </c>
    </row>
    <row r="174" spans="1:62" s="51" customFormat="1" ht="52.5" customHeight="1">
      <c r="A174" s="50">
        <v>21</v>
      </c>
      <c r="B174" s="160" t="s">
        <v>141</v>
      </c>
      <c r="C174" s="271">
        <v>12599</v>
      </c>
      <c r="D174" s="383" t="s">
        <v>2763</v>
      </c>
      <c r="E174" s="220" t="s">
        <v>2250</v>
      </c>
      <c r="F174" s="130" t="s">
        <v>3562</v>
      </c>
      <c r="G174" s="10"/>
      <c r="H174" s="131"/>
      <c r="I174" s="55">
        <v>1</v>
      </c>
      <c r="J174" s="196">
        <v>2</v>
      </c>
      <c r="K174" s="52"/>
      <c r="L174" s="52" t="s">
        <v>502</v>
      </c>
      <c r="M174" s="295" t="s">
        <v>49</v>
      </c>
      <c r="N174" s="335">
        <v>41649</v>
      </c>
      <c r="O174" s="158">
        <f t="shared" si="3"/>
        <v>41649</v>
      </c>
      <c r="P174" s="133" t="s">
        <v>3653</v>
      </c>
      <c r="Q174" s="354" t="s">
        <v>1381</v>
      </c>
      <c r="R174" s="52" t="s">
        <v>505</v>
      </c>
      <c r="S174" s="295" t="s">
        <v>2459</v>
      </c>
      <c r="T174" s="79">
        <v>61161</v>
      </c>
      <c r="U174" s="64" t="s">
        <v>2460</v>
      </c>
      <c r="V174" s="64" t="s">
        <v>691</v>
      </c>
      <c r="W174" s="64" t="s">
        <v>49</v>
      </c>
      <c r="X174" s="64" t="s">
        <v>39</v>
      </c>
      <c r="Y174" s="295" t="s">
        <v>1435</v>
      </c>
      <c r="Z174" s="295" t="s">
        <v>1436</v>
      </c>
      <c r="AA174" s="64"/>
      <c r="AB174" s="302" t="s">
        <v>1469</v>
      </c>
      <c r="AC174" s="64" t="s">
        <v>505</v>
      </c>
      <c r="AD174" s="302" t="s">
        <v>20</v>
      </c>
      <c r="AE174" s="302" t="s">
        <v>21</v>
      </c>
      <c r="AF174" s="302" t="s">
        <v>946</v>
      </c>
      <c r="AG174" s="364" t="s">
        <v>3207</v>
      </c>
      <c r="AH174" s="114"/>
      <c r="AI174" s="302" t="s">
        <v>1492</v>
      </c>
      <c r="AJ174" s="64" t="s">
        <v>505</v>
      </c>
      <c r="AK174" s="302" t="s">
        <v>20</v>
      </c>
      <c r="AL174" s="302" t="s">
        <v>21</v>
      </c>
      <c r="AM174" s="302" t="s">
        <v>949</v>
      </c>
      <c r="AN174" s="364" t="s">
        <v>3465</v>
      </c>
      <c r="AO174" s="64"/>
      <c r="AP174" s="191" t="s">
        <v>2251</v>
      </c>
      <c r="AQ174" s="322"/>
      <c r="AR174" s="114"/>
      <c r="AS174" s="323"/>
      <c r="AT174" s="323"/>
      <c r="AU174" s="322"/>
      <c r="AV174" s="322"/>
      <c r="AW174" s="323"/>
      <c r="AX174" s="324"/>
      <c r="AY174" s="60"/>
      <c r="AZ174" s="95"/>
      <c r="BA174" s="60"/>
      <c r="BB174" s="60"/>
      <c r="BC174" s="60"/>
      <c r="BD174" s="60"/>
      <c r="BE174" s="75"/>
      <c r="BF174" s="64"/>
      <c r="BG174" s="64" t="s">
        <v>3558</v>
      </c>
      <c r="BH174" s="245">
        <v>673997</v>
      </c>
      <c r="BI174" s="64" t="s">
        <v>3551</v>
      </c>
      <c r="BJ174" s="229" t="s">
        <v>3552</v>
      </c>
    </row>
    <row r="175" spans="1:62" s="51" customFormat="1" ht="52.5" customHeight="1">
      <c r="A175" s="50">
        <v>22</v>
      </c>
      <c r="B175" s="160" t="s">
        <v>141</v>
      </c>
      <c r="C175" s="271">
        <v>12609</v>
      </c>
      <c r="D175" s="383" t="s">
        <v>2764</v>
      </c>
      <c r="E175" s="220" t="s">
        <v>409</v>
      </c>
      <c r="F175" s="130" t="s">
        <v>3562</v>
      </c>
      <c r="G175" s="10"/>
      <c r="H175" s="132"/>
      <c r="I175" s="68">
        <v>1</v>
      </c>
      <c r="J175" s="198">
        <v>2</v>
      </c>
      <c r="K175" s="52"/>
      <c r="L175" s="52" t="s">
        <v>502</v>
      </c>
      <c r="M175" s="295" t="s">
        <v>76</v>
      </c>
      <c r="N175" s="335">
        <v>41603</v>
      </c>
      <c r="O175" s="158">
        <f t="shared" si="3"/>
        <v>41603</v>
      </c>
      <c r="P175" s="133" t="s">
        <v>3603</v>
      </c>
      <c r="Q175" s="354" t="s">
        <v>1382</v>
      </c>
      <c r="R175" s="52" t="s">
        <v>505</v>
      </c>
      <c r="S175" s="295" t="s">
        <v>1401</v>
      </c>
      <c r="T175" s="79">
        <v>55852</v>
      </c>
      <c r="U175" s="64" t="s">
        <v>2461</v>
      </c>
      <c r="V175" s="64" t="s">
        <v>2461</v>
      </c>
      <c r="W175" s="64" t="s">
        <v>2128</v>
      </c>
      <c r="X175" s="64" t="s">
        <v>696</v>
      </c>
      <c r="Y175" s="295" t="s">
        <v>1437</v>
      </c>
      <c r="Z175" s="295" t="s">
        <v>1438</v>
      </c>
      <c r="AA175" s="64"/>
      <c r="AB175" s="302" t="s">
        <v>1470</v>
      </c>
      <c r="AC175" s="64" t="s">
        <v>505</v>
      </c>
      <c r="AD175" s="302" t="s">
        <v>30</v>
      </c>
      <c r="AE175" s="302" t="s">
        <v>924</v>
      </c>
      <c r="AF175" s="302" t="s">
        <v>949</v>
      </c>
      <c r="AG175" s="364" t="s">
        <v>3208</v>
      </c>
      <c r="AH175" s="114"/>
      <c r="AI175" s="302" t="s">
        <v>1493</v>
      </c>
      <c r="AJ175" s="64" t="s">
        <v>505</v>
      </c>
      <c r="AK175" s="302" t="s">
        <v>20</v>
      </c>
      <c r="AL175" s="302" t="s">
        <v>923</v>
      </c>
      <c r="AM175" s="302" t="s">
        <v>950</v>
      </c>
      <c r="AN175" s="364" t="s">
        <v>3466</v>
      </c>
      <c r="AO175" s="64"/>
      <c r="AP175" s="191" t="s">
        <v>2252</v>
      </c>
      <c r="AQ175" s="322"/>
      <c r="AR175" s="114"/>
      <c r="AS175" s="323"/>
      <c r="AT175" s="323"/>
      <c r="AU175" s="322"/>
      <c r="AV175" s="322"/>
      <c r="AW175" s="323"/>
      <c r="AX175" s="324"/>
      <c r="AY175" s="60"/>
      <c r="AZ175" s="95"/>
      <c r="BA175" s="60"/>
      <c r="BB175" s="60"/>
      <c r="BC175" s="60"/>
      <c r="BD175" s="60"/>
      <c r="BE175" s="75"/>
      <c r="BF175" s="64"/>
      <c r="BG175" s="64" t="s">
        <v>3558</v>
      </c>
      <c r="BH175" s="245">
        <v>673997</v>
      </c>
      <c r="BI175" s="64" t="s">
        <v>3551</v>
      </c>
      <c r="BJ175" s="229" t="s">
        <v>3552</v>
      </c>
    </row>
    <row r="176" spans="1:62" s="51" customFormat="1" ht="52.5" customHeight="1">
      <c r="A176" s="50">
        <v>23</v>
      </c>
      <c r="B176" s="160" t="s">
        <v>141</v>
      </c>
      <c r="C176" s="52">
        <v>12646</v>
      </c>
      <c r="D176" s="383" t="s">
        <v>2765</v>
      </c>
      <c r="E176" s="220" t="s">
        <v>410</v>
      </c>
      <c r="F176" s="130" t="s">
        <v>3562</v>
      </c>
      <c r="G176" s="10"/>
      <c r="H176" s="131"/>
      <c r="I176" s="70"/>
      <c r="J176" s="199"/>
      <c r="K176" s="52"/>
      <c r="L176" s="52" t="s">
        <v>502</v>
      </c>
      <c r="M176" s="295" t="s">
        <v>63</v>
      </c>
      <c r="N176" s="335">
        <v>41679</v>
      </c>
      <c r="O176" s="158">
        <f t="shared" si="3"/>
        <v>41679</v>
      </c>
      <c r="P176" s="133" t="s">
        <v>3654</v>
      </c>
      <c r="Q176" s="354" t="s">
        <v>1383</v>
      </c>
      <c r="R176" s="52" t="s">
        <v>505</v>
      </c>
      <c r="S176" s="295" t="s">
        <v>1402</v>
      </c>
      <c r="T176" s="79">
        <v>53412</v>
      </c>
      <c r="U176" s="64" t="s">
        <v>2462</v>
      </c>
      <c r="V176" s="64" t="s">
        <v>63</v>
      </c>
      <c r="W176" s="64" t="s">
        <v>63</v>
      </c>
      <c r="X176" s="64" t="s">
        <v>29</v>
      </c>
      <c r="Y176" s="295" t="s">
        <v>1439</v>
      </c>
      <c r="Z176" s="295" t="s">
        <v>1440</v>
      </c>
      <c r="AA176" s="64"/>
      <c r="AB176" s="302" t="s">
        <v>113</v>
      </c>
      <c r="AC176" s="64" t="s">
        <v>505</v>
      </c>
      <c r="AD176" s="302" t="s">
        <v>22</v>
      </c>
      <c r="AE176" s="302" t="s">
        <v>165</v>
      </c>
      <c r="AF176" s="302" t="s">
        <v>946</v>
      </c>
      <c r="AG176" s="364" t="s">
        <v>3209</v>
      </c>
      <c r="AH176" s="114"/>
      <c r="AI176" s="302" t="s">
        <v>1494</v>
      </c>
      <c r="AJ176" s="64" t="s">
        <v>505</v>
      </c>
      <c r="AK176" s="302" t="s">
        <v>20</v>
      </c>
      <c r="AL176" s="302" t="s">
        <v>923</v>
      </c>
      <c r="AM176" s="302" t="s">
        <v>948</v>
      </c>
      <c r="AN176" s="364" t="s">
        <v>3467</v>
      </c>
      <c r="AO176" s="64"/>
      <c r="AP176" s="191"/>
      <c r="AQ176" s="322"/>
      <c r="AR176" s="114"/>
      <c r="AS176" s="323"/>
      <c r="AT176" s="323"/>
      <c r="AU176" s="322"/>
      <c r="AV176" s="322"/>
      <c r="AW176" s="323"/>
      <c r="AX176" s="324"/>
      <c r="AY176" s="66"/>
      <c r="AZ176" s="95"/>
      <c r="BA176" s="66"/>
      <c r="BB176" s="66"/>
      <c r="BC176" s="66"/>
      <c r="BD176" s="66"/>
      <c r="BE176" s="76"/>
      <c r="BF176" s="64"/>
      <c r="BG176" s="64" t="s">
        <v>3558</v>
      </c>
      <c r="BH176" s="245">
        <v>673997</v>
      </c>
      <c r="BI176" s="64" t="s">
        <v>3551</v>
      </c>
      <c r="BJ176" s="229" t="s">
        <v>3552</v>
      </c>
    </row>
    <row r="177" spans="1:62" s="51" customFormat="1" ht="52.5" customHeight="1">
      <c r="A177" s="50">
        <v>24</v>
      </c>
      <c r="B177" s="160" t="s">
        <v>141</v>
      </c>
      <c r="C177" s="52">
        <v>12653</v>
      </c>
      <c r="D177" s="292">
        <v>3134401899</v>
      </c>
      <c r="E177" s="220" t="s">
        <v>411</v>
      </c>
      <c r="F177" s="130" t="s">
        <v>3562</v>
      </c>
      <c r="G177" s="10"/>
      <c r="H177" s="131"/>
      <c r="I177" s="70">
        <v>2</v>
      </c>
      <c r="J177" s="199">
        <v>2</v>
      </c>
      <c r="K177" s="52"/>
      <c r="L177" s="52" t="s">
        <v>502</v>
      </c>
      <c r="M177" s="295" t="s">
        <v>1363</v>
      </c>
      <c r="N177" s="335">
        <v>41522</v>
      </c>
      <c r="O177" s="158">
        <f t="shared" si="3"/>
        <v>41522</v>
      </c>
      <c r="P177" s="133" t="s">
        <v>3017</v>
      </c>
      <c r="Q177" s="354" t="s">
        <v>1384</v>
      </c>
      <c r="R177" s="52" t="s">
        <v>505</v>
      </c>
      <c r="S177" s="295" t="s">
        <v>1403</v>
      </c>
      <c r="T177" s="79">
        <v>41315</v>
      </c>
      <c r="U177" s="64" t="s">
        <v>2464</v>
      </c>
      <c r="V177" s="64" t="s">
        <v>2463</v>
      </c>
      <c r="W177" s="64" t="s">
        <v>1363</v>
      </c>
      <c r="X177" s="64" t="s">
        <v>40</v>
      </c>
      <c r="Y177" s="295" t="s">
        <v>1441</v>
      </c>
      <c r="Z177" s="295" t="s">
        <v>1442</v>
      </c>
      <c r="AA177" s="64"/>
      <c r="AB177" s="302" t="s">
        <v>2940</v>
      </c>
      <c r="AC177" s="64" t="s">
        <v>505</v>
      </c>
      <c r="AD177" s="302" t="s">
        <v>22</v>
      </c>
      <c r="AE177" s="302" t="s">
        <v>921</v>
      </c>
      <c r="AF177" s="302" t="s">
        <v>946</v>
      </c>
      <c r="AG177" s="364" t="s">
        <v>3210</v>
      </c>
      <c r="AH177" s="114"/>
      <c r="AI177" s="302" t="s">
        <v>1495</v>
      </c>
      <c r="AJ177" s="64" t="s">
        <v>505</v>
      </c>
      <c r="AK177" s="302" t="s">
        <v>20</v>
      </c>
      <c r="AL177" s="302" t="s">
        <v>21</v>
      </c>
      <c r="AM177" s="302" t="s">
        <v>948</v>
      </c>
      <c r="AN177" s="364" t="s">
        <v>3468</v>
      </c>
      <c r="AO177" s="64"/>
      <c r="AP177" s="191" t="s">
        <v>2253</v>
      </c>
      <c r="AQ177" s="322"/>
      <c r="AR177" s="114"/>
      <c r="AS177" s="323"/>
      <c r="AT177" s="323"/>
      <c r="AU177" s="322"/>
      <c r="AV177" s="322"/>
      <c r="AW177" s="323"/>
      <c r="AX177" s="324"/>
      <c r="AY177" s="64"/>
      <c r="AZ177" s="95"/>
      <c r="BA177" s="64"/>
      <c r="BB177" s="64"/>
      <c r="BC177" s="64"/>
      <c r="BD177" s="64"/>
      <c r="BE177" s="77"/>
      <c r="BF177" s="64"/>
      <c r="BG177" s="64" t="s">
        <v>3558</v>
      </c>
      <c r="BH177" s="245">
        <v>673997</v>
      </c>
      <c r="BI177" s="64" t="s">
        <v>3551</v>
      </c>
      <c r="BJ177" s="229" t="s">
        <v>3552</v>
      </c>
    </row>
    <row r="178" spans="1:62" s="171" customFormat="1" ht="52.5" customHeight="1">
      <c r="A178" s="50">
        <v>25</v>
      </c>
      <c r="B178" s="160" t="s">
        <v>141</v>
      </c>
      <c r="C178" s="271">
        <v>12655</v>
      </c>
      <c r="D178" s="383" t="s">
        <v>2766</v>
      </c>
      <c r="E178" s="220" t="s">
        <v>412</v>
      </c>
      <c r="F178" s="130" t="s">
        <v>3562</v>
      </c>
      <c r="G178" s="10"/>
      <c r="H178" s="167"/>
      <c r="I178" s="172">
        <v>1</v>
      </c>
      <c r="J178" s="200">
        <v>0</v>
      </c>
      <c r="K178" s="165"/>
      <c r="L178" s="52" t="s">
        <v>502</v>
      </c>
      <c r="M178" s="295" t="s">
        <v>52</v>
      </c>
      <c r="N178" s="336">
        <v>41260</v>
      </c>
      <c r="O178" s="158">
        <f t="shared" si="3"/>
        <v>41260</v>
      </c>
      <c r="P178" s="133" t="s">
        <v>3655</v>
      </c>
      <c r="Q178" s="354" t="s">
        <v>1385</v>
      </c>
      <c r="R178" s="52" t="s">
        <v>505</v>
      </c>
      <c r="S178" s="295" t="s">
        <v>2850</v>
      </c>
      <c r="T178" s="228">
        <v>55293</v>
      </c>
      <c r="U178" s="64" t="s">
        <v>2465</v>
      </c>
      <c r="V178" s="114" t="s">
        <v>2440</v>
      </c>
      <c r="W178" s="114" t="s">
        <v>52</v>
      </c>
      <c r="X178" s="114" t="s">
        <v>696</v>
      </c>
      <c r="Y178" s="295" t="s">
        <v>2893</v>
      </c>
      <c r="Z178" s="295" t="s">
        <v>1443</v>
      </c>
      <c r="AA178" s="114"/>
      <c r="AB178" s="302" t="s">
        <v>2941</v>
      </c>
      <c r="AC178" s="64" t="s">
        <v>505</v>
      </c>
      <c r="AD178" s="302" t="s">
        <v>20</v>
      </c>
      <c r="AE178" s="302" t="s">
        <v>21</v>
      </c>
      <c r="AF178" s="302" t="s">
        <v>949</v>
      </c>
      <c r="AG178" s="364" t="s">
        <v>3211</v>
      </c>
      <c r="AH178" s="114"/>
      <c r="AI178" s="302" t="s">
        <v>1496</v>
      </c>
      <c r="AJ178" s="64" t="s">
        <v>505</v>
      </c>
      <c r="AK178" s="302" t="s">
        <v>20</v>
      </c>
      <c r="AL178" s="302" t="s">
        <v>926</v>
      </c>
      <c r="AM178" s="302" t="s">
        <v>949</v>
      </c>
      <c r="AN178" s="364" t="s">
        <v>3469</v>
      </c>
      <c r="AO178" s="114"/>
      <c r="AP178" s="191" t="s">
        <v>2254</v>
      </c>
      <c r="AQ178" s="322"/>
      <c r="AR178" s="114"/>
      <c r="AS178" s="323"/>
      <c r="AT178" s="323"/>
      <c r="AU178" s="322"/>
      <c r="AV178" s="322"/>
      <c r="AW178" s="323"/>
      <c r="AX178" s="323"/>
      <c r="AY178" s="114"/>
      <c r="AZ178" s="95"/>
      <c r="BA178" s="114"/>
      <c r="BB178" s="114"/>
      <c r="BC178" s="114"/>
      <c r="BD178" s="114"/>
      <c r="BE178" s="173"/>
      <c r="BF178" s="114"/>
      <c r="BG178" s="64" t="s">
        <v>3558</v>
      </c>
      <c r="BH178" s="245">
        <v>673997</v>
      </c>
      <c r="BI178" s="64" t="s">
        <v>3551</v>
      </c>
      <c r="BJ178" s="229" t="s">
        <v>3552</v>
      </c>
    </row>
    <row r="179" spans="1:62" s="51" customFormat="1" ht="52.5" customHeight="1">
      <c r="A179" s="50">
        <v>26</v>
      </c>
      <c r="B179" s="160" t="s">
        <v>141</v>
      </c>
      <c r="C179" s="271">
        <v>12689</v>
      </c>
      <c r="D179" s="383" t="s">
        <v>2767</v>
      </c>
      <c r="E179" s="220" t="s">
        <v>413</v>
      </c>
      <c r="F179" s="130" t="s">
        <v>3562</v>
      </c>
      <c r="G179" s="10"/>
      <c r="H179" s="266"/>
      <c r="I179" s="69">
        <v>1</v>
      </c>
      <c r="J179" s="201">
        <v>2</v>
      </c>
      <c r="K179" s="52"/>
      <c r="L179" s="52" t="s">
        <v>502</v>
      </c>
      <c r="M179" s="295" t="s">
        <v>71</v>
      </c>
      <c r="N179" s="335">
        <v>41531</v>
      </c>
      <c r="O179" s="158">
        <f t="shared" si="3"/>
        <v>41531</v>
      </c>
      <c r="P179" s="133" t="s">
        <v>3656</v>
      </c>
      <c r="Q179" s="354" t="s">
        <v>1386</v>
      </c>
      <c r="R179" s="52" t="s">
        <v>505</v>
      </c>
      <c r="S179" s="295" t="s">
        <v>1404</v>
      </c>
      <c r="T179" s="79">
        <v>51216</v>
      </c>
      <c r="U179" s="64" t="s">
        <v>2466</v>
      </c>
      <c r="V179" s="64" t="s">
        <v>71</v>
      </c>
      <c r="W179" s="64" t="s">
        <v>71</v>
      </c>
      <c r="X179" s="64" t="s">
        <v>29</v>
      </c>
      <c r="Y179" s="295" t="s">
        <v>1444</v>
      </c>
      <c r="Z179" s="295" t="s">
        <v>1445</v>
      </c>
      <c r="AA179" s="64"/>
      <c r="AB179" s="302" t="s">
        <v>1471</v>
      </c>
      <c r="AC179" s="64" t="s">
        <v>505</v>
      </c>
      <c r="AD179" s="302" t="s">
        <v>20</v>
      </c>
      <c r="AE179" s="302" t="s">
        <v>921</v>
      </c>
      <c r="AF179" s="302" t="s">
        <v>948</v>
      </c>
      <c r="AG179" s="364" t="s">
        <v>3212</v>
      </c>
      <c r="AH179" s="114"/>
      <c r="AI179" s="302" t="s">
        <v>1497</v>
      </c>
      <c r="AJ179" s="64" t="s">
        <v>505</v>
      </c>
      <c r="AK179" s="302" t="s">
        <v>20</v>
      </c>
      <c r="AL179" s="302" t="s">
        <v>923</v>
      </c>
      <c r="AM179" s="302" t="s">
        <v>950</v>
      </c>
      <c r="AN179" s="364" t="s">
        <v>3470</v>
      </c>
      <c r="AO179" s="64"/>
      <c r="AP179" s="191" t="s">
        <v>2255</v>
      </c>
      <c r="AQ179" s="322"/>
      <c r="AR179" s="114"/>
      <c r="AS179" s="323"/>
      <c r="AT179" s="323"/>
      <c r="AU179" s="322"/>
      <c r="AV179" s="322"/>
      <c r="AW179" s="323"/>
      <c r="AX179" s="324"/>
      <c r="AY179" s="60"/>
      <c r="AZ179" s="95"/>
      <c r="BA179" s="60"/>
      <c r="BB179" s="60"/>
      <c r="BC179" s="60"/>
      <c r="BD179" s="60"/>
      <c r="BE179" s="75"/>
      <c r="BF179" s="64"/>
      <c r="BG179" s="64" t="s">
        <v>3558</v>
      </c>
      <c r="BH179" s="245">
        <v>673997</v>
      </c>
      <c r="BI179" s="64" t="s">
        <v>3551</v>
      </c>
      <c r="BJ179" s="229" t="s">
        <v>3552</v>
      </c>
    </row>
    <row r="180" spans="1:62" s="51" customFormat="1" ht="52.5" customHeight="1">
      <c r="A180" s="166">
        <v>27</v>
      </c>
      <c r="B180" s="160" t="s">
        <v>141</v>
      </c>
      <c r="C180" s="271">
        <v>12694</v>
      </c>
      <c r="D180" s="383" t="s">
        <v>2768</v>
      </c>
      <c r="E180" s="220" t="s">
        <v>414</v>
      </c>
      <c r="F180" s="130" t="s">
        <v>3562</v>
      </c>
      <c r="G180" s="10"/>
      <c r="H180" s="263"/>
      <c r="I180" s="55">
        <v>2</v>
      </c>
      <c r="J180" s="196">
        <v>2</v>
      </c>
      <c r="K180" s="52"/>
      <c r="L180" s="52" t="s">
        <v>502</v>
      </c>
      <c r="M180" s="295" t="s">
        <v>134</v>
      </c>
      <c r="N180" s="335">
        <v>41526</v>
      </c>
      <c r="O180" s="158">
        <f t="shared" si="3"/>
        <v>41526</v>
      </c>
      <c r="P180" s="133" t="s">
        <v>3657</v>
      </c>
      <c r="Q180" s="360" t="s">
        <v>3658</v>
      </c>
      <c r="R180" s="52" t="s">
        <v>505</v>
      </c>
      <c r="S180" s="295" t="s">
        <v>1405</v>
      </c>
      <c r="T180" s="79">
        <v>15422</v>
      </c>
      <c r="U180" s="64" t="s">
        <v>2467</v>
      </c>
      <c r="V180" s="64" t="s">
        <v>2468</v>
      </c>
      <c r="W180" s="64" t="s">
        <v>1873</v>
      </c>
      <c r="X180" s="64" t="s">
        <v>43</v>
      </c>
      <c r="Y180" s="295" t="s">
        <v>1446</v>
      </c>
      <c r="Z180" s="295" t="s">
        <v>1447</v>
      </c>
      <c r="AA180" s="64"/>
      <c r="AB180" s="303" t="s">
        <v>2256</v>
      </c>
      <c r="AC180" s="64" t="s">
        <v>505</v>
      </c>
      <c r="AD180" s="302" t="s">
        <v>30</v>
      </c>
      <c r="AE180" s="302" t="s">
        <v>921</v>
      </c>
      <c r="AF180" s="302" t="s">
        <v>947</v>
      </c>
      <c r="AG180" s="364" t="s">
        <v>3213</v>
      </c>
      <c r="AH180" s="114"/>
      <c r="AI180" s="302" t="s">
        <v>1498</v>
      </c>
      <c r="AJ180" s="64" t="s">
        <v>505</v>
      </c>
      <c r="AK180" s="302" t="s">
        <v>20</v>
      </c>
      <c r="AL180" s="302" t="s">
        <v>165</v>
      </c>
      <c r="AM180" s="302" t="s">
        <v>946</v>
      </c>
      <c r="AN180" s="364" t="s">
        <v>3471</v>
      </c>
      <c r="AO180" s="64"/>
      <c r="AP180" s="191" t="s">
        <v>2257</v>
      </c>
      <c r="AQ180" s="322"/>
      <c r="AR180" s="114"/>
      <c r="AS180" s="323"/>
      <c r="AT180" s="323"/>
      <c r="AU180" s="322"/>
      <c r="AV180" s="322"/>
      <c r="AW180" s="323"/>
      <c r="AX180" s="324"/>
      <c r="AY180" s="60"/>
      <c r="AZ180" s="95"/>
      <c r="BA180" s="60"/>
      <c r="BB180" s="60"/>
      <c r="BC180" s="60"/>
      <c r="BD180" s="60"/>
      <c r="BE180" s="75"/>
      <c r="BF180" s="64"/>
      <c r="BG180" s="64" t="s">
        <v>3558</v>
      </c>
      <c r="BH180" s="245">
        <v>673997</v>
      </c>
      <c r="BI180" s="64" t="s">
        <v>3551</v>
      </c>
      <c r="BJ180" s="229" t="s">
        <v>3552</v>
      </c>
    </row>
    <row r="181" spans="1:62" s="171" customFormat="1" ht="47.25">
      <c r="A181" s="50">
        <v>28</v>
      </c>
      <c r="B181" s="160" t="s">
        <v>141</v>
      </c>
      <c r="C181" s="271">
        <v>12712</v>
      </c>
      <c r="D181" s="383" t="s">
        <v>2769</v>
      </c>
      <c r="E181" s="220" t="s">
        <v>415</v>
      </c>
      <c r="F181" s="130" t="s">
        <v>3562</v>
      </c>
      <c r="G181" s="10"/>
      <c r="H181" s="265"/>
      <c r="I181" s="168">
        <v>1</v>
      </c>
      <c r="J181" s="197">
        <v>1</v>
      </c>
      <c r="K181" s="165"/>
      <c r="L181" s="52" t="s">
        <v>502</v>
      </c>
      <c r="M181" s="295" t="s">
        <v>23</v>
      </c>
      <c r="N181" s="335">
        <v>41512</v>
      </c>
      <c r="O181" s="158">
        <f t="shared" si="3"/>
        <v>41512</v>
      </c>
      <c r="P181" s="133" t="s">
        <v>2999</v>
      </c>
      <c r="Q181" s="354" t="s">
        <v>1387</v>
      </c>
      <c r="R181" s="52" t="s">
        <v>505</v>
      </c>
      <c r="S181" s="295" t="s">
        <v>2471</v>
      </c>
      <c r="T181" s="228">
        <v>55122</v>
      </c>
      <c r="U181" s="64" t="s">
        <v>2469</v>
      </c>
      <c r="V181" s="114" t="s">
        <v>2470</v>
      </c>
      <c r="W181" s="114" t="s">
        <v>695</v>
      </c>
      <c r="X181" s="114" t="s">
        <v>696</v>
      </c>
      <c r="Y181" s="295" t="s">
        <v>2894</v>
      </c>
      <c r="Z181" s="295" t="s">
        <v>1021</v>
      </c>
      <c r="AA181" s="114"/>
      <c r="AB181" s="303" t="s">
        <v>2942</v>
      </c>
      <c r="AC181" s="64" t="s">
        <v>505</v>
      </c>
      <c r="AD181" s="302" t="s">
        <v>20</v>
      </c>
      <c r="AE181" s="302" t="s">
        <v>165</v>
      </c>
      <c r="AF181" s="302" t="s">
        <v>949</v>
      </c>
      <c r="AG181" s="364" t="s">
        <v>3214</v>
      </c>
      <c r="AH181" s="114"/>
      <c r="AI181" s="302" t="s">
        <v>2982</v>
      </c>
      <c r="AJ181" s="64" t="s">
        <v>505</v>
      </c>
      <c r="AK181" s="302" t="s">
        <v>20</v>
      </c>
      <c r="AL181" s="302" t="s">
        <v>165</v>
      </c>
      <c r="AM181" s="302" t="s">
        <v>951</v>
      </c>
      <c r="AN181" s="364" t="s">
        <v>3214</v>
      </c>
      <c r="AO181" s="114"/>
      <c r="AP181" s="191" t="s">
        <v>2258</v>
      </c>
      <c r="AQ181" s="322"/>
      <c r="AR181" s="114"/>
      <c r="AS181" s="323"/>
      <c r="AT181" s="323"/>
      <c r="AU181" s="322"/>
      <c r="AV181" s="322"/>
      <c r="AW181" s="323"/>
      <c r="AX181" s="323"/>
      <c r="AY181" s="109"/>
      <c r="AZ181" s="95"/>
      <c r="BA181" s="109"/>
      <c r="BB181" s="109"/>
      <c r="BC181" s="109"/>
      <c r="BD181" s="109"/>
      <c r="BE181" s="113"/>
      <c r="BF181" s="114"/>
      <c r="BG181" s="64" t="s">
        <v>3558</v>
      </c>
      <c r="BH181" s="245">
        <v>673997</v>
      </c>
      <c r="BI181" s="64" t="s">
        <v>3551</v>
      </c>
      <c r="BJ181" s="229" t="s">
        <v>3552</v>
      </c>
    </row>
    <row r="182" spans="1:62" s="171" customFormat="1" ht="47.25">
      <c r="A182" s="50">
        <v>29</v>
      </c>
      <c r="B182" s="160" t="s">
        <v>141</v>
      </c>
      <c r="C182" s="52">
        <v>12718</v>
      </c>
      <c r="D182" s="383" t="s">
        <v>2770</v>
      </c>
      <c r="E182" s="220" t="s">
        <v>416</v>
      </c>
      <c r="F182" s="130" t="s">
        <v>3562</v>
      </c>
      <c r="G182" s="208"/>
      <c r="H182" s="167"/>
      <c r="I182" s="168">
        <v>1</v>
      </c>
      <c r="J182" s="197">
        <v>0</v>
      </c>
      <c r="K182" s="165"/>
      <c r="L182" s="52" t="s">
        <v>502</v>
      </c>
      <c r="M182" s="295" t="s">
        <v>111</v>
      </c>
      <c r="N182" s="335">
        <v>41792</v>
      </c>
      <c r="O182" s="158">
        <f t="shared" si="3"/>
        <v>41792</v>
      </c>
      <c r="P182" s="133" t="s">
        <v>3659</v>
      </c>
      <c r="Q182" s="354" t="s">
        <v>1388</v>
      </c>
      <c r="R182" s="52" t="s">
        <v>505</v>
      </c>
      <c r="S182" s="295" t="s">
        <v>2472</v>
      </c>
      <c r="T182" s="228">
        <v>56254</v>
      </c>
      <c r="U182" s="64" t="s">
        <v>2474</v>
      </c>
      <c r="V182" s="114" t="s">
        <v>77</v>
      </c>
      <c r="W182" s="114" t="s">
        <v>111</v>
      </c>
      <c r="X182" s="114" t="s">
        <v>29</v>
      </c>
      <c r="Y182" s="295" t="s">
        <v>1448</v>
      </c>
      <c r="Z182" s="295" t="s">
        <v>1449</v>
      </c>
      <c r="AA182" s="114"/>
      <c r="AB182" s="302" t="s">
        <v>1472</v>
      </c>
      <c r="AC182" s="64" t="s">
        <v>505</v>
      </c>
      <c r="AD182" s="302" t="s">
        <v>20</v>
      </c>
      <c r="AE182" s="302" t="s">
        <v>21</v>
      </c>
      <c r="AF182" s="302" t="s">
        <v>948</v>
      </c>
      <c r="AG182" s="364" t="s">
        <v>3215</v>
      </c>
      <c r="AH182" s="114"/>
      <c r="AI182" s="302" t="s">
        <v>1499</v>
      </c>
      <c r="AJ182" s="64" t="s">
        <v>505</v>
      </c>
      <c r="AK182" s="302" t="s">
        <v>30</v>
      </c>
      <c r="AL182" s="302" t="s">
        <v>21</v>
      </c>
      <c r="AM182" s="302" t="s">
        <v>948</v>
      </c>
      <c r="AN182" s="364" t="s">
        <v>3472</v>
      </c>
      <c r="AO182" s="114"/>
      <c r="AP182" s="191" t="s">
        <v>2259</v>
      </c>
      <c r="AQ182" s="322"/>
      <c r="AR182" s="114"/>
      <c r="AS182" s="323"/>
      <c r="AT182" s="323"/>
      <c r="AU182" s="322"/>
      <c r="AV182" s="322"/>
      <c r="AW182" s="323"/>
      <c r="AX182" s="323"/>
      <c r="AY182" s="109"/>
      <c r="AZ182" s="95"/>
      <c r="BA182" s="109"/>
      <c r="BB182" s="109"/>
      <c r="BC182" s="109"/>
      <c r="BD182" s="109"/>
      <c r="BE182" s="113"/>
      <c r="BF182" s="114"/>
      <c r="BG182" s="64" t="s">
        <v>3558</v>
      </c>
      <c r="BH182" s="245">
        <v>673997</v>
      </c>
      <c r="BI182" s="64" t="s">
        <v>3551</v>
      </c>
      <c r="BJ182" s="229" t="s">
        <v>3552</v>
      </c>
    </row>
    <row r="183" spans="1:62" s="51" customFormat="1" ht="52.5" customHeight="1" thickBot="1">
      <c r="A183" s="166">
        <v>30</v>
      </c>
      <c r="B183" s="160" t="s">
        <v>141</v>
      </c>
      <c r="C183" s="165">
        <v>12724</v>
      </c>
      <c r="D183" s="383" t="s">
        <v>2771</v>
      </c>
      <c r="E183" s="269" t="s">
        <v>417</v>
      </c>
      <c r="F183" s="130" t="s">
        <v>3562</v>
      </c>
      <c r="G183" s="10"/>
      <c r="H183" s="131"/>
      <c r="I183" s="55">
        <v>1</v>
      </c>
      <c r="J183" s="196">
        <v>1</v>
      </c>
      <c r="K183" s="52"/>
      <c r="L183" s="52" t="s">
        <v>502</v>
      </c>
      <c r="M183" s="295" t="s">
        <v>52</v>
      </c>
      <c r="N183" s="335">
        <v>41529</v>
      </c>
      <c r="O183" s="158">
        <f t="shared" si="3"/>
        <v>41529</v>
      </c>
      <c r="P183" s="133" t="s">
        <v>3660</v>
      </c>
      <c r="Q183" s="354" t="s">
        <v>1389</v>
      </c>
      <c r="R183" s="52" t="s">
        <v>505</v>
      </c>
      <c r="S183" s="295" t="s">
        <v>1406</v>
      </c>
      <c r="T183" s="79">
        <v>55562</v>
      </c>
      <c r="U183" s="64" t="s">
        <v>2129</v>
      </c>
      <c r="V183" s="64" t="s">
        <v>2045</v>
      </c>
      <c r="W183" s="64" t="s">
        <v>52</v>
      </c>
      <c r="X183" s="64" t="s">
        <v>696</v>
      </c>
      <c r="Y183" s="295" t="s">
        <v>1450</v>
      </c>
      <c r="Z183" s="295" t="s">
        <v>1451</v>
      </c>
      <c r="AA183" s="64"/>
      <c r="AB183" s="302" t="s">
        <v>1473</v>
      </c>
      <c r="AC183" s="64" t="s">
        <v>505</v>
      </c>
      <c r="AD183" s="302" t="s">
        <v>922</v>
      </c>
      <c r="AE183" s="302" t="s">
        <v>926</v>
      </c>
      <c r="AF183" s="302" t="s">
        <v>949</v>
      </c>
      <c r="AG183" s="364" t="s">
        <v>3216</v>
      </c>
      <c r="AH183" s="114"/>
      <c r="AI183" s="302" t="s">
        <v>1500</v>
      </c>
      <c r="AJ183" s="64" t="s">
        <v>505</v>
      </c>
      <c r="AK183" s="302" t="s">
        <v>22</v>
      </c>
      <c r="AL183" s="302" t="s">
        <v>921</v>
      </c>
      <c r="AM183" s="302" t="s">
        <v>948</v>
      </c>
      <c r="AN183" s="364" t="s">
        <v>3473</v>
      </c>
      <c r="AO183" s="64"/>
      <c r="AP183" s="191" t="s">
        <v>2260</v>
      </c>
      <c r="AQ183" s="322"/>
      <c r="AR183" s="114"/>
      <c r="AS183" s="323"/>
      <c r="AT183" s="323"/>
      <c r="AU183" s="322"/>
      <c r="AV183" s="322"/>
      <c r="AW183" s="323"/>
      <c r="AX183" s="324"/>
      <c r="AY183" s="60"/>
      <c r="AZ183" s="95"/>
      <c r="BA183" s="60"/>
      <c r="BB183" s="60"/>
      <c r="BC183" s="60"/>
      <c r="BD183" s="60"/>
      <c r="BE183" s="75"/>
      <c r="BF183" s="64"/>
      <c r="BG183" s="64" t="s">
        <v>3558</v>
      </c>
      <c r="BH183" s="245">
        <v>673997</v>
      </c>
      <c r="BI183" s="64" t="s">
        <v>3551</v>
      </c>
      <c r="BJ183" s="229" t="s">
        <v>3552</v>
      </c>
    </row>
    <row r="184" spans="1:62" s="51" customFormat="1" ht="52.5" customHeight="1">
      <c r="A184" s="51">
        <v>1</v>
      </c>
      <c r="B184" s="14" t="s">
        <v>143</v>
      </c>
      <c r="C184" s="164">
        <v>12465</v>
      </c>
      <c r="D184" s="383" t="s">
        <v>2772</v>
      </c>
      <c r="E184" s="219" t="s">
        <v>418</v>
      </c>
      <c r="F184" s="130" t="s">
        <v>3562</v>
      </c>
      <c r="G184" s="10"/>
      <c r="H184" s="131"/>
      <c r="I184" s="55">
        <v>2</v>
      </c>
      <c r="J184" s="196">
        <v>3</v>
      </c>
      <c r="K184" s="52"/>
      <c r="L184" s="52" t="s">
        <v>502</v>
      </c>
      <c r="M184" s="295" t="s">
        <v>19</v>
      </c>
      <c r="N184" s="335">
        <v>41581</v>
      </c>
      <c r="O184" s="158">
        <f t="shared" si="3"/>
        <v>41581</v>
      </c>
      <c r="P184" s="133" t="s">
        <v>3635</v>
      </c>
      <c r="Q184" s="354" t="s">
        <v>1506</v>
      </c>
      <c r="R184" s="52" t="s">
        <v>505</v>
      </c>
      <c r="S184" s="295" t="s">
        <v>1532</v>
      </c>
      <c r="T184" s="79">
        <v>55712</v>
      </c>
      <c r="U184" s="64" t="s">
        <v>2475</v>
      </c>
      <c r="V184" s="64" t="s">
        <v>19</v>
      </c>
      <c r="W184" s="64" t="s">
        <v>19</v>
      </c>
      <c r="X184" s="64" t="s">
        <v>696</v>
      </c>
      <c r="Y184" s="295" t="s">
        <v>2895</v>
      </c>
      <c r="Z184" s="295" t="s">
        <v>1595</v>
      </c>
      <c r="AA184" s="64"/>
      <c r="AB184" s="302" t="s">
        <v>1546</v>
      </c>
      <c r="AC184" s="64" t="s">
        <v>505</v>
      </c>
      <c r="AD184" s="302" t="s">
        <v>922</v>
      </c>
      <c r="AE184" s="302" t="s">
        <v>165</v>
      </c>
      <c r="AF184" s="302" t="s">
        <v>948</v>
      </c>
      <c r="AG184" s="343" t="s">
        <v>1721</v>
      </c>
      <c r="AH184" s="114"/>
      <c r="AI184" s="302" t="s">
        <v>1567</v>
      </c>
      <c r="AJ184" s="64" t="s">
        <v>505</v>
      </c>
      <c r="AK184" s="302" t="s">
        <v>922</v>
      </c>
      <c r="AL184" s="302" t="s">
        <v>926</v>
      </c>
      <c r="AM184" s="302" t="s">
        <v>950</v>
      </c>
      <c r="AN184" s="343" t="s">
        <v>1722</v>
      </c>
      <c r="AO184" s="64"/>
      <c r="AP184" s="191" t="s">
        <v>2261</v>
      </c>
      <c r="AQ184" s="322"/>
      <c r="AR184" s="114"/>
      <c r="AS184" s="323"/>
      <c r="AT184" s="323"/>
      <c r="AU184" s="322"/>
      <c r="AV184" s="322"/>
      <c r="AW184" s="323"/>
      <c r="AX184" s="324"/>
      <c r="AY184" s="60"/>
      <c r="AZ184" s="95"/>
      <c r="BA184" s="60"/>
      <c r="BB184" s="60"/>
      <c r="BC184" s="60"/>
      <c r="BD184" s="60"/>
      <c r="BE184" s="75"/>
      <c r="BF184" s="64"/>
      <c r="BG184" s="64" t="s">
        <v>3557</v>
      </c>
      <c r="BH184" s="245">
        <v>1372398</v>
      </c>
      <c r="BI184" s="64" t="s">
        <v>3551</v>
      </c>
      <c r="BJ184" s="229" t="s">
        <v>3552</v>
      </c>
    </row>
    <row r="185" spans="1:62" s="51" customFormat="1" ht="52.5" customHeight="1">
      <c r="A185" s="51">
        <v>2</v>
      </c>
      <c r="B185" s="14" t="s">
        <v>143</v>
      </c>
      <c r="C185" s="164">
        <v>12489</v>
      </c>
      <c r="D185" s="383" t="s">
        <v>2773</v>
      </c>
      <c r="E185" s="220" t="s">
        <v>419</v>
      </c>
      <c r="F185" s="130" t="s">
        <v>3562</v>
      </c>
      <c r="G185" s="10"/>
      <c r="H185" s="263"/>
      <c r="I185" s="55">
        <v>2</v>
      </c>
      <c r="J185" s="196">
        <v>1</v>
      </c>
      <c r="K185" s="52"/>
      <c r="L185" s="52" t="s">
        <v>502</v>
      </c>
      <c r="M185" s="295" t="s">
        <v>102</v>
      </c>
      <c r="N185" s="336">
        <v>41502</v>
      </c>
      <c r="O185" s="158">
        <f t="shared" si="3"/>
        <v>41502</v>
      </c>
      <c r="P185" s="133" t="s">
        <v>3024</v>
      </c>
      <c r="Q185" s="354" t="s">
        <v>1507</v>
      </c>
      <c r="R185" s="52" t="s">
        <v>505</v>
      </c>
      <c r="S185" s="295" t="s">
        <v>2476</v>
      </c>
      <c r="T185" s="79">
        <v>54171</v>
      </c>
      <c r="U185" s="64" t="s">
        <v>2473</v>
      </c>
      <c r="V185" s="64" t="s">
        <v>2139</v>
      </c>
      <c r="W185" s="64" t="s">
        <v>102</v>
      </c>
      <c r="X185" s="64" t="s">
        <v>29</v>
      </c>
      <c r="Y185" s="295" t="s">
        <v>107</v>
      </c>
      <c r="Z185" s="295" t="s">
        <v>1596</v>
      </c>
      <c r="AA185" s="64"/>
      <c r="AB185" s="302" t="s">
        <v>1547</v>
      </c>
      <c r="AC185" s="64" t="s">
        <v>505</v>
      </c>
      <c r="AD185" s="302" t="s">
        <v>20</v>
      </c>
      <c r="AE185" s="302" t="s">
        <v>921</v>
      </c>
      <c r="AF185" s="302" t="s">
        <v>949</v>
      </c>
      <c r="AG185" s="364" t="s">
        <v>3217</v>
      </c>
      <c r="AH185" s="114"/>
      <c r="AI185" s="302" t="s">
        <v>1568</v>
      </c>
      <c r="AJ185" s="64" t="s">
        <v>505</v>
      </c>
      <c r="AK185" s="302" t="s">
        <v>30</v>
      </c>
      <c r="AL185" s="302" t="s">
        <v>21</v>
      </c>
      <c r="AM185" s="302" t="s">
        <v>948</v>
      </c>
      <c r="AN185" s="364" t="s">
        <v>3474</v>
      </c>
      <c r="AO185" s="64"/>
      <c r="AP185" s="191" t="s">
        <v>2262</v>
      </c>
      <c r="AQ185" s="322"/>
      <c r="AR185" s="114"/>
      <c r="AS185" s="323"/>
      <c r="AT185" s="323"/>
      <c r="AU185" s="322"/>
      <c r="AV185" s="322"/>
      <c r="AW185" s="323"/>
      <c r="AX185" s="324"/>
      <c r="AY185" s="60"/>
      <c r="AZ185" s="95"/>
      <c r="BA185" s="60"/>
      <c r="BB185" s="60"/>
      <c r="BC185" s="60"/>
      <c r="BD185" s="60"/>
      <c r="BE185" s="75"/>
      <c r="BF185" s="64"/>
      <c r="BG185" s="64" t="s">
        <v>3557</v>
      </c>
      <c r="BH185" s="245">
        <v>1372398</v>
      </c>
      <c r="BI185" s="64" t="s">
        <v>3551</v>
      </c>
      <c r="BJ185" s="229" t="s">
        <v>3552</v>
      </c>
    </row>
    <row r="186" spans="1:62" s="51" customFormat="1" ht="52.5" customHeight="1">
      <c r="A186" s="51">
        <v>3</v>
      </c>
      <c r="B186" s="14" t="s">
        <v>143</v>
      </c>
      <c r="C186" s="164">
        <v>12490</v>
      </c>
      <c r="D186" s="383" t="s">
        <v>2774</v>
      </c>
      <c r="E186" s="220" t="s">
        <v>420</v>
      </c>
      <c r="F186" s="130" t="s">
        <v>3562</v>
      </c>
      <c r="G186" s="10"/>
      <c r="H186" s="131"/>
      <c r="I186" s="55">
        <v>2</v>
      </c>
      <c r="J186" s="197">
        <v>1</v>
      </c>
      <c r="K186" s="52"/>
      <c r="L186" s="52" t="s">
        <v>502</v>
      </c>
      <c r="M186" s="295" t="s">
        <v>52</v>
      </c>
      <c r="N186" s="336">
        <v>41678</v>
      </c>
      <c r="O186" s="158">
        <f t="shared" si="3"/>
        <v>41678</v>
      </c>
      <c r="P186" s="133" t="s">
        <v>3661</v>
      </c>
      <c r="Q186" s="354" t="s">
        <v>1508</v>
      </c>
      <c r="R186" s="52" t="s">
        <v>505</v>
      </c>
      <c r="S186" s="295" t="s">
        <v>1533</v>
      </c>
      <c r="T186" s="79">
        <v>55564</v>
      </c>
      <c r="U186" s="64" t="s">
        <v>2122</v>
      </c>
      <c r="V186" s="64" t="s">
        <v>2219</v>
      </c>
      <c r="W186" s="64" t="s">
        <v>52</v>
      </c>
      <c r="X186" s="64" t="s">
        <v>696</v>
      </c>
      <c r="Y186" s="295" t="s">
        <v>115</v>
      </c>
      <c r="Z186" s="295" t="s">
        <v>1597</v>
      </c>
      <c r="AA186" s="64"/>
      <c r="AB186" s="302" t="s">
        <v>1548</v>
      </c>
      <c r="AC186" s="64" t="s">
        <v>505</v>
      </c>
      <c r="AD186" s="302" t="s">
        <v>30</v>
      </c>
      <c r="AE186" s="302" t="s">
        <v>924</v>
      </c>
      <c r="AF186" s="302" t="s">
        <v>948</v>
      </c>
      <c r="AG186" s="364" t="s">
        <v>3218</v>
      </c>
      <c r="AH186" s="114"/>
      <c r="AI186" s="302" t="s">
        <v>1569</v>
      </c>
      <c r="AJ186" s="64" t="s">
        <v>505</v>
      </c>
      <c r="AK186" s="302" t="s">
        <v>30</v>
      </c>
      <c r="AL186" s="302" t="s">
        <v>923</v>
      </c>
      <c r="AM186" s="302" t="s">
        <v>950</v>
      </c>
      <c r="AN186" s="364" t="s">
        <v>3475</v>
      </c>
      <c r="AO186" s="330"/>
      <c r="AP186" s="191" t="s">
        <v>2263</v>
      </c>
      <c r="AQ186" s="342"/>
      <c r="AR186" s="228"/>
      <c r="AS186" s="337"/>
      <c r="AT186" s="323"/>
      <c r="AU186" s="322"/>
      <c r="AV186" s="322"/>
      <c r="AW186" s="323"/>
      <c r="AX186" s="324"/>
      <c r="AY186" s="60"/>
      <c r="AZ186" s="95"/>
      <c r="BA186" s="60"/>
      <c r="BB186" s="60"/>
      <c r="BC186" s="60"/>
      <c r="BD186" s="60"/>
      <c r="BE186" s="75"/>
      <c r="BF186" s="64"/>
      <c r="BG186" s="64" t="s">
        <v>3557</v>
      </c>
      <c r="BH186" s="245">
        <v>1372398</v>
      </c>
      <c r="BI186" s="64" t="s">
        <v>3551</v>
      </c>
      <c r="BJ186" s="229" t="s">
        <v>3552</v>
      </c>
    </row>
    <row r="187" spans="1:62" s="51" customFormat="1" ht="47.25">
      <c r="A187" s="51">
        <v>4</v>
      </c>
      <c r="B187" s="14" t="s">
        <v>143</v>
      </c>
      <c r="C187" s="164">
        <v>12499</v>
      </c>
      <c r="D187" s="383" t="s">
        <v>2775</v>
      </c>
      <c r="E187" s="220" t="s">
        <v>421</v>
      </c>
      <c r="F187" s="130" t="s">
        <v>3562</v>
      </c>
      <c r="G187" s="10"/>
      <c r="H187" s="131"/>
      <c r="I187" s="55">
        <v>1</v>
      </c>
      <c r="J187" s="196">
        <v>2</v>
      </c>
      <c r="K187" s="52"/>
      <c r="L187" s="52" t="s">
        <v>502</v>
      </c>
      <c r="M187" s="295" t="s">
        <v>52</v>
      </c>
      <c r="N187" s="335">
        <v>41722</v>
      </c>
      <c r="O187" s="158">
        <f t="shared" si="3"/>
        <v>41722</v>
      </c>
      <c r="P187" s="133" t="s">
        <v>3662</v>
      </c>
      <c r="Q187" s="354" t="s">
        <v>1509</v>
      </c>
      <c r="R187" s="52" t="s">
        <v>505</v>
      </c>
      <c r="S187" s="295" t="s">
        <v>1534</v>
      </c>
      <c r="T187" s="79">
        <v>55288</v>
      </c>
      <c r="U187" s="64" t="s">
        <v>2130</v>
      </c>
      <c r="V187" s="64" t="s">
        <v>2226</v>
      </c>
      <c r="W187" s="64" t="s">
        <v>52</v>
      </c>
      <c r="X187" s="64" t="s">
        <v>696</v>
      </c>
      <c r="Y187" s="295" t="s">
        <v>1598</v>
      </c>
      <c r="Z187" s="295" t="s">
        <v>1599</v>
      </c>
      <c r="AA187" s="64"/>
      <c r="AB187" s="302" t="s">
        <v>1549</v>
      </c>
      <c r="AC187" s="64" t="s">
        <v>505</v>
      </c>
      <c r="AD187" s="302" t="s">
        <v>75</v>
      </c>
      <c r="AE187" s="302" t="s">
        <v>924</v>
      </c>
      <c r="AF187" s="302" t="s">
        <v>948</v>
      </c>
      <c r="AG187" s="364" t="s">
        <v>3219</v>
      </c>
      <c r="AH187" s="114"/>
      <c r="AI187" s="302" t="s">
        <v>1570</v>
      </c>
      <c r="AJ187" s="64" t="s">
        <v>505</v>
      </c>
      <c r="AK187" s="302" t="s">
        <v>30</v>
      </c>
      <c r="AL187" s="302" t="s">
        <v>21</v>
      </c>
      <c r="AM187" s="302" t="s">
        <v>948</v>
      </c>
      <c r="AN187" s="364" t="s">
        <v>3476</v>
      </c>
      <c r="AO187" s="64"/>
      <c r="AP187" s="191" t="s">
        <v>2264</v>
      </c>
      <c r="AQ187" s="322"/>
      <c r="AR187" s="114"/>
      <c r="AS187" s="323"/>
      <c r="AT187" s="323"/>
      <c r="AU187" s="322"/>
      <c r="AV187" s="322"/>
      <c r="AW187" s="323"/>
      <c r="AX187" s="324"/>
      <c r="AY187" s="60"/>
      <c r="AZ187" s="95"/>
      <c r="BA187" s="60"/>
      <c r="BB187" s="60"/>
      <c r="BC187" s="60"/>
      <c r="BD187" s="60"/>
      <c r="BE187" s="75"/>
      <c r="BF187" s="64"/>
      <c r="BG187" s="64" t="s">
        <v>3557</v>
      </c>
      <c r="BH187" s="245">
        <v>1372398</v>
      </c>
      <c r="BI187" s="64" t="s">
        <v>3551</v>
      </c>
      <c r="BJ187" s="229" t="s">
        <v>3552</v>
      </c>
    </row>
    <row r="188" spans="1:62" s="51" customFormat="1" ht="47.25">
      <c r="A188" s="51">
        <v>5</v>
      </c>
      <c r="B188" s="14" t="s">
        <v>143</v>
      </c>
      <c r="C188" s="164">
        <v>12513</v>
      </c>
      <c r="D188" s="383" t="s">
        <v>2776</v>
      </c>
      <c r="E188" s="220" t="s">
        <v>422</v>
      </c>
      <c r="F188" s="130" t="s">
        <v>3562</v>
      </c>
      <c r="G188" s="10"/>
      <c r="H188" s="131"/>
      <c r="I188" s="55">
        <v>1</v>
      </c>
      <c r="J188" s="196">
        <v>2</v>
      </c>
      <c r="K188" s="52"/>
      <c r="L188" s="52" t="s">
        <v>502</v>
      </c>
      <c r="M188" s="295" t="s">
        <v>19</v>
      </c>
      <c r="N188" s="335">
        <v>41463</v>
      </c>
      <c r="O188" s="158">
        <f t="shared" si="3"/>
        <v>41463</v>
      </c>
      <c r="P188" s="133" t="s">
        <v>3029</v>
      </c>
      <c r="Q188" s="354" t="s">
        <v>1510</v>
      </c>
      <c r="R188" s="52" t="s">
        <v>505</v>
      </c>
      <c r="S188" s="295" t="s">
        <v>1535</v>
      </c>
      <c r="T188" s="64">
        <v>55761</v>
      </c>
      <c r="U188" s="64" t="s">
        <v>2481</v>
      </c>
      <c r="V188" s="64" t="s">
        <v>2145</v>
      </c>
      <c r="W188" s="64" t="s">
        <v>19</v>
      </c>
      <c r="X188" s="64" t="s">
        <v>696</v>
      </c>
      <c r="Y188" s="295" t="s">
        <v>1600</v>
      </c>
      <c r="Z188" s="295" t="s">
        <v>1601</v>
      </c>
      <c r="AA188" s="64"/>
      <c r="AB188" s="302" t="s">
        <v>1550</v>
      </c>
      <c r="AC188" s="64" t="s">
        <v>505</v>
      </c>
      <c r="AD188" s="302" t="s">
        <v>922</v>
      </c>
      <c r="AE188" s="302" t="s">
        <v>921</v>
      </c>
      <c r="AF188" s="302" t="s">
        <v>949</v>
      </c>
      <c r="AG188" s="364" t="s">
        <v>3220</v>
      </c>
      <c r="AH188" s="114"/>
      <c r="AI188" s="302" t="s">
        <v>1571</v>
      </c>
      <c r="AJ188" s="64" t="s">
        <v>505</v>
      </c>
      <c r="AK188" s="302" t="s">
        <v>20</v>
      </c>
      <c r="AL188" s="302" t="s">
        <v>921</v>
      </c>
      <c r="AM188" s="302" t="s">
        <v>949</v>
      </c>
      <c r="AN188" s="364" t="s">
        <v>3477</v>
      </c>
      <c r="AO188" s="64"/>
      <c r="AP188" s="191" t="s">
        <v>2265</v>
      </c>
      <c r="AQ188" s="322"/>
      <c r="AR188" s="114"/>
      <c r="AS188" s="323"/>
      <c r="AT188" s="323"/>
      <c r="AU188" s="322"/>
      <c r="AV188" s="322"/>
      <c r="AW188" s="323"/>
      <c r="AX188" s="324"/>
      <c r="AY188" s="60"/>
      <c r="AZ188" s="95"/>
      <c r="BA188" s="60"/>
      <c r="BB188" s="60"/>
      <c r="BC188" s="60"/>
      <c r="BD188" s="60"/>
      <c r="BE188" s="75"/>
      <c r="BF188" s="64"/>
      <c r="BG188" s="64" t="s">
        <v>3557</v>
      </c>
      <c r="BH188" s="245">
        <v>1372398</v>
      </c>
      <c r="BI188" s="64" t="s">
        <v>3551</v>
      </c>
      <c r="BJ188" s="229" t="s">
        <v>3552</v>
      </c>
    </row>
    <row r="189" spans="1:62" s="51" customFormat="1" ht="52.5" customHeight="1">
      <c r="A189" s="51">
        <v>6</v>
      </c>
      <c r="B189" s="14" t="s">
        <v>143</v>
      </c>
      <c r="C189" s="164">
        <v>12530</v>
      </c>
      <c r="D189" s="383" t="s">
        <v>2777</v>
      </c>
      <c r="E189" s="220" t="s">
        <v>423</v>
      </c>
      <c r="F189" s="130" t="s">
        <v>3562</v>
      </c>
      <c r="G189" s="10"/>
      <c r="H189" s="131"/>
      <c r="I189" s="55">
        <v>1</v>
      </c>
      <c r="J189" s="196">
        <v>1</v>
      </c>
      <c r="K189" s="52"/>
      <c r="L189" s="52" t="s">
        <v>502</v>
      </c>
      <c r="M189" s="295" t="s">
        <v>161</v>
      </c>
      <c r="N189" s="335">
        <v>41386</v>
      </c>
      <c r="O189" s="158">
        <f t="shared" si="3"/>
        <v>41386</v>
      </c>
      <c r="P189" s="133" t="s">
        <v>3663</v>
      </c>
      <c r="Q189" s="354">
        <v>3322125504130000</v>
      </c>
      <c r="R189" s="52" t="s">
        <v>505</v>
      </c>
      <c r="S189" s="295" t="s">
        <v>1536</v>
      </c>
      <c r="T189" s="79">
        <v>50553</v>
      </c>
      <c r="U189" s="64"/>
      <c r="V189" s="64" t="s">
        <v>2479</v>
      </c>
      <c r="W189" s="64" t="s">
        <v>33</v>
      </c>
      <c r="X189" s="64" t="s">
        <v>29</v>
      </c>
      <c r="Y189" s="295" t="s">
        <v>171</v>
      </c>
      <c r="Z189" s="295"/>
      <c r="AA189" s="64"/>
      <c r="AB189" s="302" t="s">
        <v>1551</v>
      </c>
      <c r="AC189" s="64" t="s">
        <v>505</v>
      </c>
      <c r="AD189" s="302" t="s">
        <v>20</v>
      </c>
      <c r="AE189" s="302" t="s">
        <v>511</v>
      </c>
      <c r="AF189" s="302"/>
      <c r="AG189" s="364" t="s">
        <v>3221</v>
      </c>
      <c r="AH189" s="114"/>
      <c r="AI189" s="302" t="s">
        <v>1572</v>
      </c>
      <c r="AJ189" s="64" t="s">
        <v>505</v>
      </c>
      <c r="AK189" s="302" t="s">
        <v>20</v>
      </c>
      <c r="AL189" s="302" t="s">
        <v>511</v>
      </c>
      <c r="AM189" s="302"/>
      <c r="AN189" s="364" t="s">
        <v>3478</v>
      </c>
      <c r="AO189" s="64"/>
      <c r="AP189" s="191" t="s">
        <v>2266</v>
      </c>
      <c r="AQ189" s="322"/>
      <c r="AR189" s="114"/>
      <c r="AS189" s="323"/>
      <c r="AT189" s="323"/>
      <c r="AU189" s="322"/>
      <c r="AV189" s="114"/>
      <c r="AW189" s="323"/>
      <c r="AX189" s="324"/>
      <c r="AY189" s="60"/>
      <c r="AZ189" s="95"/>
      <c r="BA189" s="60"/>
      <c r="BB189" s="60"/>
      <c r="BC189" s="60"/>
      <c r="BD189" s="60"/>
      <c r="BE189" s="75"/>
      <c r="BF189" s="64"/>
      <c r="BG189" s="64" t="s">
        <v>3557</v>
      </c>
      <c r="BH189" s="245">
        <v>1372398</v>
      </c>
      <c r="BI189" s="64" t="s">
        <v>3551</v>
      </c>
      <c r="BJ189" s="229" t="s">
        <v>3552</v>
      </c>
    </row>
    <row r="190" spans="1:62" s="171" customFormat="1" ht="52.5" customHeight="1">
      <c r="A190" s="51">
        <v>7</v>
      </c>
      <c r="B190" s="14" t="s">
        <v>143</v>
      </c>
      <c r="C190" s="52">
        <v>12534</v>
      </c>
      <c r="D190" s="384" t="s">
        <v>2778</v>
      </c>
      <c r="E190" s="220" t="s">
        <v>424</v>
      </c>
      <c r="F190" s="130" t="s">
        <v>3562</v>
      </c>
      <c r="G190" s="10"/>
      <c r="H190" s="167"/>
      <c r="I190" s="168">
        <v>4</v>
      </c>
      <c r="J190" s="197">
        <v>3</v>
      </c>
      <c r="K190" s="165"/>
      <c r="L190" s="52" t="s">
        <v>502</v>
      </c>
      <c r="M190" s="300" t="s">
        <v>41</v>
      </c>
      <c r="N190" s="340">
        <v>41599</v>
      </c>
      <c r="O190" s="158">
        <f t="shared" si="3"/>
        <v>41599</v>
      </c>
      <c r="P190" s="133" t="s">
        <v>3664</v>
      </c>
      <c r="Q190" s="356" t="s">
        <v>1511</v>
      </c>
      <c r="R190" s="52" t="s">
        <v>505</v>
      </c>
      <c r="S190" s="300" t="s">
        <v>2482</v>
      </c>
      <c r="T190" s="228">
        <v>50272</v>
      </c>
      <c r="U190" s="64" t="s">
        <v>2483</v>
      </c>
      <c r="V190" s="114" t="s">
        <v>2477</v>
      </c>
      <c r="W190" s="114" t="s">
        <v>1904</v>
      </c>
      <c r="X190" s="114" t="s">
        <v>29</v>
      </c>
      <c r="Y190" s="300" t="s">
        <v>1602</v>
      </c>
      <c r="Z190" s="300" t="s">
        <v>1603</v>
      </c>
      <c r="AA190" s="114"/>
      <c r="AB190" s="326" t="s">
        <v>1552</v>
      </c>
      <c r="AC190" s="64" t="s">
        <v>505</v>
      </c>
      <c r="AD190" s="326" t="s">
        <v>75</v>
      </c>
      <c r="AE190" s="326" t="s">
        <v>921</v>
      </c>
      <c r="AF190" s="326" t="s">
        <v>947</v>
      </c>
      <c r="AG190" s="397" t="s">
        <v>3222</v>
      </c>
      <c r="AH190" s="114"/>
      <c r="AI190" s="326" t="s">
        <v>1573</v>
      </c>
      <c r="AJ190" s="64" t="s">
        <v>505</v>
      </c>
      <c r="AK190" s="326" t="s">
        <v>20</v>
      </c>
      <c r="AL190" s="326" t="s">
        <v>926</v>
      </c>
      <c r="AM190" s="326" t="s">
        <v>949</v>
      </c>
      <c r="AN190" s="397" t="s">
        <v>3479</v>
      </c>
      <c r="AO190" s="114"/>
      <c r="AP190" s="191" t="s">
        <v>2267</v>
      </c>
      <c r="AQ190" s="322"/>
      <c r="AR190" s="114"/>
      <c r="AS190" s="323"/>
      <c r="AT190" s="323"/>
      <c r="AU190" s="322"/>
      <c r="AV190" s="322"/>
      <c r="AW190" s="323"/>
      <c r="AX190" s="323"/>
      <c r="AY190" s="109"/>
      <c r="AZ190" s="95"/>
      <c r="BA190" s="109"/>
      <c r="BB190" s="109"/>
      <c r="BC190" s="109"/>
      <c r="BD190" s="109"/>
      <c r="BE190" s="113"/>
      <c r="BF190" s="114"/>
      <c r="BG190" s="64" t="s">
        <v>3557</v>
      </c>
      <c r="BH190" s="245">
        <v>1372398</v>
      </c>
      <c r="BI190" s="64" t="s">
        <v>3551</v>
      </c>
      <c r="BJ190" s="229" t="s">
        <v>3552</v>
      </c>
    </row>
    <row r="191" spans="1:62" s="51" customFormat="1" ht="52.5" customHeight="1">
      <c r="A191" s="51">
        <v>8</v>
      </c>
      <c r="B191" s="14" t="s">
        <v>143</v>
      </c>
      <c r="C191" s="52">
        <v>12536</v>
      </c>
      <c r="D191" s="383" t="s">
        <v>2779</v>
      </c>
      <c r="E191" s="220" t="s">
        <v>425</v>
      </c>
      <c r="F191" s="130" t="s">
        <v>3562</v>
      </c>
      <c r="G191" s="10"/>
      <c r="H191" s="131"/>
      <c r="I191" s="55">
        <v>1</v>
      </c>
      <c r="J191" s="196">
        <v>1</v>
      </c>
      <c r="K191" s="52"/>
      <c r="L191" s="52" t="s">
        <v>502</v>
      </c>
      <c r="M191" s="295" t="s">
        <v>89</v>
      </c>
      <c r="N191" s="335">
        <v>41548</v>
      </c>
      <c r="O191" s="158">
        <f t="shared" si="3"/>
        <v>41548</v>
      </c>
      <c r="P191" s="133" t="s">
        <v>3665</v>
      </c>
      <c r="Q191" s="363" t="s">
        <v>2268</v>
      </c>
      <c r="R191" s="52" t="s">
        <v>505</v>
      </c>
      <c r="S191" s="295" t="s">
        <v>2484</v>
      </c>
      <c r="T191" s="79">
        <v>57471</v>
      </c>
      <c r="U191" s="64" t="s">
        <v>2478</v>
      </c>
      <c r="V191" s="64" t="s">
        <v>2480</v>
      </c>
      <c r="W191" s="64" t="s">
        <v>89</v>
      </c>
      <c r="X191" s="64" t="s">
        <v>29</v>
      </c>
      <c r="Y191" s="295" t="s">
        <v>1604</v>
      </c>
      <c r="Z191" s="295"/>
      <c r="AA191" s="64"/>
      <c r="AB191" s="302" t="s">
        <v>2269</v>
      </c>
      <c r="AC191" s="64" t="s">
        <v>505</v>
      </c>
      <c r="AD191" s="302" t="s">
        <v>518</v>
      </c>
      <c r="AE191" s="302" t="s">
        <v>511</v>
      </c>
      <c r="AF191" s="302"/>
      <c r="AG191" s="364" t="s">
        <v>3223</v>
      </c>
      <c r="AH191" s="114"/>
      <c r="AI191" s="302" t="s">
        <v>1574</v>
      </c>
      <c r="AJ191" s="64" t="s">
        <v>505</v>
      </c>
      <c r="AK191" s="302" t="s">
        <v>22</v>
      </c>
      <c r="AL191" s="302" t="s">
        <v>511</v>
      </c>
      <c r="AM191" s="302"/>
      <c r="AN191" s="364" t="s">
        <v>3480</v>
      </c>
      <c r="AO191" s="64"/>
      <c r="AP191" s="191" t="s">
        <v>2270</v>
      </c>
      <c r="AQ191" s="322"/>
      <c r="AR191" s="114"/>
      <c r="AS191" s="323"/>
      <c r="AT191" s="323"/>
      <c r="AU191" s="322"/>
      <c r="AV191" s="322"/>
      <c r="AW191" s="323"/>
      <c r="AX191" s="324"/>
      <c r="AY191" s="60"/>
      <c r="AZ191" s="95"/>
      <c r="BA191" s="60"/>
      <c r="BB191" s="60"/>
      <c r="BC191" s="60"/>
      <c r="BD191" s="60"/>
      <c r="BE191" s="75"/>
      <c r="BF191" s="64"/>
      <c r="BG191" s="64" t="s">
        <v>3557</v>
      </c>
      <c r="BH191" s="245">
        <v>1372398</v>
      </c>
      <c r="BI191" s="64" t="s">
        <v>3551</v>
      </c>
      <c r="BJ191" s="229" t="s">
        <v>3552</v>
      </c>
    </row>
    <row r="192" spans="1:62" s="51" customFormat="1" ht="52.5" customHeight="1">
      <c r="A192" s="171">
        <v>9</v>
      </c>
      <c r="B192" s="14" t="s">
        <v>143</v>
      </c>
      <c r="C192" s="52">
        <v>12549</v>
      </c>
      <c r="D192" s="383" t="s">
        <v>2780</v>
      </c>
      <c r="E192" s="220" t="s">
        <v>426</v>
      </c>
      <c r="F192" s="130" t="s">
        <v>3562</v>
      </c>
      <c r="G192" s="10"/>
      <c r="H192" s="131"/>
      <c r="I192" s="55">
        <v>1</v>
      </c>
      <c r="J192" s="196">
        <v>0</v>
      </c>
      <c r="K192" s="52"/>
      <c r="L192" s="52" t="s">
        <v>502</v>
      </c>
      <c r="M192" s="295" t="s">
        <v>102</v>
      </c>
      <c r="N192" s="335">
        <v>41386</v>
      </c>
      <c r="O192" s="158">
        <f t="shared" si="3"/>
        <v>41386</v>
      </c>
      <c r="P192" s="133" t="s">
        <v>3663</v>
      </c>
      <c r="Q192" s="354" t="s">
        <v>1512</v>
      </c>
      <c r="R192" s="52" t="s">
        <v>505</v>
      </c>
      <c r="S192" s="295" t="s">
        <v>1537</v>
      </c>
      <c r="T192" s="79">
        <v>55188</v>
      </c>
      <c r="U192" s="64" t="s">
        <v>2089</v>
      </c>
      <c r="V192" s="64" t="s">
        <v>2078</v>
      </c>
      <c r="W192" s="64" t="s">
        <v>19</v>
      </c>
      <c r="X192" s="64" t="s">
        <v>696</v>
      </c>
      <c r="Y192" s="295" t="s">
        <v>1605</v>
      </c>
      <c r="Z192" s="295" t="s">
        <v>1606</v>
      </c>
      <c r="AA192" s="64"/>
      <c r="AB192" s="302" t="s">
        <v>1553</v>
      </c>
      <c r="AC192" s="64" t="s">
        <v>505</v>
      </c>
      <c r="AD192" s="302" t="s">
        <v>20</v>
      </c>
      <c r="AE192" s="302" t="s">
        <v>921</v>
      </c>
      <c r="AF192" s="302" t="s">
        <v>949</v>
      </c>
      <c r="AG192" s="364" t="s">
        <v>3224</v>
      </c>
      <c r="AH192" s="114"/>
      <c r="AI192" s="302" t="s">
        <v>1575</v>
      </c>
      <c r="AJ192" s="64" t="s">
        <v>505</v>
      </c>
      <c r="AK192" s="302" t="s">
        <v>20</v>
      </c>
      <c r="AL192" s="302" t="s">
        <v>924</v>
      </c>
      <c r="AM192" s="302" t="s">
        <v>951</v>
      </c>
      <c r="AN192" s="364" t="s">
        <v>3481</v>
      </c>
      <c r="AO192" s="64"/>
      <c r="AP192" s="191" t="s">
        <v>2274</v>
      </c>
      <c r="AQ192" s="322"/>
      <c r="AR192" s="114"/>
      <c r="AS192" s="323"/>
      <c r="AT192" s="323"/>
      <c r="AU192" s="322"/>
      <c r="AV192" s="322"/>
      <c r="AW192" s="323"/>
      <c r="AX192" s="324"/>
      <c r="AY192" s="60"/>
      <c r="AZ192" s="95"/>
      <c r="BA192" s="60"/>
      <c r="BB192" s="60"/>
      <c r="BC192" s="60"/>
      <c r="BD192" s="60"/>
      <c r="BE192" s="75"/>
      <c r="BF192" s="64"/>
      <c r="BG192" s="64" t="s">
        <v>3557</v>
      </c>
      <c r="BH192" s="245">
        <v>1372398</v>
      </c>
      <c r="BI192" s="64" t="s">
        <v>3551</v>
      </c>
      <c r="BJ192" s="229" t="s">
        <v>3552</v>
      </c>
    </row>
    <row r="193" spans="1:62" s="51" customFormat="1" ht="47.25">
      <c r="A193" s="51">
        <v>10</v>
      </c>
      <c r="B193" s="14" t="s">
        <v>143</v>
      </c>
      <c r="C193" s="164">
        <v>12569</v>
      </c>
      <c r="D193" s="309">
        <v>3144307094</v>
      </c>
      <c r="E193" s="220" t="s">
        <v>427</v>
      </c>
      <c r="F193" s="130" t="s">
        <v>3562</v>
      </c>
      <c r="G193" s="10"/>
      <c r="H193" s="131"/>
      <c r="I193" s="55">
        <v>3</v>
      </c>
      <c r="J193" s="196">
        <v>2</v>
      </c>
      <c r="K193" s="52"/>
      <c r="L193" s="52" t="s">
        <v>502</v>
      </c>
      <c r="M193" s="300" t="s">
        <v>72</v>
      </c>
      <c r="N193" s="340">
        <v>41845</v>
      </c>
      <c r="O193" s="158">
        <f t="shared" si="3"/>
        <v>41845</v>
      </c>
      <c r="P193" s="133" t="s">
        <v>3666</v>
      </c>
      <c r="Q193" s="356" t="s">
        <v>1513</v>
      </c>
      <c r="R193" s="52" t="s">
        <v>505</v>
      </c>
      <c r="S193" s="300" t="s">
        <v>2485</v>
      </c>
      <c r="T193" s="79">
        <v>17520</v>
      </c>
      <c r="U193" s="64" t="s">
        <v>2486</v>
      </c>
      <c r="V193" s="64" t="s">
        <v>2487</v>
      </c>
      <c r="W193" s="64" t="s">
        <v>72</v>
      </c>
      <c r="X193" s="64" t="s">
        <v>40</v>
      </c>
      <c r="Y193" s="300" t="s">
        <v>2896</v>
      </c>
      <c r="Z193" s="300" t="s">
        <v>1607</v>
      </c>
      <c r="AA193" s="64"/>
      <c r="AB193" s="328" t="s">
        <v>1554</v>
      </c>
      <c r="AC193" s="64" t="s">
        <v>505</v>
      </c>
      <c r="AD193" s="326" t="s">
        <v>20</v>
      </c>
      <c r="AE193" s="326" t="s">
        <v>921</v>
      </c>
      <c r="AF193" s="326" t="s">
        <v>947</v>
      </c>
      <c r="AG193" s="397" t="s">
        <v>3225</v>
      </c>
      <c r="AH193" s="114"/>
      <c r="AI193" s="326" t="s">
        <v>1576</v>
      </c>
      <c r="AJ193" s="64" t="s">
        <v>505</v>
      </c>
      <c r="AK193" s="326" t="s">
        <v>75</v>
      </c>
      <c r="AL193" s="326" t="s">
        <v>924</v>
      </c>
      <c r="AM193" s="326" t="s">
        <v>946</v>
      </c>
      <c r="AN193" s="397" t="s">
        <v>3482</v>
      </c>
      <c r="AO193" s="64"/>
      <c r="AP193" s="191" t="s">
        <v>2275</v>
      </c>
      <c r="AQ193" s="322"/>
      <c r="AR193" s="114"/>
      <c r="AS193" s="323"/>
      <c r="AT193" s="323"/>
      <c r="AU193" s="322"/>
      <c r="AV193" s="322"/>
      <c r="AW193" s="323"/>
      <c r="AX193" s="324"/>
      <c r="AY193" s="60"/>
      <c r="AZ193" s="95"/>
      <c r="BA193" s="60"/>
      <c r="BB193" s="60"/>
      <c r="BC193" s="60"/>
      <c r="BD193" s="60"/>
      <c r="BE193" s="75"/>
      <c r="BF193" s="64"/>
      <c r="BG193" s="64" t="s">
        <v>3557</v>
      </c>
      <c r="BH193" s="245">
        <v>1372398</v>
      </c>
      <c r="BI193" s="64" t="s">
        <v>3551</v>
      </c>
      <c r="BJ193" s="229" t="s">
        <v>3552</v>
      </c>
    </row>
    <row r="194" spans="1:62" s="51" customFormat="1" ht="52.5" customHeight="1">
      <c r="A194" s="51">
        <v>12</v>
      </c>
      <c r="B194" s="14" t="s">
        <v>143</v>
      </c>
      <c r="C194" s="164">
        <v>12570</v>
      </c>
      <c r="D194" s="383" t="s">
        <v>2781</v>
      </c>
      <c r="E194" s="220" t="s">
        <v>428</v>
      </c>
      <c r="F194" s="130" t="s">
        <v>3562</v>
      </c>
      <c r="G194" s="10"/>
      <c r="H194" s="131"/>
      <c r="I194" s="55">
        <v>1</v>
      </c>
      <c r="J194" s="196">
        <v>2</v>
      </c>
      <c r="K194" s="52"/>
      <c r="L194" s="52" t="s">
        <v>502</v>
      </c>
      <c r="M194" s="295" t="s">
        <v>45</v>
      </c>
      <c r="N194" s="335">
        <v>41446</v>
      </c>
      <c r="O194" s="158">
        <f t="shared" si="3"/>
        <v>41446</v>
      </c>
      <c r="P194" s="133" t="s">
        <v>3667</v>
      </c>
      <c r="Q194" s="354" t="s">
        <v>1514</v>
      </c>
      <c r="R194" s="52" t="s">
        <v>505</v>
      </c>
      <c r="S194" s="295" t="s">
        <v>2488</v>
      </c>
      <c r="T194" s="79">
        <v>60182</v>
      </c>
      <c r="U194" s="64" t="s">
        <v>2489</v>
      </c>
      <c r="V194" s="64" t="s">
        <v>2490</v>
      </c>
      <c r="W194" s="64" t="s">
        <v>524</v>
      </c>
      <c r="X194" s="64" t="s">
        <v>39</v>
      </c>
      <c r="Y194" s="295" t="s">
        <v>1608</v>
      </c>
      <c r="Z194" s="295" t="s">
        <v>1609</v>
      </c>
      <c r="AA194" s="64"/>
      <c r="AB194" s="302" t="s">
        <v>1555</v>
      </c>
      <c r="AC194" s="64" t="s">
        <v>505</v>
      </c>
      <c r="AD194" s="302" t="s">
        <v>22</v>
      </c>
      <c r="AE194" s="302" t="s">
        <v>921</v>
      </c>
      <c r="AF194" s="302" t="s">
        <v>946</v>
      </c>
      <c r="AG194" s="364" t="s">
        <v>3226</v>
      </c>
      <c r="AH194" s="114"/>
      <c r="AI194" s="302" t="s">
        <v>1577</v>
      </c>
      <c r="AJ194" s="64" t="s">
        <v>505</v>
      </c>
      <c r="AK194" s="302" t="s">
        <v>22</v>
      </c>
      <c r="AL194" s="302" t="s">
        <v>165</v>
      </c>
      <c r="AM194" s="302" t="s">
        <v>951</v>
      </c>
      <c r="AN194" s="364" t="s">
        <v>3483</v>
      </c>
      <c r="AO194" s="64"/>
      <c r="AP194" s="191" t="s">
        <v>2276</v>
      </c>
      <c r="AQ194" s="322"/>
      <c r="AR194" s="114"/>
      <c r="AS194" s="323"/>
      <c r="AT194" s="323"/>
      <c r="AU194" s="322"/>
      <c r="AV194" s="322"/>
      <c r="AW194" s="323"/>
      <c r="AX194" s="324"/>
      <c r="AY194" s="60"/>
      <c r="AZ194" s="95"/>
      <c r="BA194" s="60"/>
      <c r="BB194" s="60"/>
      <c r="BC194" s="60"/>
      <c r="BD194" s="60"/>
      <c r="BE194" s="75"/>
      <c r="BF194" s="64"/>
      <c r="BG194" s="64" t="s">
        <v>3557</v>
      </c>
      <c r="BH194" s="245">
        <v>1372398</v>
      </c>
      <c r="BI194" s="64" t="s">
        <v>3551</v>
      </c>
      <c r="BJ194" s="229" t="s">
        <v>3552</v>
      </c>
    </row>
    <row r="195" spans="1:62" s="51" customFormat="1" ht="52.5" customHeight="1">
      <c r="A195" s="51">
        <v>13</v>
      </c>
      <c r="B195" s="14" t="s">
        <v>143</v>
      </c>
      <c r="C195" s="52">
        <v>12595</v>
      </c>
      <c r="D195" s="383" t="s">
        <v>2782</v>
      </c>
      <c r="E195" s="220" t="s">
        <v>429</v>
      </c>
      <c r="F195" s="130" t="s">
        <v>3562</v>
      </c>
      <c r="G195" s="10"/>
      <c r="H195" s="131"/>
      <c r="I195" s="55">
        <v>1</v>
      </c>
      <c r="J195" s="196">
        <v>1</v>
      </c>
      <c r="K195" s="52"/>
      <c r="L195" s="52" t="s">
        <v>502</v>
      </c>
      <c r="M195" s="295" t="s">
        <v>41</v>
      </c>
      <c r="N195" s="335">
        <v>41477</v>
      </c>
      <c r="O195" s="158">
        <f t="shared" ref="O195:O258" si="5">N195</f>
        <v>41477</v>
      </c>
      <c r="P195" s="133" t="s">
        <v>3668</v>
      </c>
      <c r="Q195" s="354" t="s">
        <v>1515</v>
      </c>
      <c r="R195" s="52" t="s">
        <v>505</v>
      </c>
      <c r="S195" s="295" t="s">
        <v>2493</v>
      </c>
      <c r="T195" s="79">
        <v>50228</v>
      </c>
      <c r="U195" s="64" t="s">
        <v>2197</v>
      </c>
      <c r="V195" s="64" t="s">
        <v>2198</v>
      </c>
      <c r="W195" s="64" t="s">
        <v>1904</v>
      </c>
      <c r="X195" s="64" t="s">
        <v>29</v>
      </c>
      <c r="Y195" s="295" t="s">
        <v>1335</v>
      </c>
      <c r="Z195" s="295" t="s">
        <v>1610</v>
      </c>
      <c r="AA195" s="64"/>
      <c r="AB195" s="303" t="s">
        <v>1556</v>
      </c>
      <c r="AC195" s="64" t="s">
        <v>505</v>
      </c>
      <c r="AD195" s="302" t="s">
        <v>30</v>
      </c>
      <c r="AE195" s="302" t="s">
        <v>21</v>
      </c>
      <c r="AF195" s="302" t="s">
        <v>946</v>
      </c>
      <c r="AG195" s="364" t="s">
        <v>3227</v>
      </c>
      <c r="AH195" s="114"/>
      <c r="AI195" s="302" t="s">
        <v>1578</v>
      </c>
      <c r="AJ195" s="64" t="s">
        <v>505</v>
      </c>
      <c r="AK195" s="302" t="s">
        <v>20</v>
      </c>
      <c r="AL195" s="302" t="s">
        <v>921</v>
      </c>
      <c r="AM195" s="302" t="s">
        <v>948</v>
      </c>
      <c r="AN195" s="364" t="s">
        <v>3484</v>
      </c>
      <c r="AO195" s="64"/>
      <c r="AP195" s="191" t="s">
        <v>2279</v>
      </c>
      <c r="AQ195" s="322"/>
      <c r="AR195" s="114"/>
      <c r="AS195" s="323"/>
      <c r="AT195" s="323"/>
      <c r="AU195" s="322"/>
      <c r="AV195" s="114"/>
      <c r="AW195" s="323"/>
      <c r="AX195" s="324"/>
      <c r="AY195" s="60"/>
      <c r="AZ195" s="95"/>
      <c r="BA195" s="60"/>
      <c r="BB195" s="60"/>
      <c r="BC195" s="60"/>
      <c r="BD195" s="60"/>
      <c r="BE195" s="75"/>
      <c r="BF195" s="64"/>
      <c r="BG195" s="64" t="s">
        <v>3557</v>
      </c>
      <c r="BH195" s="245">
        <v>1372398</v>
      </c>
      <c r="BI195" s="64" t="s">
        <v>3551</v>
      </c>
      <c r="BJ195" s="229" t="s">
        <v>3552</v>
      </c>
    </row>
    <row r="196" spans="1:62" s="171" customFormat="1" ht="52.5" customHeight="1">
      <c r="A196" s="51">
        <v>14</v>
      </c>
      <c r="B196" s="14" t="s">
        <v>143</v>
      </c>
      <c r="C196" s="52">
        <v>12604</v>
      </c>
      <c r="D196" s="292">
        <v>235</v>
      </c>
      <c r="E196" s="220" t="s">
        <v>430</v>
      </c>
      <c r="F196" s="130" t="s">
        <v>3562</v>
      </c>
      <c r="G196" s="208"/>
      <c r="H196" s="265"/>
      <c r="I196" s="168">
        <v>2</v>
      </c>
      <c r="J196" s="197">
        <v>1</v>
      </c>
      <c r="K196" s="165"/>
      <c r="L196" s="52" t="s">
        <v>502</v>
      </c>
      <c r="M196" s="295" t="s">
        <v>956</v>
      </c>
      <c r="N196" s="335">
        <v>41568</v>
      </c>
      <c r="O196" s="158">
        <f t="shared" si="5"/>
        <v>41568</v>
      </c>
      <c r="P196" s="133" t="s">
        <v>3032</v>
      </c>
      <c r="Q196" s="354" t="s">
        <v>1516</v>
      </c>
      <c r="R196" s="52" t="s">
        <v>505</v>
      </c>
      <c r="S196" s="295" t="s">
        <v>2494</v>
      </c>
      <c r="T196" s="228">
        <v>55131</v>
      </c>
      <c r="U196" s="64" t="s">
        <v>2161</v>
      </c>
      <c r="V196" s="114" t="s">
        <v>2077</v>
      </c>
      <c r="W196" s="114" t="s">
        <v>2495</v>
      </c>
      <c r="X196" s="114" t="s">
        <v>29</v>
      </c>
      <c r="Y196" s="295" t="s">
        <v>2897</v>
      </c>
      <c r="Z196" s="295" t="s">
        <v>1611</v>
      </c>
      <c r="AA196" s="114"/>
      <c r="AB196" s="303" t="s">
        <v>2277</v>
      </c>
      <c r="AC196" s="64" t="s">
        <v>505</v>
      </c>
      <c r="AD196" s="302" t="s">
        <v>30</v>
      </c>
      <c r="AE196" s="302" t="s">
        <v>921</v>
      </c>
      <c r="AF196" s="302" t="s">
        <v>946</v>
      </c>
      <c r="AG196" s="364" t="s">
        <v>3228</v>
      </c>
      <c r="AH196" s="114"/>
      <c r="AI196" s="302" t="s">
        <v>1579</v>
      </c>
      <c r="AJ196" s="64" t="s">
        <v>505</v>
      </c>
      <c r="AK196" s="302" t="s">
        <v>30</v>
      </c>
      <c r="AL196" s="302" t="s">
        <v>924</v>
      </c>
      <c r="AM196" s="302" t="s">
        <v>946</v>
      </c>
      <c r="AN196" s="364" t="s">
        <v>3485</v>
      </c>
      <c r="AO196" s="114"/>
      <c r="AP196" s="191" t="s">
        <v>2278</v>
      </c>
      <c r="AQ196" s="322"/>
      <c r="AR196" s="114"/>
      <c r="AS196" s="323"/>
      <c r="AT196" s="323"/>
      <c r="AU196" s="322"/>
      <c r="AV196" s="322"/>
      <c r="AW196" s="323"/>
      <c r="AX196" s="323"/>
      <c r="AY196" s="109"/>
      <c r="AZ196" s="95"/>
      <c r="BA196" s="109"/>
      <c r="BB196" s="109"/>
      <c r="BC196" s="109"/>
      <c r="BD196" s="109"/>
      <c r="BE196" s="113"/>
      <c r="BF196" s="114"/>
      <c r="BG196" s="64" t="s">
        <v>3557</v>
      </c>
      <c r="BH196" s="245">
        <v>1372398</v>
      </c>
      <c r="BI196" s="64" t="s">
        <v>3551</v>
      </c>
      <c r="BJ196" s="229" t="s">
        <v>3552</v>
      </c>
    </row>
    <row r="197" spans="1:62" s="51" customFormat="1" ht="52.5" customHeight="1">
      <c r="A197" s="51">
        <v>15</v>
      </c>
      <c r="B197" s="14" t="s">
        <v>143</v>
      </c>
      <c r="C197" s="52">
        <v>12613</v>
      </c>
      <c r="D197" s="383" t="s">
        <v>2783</v>
      </c>
      <c r="E197" s="220" t="s">
        <v>431</v>
      </c>
      <c r="F197" s="130" t="s">
        <v>3562</v>
      </c>
      <c r="G197" s="10"/>
      <c r="H197" s="131"/>
      <c r="I197" s="55">
        <v>1</v>
      </c>
      <c r="J197" s="196">
        <v>2</v>
      </c>
      <c r="K197" s="52"/>
      <c r="L197" s="52" t="s">
        <v>502</v>
      </c>
      <c r="M197" s="295" t="s">
        <v>105</v>
      </c>
      <c r="N197" s="335">
        <v>41772</v>
      </c>
      <c r="O197" s="158">
        <f t="shared" si="5"/>
        <v>41772</v>
      </c>
      <c r="P197" s="133" t="s">
        <v>3669</v>
      </c>
      <c r="Q197" s="354" t="s">
        <v>1517</v>
      </c>
      <c r="R197" s="52" t="s">
        <v>505</v>
      </c>
      <c r="S197" s="295" t="s">
        <v>2280</v>
      </c>
      <c r="T197" s="79">
        <v>90234</v>
      </c>
      <c r="U197" s="64" t="s">
        <v>2491</v>
      </c>
      <c r="V197" s="64" t="s">
        <v>2491</v>
      </c>
      <c r="W197" s="64" t="s">
        <v>2492</v>
      </c>
      <c r="X197" s="64" t="s">
        <v>106</v>
      </c>
      <c r="Y197" s="295" t="s">
        <v>1612</v>
      </c>
      <c r="Z197" s="295" t="s">
        <v>1613</v>
      </c>
      <c r="AA197" s="64"/>
      <c r="AB197" s="302" t="s">
        <v>1557</v>
      </c>
      <c r="AC197" s="64" t="s">
        <v>505</v>
      </c>
      <c r="AD197" s="302" t="s">
        <v>20</v>
      </c>
      <c r="AE197" s="302" t="s">
        <v>165</v>
      </c>
      <c r="AF197" s="302" t="s">
        <v>946</v>
      </c>
      <c r="AG197" s="364" t="s">
        <v>3229</v>
      </c>
      <c r="AH197" s="114"/>
      <c r="AI197" s="302" t="s">
        <v>1580</v>
      </c>
      <c r="AJ197" s="64" t="s">
        <v>505</v>
      </c>
      <c r="AK197" s="302" t="s">
        <v>1594</v>
      </c>
      <c r="AL197" s="302" t="s">
        <v>923</v>
      </c>
      <c r="AM197" s="302" t="s">
        <v>950</v>
      </c>
      <c r="AN197" s="364" t="s">
        <v>3486</v>
      </c>
      <c r="AO197" s="64"/>
      <c r="AP197" s="191" t="s">
        <v>2281</v>
      </c>
      <c r="AQ197" s="322"/>
      <c r="AR197" s="114"/>
      <c r="AS197" s="323"/>
      <c r="AT197" s="323"/>
      <c r="AU197" s="322"/>
      <c r="AV197" s="114"/>
      <c r="AW197" s="323"/>
      <c r="AX197" s="324"/>
      <c r="AY197" s="60"/>
      <c r="AZ197" s="95"/>
      <c r="BA197" s="60"/>
      <c r="BB197" s="60"/>
      <c r="BC197" s="60"/>
      <c r="BD197" s="60"/>
      <c r="BE197" s="75"/>
      <c r="BF197" s="64"/>
      <c r="BG197" s="64" t="s">
        <v>3557</v>
      </c>
      <c r="BH197" s="245">
        <v>1372398</v>
      </c>
      <c r="BI197" s="64" t="s">
        <v>3551</v>
      </c>
      <c r="BJ197" s="229" t="s">
        <v>3552</v>
      </c>
    </row>
    <row r="198" spans="1:62" s="51" customFormat="1" ht="47.25">
      <c r="A198" s="171">
        <v>16</v>
      </c>
      <c r="B198" s="14" t="s">
        <v>143</v>
      </c>
      <c r="C198" s="164">
        <v>12631</v>
      </c>
      <c r="D198" s="292">
        <v>3149697112</v>
      </c>
      <c r="E198" s="220" t="s">
        <v>432</v>
      </c>
      <c r="F198" s="130" t="s">
        <v>3562</v>
      </c>
      <c r="G198" s="10"/>
      <c r="H198" s="131"/>
      <c r="I198" s="55">
        <v>1</v>
      </c>
      <c r="J198" s="196">
        <v>2</v>
      </c>
      <c r="K198" s="52"/>
      <c r="L198" s="52" t="s">
        <v>502</v>
      </c>
      <c r="M198" s="295" t="s">
        <v>1501</v>
      </c>
      <c r="N198" s="335">
        <v>41670</v>
      </c>
      <c r="O198" s="158">
        <f t="shared" si="5"/>
        <v>41670</v>
      </c>
      <c r="P198" s="133" t="s">
        <v>3670</v>
      </c>
      <c r="Q198" s="354" t="s">
        <v>1518</v>
      </c>
      <c r="R198" s="52" t="s">
        <v>505</v>
      </c>
      <c r="S198" s="295" t="s">
        <v>1538</v>
      </c>
      <c r="T198" s="79">
        <v>41112</v>
      </c>
      <c r="U198" s="64" t="s">
        <v>2496</v>
      </c>
      <c r="V198" s="64" t="s">
        <v>1501</v>
      </c>
      <c r="W198" s="64" t="s">
        <v>1501</v>
      </c>
      <c r="X198" s="64" t="s">
        <v>40</v>
      </c>
      <c r="Y198" s="295" t="s">
        <v>1614</v>
      </c>
      <c r="Z198" s="295" t="s">
        <v>1615</v>
      </c>
      <c r="AA198" s="64"/>
      <c r="AB198" s="302" t="s">
        <v>1558</v>
      </c>
      <c r="AC198" s="64" t="s">
        <v>505</v>
      </c>
      <c r="AD198" s="302" t="s">
        <v>922</v>
      </c>
      <c r="AE198" s="302" t="s">
        <v>921</v>
      </c>
      <c r="AF198" s="302" t="s">
        <v>947</v>
      </c>
      <c r="AG198" s="364" t="s">
        <v>3230</v>
      </c>
      <c r="AH198" s="114"/>
      <c r="AI198" s="302" t="s">
        <v>1581</v>
      </c>
      <c r="AJ198" s="64" t="s">
        <v>505</v>
      </c>
      <c r="AK198" s="302" t="s">
        <v>922</v>
      </c>
      <c r="AL198" s="302" t="s">
        <v>921</v>
      </c>
      <c r="AM198" s="302" t="s">
        <v>947</v>
      </c>
      <c r="AN198" s="364" t="s">
        <v>3487</v>
      </c>
      <c r="AO198" s="64"/>
      <c r="AP198" s="191" t="s">
        <v>2282</v>
      </c>
      <c r="AQ198" s="322"/>
      <c r="AR198" s="114"/>
      <c r="AS198" s="323"/>
      <c r="AT198" s="323"/>
      <c r="AU198" s="322"/>
      <c r="AV198" s="322"/>
      <c r="AW198" s="323"/>
      <c r="AX198" s="324"/>
      <c r="AY198" s="60"/>
      <c r="AZ198" s="95"/>
      <c r="BA198" s="60"/>
      <c r="BB198" s="60"/>
      <c r="BC198" s="60"/>
      <c r="BD198" s="60"/>
      <c r="BE198" s="75"/>
      <c r="BF198" s="64"/>
      <c r="BG198" s="64" t="s">
        <v>3557</v>
      </c>
      <c r="BH198" s="245">
        <v>1372398</v>
      </c>
      <c r="BI198" s="64" t="s">
        <v>3551</v>
      </c>
      <c r="BJ198" s="229" t="s">
        <v>3552</v>
      </c>
    </row>
    <row r="199" spans="1:62" s="51" customFormat="1" ht="52.5" customHeight="1">
      <c r="A199" s="51">
        <v>17</v>
      </c>
      <c r="B199" s="14" t="s">
        <v>143</v>
      </c>
      <c r="C199" s="52">
        <v>12645</v>
      </c>
      <c r="D199" s="383" t="s">
        <v>2784</v>
      </c>
      <c r="E199" s="220" t="s">
        <v>433</v>
      </c>
      <c r="F199" s="130" t="s">
        <v>3562</v>
      </c>
      <c r="G199" s="10"/>
      <c r="H199" s="263"/>
      <c r="I199" s="55">
        <v>1</v>
      </c>
      <c r="J199" s="196">
        <v>1</v>
      </c>
      <c r="K199" s="52"/>
      <c r="L199" s="52" t="s">
        <v>502</v>
      </c>
      <c r="M199" s="295" t="s">
        <v>1502</v>
      </c>
      <c r="N199" s="335">
        <v>41549</v>
      </c>
      <c r="O199" s="158">
        <f t="shared" si="5"/>
        <v>41549</v>
      </c>
      <c r="P199" s="133" t="s">
        <v>3636</v>
      </c>
      <c r="Q199" s="354" t="s">
        <v>1519</v>
      </c>
      <c r="R199" s="52" t="s">
        <v>505</v>
      </c>
      <c r="S199" s="295" t="s">
        <v>2851</v>
      </c>
      <c r="T199" s="79">
        <v>55622</v>
      </c>
      <c r="U199" s="64" t="s">
        <v>2497</v>
      </c>
      <c r="V199" s="64" t="s">
        <v>2498</v>
      </c>
      <c r="W199" s="64" t="s">
        <v>53</v>
      </c>
      <c r="X199" s="64" t="s">
        <v>696</v>
      </c>
      <c r="Y199" s="295" t="s">
        <v>1616</v>
      </c>
      <c r="Z199" s="295" t="s">
        <v>1617</v>
      </c>
      <c r="AA199" s="64"/>
      <c r="AB199" s="302" t="s">
        <v>2943</v>
      </c>
      <c r="AC199" s="64" t="s">
        <v>505</v>
      </c>
      <c r="AD199" s="302" t="s">
        <v>922</v>
      </c>
      <c r="AE199" s="302" t="s">
        <v>165</v>
      </c>
      <c r="AF199" s="302" t="s">
        <v>949</v>
      </c>
      <c r="AG199" s="364" t="s">
        <v>3231</v>
      </c>
      <c r="AH199" s="114"/>
      <c r="AI199" s="302" t="s">
        <v>2983</v>
      </c>
      <c r="AJ199" s="64" t="s">
        <v>505</v>
      </c>
      <c r="AK199" s="302" t="s">
        <v>20</v>
      </c>
      <c r="AL199" s="302" t="s">
        <v>165</v>
      </c>
      <c r="AM199" s="302" t="s">
        <v>946</v>
      </c>
      <c r="AN199" s="364" t="s">
        <v>3488</v>
      </c>
      <c r="AO199" s="64"/>
      <c r="AP199" s="191" t="s">
        <v>2283</v>
      </c>
      <c r="AQ199" s="322"/>
      <c r="AR199" s="114"/>
      <c r="AS199" s="323"/>
      <c r="AT199" s="323"/>
      <c r="AU199" s="322"/>
      <c r="AV199" s="322"/>
      <c r="AW199" s="323"/>
      <c r="AX199" s="324"/>
      <c r="AY199" s="60"/>
      <c r="AZ199" s="95"/>
      <c r="BA199" s="60"/>
      <c r="BB199" s="60"/>
      <c r="BC199" s="60"/>
      <c r="BD199" s="60"/>
      <c r="BE199" s="75"/>
      <c r="BF199" s="64"/>
      <c r="BG199" s="64" t="s">
        <v>3557</v>
      </c>
      <c r="BH199" s="245">
        <v>1372398</v>
      </c>
      <c r="BI199" s="64" t="s">
        <v>3551</v>
      </c>
      <c r="BJ199" s="229" t="s">
        <v>3552</v>
      </c>
    </row>
    <row r="200" spans="1:62" s="51" customFormat="1" ht="52.5" customHeight="1">
      <c r="A200" s="51">
        <v>18</v>
      </c>
      <c r="B200" s="14" t="s">
        <v>143</v>
      </c>
      <c r="C200" s="52">
        <v>12648</v>
      </c>
      <c r="D200" s="383" t="s">
        <v>2785</v>
      </c>
      <c r="E200" s="220" t="s">
        <v>434</v>
      </c>
      <c r="F200" s="130" t="s">
        <v>3562</v>
      </c>
      <c r="G200" s="10"/>
      <c r="H200" s="263"/>
      <c r="I200" s="55">
        <v>2</v>
      </c>
      <c r="J200" s="196">
        <v>2</v>
      </c>
      <c r="K200" s="52"/>
      <c r="L200" s="52" t="s">
        <v>502</v>
      </c>
      <c r="M200" s="295" t="s">
        <v>23</v>
      </c>
      <c r="N200" s="335">
        <v>41551</v>
      </c>
      <c r="O200" s="158">
        <f t="shared" si="5"/>
        <v>41551</v>
      </c>
      <c r="P200" s="133" t="s">
        <v>3566</v>
      </c>
      <c r="Q200" s="363" t="s">
        <v>2271</v>
      </c>
      <c r="R200" s="52" t="s">
        <v>505</v>
      </c>
      <c r="S200" s="295" t="s">
        <v>1539</v>
      </c>
      <c r="T200" s="79">
        <v>55252</v>
      </c>
      <c r="U200" s="64" t="s">
        <v>1175</v>
      </c>
      <c r="V200" s="64" t="s">
        <v>1175</v>
      </c>
      <c r="W200" s="64" t="s">
        <v>695</v>
      </c>
      <c r="X200" s="64" t="s">
        <v>696</v>
      </c>
      <c r="Y200" s="295" t="s">
        <v>1618</v>
      </c>
      <c r="Z200" s="295"/>
      <c r="AA200" s="64"/>
      <c r="AB200" s="302" t="s">
        <v>2273</v>
      </c>
      <c r="AC200" s="64" t="s">
        <v>505</v>
      </c>
      <c r="AD200" s="302" t="s">
        <v>518</v>
      </c>
      <c r="AE200" s="302" t="s">
        <v>511</v>
      </c>
      <c r="AF200" s="302"/>
      <c r="AG200" s="364" t="s">
        <v>3232</v>
      </c>
      <c r="AH200" s="114"/>
      <c r="AI200" s="302" t="s">
        <v>1582</v>
      </c>
      <c r="AJ200" s="64" t="s">
        <v>505</v>
      </c>
      <c r="AK200" s="302" t="s">
        <v>518</v>
      </c>
      <c r="AL200" s="302" t="s">
        <v>165</v>
      </c>
      <c r="AM200" s="302"/>
      <c r="AN200" s="364" t="s">
        <v>3232</v>
      </c>
      <c r="AO200" s="64"/>
      <c r="AP200" s="191" t="s">
        <v>2272</v>
      </c>
      <c r="AQ200" s="322"/>
      <c r="AR200" s="114"/>
      <c r="AS200" s="323"/>
      <c r="AT200" s="323"/>
      <c r="AU200" s="322"/>
      <c r="AV200" s="114"/>
      <c r="AW200" s="323"/>
      <c r="AX200" s="324"/>
      <c r="AY200" s="60"/>
      <c r="AZ200" s="95"/>
      <c r="BA200" s="60"/>
      <c r="BB200" s="60"/>
      <c r="BC200" s="60"/>
      <c r="BD200" s="60"/>
      <c r="BE200" s="75"/>
      <c r="BF200" s="64"/>
      <c r="BG200" s="64" t="s">
        <v>3557</v>
      </c>
      <c r="BH200" s="245">
        <v>1372398</v>
      </c>
      <c r="BI200" s="64" t="s">
        <v>3551</v>
      </c>
      <c r="BJ200" s="229" t="s">
        <v>3552</v>
      </c>
    </row>
    <row r="201" spans="1:62" s="171" customFormat="1" ht="52.5" customHeight="1">
      <c r="A201" s="51">
        <v>19</v>
      </c>
      <c r="B201" s="14" t="s">
        <v>143</v>
      </c>
      <c r="C201" s="164">
        <v>12649</v>
      </c>
      <c r="D201" s="383" t="s">
        <v>2786</v>
      </c>
      <c r="E201" s="220" t="s">
        <v>435</v>
      </c>
      <c r="F201" s="130" t="s">
        <v>3562</v>
      </c>
      <c r="G201" s="208"/>
      <c r="H201" s="265"/>
      <c r="I201" s="168">
        <v>1</v>
      </c>
      <c r="J201" s="197">
        <v>3</v>
      </c>
      <c r="K201" s="165"/>
      <c r="L201" s="52" t="s">
        <v>502</v>
      </c>
      <c r="M201" s="295" t="s">
        <v>27</v>
      </c>
      <c r="N201" s="335">
        <v>41679</v>
      </c>
      <c r="O201" s="158">
        <f t="shared" si="5"/>
        <v>41679</v>
      </c>
      <c r="P201" s="133" t="s">
        <v>3654</v>
      </c>
      <c r="Q201" s="354" t="s">
        <v>1520</v>
      </c>
      <c r="R201" s="52" t="s">
        <v>505</v>
      </c>
      <c r="S201" s="295" t="s">
        <v>2500</v>
      </c>
      <c r="T201" s="228">
        <v>13870</v>
      </c>
      <c r="U201" s="64" t="s">
        <v>2118</v>
      </c>
      <c r="V201" s="114" t="s">
        <v>2046</v>
      </c>
      <c r="W201" s="114" t="s">
        <v>19</v>
      </c>
      <c r="X201" s="114" t="s">
        <v>696</v>
      </c>
      <c r="Y201" s="295" t="s">
        <v>1619</v>
      </c>
      <c r="Z201" s="295" t="s">
        <v>1620</v>
      </c>
      <c r="AA201" s="114"/>
      <c r="AB201" s="302" t="s">
        <v>1559</v>
      </c>
      <c r="AC201" s="64" t="s">
        <v>505</v>
      </c>
      <c r="AD201" s="302" t="s">
        <v>20</v>
      </c>
      <c r="AE201" s="302" t="s">
        <v>921</v>
      </c>
      <c r="AF201" s="302" t="s">
        <v>947</v>
      </c>
      <c r="AG201" s="364" t="s">
        <v>3233</v>
      </c>
      <c r="AH201" s="114"/>
      <c r="AI201" s="302" t="s">
        <v>1583</v>
      </c>
      <c r="AJ201" s="64" t="s">
        <v>505</v>
      </c>
      <c r="AK201" s="302" t="s">
        <v>20</v>
      </c>
      <c r="AL201" s="302" t="s">
        <v>926</v>
      </c>
      <c r="AM201" s="302" t="s">
        <v>948</v>
      </c>
      <c r="AN201" s="364" t="s">
        <v>3489</v>
      </c>
      <c r="AO201" s="114"/>
      <c r="AP201" s="191" t="s">
        <v>2284</v>
      </c>
      <c r="AQ201" s="322"/>
      <c r="AR201" s="114"/>
      <c r="AS201" s="323"/>
      <c r="AT201" s="323"/>
      <c r="AU201" s="322"/>
      <c r="AV201" s="322"/>
      <c r="AW201" s="323"/>
      <c r="AX201" s="323"/>
      <c r="AY201" s="109"/>
      <c r="AZ201" s="95"/>
      <c r="BA201" s="109"/>
      <c r="BB201" s="109"/>
      <c r="BC201" s="109"/>
      <c r="BD201" s="109"/>
      <c r="BE201" s="113"/>
      <c r="BF201" s="114"/>
      <c r="BG201" s="64" t="s">
        <v>3557</v>
      </c>
      <c r="BH201" s="245">
        <v>1372398</v>
      </c>
      <c r="BI201" s="64" t="s">
        <v>3551</v>
      </c>
      <c r="BJ201" s="229" t="s">
        <v>3552</v>
      </c>
    </row>
    <row r="202" spans="1:62" s="51" customFormat="1" ht="52.5" customHeight="1">
      <c r="A202" s="51">
        <v>20</v>
      </c>
      <c r="B202" s="14" t="s">
        <v>143</v>
      </c>
      <c r="C202" s="52">
        <v>12650</v>
      </c>
      <c r="D202" s="292">
        <v>3136913270</v>
      </c>
      <c r="E202" s="220" t="s">
        <v>436</v>
      </c>
      <c r="F202" s="130" t="s">
        <v>3562</v>
      </c>
      <c r="G202" s="10"/>
      <c r="H202" s="263"/>
      <c r="I202" s="55">
        <v>3</v>
      </c>
      <c r="J202" s="196">
        <v>4</v>
      </c>
      <c r="K202" s="52"/>
      <c r="L202" s="52" t="s">
        <v>502</v>
      </c>
      <c r="M202" s="295" t="s">
        <v>52</v>
      </c>
      <c r="N202" s="335">
        <v>41599</v>
      </c>
      <c r="O202" s="158">
        <f t="shared" si="5"/>
        <v>41599</v>
      </c>
      <c r="P202" s="133" t="s">
        <v>3664</v>
      </c>
      <c r="Q202" s="354" t="s">
        <v>1521</v>
      </c>
      <c r="R202" s="52" t="s">
        <v>505</v>
      </c>
      <c r="S202" s="295" t="s">
        <v>1540</v>
      </c>
      <c r="T202" s="79">
        <v>55562</v>
      </c>
      <c r="U202" s="64" t="s">
        <v>2129</v>
      </c>
      <c r="V202" s="64" t="s">
        <v>2045</v>
      </c>
      <c r="W202" s="64" t="s">
        <v>52</v>
      </c>
      <c r="X202" s="64" t="s">
        <v>696</v>
      </c>
      <c r="Y202" s="295" t="s">
        <v>2898</v>
      </c>
      <c r="Z202" s="295" t="s">
        <v>1621</v>
      </c>
      <c r="AA202" s="64"/>
      <c r="AB202" s="302" t="s">
        <v>2944</v>
      </c>
      <c r="AC202" s="64" t="s">
        <v>505</v>
      </c>
      <c r="AD202" s="302" t="s">
        <v>20</v>
      </c>
      <c r="AE202" s="302" t="s">
        <v>924</v>
      </c>
      <c r="AF202" s="302" t="s">
        <v>949</v>
      </c>
      <c r="AG202" s="364" t="s">
        <v>3234</v>
      </c>
      <c r="AH202" s="114"/>
      <c r="AI202" s="302" t="s">
        <v>1584</v>
      </c>
      <c r="AJ202" s="64" t="s">
        <v>505</v>
      </c>
      <c r="AK202" s="302" t="s">
        <v>20</v>
      </c>
      <c r="AL202" s="302" t="s">
        <v>923</v>
      </c>
      <c r="AM202" s="302" t="s">
        <v>950</v>
      </c>
      <c r="AN202" s="364" t="s">
        <v>3490</v>
      </c>
      <c r="AO202" s="64"/>
      <c r="AP202" s="191" t="s">
        <v>2285</v>
      </c>
      <c r="AQ202" s="322"/>
      <c r="AR202" s="114"/>
      <c r="AS202" s="323"/>
      <c r="AT202" s="323"/>
      <c r="AU202" s="322"/>
      <c r="AV202" s="322"/>
      <c r="AW202" s="323"/>
      <c r="AX202" s="324"/>
      <c r="AY202" s="60"/>
      <c r="AZ202" s="95"/>
      <c r="BA202" s="60"/>
      <c r="BB202" s="60"/>
      <c r="BC202" s="60"/>
      <c r="BD202" s="60"/>
      <c r="BE202" s="75"/>
      <c r="BF202" s="64"/>
      <c r="BG202" s="64" t="s">
        <v>3557</v>
      </c>
      <c r="BH202" s="245">
        <v>1372398</v>
      </c>
      <c r="BI202" s="64" t="s">
        <v>3551</v>
      </c>
      <c r="BJ202" s="229" t="s">
        <v>3552</v>
      </c>
    </row>
    <row r="203" spans="1:62" s="171" customFormat="1" ht="52.5" customHeight="1">
      <c r="A203" s="171">
        <v>21</v>
      </c>
      <c r="B203" s="14" t="s">
        <v>143</v>
      </c>
      <c r="C203" s="52">
        <v>12656</v>
      </c>
      <c r="D203" s="292">
        <v>3149344710</v>
      </c>
      <c r="E203" s="220" t="s">
        <v>437</v>
      </c>
      <c r="F203" s="130" t="s">
        <v>3562</v>
      </c>
      <c r="G203" s="208"/>
      <c r="H203" s="265"/>
      <c r="I203" s="168">
        <v>2</v>
      </c>
      <c r="J203" s="197">
        <v>1</v>
      </c>
      <c r="K203" s="165"/>
      <c r="L203" s="52" t="s">
        <v>502</v>
      </c>
      <c r="M203" s="295" t="s">
        <v>52</v>
      </c>
      <c r="N203" s="335">
        <v>41415</v>
      </c>
      <c r="O203" s="158">
        <f t="shared" si="5"/>
        <v>41415</v>
      </c>
      <c r="P203" s="133" t="s">
        <v>3671</v>
      </c>
      <c r="Q203" s="354" t="s">
        <v>1522</v>
      </c>
      <c r="R203" s="52" t="s">
        <v>505</v>
      </c>
      <c r="S203" s="295" t="s">
        <v>1541</v>
      </c>
      <c r="T203" s="228">
        <v>55752</v>
      </c>
      <c r="U203" s="64" t="s">
        <v>2501</v>
      </c>
      <c r="V203" s="114" t="s">
        <v>2150</v>
      </c>
      <c r="W203" s="114" t="s">
        <v>19</v>
      </c>
      <c r="X203" s="114" t="s">
        <v>696</v>
      </c>
      <c r="Y203" s="295" t="s">
        <v>1217</v>
      </c>
      <c r="Z203" s="295" t="s">
        <v>1622</v>
      </c>
      <c r="AA203" s="114"/>
      <c r="AB203" s="302" t="s">
        <v>2945</v>
      </c>
      <c r="AC203" s="64" t="s">
        <v>505</v>
      </c>
      <c r="AD203" s="302" t="s">
        <v>922</v>
      </c>
      <c r="AE203" s="302" t="s">
        <v>921</v>
      </c>
      <c r="AF203" s="302" t="s">
        <v>949</v>
      </c>
      <c r="AG203" s="364" t="s">
        <v>3235</v>
      </c>
      <c r="AH203" s="114"/>
      <c r="AI203" s="302" t="s">
        <v>1585</v>
      </c>
      <c r="AJ203" s="64" t="s">
        <v>505</v>
      </c>
      <c r="AK203" s="302" t="s">
        <v>22</v>
      </c>
      <c r="AL203" s="302" t="s">
        <v>921</v>
      </c>
      <c r="AM203" s="302" t="s">
        <v>948</v>
      </c>
      <c r="AN203" s="364" t="s">
        <v>3491</v>
      </c>
      <c r="AO203" s="114"/>
      <c r="AP203" s="191" t="s">
        <v>2286</v>
      </c>
      <c r="AQ203" s="322"/>
      <c r="AR203" s="114"/>
      <c r="AS203" s="323"/>
      <c r="AT203" s="323"/>
      <c r="AU203" s="322"/>
      <c r="AV203" s="322"/>
      <c r="AW203" s="323"/>
      <c r="AX203" s="323"/>
      <c r="AY203" s="109"/>
      <c r="AZ203" s="95"/>
      <c r="BA203" s="109"/>
      <c r="BB203" s="109"/>
      <c r="BC203" s="109"/>
      <c r="BD203" s="109"/>
      <c r="BE203" s="113"/>
      <c r="BF203" s="114"/>
      <c r="BG203" s="64" t="s">
        <v>3557</v>
      </c>
      <c r="BH203" s="245">
        <v>1372398</v>
      </c>
      <c r="BI203" s="64" t="s">
        <v>3551</v>
      </c>
      <c r="BJ203" s="229" t="s">
        <v>3552</v>
      </c>
    </row>
    <row r="204" spans="1:62" s="51" customFormat="1" ht="52.5" customHeight="1">
      <c r="A204" s="51">
        <v>22</v>
      </c>
      <c r="B204" s="14" t="s">
        <v>143</v>
      </c>
      <c r="C204" s="164">
        <v>12657</v>
      </c>
      <c r="D204" s="383" t="s">
        <v>2787</v>
      </c>
      <c r="E204" s="220" t="s">
        <v>438</v>
      </c>
      <c r="F204" s="130" t="s">
        <v>3562</v>
      </c>
      <c r="G204" s="10"/>
      <c r="H204" s="263"/>
      <c r="I204" s="55">
        <v>1</v>
      </c>
      <c r="J204" s="196">
        <v>0</v>
      </c>
      <c r="K204" s="52"/>
      <c r="L204" s="52" t="s">
        <v>502</v>
      </c>
      <c r="M204" s="295" t="s">
        <v>47</v>
      </c>
      <c r="N204" s="335">
        <v>41717</v>
      </c>
      <c r="O204" s="158">
        <f t="shared" si="5"/>
        <v>41717</v>
      </c>
      <c r="P204" s="133" t="s">
        <v>3672</v>
      </c>
      <c r="Q204" s="354" t="s">
        <v>1523</v>
      </c>
      <c r="R204" s="52" t="s">
        <v>505</v>
      </c>
      <c r="S204" s="295" t="s">
        <v>1542</v>
      </c>
      <c r="T204" s="79">
        <v>70118</v>
      </c>
      <c r="U204" s="64" t="s">
        <v>2499</v>
      </c>
      <c r="V204" s="64" t="s">
        <v>2503</v>
      </c>
      <c r="W204" s="64" t="s">
        <v>2504</v>
      </c>
      <c r="X204" s="64" t="s">
        <v>48</v>
      </c>
      <c r="Y204" s="295" t="s">
        <v>1623</v>
      </c>
      <c r="Z204" s="295" t="s">
        <v>1624</v>
      </c>
      <c r="AA204" s="64"/>
      <c r="AB204" s="302" t="s">
        <v>1560</v>
      </c>
      <c r="AC204" s="64" t="s">
        <v>505</v>
      </c>
      <c r="AD204" s="302" t="s">
        <v>20</v>
      </c>
      <c r="AE204" s="302" t="s">
        <v>921</v>
      </c>
      <c r="AF204" s="302" t="s">
        <v>946</v>
      </c>
      <c r="AG204" s="364" t="s">
        <v>3236</v>
      </c>
      <c r="AH204" s="114"/>
      <c r="AI204" s="302" t="s">
        <v>1586</v>
      </c>
      <c r="AJ204" s="64" t="s">
        <v>505</v>
      </c>
      <c r="AK204" s="302" t="s">
        <v>30</v>
      </c>
      <c r="AL204" s="302" t="s">
        <v>21</v>
      </c>
      <c r="AM204" s="302" t="s">
        <v>946</v>
      </c>
      <c r="AN204" s="364" t="s">
        <v>3492</v>
      </c>
      <c r="AO204" s="64"/>
      <c r="AP204" s="191" t="s">
        <v>2287</v>
      </c>
      <c r="AQ204" s="322"/>
      <c r="AR204" s="114"/>
      <c r="AS204" s="323"/>
      <c r="AT204" s="323"/>
      <c r="AU204" s="322"/>
      <c r="AV204" s="114"/>
      <c r="AW204" s="323"/>
      <c r="AX204" s="324"/>
      <c r="AY204" s="60"/>
      <c r="AZ204" s="95"/>
      <c r="BA204" s="60"/>
      <c r="BB204" s="60"/>
      <c r="BC204" s="60"/>
      <c r="BD204" s="60"/>
      <c r="BE204" s="75"/>
      <c r="BF204" s="64"/>
      <c r="BG204" s="64" t="s">
        <v>3557</v>
      </c>
      <c r="BH204" s="245">
        <v>1372398</v>
      </c>
      <c r="BI204" s="64" t="s">
        <v>3551</v>
      </c>
      <c r="BJ204" s="229" t="s">
        <v>3552</v>
      </c>
    </row>
    <row r="205" spans="1:62" s="51" customFormat="1" ht="52.5" customHeight="1">
      <c r="A205" s="171">
        <v>23</v>
      </c>
      <c r="B205" s="14" t="s">
        <v>143</v>
      </c>
      <c r="C205" s="164">
        <v>12658</v>
      </c>
      <c r="D205" s="383" t="s">
        <v>2788</v>
      </c>
      <c r="E205" s="220" t="s">
        <v>439</v>
      </c>
      <c r="F205" s="130" t="s">
        <v>3562</v>
      </c>
      <c r="G205" s="208"/>
      <c r="H205" s="131"/>
      <c r="I205" s="55">
        <v>1</v>
      </c>
      <c r="J205" s="196">
        <v>1</v>
      </c>
      <c r="K205" s="52"/>
      <c r="L205" s="52" t="s">
        <v>502</v>
      </c>
      <c r="M205" s="295" t="s">
        <v>63</v>
      </c>
      <c r="N205" s="335">
        <v>41644</v>
      </c>
      <c r="O205" s="158">
        <f t="shared" si="5"/>
        <v>41644</v>
      </c>
      <c r="P205" s="133" t="s">
        <v>3673</v>
      </c>
      <c r="Q205" s="354" t="s">
        <v>1524</v>
      </c>
      <c r="R205" s="52" t="s">
        <v>505</v>
      </c>
      <c r="S205" s="295" t="s">
        <v>2505</v>
      </c>
      <c r="T205" s="79">
        <v>53473</v>
      </c>
      <c r="U205" s="64" t="s">
        <v>2506</v>
      </c>
      <c r="V205" s="64" t="s">
        <v>2502</v>
      </c>
      <c r="W205" s="64" t="s">
        <v>63</v>
      </c>
      <c r="X205" s="64" t="s">
        <v>29</v>
      </c>
      <c r="Y205" s="295" t="s">
        <v>2899</v>
      </c>
      <c r="Z205" s="295" t="s">
        <v>1625</v>
      </c>
      <c r="AA205" s="64"/>
      <c r="AB205" s="302" t="s">
        <v>1561</v>
      </c>
      <c r="AC205" s="64" t="s">
        <v>505</v>
      </c>
      <c r="AD205" s="302" t="s">
        <v>20</v>
      </c>
      <c r="AE205" s="302" t="s">
        <v>924</v>
      </c>
      <c r="AF205" s="302" t="s">
        <v>946</v>
      </c>
      <c r="AG205" s="364" t="s">
        <v>3237</v>
      </c>
      <c r="AH205" s="114"/>
      <c r="AI205" s="302" t="s">
        <v>1587</v>
      </c>
      <c r="AJ205" s="64" t="s">
        <v>505</v>
      </c>
      <c r="AK205" s="302" t="s">
        <v>20</v>
      </c>
      <c r="AL205" s="302" t="s">
        <v>921</v>
      </c>
      <c r="AM205" s="302" t="s">
        <v>949</v>
      </c>
      <c r="AN205" s="364" t="s">
        <v>3493</v>
      </c>
      <c r="AO205" s="64"/>
      <c r="AP205" s="191" t="s">
        <v>2288</v>
      </c>
      <c r="AQ205" s="322"/>
      <c r="AR205" s="114"/>
      <c r="AS205" s="323"/>
      <c r="AT205" s="323"/>
      <c r="AU205" s="322"/>
      <c r="AV205" s="322"/>
      <c r="AW205" s="323"/>
      <c r="AX205" s="324"/>
      <c r="AY205" s="60"/>
      <c r="AZ205" s="95"/>
      <c r="BA205" s="60"/>
      <c r="BB205" s="60"/>
      <c r="BC205" s="60"/>
      <c r="BD205" s="60"/>
      <c r="BE205" s="75"/>
      <c r="BF205" s="64"/>
      <c r="BG205" s="64" t="s">
        <v>3557</v>
      </c>
      <c r="BH205" s="245">
        <v>1372398</v>
      </c>
      <c r="BI205" s="64" t="s">
        <v>3551</v>
      </c>
      <c r="BJ205" s="229" t="s">
        <v>3552</v>
      </c>
    </row>
    <row r="206" spans="1:62" s="51" customFormat="1" ht="52.5" customHeight="1">
      <c r="A206" s="51">
        <v>24</v>
      </c>
      <c r="B206" s="14" t="s">
        <v>143</v>
      </c>
      <c r="C206" s="164">
        <v>12676</v>
      </c>
      <c r="D206" s="292">
        <v>3147802581</v>
      </c>
      <c r="E206" s="220" t="s">
        <v>440</v>
      </c>
      <c r="F206" s="130" t="s">
        <v>3562</v>
      </c>
      <c r="G206" s="10"/>
      <c r="H206" s="131"/>
      <c r="I206" s="55">
        <v>1</v>
      </c>
      <c r="J206" s="196">
        <v>0</v>
      </c>
      <c r="K206" s="165"/>
      <c r="L206" s="52" t="s">
        <v>502</v>
      </c>
      <c r="M206" s="295" t="s">
        <v>1503</v>
      </c>
      <c r="N206" s="335">
        <v>41753</v>
      </c>
      <c r="O206" s="158">
        <f t="shared" si="5"/>
        <v>41753</v>
      </c>
      <c r="P206" s="133" t="s">
        <v>3674</v>
      </c>
      <c r="Q206" s="354" t="s">
        <v>1525</v>
      </c>
      <c r="R206" s="52" t="s">
        <v>505</v>
      </c>
      <c r="S206" s="295" t="s">
        <v>1543</v>
      </c>
      <c r="T206" s="228">
        <v>55194</v>
      </c>
      <c r="U206" s="64" t="s">
        <v>2101</v>
      </c>
      <c r="V206" s="114" t="s">
        <v>733</v>
      </c>
      <c r="W206" s="64" t="s">
        <v>19</v>
      </c>
      <c r="X206" s="64" t="s">
        <v>696</v>
      </c>
      <c r="Y206" s="295" t="s">
        <v>2900</v>
      </c>
      <c r="Z206" s="295" t="s">
        <v>1626</v>
      </c>
      <c r="AA206" s="114"/>
      <c r="AB206" s="302" t="s">
        <v>2946</v>
      </c>
      <c r="AC206" s="64" t="s">
        <v>505</v>
      </c>
      <c r="AD206" s="302" t="s">
        <v>20</v>
      </c>
      <c r="AE206" s="302" t="s">
        <v>921</v>
      </c>
      <c r="AF206" s="302" t="s">
        <v>948</v>
      </c>
      <c r="AG206" s="364" t="s">
        <v>3238</v>
      </c>
      <c r="AH206" s="114"/>
      <c r="AI206" s="302" t="s">
        <v>2984</v>
      </c>
      <c r="AJ206" s="64" t="s">
        <v>505</v>
      </c>
      <c r="AK206" s="302" t="s">
        <v>20</v>
      </c>
      <c r="AL206" s="302" t="s">
        <v>921</v>
      </c>
      <c r="AM206" s="302" t="s">
        <v>948</v>
      </c>
      <c r="AN206" s="364" t="s">
        <v>3494</v>
      </c>
      <c r="AO206" s="114"/>
      <c r="AP206" s="351" t="s">
        <v>2289</v>
      </c>
      <c r="AQ206" s="344"/>
      <c r="AR206" s="114"/>
      <c r="AS206" s="323"/>
      <c r="AT206" s="323"/>
      <c r="AU206" s="344"/>
      <c r="AV206" s="322"/>
      <c r="AW206" s="323"/>
      <c r="AX206" s="323"/>
      <c r="AY206" s="109"/>
      <c r="AZ206" s="95"/>
      <c r="BA206" s="109"/>
      <c r="BB206" s="109"/>
      <c r="BC206" s="109"/>
      <c r="BD206" s="109"/>
      <c r="BE206" s="113"/>
      <c r="BF206" s="114"/>
      <c r="BG206" s="64" t="s">
        <v>3557</v>
      </c>
      <c r="BH206" s="245">
        <v>1372398</v>
      </c>
      <c r="BI206" s="64" t="s">
        <v>3551</v>
      </c>
      <c r="BJ206" s="229" t="s">
        <v>3552</v>
      </c>
    </row>
    <row r="207" spans="1:62" s="51" customFormat="1" ht="52.5" customHeight="1">
      <c r="A207" s="51">
        <v>25</v>
      </c>
      <c r="B207" s="14" t="s">
        <v>143</v>
      </c>
      <c r="C207" s="164">
        <v>12680</v>
      </c>
      <c r="D207" s="383" t="s">
        <v>2789</v>
      </c>
      <c r="E207" s="220" t="s">
        <v>441</v>
      </c>
      <c r="F207" s="130" t="s">
        <v>3562</v>
      </c>
      <c r="G207" s="10"/>
      <c r="H207" s="263"/>
      <c r="I207" s="55">
        <v>2</v>
      </c>
      <c r="J207" s="196">
        <v>1</v>
      </c>
      <c r="K207" s="52"/>
      <c r="L207" s="52" t="s">
        <v>502</v>
      </c>
      <c r="M207" s="295" t="s">
        <v>55</v>
      </c>
      <c r="N207" s="335">
        <v>41442</v>
      </c>
      <c r="O207" s="158">
        <f t="shared" si="5"/>
        <v>41442</v>
      </c>
      <c r="P207" s="133" t="s">
        <v>3675</v>
      </c>
      <c r="Q207" s="354" t="s">
        <v>1526</v>
      </c>
      <c r="R207" s="52" t="s">
        <v>505</v>
      </c>
      <c r="S207" s="295" t="s">
        <v>2510</v>
      </c>
      <c r="T207" s="79">
        <v>56313</v>
      </c>
      <c r="U207" s="64" t="s">
        <v>2509</v>
      </c>
      <c r="V207" s="64" t="s">
        <v>55</v>
      </c>
      <c r="W207" s="64" t="s">
        <v>55</v>
      </c>
      <c r="X207" s="64" t="s">
        <v>29</v>
      </c>
      <c r="Y207" s="295" t="s">
        <v>112</v>
      </c>
      <c r="Z207" s="295" t="s">
        <v>1627</v>
      </c>
      <c r="AA207" s="64"/>
      <c r="AB207" s="303" t="s">
        <v>2290</v>
      </c>
      <c r="AC207" s="64" t="s">
        <v>505</v>
      </c>
      <c r="AD207" s="302" t="s">
        <v>20</v>
      </c>
      <c r="AE207" s="302" t="s">
        <v>165</v>
      </c>
      <c r="AF207" s="302" t="s">
        <v>946</v>
      </c>
      <c r="AG207" s="364" t="s">
        <v>3239</v>
      </c>
      <c r="AH207" s="114"/>
      <c r="AI207" s="302" t="s">
        <v>1588</v>
      </c>
      <c r="AJ207" s="64" t="s">
        <v>505</v>
      </c>
      <c r="AK207" s="302" t="s">
        <v>922</v>
      </c>
      <c r="AL207" s="302" t="s">
        <v>923</v>
      </c>
      <c r="AM207" s="302" t="s">
        <v>950</v>
      </c>
      <c r="AN207" s="364" t="s">
        <v>3495</v>
      </c>
      <c r="AO207" s="64"/>
      <c r="AP207" s="191" t="s">
        <v>2291</v>
      </c>
      <c r="AQ207" s="322"/>
      <c r="AR207" s="114"/>
      <c r="AS207" s="323"/>
      <c r="AT207" s="323"/>
      <c r="AU207" s="322"/>
      <c r="AV207" s="322"/>
      <c r="AW207" s="323"/>
      <c r="AX207" s="324"/>
      <c r="AY207" s="60"/>
      <c r="AZ207" s="95"/>
      <c r="BA207" s="60"/>
      <c r="BB207" s="60"/>
      <c r="BC207" s="60"/>
      <c r="BD207" s="60"/>
      <c r="BE207" s="75"/>
      <c r="BF207" s="64"/>
      <c r="BG207" s="64" t="s">
        <v>3557</v>
      </c>
      <c r="BH207" s="245">
        <v>1372398</v>
      </c>
      <c r="BI207" s="64" t="s">
        <v>3551</v>
      </c>
      <c r="BJ207" s="229" t="s">
        <v>3552</v>
      </c>
    </row>
    <row r="208" spans="1:62" s="51" customFormat="1" ht="52.5" customHeight="1">
      <c r="A208" s="51">
        <v>26</v>
      </c>
      <c r="B208" s="14" t="s">
        <v>143</v>
      </c>
      <c r="C208" s="164">
        <v>12692</v>
      </c>
      <c r="D208" s="383" t="s">
        <v>2790</v>
      </c>
      <c r="E208" s="220" t="s">
        <v>442</v>
      </c>
      <c r="F208" s="130" t="s">
        <v>3562</v>
      </c>
      <c r="G208" s="10"/>
      <c r="H208" s="131"/>
      <c r="I208" s="55">
        <v>2</v>
      </c>
      <c r="J208" s="196">
        <v>2</v>
      </c>
      <c r="K208" s="52"/>
      <c r="L208" s="52" t="s">
        <v>502</v>
      </c>
      <c r="M208" s="295" t="s">
        <v>55</v>
      </c>
      <c r="N208" s="335">
        <v>41586</v>
      </c>
      <c r="O208" s="158">
        <f t="shared" si="5"/>
        <v>41586</v>
      </c>
      <c r="P208" s="133" t="s">
        <v>3676</v>
      </c>
      <c r="Q208" s="363" t="s">
        <v>2292</v>
      </c>
      <c r="R208" s="52" t="s">
        <v>505</v>
      </c>
      <c r="S208" s="295" t="s">
        <v>2511</v>
      </c>
      <c r="T208" s="79">
        <v>56351</v>
      </c>
      <c r="U208" s="64" t="s">
        <v>2507</v>
      </c>
      <c r="V208" s="64" t="s">
        <v>1858</v>
      </c>
      <c r="W208" s="64" t="s">
        <v>55</v>
      </c>
      <c r="X208" s="64" t="s">
        <v>29</v>
      </c>
      <c r="Y208" s="295" t="s">
        <v>112</v>
      </c>
      <c r="Z208" s="295" t="s">
        <v>1628</v>
      </c>
      <c r="AA208" s="64"/>
      <c r="AB208" s="302" t="s">
        <v>1562</v>
      </c>
      <c r="AC208" s="64" t="s">
        <v>505</v>
      </c>
      <c r="AD208" s="302" t="s">
        <v>922</v>
      </c>
      <c r="AE208" s="302" t="s">
        <v>921</v>
      </c>
      <c r="AF208" s="302" t="s">
        <v>948</v>
      </c>
      <c r="AG208" s="364" t="s">
        <v>3240</v>
      </c>
      <c r="AH208" s="114"/>
      <c r="AI208" s="302" t="s">
        <v>2985</v>
      </c>
      <c r="AJ208" s="64" t="s">
        <v>505</v>
      </c>
      <c r="AK208" s="302" t="s">
        <v>922</v>
      </c>
      <c r="AL208" s="302" t="s">
        <v>165</v>
      </c>
      <c r="AM208" s="302" t="s">
        <v>948</v>
      </c>
      <c r="AN208" s="364" t="s">
        <v>3496</v>
      </c>
      <c r="AO208" s="64"/>
      <c r="AP208" s="191" t="s">
        <v>2293</v>
      </c>
      <c r="AQ208" s="322"/>
      <c r="AR208" s="114"/>
      <c r="AS208" s="323"/>
      <c r="AT208" s="323"/>
      <c r="AU208" s="322"/>
      <c r="AV208" s="322"/>
      <c r="AW208" s="323"/>
      <c r="AX208" s="324"/>
      <c r="AY208" s="60"/>
      <c r="AZ208" s="95"/>
      <c r="BA208" s="60"/>
      <c r="BB208" s="60"/>
      <c r="BC208" s="60"/>
      <c r="BD208" s="60"/>
      <c r="BE208" s="75"/>
      <c r="BF208" s="64"/>
      <c r="BG208" s="64" t="s">
        <v>3557</v>
      </c>
      <c r="BH208" s="245">
        <v>1372398</v>
      </c>
      <c r="BI208" s="64" t="s">
        <v>3551</v>
      </c>
      <c r="BJ208" s="229" t="s">
        <v>3552</v>
      </c>
    </row>
    <row r="209" spans="1:62" s="51" customFormat="1" ht="52.5" customHeight="1">
      <c r="A209" s="51">
        <v>27</v>
      </c>
      <c r="B209" s="14" t="s">
        <v>143</v>
      </c>
      <c r="C209" s="174">
        <v>12697</v>
      </c>
      <c r="D209" s="383" t="s">
        <v>2791</v>
      </c>
      <c r="E209" s="220" t="s">
        <v>443</v>
      </c>
      <c r="F209" s="130" t="s">
        <v>3562</v>
      </c>
      <c r="G209" s="10"/>
      <c r="H209" s="263"/>
      <c r="I209" s="55">
        <v>2</v>
      </c>
      <c r="J209" s="196">
        <v>2</v>
      </c>
      <c r="K209" s="52"/>
      <c r="L209" s="52" t="s">
        <v>502</v>
      </c>
      <c r="M209" s="295" t="s">
        <v>117</v>
      </c>
      <c r="N209" s="335">
        <v>41731</v>
      </c>
      <c r="O209" s="158">
        <f t="shared" si="5"/>
        <v>41731</v>
      </c>
      <c r="P209" s="133" t="s">
        <v>3677</v>
      </c>
      <c r="Q209" s="354" t="s">
        <v>1527</v>
      </c>
      <c r="R209" s="52" t="s">
        <v>505</v>
      </c>
      <c r="S209" s="295" t="s">
        <v>1544</v>
      </c>
      <c r="T209" s="79">
        <v>51372</v>
      </c>
      <c r="U209" s="64" t="s">
        <v>2070</v>
      </c>
      <c r="V209" s="64" t="s">
        <v>1861</v>
      </c>
      <c r="W209" s="64" t="s">
        <v>117</v>
      </c>
      <c r="X209" s="64" t="s">
        <v>29</v>
      </c>
      <c r="Y209" s="295" t="s">
        <v>1629</v>
      </c>
      <c r="Z209" s="295" t="s">
        <v>1630</v>
      </c>
      <c r="AA209" s="64"/>
      <c r="AB209" s="303" t="s">
        <v>2294</v>
      </c>
      <c r="AC209" s="64" t="s">
        <v>505</v>
      </c>
      <c r="AD209" s="302" t="s">
        <v>20</v>
      </c>
      <c r="AE209" s="302" t="s">
        <v>165</v>
      </c>
      <c r="AF209" s="302" t="s">
        <v>946</v>
      </c>
      <c r="AG209" s="364" t="s">
        <v>3241</v>
      </c>
      <c r="AH209" s="114"/>
      <c r="AI209" s="302" t="s">
        <v>1589</v>
      </c>
      <c r="AJ209" s="64" t="s">
        <v>505</v>
      </c>
      <c r="AK209" s="302" t="s">
        <v>20</v>
      </c>
      <c r="AL209" s="302" t="s">
        <v>165</v>
      </c>
      <c r="AM209" s="302" t="s">
        <v>948</v>
      </c>
      <c r="AN209" s="364" t="s">
        <v>3497</v>
      </c>
      <c r="AO209" s="64"/>
      <c r="AP209" s="191" t="s">
        <v>2295</v>
      </c>
      <c r="AQ209" s="322"/>
      <c r="AR209" s="114"/>
      <c r="AS209" s="323"/>
      <c r="AT209" s="323"/>
      <c r="AU209" s="322"/>
      <c r="AV209" s="322"/>
      <c r="AW209" s="323"/>
      <c r="AX209" s="324"/>
      <c r="AY209" s="60"/>
      <c r="AZ209" s="95"/>
      <c r="BA209" s="60"/>
      <c r="BB209" s="60"/>
      <c r="BC209" s="60"/>
      <c r="BD209" s="60"/>
      <c r="BE209" s="75"/>
      <c r="BF209" s="64"/>
      <c r="BG209" s="64" t="s">
        <v>3557</v>
      </c>
      <c r="BH209" s="245">
        <v>1372398</v>
      </c>
      <c r="BI209" s="64" t="s">
        <v>3551</v>
      </c>
      <c r="BJ209" s="229" t="s">
        <v>3552</v>
      </c>
    </row>
    <row r="210" spans="1:62" s="51" customFormat="1" ht="52.5" customHeight="1">
      <c r="A210" s="51">
        <v>28</v>
      </c>
      <c r="B210" s="14" t="s">
        <v>143</v>
      </c>
      <c r="C210" s="174">
        <v>12704</v>
      </c>
      <c r="D210" s="383" t="s">
        <v>2792</v>
      </c>
      <c r="E210" s="220" t="s">
        <v>444</v>
      </c>
      <c r="F210" s="130" t="s">
        <v>3562</v>
      </c>
      <c r="G210" s="10"/>
      <c r="H210" s="131"/>
      <c r="I210" s="55">
        <v>2</v>
      </c>
      <c r="J210" s="196">
        <v>1</v>
      </c>
      <c r="K210" s="52"/>
      <c r="L210" s="52" t="s">
        <v>502</v>
      </c>
      <c r="M210" s="295" t="s">
        <v>1504</v>
      </c>
      <c r="N210" s="336">
        <v>41514</v>
      </c>
      <c r="O210" s="158">
        <f t="shared" si="5"/>
        <v>41514</v>
      </c>
      <c r="P210" s="133" t="s">
        <v>3678</v>
      </c>
      <c r="Q210" s="354" t="s">
        <v>1528</v>
      </c>
      <c r="R210" s="52" t="s">
        <v>505</v>
      </c>
      <c r="S210" s="295" t="s">
        <v>1545</v>
      </c>
      <c r="T210" s="79">
        <v>55752</v>
      </c>
      <c r="U210" s="64" t="s">
        <v>2131</v>
      </c>
      <c r="V210" s="64" t="s">
        <v>2150</v>
      </c>
      <c r="W210" s="64" t="s">
        <v>19</v>
      </c>
      <c r="X210" s="64" t="s">
        <v>696</v>
      </c>
      <c r="Y210" s="295" t="s">
        <v>1631</v>
      </c>
      <c r="Z210" s="295" t="s">
        <v>1632</v>
      </c>
      <c r="AA210" s="64"/>
      <c r="AB210" s="302" t="s">
        <v>1563</v>
      </c>
      <c r="AC210" s="64" t="s">
        <v>505</v>
      </c>
      <c r="AD210" s="302" t="s">
        <v>20</v>
      </c>
      <c r="AE210" s="302" t="s">
        <v>21</v>
      </c>
      <c r="AF210" s="302" t="s">
        <v>948</v>
      </c>
      <c r="AG210" s="364" t="s">
        <v>3242</v>
      </c>
      <c r="AH210" s="114"/>
      <c r="AI210" s="302" t="s">
        <v>1590</v>
      </c>
      <c r="AJ210" s="64" t="s">
        <v>505</v>
      </c>
      <c r="AK210" s="302" t="s">
        <v>20</v>
      </c>
      <c r="AL210" s="302" t="s">
        <v>21</v>
      </c>
      <c r="AM210" s="302" t="s">
        <v>948</v>
      </c>
      <c r="AN210" s="364" t="s">
        <v>3498</v>
      </c>
      <c r="AO210" s="64"/>
      <c r="AP210" s="191" t="s">
        <v>2296</v>
      </c>
      <c r="AQ210" s="322"/>
      <c r="AR210" s="114"/>
      <c r="AS210" s="323"/>
      <c r="AT210" s="323"/>
      <c r="AU210" s="322"/>
      <c r="AV210" s="322"/>
      <c r="AW210" s="323"/>
      <c r="AX210" s="324"/>
      <c r="AY210" s="60"/>
      <c r="AZ210" s="95"/>
      <c r="BA210" s="60"/>
      <c r="BB210" s="60"/>
      <c r="BC210" s="60"/>
      <c r="BD210" s="60"/>
      <c r="BE210" s="75"/>
      <c r="BF210" s="64"/>
      <c r="BG210" s="64" t="s">
        <v>3557</v>
      </c>
      <c r="BH210" s="245">
        <v>1372398</v>
      </c>
      <c r="BI210" s="64" t="s">
        <v>3551</v>
      </c>
      <c r="BJ210" s="229" t="s">
        <v>3552</v>
      </c>
    </row>
    <row r="211" spans="1:62" s="51" customFormat="1" ht="52.5" customHeight="1">
      <c r="A211" s="51">
        <v>29</v>
      </c>
      <c r="B211" s="14" t="s">
        <v>143</v>
      </c>
      <c r="C211" s="174">
        <v>12705</v>
      </c>
      <c r="D211" s="383" t="s">
        <v>2793</v>
      </c>
      <c r="E211" s="220" t="s">
        <v>445</v>
      </c>
      <c r="F211" s="130" t="s">
        <v>3562</v>
      </c>
      <c r="G211" s="10"/>
      <c r="H211" s="131"/>
      <c r="I211" s="55">
        <v>1</v>
      </c>
      <c r="J211" s="196">
        <v>1</v>
      </c>
      <c r="K211" s="52"/>
      <c r="L211" s="52" t="s">
        <v>502</v>
      </c>
      <c r="M211" s="295" t="s">
        <v>42</v>
      </c>
      <c r="N211" s="335">
        <v>41650</v>
      </c>
      <c r="O211" s="158">
        <f t="shared" si="5"/>
        <v>41650</v>
      </c>
      <c r="P211" s="133" t="s">
        <v>3629</v>
      </c>
      <c r="Q211" s="354" t="s">
        <v>1529</v>
      </c>
      <c r="R211" s="52" t="s">
        <v>505</v>
      </c>
      <c r="S211" s="295" t="s">
        <v>2297</v>
      </c>
      <c r="T211" s="79">
        <v>56253</v>
      </c>
      <c r="U211" s="64" t="s">
        <v>2508</v>
      </c>
      <c r="V211" s="64" t="s">
        <v>2512</v>
      </c>
      <c r="W211" s="64" t="s">
        <v>111</v>
      </c>
      <c r="X211" s="64" t="s">
        <v>29</v>
      </c>
      <c r="Y211" s="295" t="s">
        <v>2901</v>
      </c>
      <c r="Z211" s="295" t="s">
        <v>1633</v>
      </c>
      <c r="AA211" s="64"/>
      <c r="AB211" s="302" t="s">
        <v>1564</v>
      </c>
      <c r="AC211" s="64" t="s">
        <v>505</v>
      </c>
      <c r="AD211" s="302" t="s">
        <v>922</v>
      </c>
      <c r="AE211" s="302" t="s">
        <v>165</v>
      </c>
      <c r="AF211" s="302" t="s">
        <v>946</v>
      </c>
      <c r="AG211" s="364" t="s">
        <v>3243</v>
      </c>
      <c r="AH211" s="114"/>
      <c r="AI211" s="302" t="s">
        <v>1591</v>
      </c>
      <c r="AJ211" s="64" t="s">
        <v>505</v>
      </c>
      <c r="AK211" s="302" t="s">
        <v>30</v>
      </c>
      <c r="AL211" s="302" t="s">
        <v>1080</v>
      </c>
      <c r="AM211" s="302" t="s">
        <v>946</v>
      </c>
      <c r="AN211" s="364" t="s">
        <v>3499</v>
      </c>
      <c r="AO211" s="64"/>
      <c r="AP211" s="191" t="s">
        <v>2298</v>
      </c>
      <c r="AQ211" s="322"/>
      <c r="AR211" s="114"/>
      <c r="AS211" s="323"/>
      <c r="AT211" s="323"/>
      <c r="AU211" s="322"/>
      <c r="AV211" s="322"/>
      <c r="AW211" s="323"/>
      <c r="AX211" s="324"/>
      <c r="AY211" s="60"/>
      <c r="AZ211" s="95"/>
      <c r="BA211" s="60"/>
      <c r="BB211" s="60"/>
      <c r="BC211" s="60"/>
      <c r="BD211" s="60"/>
      <c r="BE211" s="75"/>
      <c r="BF211" s="64"/>
      <c r="BG211" s="64" t="s">
        <v>3557</v>
      </c>
      <c r="BH211" s="245">
        <v>1372398</v>
      </c>
      <c r="BI211" s="64" t="s">
        <v>3551</v>
      </c>
      <c r="BJ211" s="229" t="s">
        <v>3552</v>
      </c>
    </row>
    <row r="212" spans="1:62" s="51" customFormat="1" ht="47.25">
      <c r="A212" s="51">
        <v>30</v>
      </c>
      <c r="B212" s="14" t="s">
        <v>143</v>
      </c>
      <c r="C212" s="174">
        <v>12709</v>
      </c>
      <c r="D212" s="383" t="s">
        <v>2794</v>
      </c>
      <c r="E212" s="220" t="s">
        <v>446</v>
      </c>
      <c r="F212" s="130" t="s">
        <v>3562</v>
      </c>
      <c r="G212" s="10"/>
      <c r="H212" s="131"/>
      <c r="I212" s="55">
        <v>2</v>
      </c>
      <c r="J212" s="196">
        <v>3</v>
      </c>
      <c r="K212" s="52"/>
      <c r="L212" s="52" t="s">
        <v>502</v>
      </c>
      <c r="M212" s="295" t="s">
        <v>1505</v>
      </c>
      <c r="N212" s="336">
        <v>41695</v>
      </c>
      <c r="O212" s="158">
        <f t="shared" si="5"/>
        <v>41695</v>
      </c>
      <c r="P212" s="133" t="s">
        <v>3679</v>
      </c>
      <c r="Q212" s="354" t="s">
        <v>1530</v>
      </c>
      <c r="R212" s="52" t="s">
        <v>505</v>
      </c>
      <c r="S212" s="295" t="s">
        <v>2514</v>
      </c>
      <c r="T212" s="79"/>
      <c r="U212" s="64" t="s">
        <v>2515</v>
      </c>
      <c r="V212" s="64" t="s">
        <v>2516</v>
      </c>
      <c r="W212" s="64" t="s">
        <v>2517</v>
      </c>
      <c r="X212" s="64" t="s">
        <v>78</v>
      </c>
      <c r="Y212" s="295" t="s">
        <v>2902</v>
      </c>
      <c r="Z212" s="295" t="s">
        <v>1634</v>
      </c>
      <c r="AA212" s="64"/>
      <c r="AB212" s="303" t="s">
        <v>1565</v>
      </c>
      <c r="AC212" s="64" t="s">
        <v>505</v>
      </c>
      <c r="AD212" s="302" t="s">
        <v>922</v>
      </c>
      <c r="AE212" s="302" t="s">
        <v>165</v>
      </c>
      <c r="AF212" s="302" t="s">
        <v>946</v>
      </c>
      <c r="AG212" s="364" t="s">
        <v>3244</v>
      </c>
      <c r="AH212" s="114"/>
      <c r="AI212" s="302" t="s">
        <v>1592</v>
      </c>
      <c r="AJ212" s="64" t="s">
        <v>505</v>
      </c>
      <c r="AK212" s="302" t="s">
        <v>922</v>
      </c>
      <c r="AL212" s="302" t="s">
        <v>923</v>
      </c>
      <c r="AM212" s="302" t="s">
        <v>951</v>
      </c>
      <c r="AN212" s="364" t="s">
        <v>3500</v>
      </c>
      <c r="AO212" s="64"/>
      <c r="AP212" s="191" t="s">
        <v>2299</v>
      </c>
      <c r="AQ212" s="322"/>
      <c r="AR212" s="114"/>
      <c r="AS212" s="323"/>
      <c r="AT212" s="323"/>
      <c r="AU212" s="322"/>
      <c r="AV212" s="322"/>
      <c r="AW212" s="323"/>
      <c r="AX212" s="324"/>
      <c r="AY212" s="60"/>
      <c r="AZ212" s="95"/>
      <c r="BA212" s="60"/>
      <c r="BB212" s="60"/>
      <c r="BC212" s="60"/>
      <c r="BD212" s="60"/>
      <c r="BE212" s="75"/>
      <c r="BF212" s="64"/>
      <c r="BG212" s="64" t="s">
        <v>3557</v>
      </c>
      <c r="BH212" s="245">
        <v>1372398</v>
      </c>
      <c r="BI212" s="64" t="s">
        <v>3551</v>
      </c>
      <c r="BJ212" s="229" t="s">
        <v>3552</v>
      </c>
    </row>
    <row r="213" spans="1:62" s="171" customFormat="1" ht="48" thickBot="1">
      <c r="A213" s="51">
        <v>31</v>
      </c>
      <c r="B213" s="14" t="s">
        <v>143</v>
      </c>
      <c r="C213" s="174">
        <v>12717</v>
      </c>
      <c r="D213" s="383" t="s">
        <v>2795</v>
      </c>
      <c r="E213" s="269" t="s">
        <v>447</v>
      </c>
      <c r="F213" s="130" t="s">
        <v>3562</v>
      </c>
      <c r="G213" s="10"/>
      <c r="H213" s="167"/>
      <c r="I213" s="168">
        <v>1</v>
      </c>
      <c r="J213" s="197">
        <v>2</v>
      </c>
      <c r="K213" s="165"/>
      <c r="L213" s="52" t="s">
        <v>502</v>
      </c>
      <c r="M213" s="295" t="s">
        <v>72</v>
      </c>
      <c r="N213" s="336">
        <v>41297</v>
      </c>
      <c r="O213" s="158">
        <f t="shared" si="5"/>
        <v>41297</v>
      </c>
      <c r="P213" s="133" t="s">
        <v>3645</v>
      </c>
      <c r="Q213" s="354" t="s">
        <v>1531</v>
      </c>
      <c r="R213" s="52" t="s">
        <v>505</v>
      </c>
      <c r="S213" s="295" t="s">
        <v>2518</v>
      </c>
      <c r="T213" s="228">
        <v>70712</v>
      </c>
      <c r="U213" s="64" t="s">
        <v>2519</v>
      </c>
      <c r="V213" s="114" t="s">
        <v>2520</v>
      </c>
      <c r="W213" s="114" t="s">
        <v>2521</v>
      </c>
      <c r="X213" s="114" t="s">
        <v>48</v>
      </c>
      <c r="Y213" s="295" t="s">
        <v>1635</v>
      </c>
      <c r="Z213" s="295" t="s">
        <v>1636</v>
      </c>
      <c r="AA213" s="114"/>
      <c r="AB213" s="302" t="s">
        <v>1566</v>
      </c>
      <c r="AC213" s="64" t="s">
        <v>505</v>
      </c>
      <c r="AD213" s="302" t="s">
        <v>22</v>
      </c>
      <c r="AE213" s="302" t="s">
        <v>921</v>
      </c>
      <c r="AF213" s="302" t="s">
        <v>947</v>
      </c>
      <c r="AG213" s="364" t="s">
        <v>3245</v>
      </c>
      <c r="AH213" s="114"/>
      <c r="AI213" s="302" t="s">
        <v>1593</v>
      </c>
      <c r="AJ213" s="64" t="s">
        <v>505</v>
      </c>
      <c r="AK213" s="302" t="s">
        <v>22</v>
      </c>
      <c r="AL213" s="302" t="s">
        <v>923</v>
      </c>
      <c r="AM213" s="302" t="s">
        <v>950</v>
      </c>
      <c r="AN213" s="364" t="s">
        <v>3501</v>
      </c>
      <c r="AO213" s="114"/>
      <c r="AP213" s="191" t="s">
        <v>2300</v>
      </c>
      <c r="AQ213" s="322"/>
      <c r="AR213" s="114"/>
      <c r="AS213" s="323"/>
      <c r="AT213" s="323"/>
      <c r="AU213" s="322"/>
      <c r="AV213" s="322"/>
      <c r="AW213" s="323"/>
      <c r="AX213" s="323"/>
      <c r="AY213" s="109"/>
      <c r="AZ213" s="95"/>
      <c r="BA213" s="109"/>
      <c r="BB213" s="109"/>
      <c r="BC213" s="109"/>
      <c r="BD213" s="109"/>
      <c r="BE213" s="113"/>
      <c r="BF213" s="114"/>
      <c r="BG213" s="64" t="s">
        <v>3557</v>
      </c>
      <c r="BH213" s="245">
        <v>1372398</v>
      </c>
      <c r="BI213" s="64" t="s">
        <v>3551</v>
      </c>
      <c r="BJ213" s="229" t="s">
        <v>3552</v>
      </c>
    </row>
    <row r="214" spans="1:62" s="51" customFormat="1" ht="47.25" customHeight="1">
      <c r="A214" s="166">
        <v>1</v>
      </c>
      <c r="B214" s="162" t="s">
        <v>221</v>
      </c>
      <c r="C214" s="174">
        <v>12461</v>
      </c>
      <c r="D214" s="384" t="s">
        <v>2796</v>
      </c>
      <c r="E214" s="372" t="s">
        <v>448</v>
      </c>
      <c r="F214" s="130" t="s">
        <v>3562</v>
      </c>
      <c r="G214" s="10"/>
      <c r="H214" s="131"/>
      <c r="I214" s="55">
        <v>1</v>
      </c>
      <c r="J214" s="196">
        <v>0</v>
      </c>
      <c r="K214" s="52"/>
      <c r="L214" s="52" t="s">
        <v>502</v>
      </c>
      <c r="M214" s="300" t="s">
        <v>23</v>
      </c>
      <c r="N214" s="340">
        <v>41720</v>
      </c>
      <c r="O214" s="158">
        <f t="shared" si="5"/>
        <v>41720</v>
      </c>
      <c r="P214" s="133" t="s">
        <v>3680</v>
      </c>
      <c r="Q214" s="356" t="s">
        <v>1637</v>
      </c>
      <c r="R214" s="52" t="s">
        <v>505</v>
      </c>
      <c r="S214" s="300" t="s">
        <v>1638</v>
      </c>
      <c r="T214" s="79">
        <v>54615</v>
      </c>
      <c r="U214" s="64" t="s">
        <v>2523</v>
      </c>
      <c r="V214" s="64" t="s">
        <v>59</v>
      </c>
      <c r="W214" s="64" t="s">
        <v>59</v>
      </c>
      <c r="X214" s="64" t="s">
        <v>29</v>
      </c>
      <c r="Y214" s="300" t="s">
        <v>1639</v>
      </c>
      <c r="Z214" s="300" t="s">
        <v>1640</v>
      </c>
      <c r="AA214" s="64"/>
      <c r="AB214" s="326" t="s">
        <v>1641</v>
      </c>
      <c r="AC214" s="64" t="s">
        <v>505</v>
      </c>
      <c r="AD214" s="326" t="s">
        <v>20</v>
      </c>
      <c r="AE214" s="326" t="s">
        <v>165</v>
      </c>
      <c r="AF214" s="326" t="s">
        <v>948</v>
      </c>
      <c r="AG214" s="397" t="s">
        <v>3246</v>
      </c>
      <c r="AH214" s="114"/>
      <c r="AI214" s="326" t="s">
        <v>1642</v>
      </c>
      <c r="AJ214" s="64" t="s">
        <v>505</v>
      </c>
      <c r="AK214" s="326" t="s">
        <v>20</v>
      </c>
      <c r="AL214" s="326" t="s">
        <v>921</v>
      </c>
      <c r="AM214" s="326" t="s">
        <v>946</v>
      </c>
      <c r="AN214" s="397" t="s">
        <v>3502</v>
      </c>
      <c r="AO214" s="64"/>
      <c r="AP214" s="191" t="s">
        <v>2304</v>
      </c>
      <c r="AQ214" s="322"/>
      <c r="AR214" s="114"/>
      <c r="AS214" s="323"/>
      <c r="AT214" s="323"/>
      <c r="AU214" s="322"/>
      <c r="AV214" s="322"/>
      <c r="AW214" s="323"/>
      <c r="AX214" s="324"/>
      <c r="AY214" s="60"/>
      <c r="AZ214" s="95"/>
      <c r="BA214" s="60"/>
      <c r="BB214" s="60"/>
      <c r="BC214" s="60"/>
      <c r="BD214" s="60"/>
      <c r="BE214" s="75"/>
      <c r="BF214" s="64"/>
      <c r="BG214" s="114" t="s">
        <v>3559</v>
      </c>
      <c r="BH214" s="245">
        <v>1441581</v>
      </c>
      <c r="BI214" s="64" t="s">
        <v>3551</v>
      </c>
      <c r="BJ214" s="229" t="s">
        <v>3552</v>
      </c>
    </row>
    <row r="215" spans="1:62" s="51" customFormat="1" ht="54.75" customHeight="1">
      <c r="A215" s="50">
        <v>2</v>
      </c>
      <c r="B215" s="162" t="s">
        <v>221</v>
      </c>
      <c r="C215" s="174">
        <v>12482</v>
      </c>
      <c r="D215" s="383" t="s">
        <v>2797</v>
      </c>
      <c r="E215" s="319" t="s">
        <v>449</v>
      </c>
      <c r="F215" s="130" t="s">
        <v>3562</v>
      </c>
      <c r="G215" s="10"/>
      <c r="H215" s="263"/>
      <c r="I215" s="55">
        <v>2</v>
      </c>
      <c r="J215" s="196">
        <v>2</v>
      </c>
      <c r="K215" s="52"/>
      <c r="L215" s="52" t="s">
        <v>502</v>
      </c>
      <c r="M215" s="295" t="s">
        <v>23</v>
      </c>
      <c r="N215" s="335">
        <v>41594</v>
      </c>
      <c r="O215" s="158">
        <f t="shared" si="5"/>
        <v>41594</v>
      </c>
      <c r="P215" s="133" t="s">
        <v>3681</v>
      </c>
      <c r="Q215" s="354" t="s">
        <v>1643</v>
      </c>
      <c r="R215" s="52" t="s">
        <v>505</v>
      </c>
      <c r="S215" s="295" t="s">
        <v>2852</v>
      </c>
      <c r="T215" s="79">
        <v>55281</v>
      </c>
      <c r="U215" s="64" t="s">
        <v>179</v>
      </c>
      <c r="V215" s="64" t="s">
        <v>733</v>
      </c>
      <c r="W215" s="64" t="s">
        <v>19</v>
      </c>
      <c r="X215" s="64" t="s">
        <v>696</v>
      </c>
      <c r="Y215" s="295" t="s">
        <v>2903</v>
      </c>
      <c r="Z215" s="295" t="s">
        <v>1644</v>
      </c>
      <c r="AA215" s="64"/>
      <c r="AB215" s="233" t="s">
        <v>1645</v>
      </c>
      <c r="AC215" s="64" t="s">
        <v>505</v>
      </c>
      <c r="AD215" s="302" t="s">
        <v>20</v>
      </c>
      <c r="AE215" s="302" t="s">
        <v>165</v>
      </c>
      <c r="AF215" s="302" t="s">
        <v>946</v>
      </c>
      <c r="AG215" s="364" t="s">
        <v>3247</v>
      </c>
      <c r="AH215" s="114"/>
      <c r="AI215" s="302" t="s">
        <v>2986</v>
      </c>
      <c r="AJ215" s="64" t="s">
        <v>505</v>
      </c>
      <c r="AK215" s="302" t="s">
        <v>20</v>
      </c>
      <c r="AL215" s="302" t="s">
        <v>923</v>
      </c>
      <c r="AM215" s="302" t="s">
        <v>949</v>
      </c>
      <c r="AN215" s="364" t="s">
        <v>3503</v>
      </c>
      <c r="AO215" s="64"/>
      <c r="AP215" s="191" t="s">
        <v>2305</v>
      </c>
      <c r="AQ215" s="322"/>
      <c r="AR215" s="114"/>
      <c r="AS215" s="323"/>
      <c r="AT215" s="323"/>
      <c r="AU215" s="322"/>
      <c r="AV215" s="322"/>
      <c r="AW215" s="323"/>
      <c r="AX215" s="324"/>
      <c r="AY215" s="60"/>
      <c r="AZ215" s="95"/>
      <c r="BA215" s="60"/>
      <c r="BB215" s="60"/>
      <c r="BC215" s="60"/>
      <c r="BD215" s="60"/>
      <c r="BE215" s="75"/>
      <c r="BF215" s="64"/>
      <c r="BG215" s="114" t="s">
        <v>3559</v>
      </c>
      <c r="BH215" s="245">
        <v>1441581</v>
      </c>
      <c r="BI215" s="64" t="s">
        <v>3551</v>
      </c>
      <c r="BJ215" s="229" t="s">
        <v>3552</v>
      </c>
    </row>
    <row r="216" spans="1:62" s="51" customFormat="1" ht="47.25">
      <c r="A216" s="50">
        <v>3</v>
      </c>
      <c r="B216" s="162" t="s">
        <v>221</v>
      </c>
      <c r="C216" s="174">
        <v>12483</v>
      </c>
      <c r="D216" s="383" t="s">
        <v>2798</v>
      </c>
      <c r="E216" s="273" t="s">
        <v>450</v>
      </c>
      <c r="F216" s="130" t="s">
        <v>3562</v>
      </c>
      <c r="G216" s="10"/>
      <c r="H216" s="131"/>
      <c r="I216" s="55">
        <v>1</v>
      </c>
      <c r="J216" s="196">
        <v>0</v>
      </c>
      <c r="K216" s="52"/>
      <c r="L216" s="52" t="s">
        <v>502</v>
      </c>
      <c r="M216" s="295" t="s">
        <v>55</v>
      </c>
      <c r="N216" s="335">
        <v>41732</v>
      </c>
      <c r="O216" s="158">
        <f t="shared" si="5"/>
        <v>41732</v>
      </c>
      <c r="P216" s="133" t="s">
        <v>3682</v>
      </c>
      <c r="Q216" s="354" t="s">
        <v>1646</v>
      </c>
      <c r="R216" s="52" t="s">
        <v>505</v>
      </c>
      <c r="S216" s="295" t="s">
        <v>1647</v>
      </c>
      <c r="T216" s="79">
        <v>56374</v>
      </c>
      <c r="U216" s="64" t="s">
        <v>2513</v>
      </c>
      <c r="V216" s="64" t="s">
        <v>2522</v>
      </c>
      <c r="W216" s="64" t="s">
        <v>55</v>
      </c>
      <c r="X216" s="64" t="s">
        <v>29</v>
      </c>
      <c r="Y216" s="295" t="s">
        <v>1648</v>
      </c>
      <c r="Z216" s="295" t="s">
        <v>1649</v>
      </c>
      <c r="AA216" s="64"/>
      <c r="AB216" s="302" t="s">
        <v>1650</v>
      </c>
      <c r="AC216" s="64" t="s">
        <v>505</v>
      </c>
      <c r="AD216" s="302" t="s">
        <v>20</v>
      </c>
      <c r="AE216" s="302" t="s">
        <v>926</v>
      </c>
      <c r="AF216" s="114"/>
      <c r="AG216" s="364" t="s">
        <v>3248</v>
      </c>
      <c r="AH216" s="114"/>
      <c r="AI216" s="302" t="s">
        <v>1651</v>
      </c>
      <c r="AJ216" s="64" t="s">
        <v>505</v>
      </c>
      <c r="AK216" s="302" t="s">
        <v>30</v>
      </c>
      <c r="AL216" s="302" t="s">
        <v>924</v>
      </c>
      <c r="AM216" s="114"/>
      <c r="AN216" s="364" t="s">
        <v>3504</v>
      </c>
      <c r="AO216" s="64"/>
      <c r="AP216" s="191" t="s">
        <v>2306</v>
      </c>
      <c r="AQ216" s="322"/>
      <c r="AR216" s="114"/>
      <c r="AS216" s="323"/>
      <c r="AT216" s="323"/>
      <c r="AU216" s="322"/>
      <c r="AV216" s="322"/>
      <c r="AW216" s="323"/>
      <c r="AX216" s="324"/>
      <c r="AY216" s="60"/>
      <c r="AZ216" s="95"/>
      <c r="BA216" s="60"/>
      <c r="BB216" s="60"/>
      <c r="BC216" s="60"/>
      <c r="BD216" s="60"/>
      <c r="BE216" s="75"/>
      <c r="BF216" s="64"/>
      <c r="BG216" s="114" t="s">
        <v>3559</v>
      </c>
      <c r="BH216" s="245">
        <v>1441581</v>
      </c>
      <c r="BI216" s="64" t="s">
        <v>3551</v>
      </c>
      <c r="BJ216" s="229" t="s">
        <v>3552</v>
      </c>
    </row>
    <row r="217" spans="1:62" s="51" customFormat="1" ht="52.5" customHeight="1">
      <c r="A217" s="50">
        <v>4</v>
      </c>
      <c r="B217" s="162" t="s">
        <v>221</v>
      </c>
      <c r="C217" s="174">
        <v>12491</v>
      </c>
      <c r="D217" s="292">
        <v>3145662291</v>
      </c>
      <c r="E217" s="273" t="s">
        <v>451</v>
      </c>
      <c r="F217" s="130" t="s">
        <v>3562</v>
      </c>
      <c r="G217" s="10"/>
      <c r="H217" s="131"/>
      <c r="I217" s="55">
        <v>1</v>
      </c>
      <c r="J217" s="196">
        <v>2</v>
      </c>
      <c r="K217" s="52"/>
      <c r="L217" s="52" t="s">
        <v>502</v>
      </c>
      <c r="M217" s="295" t="s">
        <v>19</v>
      </c>
      <c r="N217" s="335">
        <v>41792</v>
      </c>
      <c r="O217" s="158">
        <f t="shared" si="5"/>
        <v>41792</v>
      </c>
      <c r="P217" s="133">
        <f t="shared" ref="P197:P260" si="6">N217</f>
        <v>41792</v>
      </c>
      <c r="Q217" s="354" t="s">
        <v>1652</v>
      </c>
      <c r="R217" s="52" t="s">
        <v>505</v>
      </c>
      <c r="S217" s="295" t="s">
        <v>1653</v>
      </c>
      <c r="T217" s="79">
        <v>55661</v>
      </c>
      <c r="U217" s="64" t="s">
        <v>2524</v>
      </c>
      <c r="V217" s="64" t="s">
        <v>2132</v>
      </c>
      <c r="W217" s="64" t="s">
        <v>53</v>
      </c>
      <c r="X217" s="64" t="s">
        <v>696</v>
      </c>
      <c r="Y217" s="295" t="s">
        <v>1654</v>
      </c>
      <c r="Z217" s="345" t="s">
        <v>1655</v>
      </c>
      <c r="AA217" s="64"/>
      <c r="AB217" s="302" t="s">
        <v>1656</v>
      </c>
      <c r="AC217" s="64" t="s">
        <v>505</v>
      </c>
      <c r="AD217" s="302" t="s">
        <v>922</v>
      </c>
      <c r="AE217" s="302" t="s">
        <v>165</v>
      </c>
      <c r="AF217" s="114"/>
      <c r="AG217" s="364" t="s">
        <v>3249</v>
      </c>
      <c r="AH217" s="114"/>
      <c r="AI217" s="302" t="s">
        <v>1657</v>
      </c>
      <c r="AJ217" s="64" t="s">
        <v>505</v>
      </c>
      <c r="AK217" s="302" t="s">
        <v>925</v>
      </c>
      <c r="AL217" s="302" t="s">
        <v>165</v>
      </c>
      <c r="AM217" s="221"/>
      <c r="AN217" s="364" t="s">
        <v>3505</v>
      </c>
      <c r="AO217" s="64"/>
      <c r="AP217" s="191" t="s">
        <v>2307</v>
      </c>
      <c r="AQ217" s="322"/>
      <c r="AR217" s="114"/>
      <c r="AS217" s="323"/>
      <c r="AT217" s="323"/>
      <c r="AU217" s="322"/>
      <c r="AV217" s="322"/>
      <c r="AW217" s="323"/>
      <c r="AX217" s="324"/>
      <c r="AY217" s="60"/>
      <c r="AZ217" s="95"/>
      <c r="BA217" s="60"/>
      <c r="BB217" s="60"/>
      <c r="BC217" s="60"/>
      <c r="BD217" s="60"/>
      <c r="BE217" s="75"/>
      <c r="BF217" s="64"/>
      <c r="BG217" s="114" t="s">
        <v>3559</v>
      </c>
      <c r="BH217" s="245">
        <v>1441581</v>
      </c>
      <c r="BI217" s="64" t="s">
        <v>3551</v>
      </c>
      <c r="BJ217" s="229" t="s">
        <v>3552</v>
      </c>
    </row>
    <row r="218" spans="1:62" s="51" customFormat="1" ht="52.5" customHeight="1">
      <c r="A218" s="50">
        <v>5</v>
      </c>
      <c r="B218" s="162" t="s">
        <v>221</v>
      </c>
      <c r="C218" s="174">
        <v>12514</v>
      </c>
      <c r="D218" s="292">
        <v>3131203489</v>
      </c>
      <c r="E218" s="273" t="s">
        <v>452</v>
      </c>
      <c r="F218" s="130" t="s">
        <v>3562</v>
      </c>
      <c r="G218" s="10"/>
      <c r="H218" s="263"/>
      <c r="I218" s="55">
        <v>1</v>
      </c>
      <c r="J218" s="196">
        <v>0</v>
      </c>
      <c r="K218" s="52"/>
      <c r="L218" s="52" t="s">
        <v>502</v>
      </c>
      <c r="M218" s="295" t="s">
        <v>52</v>
      </c>
      <c r="N218" s="335">
        <v>41407</v>
      </c>
      <c r="O218" s="158">
        <f t="shared" si="5"/>
        <v>41407</v>
      </c>
      <c r="P218" s="133" t="s">
        <v>3683</v>
      </c>
      <c r="Q218" s="354" t="s">
        <v>1658</v>
      </c>
      <c r="R218" s="52" t="s">
        <v>505</v>
      </c>
      <c r="S218" s="295" t="s">
        <v>2527</v>
      </c>
      <c r="T218" s="79">
        <v>55573</v>
      </c>
      <c r="U218" s="64" t="s">
        <v>2526</v>
      </c>
      <c r="V218" s="64" t="s">
        <v>2525</v>
      </c>
      <c r="W218" s="64" t="s">
        <v>52</v>
      </c>
      <c r="X218" s="64" t="s">
        <v>696</v>
      </c>
      <c r="Y218" s="295" t="s">
        <v>2904</v>
      </c>
      <c r="Z218" s="295" t="s">
        <v>1660</v>
      </c>
      <c r="AA218" s="64"/>
      <c r="AB218" s="302" t="s">
        <v>2947</v>
      </c>
      <c r="AC218" s="64" t="s">
        <v>505</v>
      </c>
      <c r="AD218" s="302" t="s">
        <v>922</v>
      </c>
      <c r="AE218" s="302" t="s">
        <v>926</v>
      </c>
      <c r="AF218" s="114"/>
      <c r="AG218" s="364" t="s">
        <v>3250</v>
      </c>
      <c r="AH218" s="114"/>
      <c r="AI218" s="302" t="s">
        <v>1659</v>
      </c>
      <c r="AJ218" s="64" t="s">
        <v>505</v>
      </c>
      <c r="AK218" s="302" t="s">
        <v>20</v>
      </c>
      <c r="AL218" s="302" t="s">
        <v>921</v>
      </c>
      <c r="AM218" s="221"/>
      <c r="AN218" s="364" t="s">
        <v>3250</v>
      </c>
      <c r="AO218" s="64"/>
      <c r="AP218" s="191" t="s">
        <v>2308</v>
      </c>
      <c r="AQ218" s="322"/>
      <c r="AR218" s="114"/>
      <c r="AS218" s="323"/>
      <c r="AT218" s="323"/>
      <c r="AU218" s="322"/>
      <c r="AV218" s="322"/>
      <c r="AW218" s="323"/>
      <c r="AX218" s="324"/>
      <c r="AY218" s="60"/>
      <c r="AZ218" s="95"/>
      <c r="BA218" s="60"/>
      <c r="BB218" s="60"/>
      <c r="BC218" s="60"/>
      <c r="BD218" s="60"/>
      <c r="BE218" s="75"/>
      <c r="BF218" s="64"/>
      <c r="BG218" s="114" t="s">
        <v>3559</v>
      </c>
      <c r="BH218" s="245">
        <v>1441581</v>
      </c>
      <c r="BI218" s="64" t="s">
        <v>3551</v>
      </c>
      <c r="BJ218" s="229" t="s">
        <v>3552</v>
      </c>
    </row>
    <row r="219" spans="1:62" s="51" customFormat="1" ht="52.5" customHeight="1">
      <c r="A219" s="50">
        <v>6</v>
      </c>
      <c r="B219" s="162" t="s">
        <v>221</v>
      </c>
      <c r="C219" s="174">
        <v>12523</v>
      </c>
      <c r="D219" s="383" t="s">
        <v>2799</v>
      </c>
      <c r="E219" s="273" t="s">
        <v>453</v>
      </c>
      <c r="F219" s="130" t="s">
        <v>3562</v>
      </c>
      <c r="G219" s="10"/>
      <c r="H219" s="131"/>
      <c r="I219" s="55">
        <v>1</v>
      </c>
      <c r="J219" s="196">
        <v>0</v>
      </c>
      <c r="K219" s="52"/>
      <c r="L219" s="52" t="s">
        <v>502</v>
      </c>
      <c r="M219" s="295" t="s">
        <v>47</v>
      </c>
      <c r="N219" s="335">
        <v>41739</v>
      </c>
      <c r="O219" s="158">
        <f t="shared" si="5"/>
        <v>41739</v>
      </c>
      <c r="P219" s="133" t="s">
        <v>3684</v>
      </c>
      <c r="Q219" s="354" t="s">
        <v>1661</v>
      </c>
      <c r="R219" s="52" t="s">
        <v>505</v>
      </c>
      <c r="S219" s="295" t="s">
        <v>1662</v>
      </c>
      <c r="T219" s="79">
        <v>73514</v>
      </c>
      <c r="U219" s="64" t="s">
        <v>2528</v>
      </c>
      <c r="V219" s="64" t="s">
        <v>2529</v>
      </c>
      <c r="W219" s="64" t="s">
        <v>2530</v>
      </c>
      <c r="X219" s="64" t="s">
        <v>44</v>
      </c>
      <c r="Y219" s="295" t="s">
        <v>1663</v>
      </c>
      <c r="Z219" s="295" t="s">
        <v>1664</v>
      </c>
      <c r="AA219" s="64"/>
      <c r="AB219" s="302" t="s">
        <v>1665</v>
      </c>
      <c r="AC219" s="64" t="s">
        <v>505</v>
      </c>
      <c r="AD219" s="302" t="s">
        <v>30</v>
      </c>
      <c r="AE219" s="302" t="s">
        <v>926</v>
      </c>
      <c r="AF219" s="114"/>
      <c r="AG219" s="364" t="s">
        <v>3251</v>
      </c>
      <c r="AH219" s="114"/>
      <c r="AI219" s="302" t="s">
        <v>1666</v>
      </c>
      <c r="AJ219" s="64" t="s">
        <v>505</v>
      </c>
      <c r="AK219" s="302" t="s">
        <v>30</v>
      </c>
      <c r="AL219" s="302" t="s">
        <v>165</v>
      </c>
      <c r="AM219" s="221"/>
      <c r="AN219" s="364" t="s">
        <v>3251</v>
      </c>
      <c r="AO219" s="207"/>
      <c r="AP219" s="365" t="s">
        <v>2309</v>
      </c>
      <c r="AQ219" s="221"/>
      <c r="AR219" s="221"/>
      <c r="AS219" s="323"/>
      <c r="AT219" s="323"/>
      <c r="AU219" s="322"/>
      <c r="AV219" s="322"/>
      <c r="AW219" s="323"/>
      <c r="AX219" s="324"/>
      <c r="AY219" s="60"/>
      <c r="AZ219" s="95"/>
      <c r="BA219" s="60"/>
      <c r="BB219" s="60"/>
      <c r="BC219" s="60"/>
      <c r="BD219" s="60"/>
      <c r="BE219" s="75"/>
      <c r="BF219" s="64"/>
      <c r="BG219" s="114" t="s">
        <v>3559</v>
      </c>
      <c r="BH219" s="245">
        <v>1441581</v>
      </c>
      <c r="BI219" s="64" t="s">
        <v>3551</v>
      </c>
      <c r="BJ219" s="229" t="s">
        <v>3552</v>
      </c>
    </row>
    <row r="220" spans="1:62" s="51" customFormat="1" ht="52.5" customHeight="1">
      <c r="A220" s="50">
        <v>7</v>
      </c>
      <c r="B220" s="162" t="s">
        <v>221</v>
      </c>
      <c r="C220" s="174">
        <v>12524</v>
      </c>
      <c r="D220" s="383" t="s">
        <v>2800</v>
      </c>
      <c r="E220" s="273" t="s">
        <v>454</v>
      </c>
      <c r="F220" s="130" t="s">
        <v>3562</v>
      </c>
      <c r="G220" s="10"/>
      <c r="H220" s="131"/>
      <c r="I220" s="55">
        <v>2</v>
      </c>
      <c r="J220" s="196">
        <v>1</v>
      </c>
      <c r="K220" s="52"/>
      <c r="L220" s="52" t="s">
        <v>502</v>
      </c>
      <c r="M220" s="295" t="s">
        <v>66</v>
      </c>
      <c r="N220" s="336">
        <v>41821</v>
      </c>
      <c r="O220" s="158">
        <f t="shared" si="5"/>
        <v>41821</v>
      </c>
      <c r="P220" s="133" t="s">
        <v>3685</v>
      </c>
      <c r="Q220" s="354" t="s">
        <v>1668</v>
      </c>
      <c r="R220" s="52" t="s">
        <v>505</v>
      </c>
      <c r="S220" s="295" t="s">
        <v>1669</v>
      </c>
      <c r="T220" s="79">
        <v>53223</v>
      </c>
      <c r="U220" s="64" t="s">
        <v>2532</v>
      </c>
      <c r="V220" s="64" t="s">
        <v>2531</v>
      </c>
      <c r="W220" s="64" t="s">
        <v>66</v>
      </c>
      <c r="X220" s="64" t="s">
        <v>29</v>
      </c>
      <c r="Y220" s="295" t="s">
        <v>2905</v>
      </c>
      <c r="Z220" s="295" t="s">
        <v>1670</v>
      </c>
      <c r="AA220" s="64"/>
      <c r="AB220" s="64"/>
      <c r="AC220" s="64" t="s">
        <v>505</v>
      </c>
      <c r="AD220" s="302" t="s">
        <v>20</v>
      </c>
      <c r="AE220" s="302" t="s">
        <v>926</v>
      </c>
      <c r="AF220" s="114"/>
      <c r="AG220" s="364" t="s">
        <v>3252</v>
      </c>
      <c r="AH220" s="114"/>
      <c r="AI220" s="302" t="s">
        <v>1671</v>
      </c>
      <c r="AJ220" s="64" t="s">
        <v>505</v>
      </c>
      <c r="AK220" s="302" t="s">
        <v>20</v>
      </c>
      <c r="AL220" s="302" t="s">
        <v>923</v>
      </c>
      <c r="AM220" s="221"/>
      <c r="AN220" s="364" t="s">
        <v>3506</v>
      </c>
      <c r="AO220" s="207"/>
      <c r="AP220" s="365" t="s">
        <v>2310</v>
      </c>
      <c r="AQ220" s="221"/>
      <c r="AR220" s="221"/>
      <c r="AS220" s="323"/>
      <c r="AT220" s="323"/>
      <c r="AU220" s="322"/>
      <c r="AV220" s="322"/>
      <c r="AW220" s="323"/>
      <c r="AX220" s="324"/>
      <c r="AY220" s="60"/>
      <c r="AZ220" s="95"/>
      <c r="BA220" s="60"/>
      <c r="BB220" s="60"/>
      <c r="BC220" s="60"/>
      <c r="BD220" s="60"/>
      <c r="BE220" s="75"/>
      <c r="BF220" s="64"/>
      <c r="BG220" s="114" t="s">
        <v>3559</v>
      </c>
      <c r="BH220" s="245">
        <v>1441581</v>
      </c>
      <c r="BI220" s="64" t="s">
        <v>3551</v>
      </c>
      <c r="BJ220" s="229" t="s">
        <v>3552</v>
      </c>
    </row>
    <row r="221" spans="1:62" s="51" customFormat="1" ht="52.5" customHeight="1">
      <c r="A221" s="50">
        <v>8</v>
      </c>
      <c r="B221" s="162" t="s">
        <v>221</v>
      </c>
      <c r="C221" s="174">
        <v>12533</v>
      </c>
      <c r="D221" s="383" t="s">
        <v>2801</v>
      </c>
      <c r="E221" s="273" t="s">
        <v>455</v>
      </c>
      <c r="F221" s="130" t="s">
        <v>3562</v>
      </c>
      <c r="G221" s="10"/>
      <c r="H221" s="131"/>
      <c r="I221" s="55">
        <v>1</v>
      </c>
      <c r="J221" s="196">
        <v>3</v>
      </c>
      <c r="K221" s="178"/>
      <c r="L221" s="52" t="s">
        <v>502</v>
      </c>
      <c r="M221" s="295" t="s">
        <v>1667</v>
      </c>
      <c r="N221" s="335">
        <v>41759</v>
      </c>
      <c r="O221" s="158">
        <f t="shared" si="5"/>
        <v>41759</v>
      </c>
      <c r="P221" s="133" t="s">
        <v>3627</v>
      </c>
      <c r="Q221" s="354" t="s">
        <v>1672</v>
      </c>
      <c r="R221" s="52" t="s">
        <v>505</v>
      </c>
      <c r="S221" s="295" t="s">
        <v>2853</v>
      </c>
      <c r="T221" s="79">
        <v>55581</v>
      </c>
      <c r="U221" s="64" t="s">
        <v>2122</v>
      </c>
      <c r="V221" s="64" t="s">
        <v>2219</v>
      </c>
      <c r="W221" s="64" t="s">
        <v>52</v>
      </c>
      <c r="X221" s="64" t="s">
        <v>696</v>
      </c>
      <c r="Y221" s="295" t="s">
        <v>2906</v>
      </c>
      <c r="Z221" s="295" t="s">
        <v>1673</v>
      </c>
      <c r="AA221" s="64"/>
      <c r="AB221" s="302" t="s">
        <v>2948</v>
      </c>
      <c r="AC221" s="64" t="s">
        <v>505</v>
      </c>
      <c r="AD221" s="302" t="s">
        <v>20</v>
      </c>
      <c r="AE221" s="302" t="s">
        <v>1057</v>
      </c>
      <c r="AF221" s="114"/>
      <c r="AG221" s="364" t="s">
        <v>3253</v>
      </c>
      <c r="AH221" s="114"/>
      <c r="AI221" s="302" t="s">
        <v>2987</v>
      </c>
      <c r="AJ221" s="64" t="s">
        <v>505</v>
      </c>
      <c r="AK221" s="302" t="s">
        <v>30</v>
      </c>
      <c r="AL221" s="302" t="s">
        <v>165</v>
      </c>
      <c r="AM221" s="114"/>
      <c r="AN221" s="364" t="s">
        <v>3507</v>
      </c>
      <c r="AO221" s="64"/>
      <c r="AP221" s="190" t="s">
        <v>2311</v>
      </c>
      <c r="AQ221" s="72"/>
      <c r="AR221" s="64"/>
      <c r="AS221" s="324"/>
      <c r="AT221" s="324"/>
      <c r="AU221" s="72"/>
      <c r="AV221" s="72"/>
      <c r="AW221" s="324"/>
      <c r="AX221" s="324"/>
      <c r="AY221" s="60"/>
      <c r="AZ221" s="95"/>
      <c r="BA221" s="60"/>
      <c r="BB221" s="60"/>
      <c r="BC221" s="60"/>
      <c r="BD221" s="60"/>
      <c r="BE221" s="75"/>
      <c r="BF221" s="64"/>
      <c r="BG221" s="114" t="s">
        <v>3559</v>
      </c>
      <c r="BH221" s="245">
        <v>1441581</v>
      </c>
      <c r="BI221" s="64" t="s">
        <v>3551</v>
      </c>
      <c r="BJ221" s="229" t="s">
        <v>3552</v>
      </c>
    </row>
    <row r="222" spans="1:62" s="51" customFormat="1" ht="51">
      <c r="A222" s="50">
        <v>9</v>
      </c>
      <c r="B222" s="162" t="s">
        <v>221</v>
      </c>
      <c r="C222" s="174">
        <v>12543</v>
      </c>
      <c r="D222" s="383" t="s">
        <v>2802</v>
      </c>
      <c r="E222" s="273" t="s">
        <v>456</v>
      </c>
      <c r="F222" s="130" t="s">
        <v>3562</v>
      </c>
      <c r="G222" s="10"/>
      <c r="H222" s="131"/>
      <c r="I222" s="55">
        <v>2</v>
      </c>
      <c r="J222" s="196">
        <v>1</v>
      </c>
      <c r="K222" s="52"/>
      <c r="L222" s="52" t="s">
        <v>502</v>
      </c>
      <c r="M222" s="295" t="s">
        <v>27</v>
      </c>
      <c r="N222" s="336">
        <v>41738</v>
      </c>
      <c r="O222" s="158">
        <f t="shared" si="5"/>
        <v>41738</v>
      </c>
      <c r="P222" s="133" t="s">
        <v>3639</v>
      </c>
      <c r="Q222" s="354" t="s">
        <v>1674</v>
      </c>
      <c r="R222" s="52" t="s">
        <v>505</v>
      </c>
      <c r="S222" s="295" t="s">
        <v>1675</v>
      </c>
      <c r="T222" s="79">
        <v>11530</v>
      </c>
      <c r="U222" s="64" t="s">
        <v>2535</v>
      </c>
      <c r="V222" s="64" t="s">
        <v>2133</v>
      </c>
      <c r="W222" s="64" t="s">
        <v>109</v>
      </c>
      <c r="X222" s="64" t="s">
        <v>29</v>
      </c>
      <c r="Y222" s="295" t="s">
        <v>2907</v>
      </c>
      <c r="Z222" s="295" t="s">
        <v>1676</v>
      </c>
      <c r="AA222" s="64"/>
      <c r="AB222" s="302" t="s">
        <v>1677</v>
      </c>
      <c r="AC222" s="64" t="s">
        <v>505</v>
      </c>
      <c r="AD222" s="302" t="s">
        <v>922</v>
      </c>
      <c r="AE222" s="302" t="s">
        <v>921</v>
      </c>
      <c r="AF222" s="114"/>
      <c r="AG222" s="364" t="s">
        <v>3254</v>
      </c>
      <c r="AH222" s="114"/>
      <c r="AI222" s="302" t="s">
        <v>1678</v>
      </c>
      <c r="AJ222" s="64" t="s">
        <v>505</v>
      </c>
      <c r="AK222" s="302" t="s">
        <v>922</v>
      </c>
      <c r="AL222" s="302" t="s">
        <v>926</v>
      </c>
      <c r="AM222" s="221"/>
      <c r="AN222" s="364" t="s">
        <v>3508</v>
      </c>
      <c r="AO222" s="207"/>
      <c r="AP222" s="365" t="s">
        <v>2312</v>
      </c>
      <c r="AQ222" s="221"/>
      <c r="AR222" s="346"/>
      <c r="AS222" s="323"/>
      <c r="AT222" s="323"/>
      <c r="AU222" s="322"/>
      <c r="AV222" s="322"/>
      <c r="AW222" s="323"/>
      <c r="AX222" s="324"/>
      <c r="AY222" s="60"/>
      <c r="AZ222" s="95"/>
      <c r="BA222" s="60"/>
      <c r="BB222" s="60"/>
      <c r="BC222" s="60"/>
      <c r="BD222" s="60"/>
      <c r="BE222" s="75"/>
      <c r="BF222" s="64"/>
      <c r="BG222" s="114" t="s">
        <v>3559</v>
      </c>
      <c r="BH222" s="245">
        <v>1441581</v>
      </c>
      <c r="BI222" s="64" t="s">
        <v>3551</v>
      </c>
      <c r="BJ222" s="229" t="s">
        <v>3552</v>
      </c>
    </row>
    <row r="223" spans="1:62" s="51" customFormat="1" ht="52.5" customHeight="1">
      <c r="A223" s="50">
        <v>10</v>
      </c>
      <c r="B223" s="162" t="s">
        <v>221</v>
      </c>
      <c r="C223" s="174">
        <v>12553</v>
      </c>
      <c r="D223" s="383" t="s">
        <v>2803</v>
      </c>
      <c r="E223" s="319" t="s">
        <v>457</v>
      </c>
      <c r="F223" s="130" t="s">
        <v>3562</v>
      </c>
      <c r="G223" s="10"/>
      <c r="H223" s="131"/>
      <c r="I223" s="55">
        <v>1</v>
      </c>
      <c r="J223" s="196">
        <v>0</v>
      </c>
      <c r="K223" s="52"/>
      <c r="L223" s="52" t="s">
        <v>502</v>
      </c>
      <c r="M223" s="100" t="s">
        <v>109</v>
      </c>
      <c r="N223" s="347">
        <v>41538</v>
      </c>
      <c r="O223" s="158">
        <f t="shared" si="5"/>
        <v>41538</v>
      </c>
      <c r="P223" s="133" t="s">
        <v>757</v>
      </c>
      <c r="Q223" s="41" t="s">
        <v>1679</v>
      </c>
      <c r="R223" s="52" t="s">
        <v>505</v>
      </c>
      <c r="S223" s="295" t="s">
        <v>2536</v>
      </c>
      <c r="T223" s="79">
        <v>57752</v>
      </c>
      <c r="U223" s="64" t="s">
        <v>2533</v>
      </c>
      <c r="V223" s="64" t="s">
        <v>2534</v>
      </c>
      <c r="W223" s="64" t="s">
        <v>109</v>
      </c>
      <c r="X223" s="64" t="s">
        <v>29</v>
      </c>
      <c r="Y223" s="295" t="s">
        <v>2908</v>
      </c>
      <c r="Z223" s="295"/>
      <c r="AA223" s="64"/>
      <c r="AB223" s="302" t="s">
        <v>1680</v>
      </c>
      <c r="AC223" s="64" t="s">
        <v>505</v>
      </c>
      <c r="AD223" s="64" t="s">
        <v>22</v>
      </c>
      <c r="AE223" s="64" t="s">
        <v>165</v>
      </c>
      <c r="AF223" s="114"/>
      <c r="AG223" s="237"/>
      <c r="AH223" s="114"/>
      <c r="AI223" s="64" t="s">
        <v>1681</v>
      </c>
      <c r="AJ223" s="64" t="s">
        <v>505</v>
      </c>
      <c r="AK223" s="207" t="s">
        <v>20</v>
      </c>
      <c r="AL223" s="207" t="s">
        <v>511</v>
      </c>
      <c r="AM223" s="221"/>
      <c r="AN223" s="237"/>
      <c r="AO223" s="64"/>
      <c r="AP223" s="191" t="s">
        <v>1682</v>
      </c>
      <c r="AQ223" s="322"/>
      <c r="AR223" s="114"/>
      <c r="AS223" s="323"/>
      <c r="AT223" s="323"/>
      <c r="AU223" s="322"/>
      <c r="AV223" s="322"/>
      <c r="AW223" s="323"/>
      <c r="AX223" s="324"/>
      <c r="AY223" s="60"/>
      <c r="AZ223" s="95"/>
      <c r="BA223" s="60"/>
      <c r="BB223" s="60"/>
      <c r="BC223" s="60"/>
      <c r="BD223" s="60"/>
      <c r="BE223" s="75"/>
      <c r="BF223" s="64"/>
      <c r="BG223" s="114" t="s">
        <v>3559</v>
      </c>
      <c r="BH223" s="245">
        <v>1441581</v>
      </c>
      <c r="BI223" s="64" t="s">
        <v>3551</v>
      </c>
      <c r="BJ223" s="229" t="s">
        <v>3552</v>
      </c>
    </row>
    <row r="224" spans="1:62" s="51" customFormat="1" ht="47.25">
      <c r="A224" s="50">
        <v>11</v>
      </c>
      <c r="B224" s="162" t="s">
        <v>221</v>
      </c>
      <c r="C224" s="174">
        <v>12616</v>
      </c>
      <c r="D224" s="383" t="s">
        <v>2804</v>
      </c>
      <c r="E224" s="273" t="s">
        <v>458</v>
      </c>
      <c r="F224" s="130" t="s">
        <v>3562</v>
      </c>
      <c r="G224" s="10"/>
      <c r="H224" s="131"/>
      <c r="I224" s="55">
        <v>2</v>
      </c>
      <c r="J224" s="196">
        <v>2</v>
      </c>
      <c r="K224" s="52"/>
      <c r="L224" s="52" t="s">
        <v>502</v>
      </c>
      <c r="M224" s="295" t="s">
        <v>162</v>
      </c>
      <c r="N224" s="335">
        <v>41727</v>
      </c>
      <c r="O224" s="158">
        <f t="shared" si="5"/>
        <v>41727</v>
      </c>
      <c r="P224" s="133" t="s">
        <v>3686</v>
      </c>
      <c r="Q224" s="354" t="s">
        <v>1683</v>
      </c>
      <c r="R224" s="52" t="s">
        <v>505</v>
      </c>
      <c r="S224" s="295" t="s">
        <v>2537</v>
      </c>
      <c r="T224" s="79"/>
      <c r="U224" s="64" t="s">
        <v>2540</v>
      </c>
      <c r="V224" s="64" t="s">
        <v>2539</v>
      </c>
      <c r="W224" s="64" t="s">
        <v>2538</v>
      </c>
      <c r="X224" s="64" t="s">
        <v>44</v>
      </c>
      <c r="Y224" s="295" t="s">
        <v>2909</v>
      </c>
      <c r="Z224" s="295" t="s">
        <v>1684</v>
      </c>
      <c r="AA224" s="64"/>
      <c r="AB224" s="302" t="s">
        <v>1685</v>
      </c>
      <c r="AC224" s="64" t="s">
        <v>505</v>
      </c>
      <c r="AD224" s="302" t="s">
        <v>20</v>
      </c>
      <c r="AE224" s="302" t="s">
        <v>21</v>
      </c>
      <c r="AF224" s="114"/>
      <c r="AG224" s="364" t="s">
        <v>3255</v>
      </c>
      <c r="AH224" s="114"/>
      <c r="AI224" s="302" t="s">
        <v>1686</v>
      </c>
      <c r="AJ224" s="64" t="s">
        <v>505</v>
      </c>
      <c r="AK224" s="302" t="s">
        <v>20</v>
      </c>
      <c r="AL224" s="302" t="s">
        <v>21</v>
      </c>
      <c r="AM224" s="221"/>
      <c r="AN224" s="364" t="s">
        <v>3509</v>
      </c>
      <c r="AO224" s="64"/>
      <c r="AP224" s="191" t="s">
        <v>2313</v>
      </c>
      <c r="AQ224" s="342"/>
      <c r="AR224" s="128"/>
      <c r="AS224" s="337"/>
      <c r="AT224" s="323"/>
      <c r="AU224" s="322"/>
      <c r="AV224" s="114"/>
      <c r="AW224" s="323"/>
      <c r="AX224" s="324"/>
      <c r="AY224" s="60"/>
      <c r="AZ224" s="95"/>
      <c r="BA224" s="60"/>
      <c r="BB224" s="60"/>
      <c r="BC224" s="60"/>
      <c r="BD224" s="60"/>
      <c r="BE224" s="75"/>
      <c r="BF224" s="64"/>
      <c r="BG224" s="114" t="s">
        <v>3559</v>
      </c>
      <c r="BH224" s="245">
        <v>1441581</v>
      </c>
      <c r="BI224" s="64" t="s">
        <v>3551</v>
      </c>
      <c r="BJ224" s="229" t="s">
        <v>3552</v>
      </c>
    </row>
    <row r="225" spans="1:62" s="51" customFormat="1" ht="52.5" customHeight="1">
      <c r="A225" s="50">
        <v>12</v>
      </c>
      <c r="B225" s="162" t="s">
        <v>221</v>
      </c>
      <c r="C225" s="52">
        <v>12660</v>
      </c>
      <c r="D225" s="383" t="s">
        <v>2805</v>
      </c>
      <c r="E225" s="273" t="s">
        <v>459</v>
      </c>
      <c r="F225" s="130" t="s">
        <v>3562</v>
      </c>
      <c r="G225" s="10"/>
      <c r="H225" s="131"/>
      <c r="I225" s="55">
        <v>1</v>
      </c>
      <c r="J225" s="196">
        <v>1</v>
      </c>
      <c r="K225" s="52"/>
      <c r="L225" s="52" t="s">
        <v>502</v>
      </c>
      <c r="M225" s="295" t="s">
        <v>52</v>
      </c>
      <c r="N225" s="335">
        <v>41360</v>
      </c>
      <c r="O225" s="158">
        <f t="shared" si="5"/>
        <v>41360</v>
      </c>
      <c r="P225" s="133" t="s">
        <v>3687</v>
      </c>
      <c r="Q225" s="354" t="s">
        <v>1687</v>
      </c>
      <c r="R225" s="52" t="s">
        <v>505</v>
      </c>
      <c r="S225" s="295" t="s">
        <v>3709</v>
      </c>
      <c r="T225" s="79">
        <v>50185</v>
      </c>
      <c r="U225" s="64" t="s">
        <v>2541</v>
      </c>
      <c r="V225" s="64" t="s">
        <v>1903</v>
      </c>
      <c r="W225" s="64" t="s">
        <v>1904</v>
      </c>
      <c r="X225" s="64" t="s">
        <v>29</v>
      </c>
      <c r="Y225" s="295" t="s">
        <v>2910</v>
      </c>
      <c r="Z225" s="295" t="s">
        <v>1688</v>
      </c>
      <c r="AA225" s="64"/>
      <c r="AB225" s="302" t="s">
        <v>2949</v>
      </c>
      <c r="AC225" s="64" t="s">
        <v>505</v>
      </c>
      <c r="AD225" s="302" t="s">
        <v>30</v>
      </c>
      <c r="AE225" s="302" t="s">
        <v>21</v>
      </c>
      <c r="AF225" s="114"/>
      <c r="AG225" s="364" t="s">
        <v>3256</v>
      </c>
      <c r="AH225" s="114"/>
      <c r="AI225" s="302" t="s">
        <v>2988</v>
      </c>
      <c r="AJ225" s="64" t="s">
        <v>505</v>
      </c>
      <c r="AK225" s="302" t="s">
        <v>20</v>
      </c>
      <c r="AL225" s="302" t="s">
        <v>21</v>
      </c>
      <c r="AM225" s="221"/>
      <c r="AN225" s="364" t="s">
        <v>3510</v>
      </c>
      <c r="AO225" s="64"/>
      <c r="AP225" s="191" t="s">
        <v>2314</v>
      </c>
      <c r="AQ225" s="322"/>
      <c r="AR225" s="114"/>
      <c r="AS225" s="323"/>
      <c r="AT225" s="323"/>
      <c r="AU225" s="322"/>
      <c r="AV225" s="322"/>
      <c r="AW225" s="323"/>
      <c r="AX225" s="324"/>
      <c r="AY225" s="60"/>
      <c r="AZ225" s="95"/>
      <c r="BA225" s="60"/>
      <c r="BB225" s="60"/>
      <c r="BC225" s="60"/>
      <c r="BD225" s="60"/>
      <c r="BE225" s="75"/>
      <c r="BF225" s="64"/>
      <c r="BG225" s="114" t="s">
        <v>3559</v>
      </c>
      <c r="BH225" s="245">
        <v>1441581</v>
      </c>
      <c r="BI225" s="64" t="s">
        <v>3551</v>
      </c>
      <c r="BJ225" s="229" t="s">
        <v>3552</v>
      </c>
    </row>
    <row r="226" spans="1:62" s="171" customFormat="1" ht="52.5" customHeight="1">
      <c r="A226" s="50">
        <v>13</v>
      </c>
      <c r="B226" s="162" t="s">
        <v>221</v>
      </c>
      <c r="C226" s="174">
        <v>12666</v>
      </c>
      <c r="D226" s="292">
        <v>3149343910</v>
      </c>
      <c r="E226" s="273" t="s">
        <v>460</v>
      </c>
      <c r="F226" s="130" t="s">
        <v>3562</v>
      </c>
      <c r="G226" s="10"/>
      <c r="H226" s="167"/>
      <c r="I226" s="168">
        <v>1</v>
      </c>
      <c r="J226" s="197">
        <v>2</v>
      </c>
      <c r="K226" s="165"/>
      <c r="L226" s="52" t="s">
        <v>502</v>
      </c>
      <c r="M226" s="295" t="s">
        <v>28</v>
      </c>
      <c r="N226" s="335">
        <v>41731</v>
      </c>
      <c r="O226" s="158">
        <f t="shared" si="5"/>
        <v>41731</v>
      </c>
      <c r="P226" s="133" t="s">
        <v>3677</v>
      </c>
      <c r="Q226" s="354" t="s">
        <v>1689</v>
      </c>
      <c r="R226" s="52" t="s">
        <v>505</v>
      </c>
      <c r="S226" s="295" t="s">
        <v>1690</v>
      </c>
      <c r="T226" s="228">
        <v>52272</v>
      </c>
      <c r="U226" s="64" t="s">
        <v>2542</v>
      </c>
      <c r="V226" s="114" t="s">
        <v>2543</v>
      </c>
      <c r="W226" s="114" t="s">
        <v>28</v>
      </c>
      <c r="X226" s="64" t="s">
        <v>29</v>
      </c>
      <c r="Y226" s="295" t="s">
        <v>1691</v>
      </c>
      <c r="Z226" s="295" t="s">
        <v>1692</v>
      </c>
      <c r="AA226" s="114"/>
      <c r="AB226" s="302" t="s">
        <v>1693</v>
      </c>
      <c r="AC226" s="64" t="s">
        <v>505</v>
      </c>
      <c r="AD226" s="302" t="s">
        <v>30</v>
      </c>
      <c r="AE226" s="302" t="s">
        <v>921</v>
      </c>
      <c r="AF226" s="114"/>
      <c r="AG226" s="364" t="s">
        <v>3257</v>
      </c>
      <c r="AH226" s="114"/>
      <c r="AI226" s="302" t="s">
        <v>1694</v>
      </c>
      <c r="AJ226" s="64" t="s">
        <v>505</v>
      </c>
      <c r="AK226" s="302" t="s">
        <v>922</v>
      </c>
      <c r="AL226" s="302" t="s">
        <v>923</v>
      </c>
      <c r="AM226" s="114"/>
      <c r="AN226" s="364" t="s">
        <v>3511</v>
      </c>
      <c r="AO226" s="114"/>
      <c r="AP226" s="191" t="s">
        <v>2315</v>
      </c>
      <c r="AQ226" s="322"/>
      <c r="AR226" s="114"/>
      <c r="AS226" s="323"/>
      <c r="AT226" s="323"/>
      <c r="AU226" s="322"/>
      <c r="AV226" s="322"/>
      <c r="AW226" s="323"/>
      <c r="AX226" s="323"/>
      <c r="AY226" s="109"/>
      <c r="AZ226" s="95"/>
      <c r="BA226" s="109"/>
      <c r="BB226" s="109"/>
      <c r="BC226" s="109"/>
      <c r="BD226" s="109"/>
      <c r="BE226" s="113"/>
      <c r="BF226" s="114"/>
      <c r="BG226" s="114" t="s">
        <v>3559</v>
      </c>
      <c r="BH226" s="245">
        <v>1441581</v>
      </c>
      <c r="BI226" s="64" t="s">
        <v>3551</v>
      </c>
      <c r="BJ226" s="229" t="s">
        <v>3552</v>
      </c>
    </row>
    <row r="227" spans="1:62" s="51" customFormat="1" ht="52.5" customHeight="1">
      <c r="A227" s="50">
        <v>14</v>
      </c>
      <c r="B227" s="162" t="s">
        <v>221</v>
      </c>
      <c r="C227" s="174">
        <v>12673</v>
      </c>
      <c r="D227" s="383" t="s">
        <v>2806</v>
      </c>
      <c r="E227" s="273" t="s">
        <v>461</v>
      </c>
      <c r="F227" s="130" t="s">
        <v>3562</v>
      </c>
      <c r="G227" s="10"/>
      <c r="H227" s="131"/>
      <c r="I227" s="55">
        <v>1</v>
      </c>
      <c r="J227" s="196">
        <v>2</v>
      </c>
      <c r="K227" s="52"/>
      <c r="L227" s="52" t="s">
        <v>502</v>
      </c>
      <c r="M227" s="295" t="s">
        <v>82</v>
      </c>
      <c r="N227" s="335">
        <v>41438</v>
      </c>
      <c r="O227" s="158">
        <f t="shared" si="5"/>
        <v>41438</v>
      </c>
      <c r="P227" s="133" t="s">
        <v>3688</v>
      </c>
      <c r="Q227" s="354" t="s">
        <v>1695</v>
      </c>
      <c r="R227" s="52" t="s">
        <v>505</v>
      </c>
      <c r="S227" s="295" t="s">
        <v>1696</v>
      </c>
      <c r="T227" s="79">
        <v>17434</v>
      </c>
      <c r="U227" s="64" t="s">
        <v>2545</v>
      </c>
      <c r="V227" s="64" t="s">
        <v>2546</v>
      </c>
      <c r="W227" s="64" t="s">
        <v>82</v>
      </c>
      <c r="X227" s="64" t="s">
        <v>40</v>
      </c>
      <c r="Y227" s="295" t="s">
        <v>1697</v>
      </c>
      <c r="Z227" s="295" t="s">
        <v>1698</v>
      </c>
      <c r="AA227" s="64"/>
      <c r="AB227" s="302" t="s">
        <v>1699</v>
      </c>
      <c r="AC227" s="64" t="s">
        <v>505</v>
      </c>
      <c r="AD227" s="302" t="s">
        <v>20</v>
      </c>
      <c r="AE227" s="302" t="s">
        <v>165</v>
      </c>
      <c r="AF227" s="114"/>
      <c r="AG227" s="364" t="s">
        <v>3258</v>
      </c>
      <c r="AH227" s="114"/>
      <c r="AI227" s="302" t="s">
        <v>1700</v>
      </c>
      <c r="AJ227" s="64" t="s">
        <v>505</v>
      </c>
      <c r="AK227" s="302" t="s">
        <v>22</v>
      </c>
      <c r="AL227" s="302" t="s">
        <v>923</v>
      </c>
      <c r="AM227" s="114"/>
      <c r="AN227" s="364" t="s">
        <v>3512</v>
      </c>
      <c r="AO227" s="64"/>
      <c r="AP227" s="191" t="s">
        <v>2316</v>
      </c>
      <c r="AQ227" s="322"/>
      <c r="AR227" s="114"/>
      <c r="AS227" s="323"/>
      <c r="AT227" s="323"/>
      <c r="AU227" s="322"/>
      <c r="AV227" s="322"/>
      <c r="AW227" s="323"/>
      <c r="AX227" s="324"/>
      <c r="AY227" s="60"/>
      <c r="AZ227" s="95"/>
      <c r="BA227" s="60"/>
      <c r="BB227" s="60"/>
      <c r="BC227" s="60"/>
      <c r="BD227" s="60"/>
      <c r="BE227" s="75"/>
      <c r="BF227" s="64"/>
      <c r="BG227" s="114" t="s">
        <v>3559</v>
      </c>
      <c r="BH227" s="245">
        <v>1441581</v>
      </c>
      <c r="BI227" s="64" t="s">
        <v>3551</v>
      </c>
      <c r="BJ227" s="229" t="s">
        <v>3552</v>
      </c>
    </row>
    <row r="228" spans="1:62" s="51" customFormat="1" ht="61.5" customHeight="1">
      <c r="A228" s="50">
        <v>15</v>
      </c>
      <c r="B228" s="162" t="s">
        <v>221</v>
      </c>
      <c r="C228" s="174">
        <v>12675</v>
      </c>
      <c r="D228" s="383" t="s">
        <v>2807</v>
      </c>
      <c r="E228" s="273" t="s">
        <v>462</v>
      </c>
      <c r="F228" s="130" t="s">
        <v>3562</v>
      </c>
      <c r="G228" s="10"/>
      <c r="H228" s="131"/>
      <c r="I228" s="55">
        <v>1</v>
      </c>
      <c r="J228" s="196">
        <v>1</v>
      </c>
      <c r="K228" s="52"/>
      <c r="L228" s="52" t="s">
        <v>502</v>
      </c>
      <c r="M228" s="295" t="s">
        <v>23</v>
      </c>
      <c r="N228" s="335">
        <v>41688</v>
      </c>
      <c r="O228" s="158">
        <f t="shared" si="5"/>
        <v>41688</v>
      </c>
      <c r="P228" s="133" t="s">
        <v>3689</v>
      </c>
      <c r="Q228" s="354" t="s">
        <v>1701</v>
      </c>
      <c r="R228" s="52" t="s">
        <v>505</v>
      </c>
      <c r="S228" s="295" t="s">
        <v>2317</v>
      </c>
      <c r="T228" s="79">
        <v>55181</v>
      </c>
      <c r="U228" s="64" t="s">
        <v>2547</v>
      </c>
      <c r="V228" s="64" t="s">
        <v>2046</v>
      </c>
      <c r="W228" s="64" t="s">
        <v>19</v>
      </c>
      <c r="X228" s="64" t="s">
        <v>696</v>
      </c>
      <c r="Y228" s="295" t="s">
        <v>1186</v>
      </c>
      <c r="Z228" s="295" t="s">
        <v>1702</v>
      </c>
      <c r="AA228" s="64"/>
      <c r="AB228" s="302" t="s">
        <v>1703</v>
      </c>
      <c r="AC228" s="64" t="s">
        <v>505</v>
      </c>
      <c r="AD228" s="302" t="s">
        <v>20</v>
      </c>
      <c r="AE228" s="302" t="s">
        <v>21</v>
      </c>
      <c r="AF228" s="114"/>
      <c r="AG228" s="364" t="s">
        <v>3259</v>
      </c>
      <c r="AH228" s="114"/>
      <c r="AI228" s="302" t="s">
        <v>1704</v>
      </c>
      <c r="AJ228" s="64" t="s">
        <v>505</v>
      </c>
      <c r="AK228" s="302" t="s">
        <v>22</v>
      </c>
      <c r="AL228" s="302" t="s">
        <v>21</v>
      </c>
      <c r="AM228" s="114"/>
      <c r="AN228" s="364" t="s">
        <v>3513</v>
      </c>
      <c r="AO228" s="64"/>
      <c r="AP228" s="191" t="s">
        <v>2318</v>
      </c>
      <c r="AQ228" s="322"/>
      <c r="AR228" s="114"/>
      <c r="AS228" s="323"/>
      <c r="AT228" s="323"/>
      <c r="AU228" s="322"/>
      <c r="AV228" s="322"/>
      <c r="AW228" s="323"/>
      <c r="AX228" s="324"/>
      <c r="AY228" s="60"/>
      <c r="AZ228" s="95"/>
      <c r="BA228" s="60"/>
      <c r="BB228" s="60"/>
      <c r="BC228" s="60"/>
      <c r="BD228" s="60"/>
      <c r="BE228" s="75"/>
      <c r="BF228" s="64"/>
      <c r="BG228" s="114" t="s">
        <v>3559</v>
      </c>
      <c r="BH228" s="245">
        <v>1441581</v>
      </c>
      <c r="BI228" s="64" t="s">
        <v>3551</v>
      </c>
      <c r="BJ228" s="229" t="s">
        <v>3552</v>
      </c>
    </row>
    <row r="229" spans="1:62" s="51" customFormat="1" ht="63">
      <c r="A229" s="50">
        <v>16</v>
      </c>
      <c r="B229" s="162" t="s">
        <v>221</v>
      </c>
      <c r="C229" s="174">
        <v>12682</v>
      </c>
      <c r="D229" s="383" t="s">
        <v>2808</v>
      </c>
      <c r="E229" s="273" t="s">
        <v>463</v>
      </c>
      <c r="F229" s="130" t="s">
        <v>3562</v>
      </c>
      <c r="G229" s="10"/>
      <c r="H229" s="131"/>
      <c r="I229" s="55">
        <v>1</v>
      </c>
      <c r="J229" s="196">
        <v>1</v>
      </c>
      <c r="K229" s="52"/>
      <c r="L229" s="52" t="s">
        <v>502</v>
      </c>
      <c r="M229" s="295" t="s">
        <v>42</v>
      </c>
      <c r="N229" s="335">
        <v>41396</v>
      </c>
      <c r="O229" s="158">
        <f t="shared" si="5"/>
        <v>41396</v>
      </c>
      <c r="P229" s="133" t="s">
        <v>3690</v>
      </c>
      <c r="Q229" s="354" t="s">
        <v>1705</v>
      </c>
      <c r="R229" s="52" t="s">
        <v>505</v>
      </c>
      <c r="S229" s="295" t="s">
        <v>3708</v>
      </c>
      <c r="T229" s="79">
        <v>15148</v>
      </c>
      <c r="U229" s="64" t="s">
        <v>1871</v>
      </c>
      <c r="V229" s="64" t="s">
        <v>1871</v>
      </c>
      <c r="W229" s="64" t="s">
        <v>1873</v>
      </c>
      <c r="X229" s="64" t="s">
        <v>43</v>
      </c>
      <c r="Y229" s="295" t="s">
        <v>125</v>
      </c>
      <c r="Z229" s="295" t="s">
        <v>1706</v>
      </c>
      <c r="AA229" s="64"/>
      <c r="AB229" s="303" t="s">
        <v>2950</v>
      </c>
      <c r="AC229" s="64" t="s">
        <v>505</v>
      </c>
      <c r="AD229" s="302" t="s">
        <v>20</v>
      </c>
      <c r="AE229" s="302" t="s">
        <v>926</v>
      </c>
      <c r="AF229" s="114"/>
      <c r="AG229" s="364" t="s">
        <v>3260</v>
      </c>
      <c r="AH229" s="114"/>
      <c r="AI229" s="302" t="s">
        <v>1707</v>
      </c>
      <c r="AJ229" s="64" t="s">
        <v>505</v>
      </c>
      <c r="AK229" s="302" t="s">
        <v>20</v>
      </c>
      <c r="AL229" s="302" t="s">
        <v>21</v>
      </c>
      <c r="AM229" s="114"/>
      <c r="AN229" s="364" t="s">
        <v>3514</v>
      </c>
      <c r="AO229" s="64"/>
      <c r="AP229" s="191" t="s">
        <v>2319</v>
      </c>
      <c r="AQ229" s="322"/>
      <c r="AR229" s="114"/>
      <c r="AS229" s="323"/>
      <c r="AT229" s="323"/>
      <c r="AU229" s="322"/>
      <c r="AV229" s="114"/>
      <c r="AW229" s="323"/>
      <c r="AX229" s="324"/>
      <c r="AY229" s="60"/>
      <c r="AZ229" s="95"/>
      <c r="BA229" s="60"/>
      <c r="BB229" s="60"/>
      <c r="BC229" s="60"/>
      <c r="BD229" s="60"/>
      <c r="BE229" s="75"/>
      <c r="BF229" s="64"/>
      <c r="BG229" s="114" t="s">
        <v>3559</v>
      </c>
      <c r="BH229" s="245">
        <v>1441581</v>
      </c>
      <c r="BI229" s="64" t="s">
        <v>3551</v>
      </c>
      <c r="BJ229" s="229" t="s">
        <v>3552</v>
      </c>
    </row>
    <row r="230" spans="1:62" s="51" customFormat="1" ht="47.25">
      <c r="A230" s="50">
        <v>17</v>
      </c>
      <c r="B230" s="162" t="s">
        <v>221</v>
      </c>
      <c r="C230" s="52">
        <v>12688</v>
      </c>
      <c r="D230" s="383" t="s">
        <v>2809</v>
      </c>
      <c r="E230" s="273" t="s">
        <v>464</v>
      </c>
      <c r="F230" s="130" t="s">
        <v>3562</v>
      </c>
      <c r="G230" s="10"/>
      <c r="H230" s="131"/>
      <c r="I230" s="55">
        <v>1</v>
      </c>
      <c r="J230" s="196">
        <v>2</v>
      </c>
      <c r="K230" s="52"/>
      <c r="L230" s="52" t="s">
        <v>502</v>
      </c>
      <c r="M230" s="100" t="s">
        <v>97</v>
      </c>
      <c r="N230" s="347">
        <v>41547</v>
      </c>
      <c r="O230" s="158">
        <f t="shared" si="5"/>
        <v>41547</v>
      </c>
      <c r="P230" s="133" t="s">
        <v>3691</v>
      </c>
      <c r="Q230" s="360" t="s">
        <v>1713</v>
      </c>
      <c r="R230" s="52" t="s">
        <v>505</v>
      </c>
      <c r="S230" s="64" t="s">
        <v>1714</v>
      </c>
      <c r="T230" s="79">
        <v>57127</v>
      </c>
      <c r="U230" s="64" t="s">
        <v>2548</v>
      </c>
      <c r="V230" s="64" t="s">
        <v>2086</v>
      </c>
      <c r="W230" s="64" t="s">
        <v>2084</v>
      </c>
      <c r="X230" s="64" t="s">
        <v>29</v>
      </c>
      <c r="Y230" s="290"/>
      <c r="Z230" s="58"/>
      <c r="AA230" s="64"/>
      <c r="AB230" s="64" t="s">
        <v>1715</v>
      </c>
      <c r="AC230" s="64" t="s">
        <v>505</v>
      </c>
      <c r="AD230" s="64" t="s">
        <v>30</v>
      </c>
      <c r="AE230" s="64" t="s">
        <v>1716</v>
      </c>
      <c r="AF230" s="114"/>
      <c r="AG230" s="364" t="s">
        <v>3261</v>
      </c>
      <c r="AH230" s="114"/>
      <c r="AI230" s="302" t="s">
        <v>2989</v>
      </c>
      <c r="AJ230" s="64" t="s">
        <v>505</v>
      </c>
      <c r="AK230" s="207" t="s">
        <v>518</v>
      </c>
      <c r="AL230" s="207" t="s">
        <v>520</v>
      </c>
      <c r="AM230" s="221"/>
      <c r="AN230" s="364" t="s">
        <v>3515</v>
      </c>
      <c r="AO230" s="64"/>
      <c r="AP230" s="191" t="s">
        <v>2320</v>
      </c>
      <c r="AQ230" s="322"/>
      <c r="AR230" s="114"/>
      <c r="AS230" s="323"/>
      <c r="AT230" s="323"/>
      <c r="AU230" s="322"/>
      <c r="AV230" s="114"/>
      <c r="AW230" s="323"/>
      <c r="AX230" s="324"/>
      <c r="AY230" s="60"/>
      <c r="AZ230" s="95"/>
      <c r="BA230" s="60"/>
      <c r="BB230" s="60"/>
      <c r="BC230" s="60"/>
      <c r="BD230" s="60"/>
      <c r="BE230" s="75"/>
      <c r="BF230" s="64"/>
      <c r="BG230" s="114" t="s">
        <v>3559</v>
      </c>
      <c r="BH230" s="245">
        <v>1441581</v>
      </c>
      <c r="BI230" s="64" t="s">
        <v>3551</v>
      </c>
      <c r="BJ230" s="229" t="s">
        <v>3552</v>
      </c>
    </row>
    <row r="231" spans="1:62" s="51" customFormat="1" ht="52.5" customHeight="1" thickBot="1">
      <c r="A231" s="50">
        <v>18</v>
      </c>
      <c r="B231" s="162" t="s">
        <v>221</v>
      </c>
      <c r="C231" s="52">
        <v>12691</v>
      </c>
      <c r="D231" s="383" t="s">
        <v>2810</v>
      </c>
      <c r="E231" s="274" t="s">
        <v>465</v>
      </c>
      <c r="F231" s="130" t="s">
        <v>3562</v>
      </c>
      <c r="G231" s="10"/>
      <c r="H231" s="131"/>
      <c r="I231" s="55">
        <v>2</v>
      </c>
      <c r="J231" s="196">
        <v>2</v>
      </c>
      <c r="K231" s="52"/>
      <c r="L231" s="52" t="s">
        <v>502</v>
      </c>
      <c r="M231" s="295" t="s">
        <v>46</v>
      </c>
      <c r="N231" s="335">
        <v>41483</v>
      </c>
      <c r="O231" s="158">
        <f t="shared" si="5"/>
        <v>41483</v>
      </c>
      <c r="P231" s="133" t="s">
        <v>764</v>
      </c>
      <c r="Q231" s="354" t="s">
        <v>1708</v>
      </c>
      <c r="R231" s="52" t="s">
        <v>505</v>
      </c>
      <c r="S231" s="295" t="s">
        <v>3035</v>
      </c>
      <c r="T231" s="79">
        <v>40559</v>
      </c>
      <c r="U231" s="64" t="s">
        <v>2550</v>
      </c>
      <c r="V231" s="64" t="s">
        <v>2544</v>
      </c>
      <c r="W231" s="64" t="s">
        <v>2549</v>
      </c>
      <c r="X231" s="64" t="s">
        <v>40</v>
      </c>
      <c r="Y231" s="295" t="s">
        <v>1709</v>
      </c>
      <c r="Z231" s="295" t="s">
        <v>1710</v>
      </c>
      <c r="AA231" s="64"/>
      <c r="AB231" s="302" t="s">
        <v>1711</v>
      </c>
      <c r="AC231" s="64" t="s">
        <v>505</v>
      </c>
      <c r="AD231" s="302" t="s">
        <v>75</v>
      </c>
      <c r="AE231" s="302" t="s">
        <v>21</v>
      </c>
      <c r="AF231" s="114"/>
      <c r="AG231" s="364" t="s">
        <v>3262</v>
      </c>
      <c r="AH231" s="114"/>
      <c r="AI231" s="302" t="s">
        <v>1712</v>
      </c>
      <c r="AJ231" s="64" t="s">
        <v>505</v>
      </c>
      <c r="AK231" s="302" t="s">
        <v>20</v>
      </c>
      <c r="AL231" s="302" t="s">
        <v>21</v>
      </c>
      <c r="AM231" s="221"/>
      <c r="AN231" s="364" t="s">
        <v>3516</v>
      </c>
      <c r="AO231" s="64"/>
      <c r="AP231" s="191" t="s">
        <v>2321</v>
      </c>
      <c r="AQ231" s="322"/>
      <c r="AR231" s="114"/>
      <c r="AS231" s="323"/>
      <c r="AT231" s="323"/>
      <c r="AU231" s="322"/>
      <c r="AV231" s="114"/>
      <c r="AW231" s="323"/>
      <c r="AX231" s="324"/>
      <c r="AY231" s="60"/>
      <c r="AZ231" s="95"/>
      <c r="BA231" s="60"/>
      <c r="BB231" s="60"/>
      <c r="BC231" s="60"/>
      <c r="BD231" s="60"/>
      <c r="BE231" s="75"/>
      <c r="BF231" s="64"/>
      <c r="BG231" s="114" t="s">
        <v>3559</v>
      </c>
      <c r="BH231" s="245">
        <v>1441581</v>
      </c>
      <c r="BI231" s="64" t="s">
        <v>3551</v>
      </c>
      <c r="BJ231" s="229" t="s">
        <v>3552</v>
      </c>
    </row>
    <row r="232" spans="1:62" s="51" customFormat="1" ht="52.5" customHeight="1">
      <c r="A232" s="51">
        <v>1</v>
      </c>
      <c r="B232" s="125" t="s">
        <v>222</v>
      </c>
      <c r="C232" s="174">
        <v>12462</v>
      </c>
      <c r="D232" s="383" t="s">
        <v>2811</v>
      </c>
      <c r="E232" s="272" t="s">
        <v>466</v>
      </c>
      <c r="F232" s="130" t="s">
        <v>3562</v>
      </c>
      <c r="G232" s="10"/>
      <c r="H232" s="131"/>
      <c r="I232" s="55">
        <v>1</v>
      </c>
      <c r="J232" s="196">
        <v>0</v>
      </c>
      <c r="K232" s="52"/>
      <c r="L232" s="52" t="s">
        <v>502</v>
      </c>
      <c r="M232" s="294" t="s">
        <v>111</v>
      </c>
      <c r="N232" s="296">
        <v>41334</v>
      </c>
      <c r="O232" s="158">
        <f t="shared" si="5"/>
        <v>41334</v>
      </c>
      <c r="P232" s="133" t="s">
        <v>3692</v>
      </c>
      <c r="Q232" s="354" t="s">
        <v>1761</v>
      </c>
      <c r="R232" s="52" t="s">
        <v>505</v>
      </c>
      <c r="S232" s="295" t="s">
        <v>1762</v>
      </c>
      <c r="T232" s="79">
        <v>56223</v>
      </c>
      <c r="U232" s="64" t="s">
        <v>2442</v>
      </c>
      <c r="V232" s="64" t="s">
        <v>1081</v>
      </c>
      <c r="W232" s="64" t="s">
        <v>52</v>
      </c>
      <c r="X232" s="64" t="s">
        <v>696</v>
      </c>
      <c r="Y232" s="295" t="s">
        <v>1763</v>
      </c>
      <c r="Z232" s="295" t="s">
        <v>1764</v>
      </c>
      <c r="AA232" s="64"/>
      <c r="AB232" s="292" t="s">
        <v>1765</v>
      </c>
      <c r="AC232" s="64" t="s">
        <v>505</v>
      </c>
      <c r="AD232" s="292" t="s">
        <v>22</v>
      </c>
      <c r="AE232" s="292" t="s">
        <v>165</v>
      </c>
      <c r="AF232" s="114"/>
      <c r="AG232" s="400" t="s">
        <v>3263</v>
      </c>
      <c r="AH232" s="114"/>
      <c r="AI232" s="292" t="s">
        <v>1766</v>
      </c>
      <c r="AJ232" s="64" t="s">
        <v>505</v>
      </c>
      <c r="AK232" s="292" t="s">
        <v>20</v>
      </c>
      <c r="AL232" s="292" t="s">
        <v>165</v>
      </c>
      <c r="AM232" s="221"/>
      <c r="AN232" s="400" t="s">
        <v>3517</v>
      </c>
      <c r="AO232" s="64"/>
      <c r="AP232" s="191" t="s">
        <v>2301</v>
      </c>
      <c r="AQ232" s="322"/>
      <c r="AR232" s="114"/>
      <c r="AS232" s="323"/>
      <c r="AT232" s="323"/>
      <c r="AU232" s="322"/>
      <c r="AV232" s="322"/>
      <c r="AW232" s="323"/>
      <c r="AX232" s="324"/>
      <c r="AY232" s="60"/>
      <c r="AZ232" s="95"/>
      <c r="BA232" s="60"/>
      <c r="BB232" s="60"/>
      <c r="BC232" s="60"/>
      <c r="BD232" s="60"/>
      <c r="BE232" s="75"/>
      <c r="BF232" s="64"/>
      <c r="BG232" s="64" t="s">
        <v>3560</v>
      </c>
      <c r="BH232" s="245">
        <v>765766</v>
      </c>
      <c r="BI232" s="64" t="s">
        <v>3551</v>
      </c>
      <c r="BJ232" s="229" t="s">
        <v>3552</v>
      </c>
    </row>
    <row r="233" spans="1:62" s="51" customFormat="1" ht="52.5" customHeight="1">
      <c r="A233" s="171">
        <v>2</v>
      </c>
      <c r="B233" s="125" t="s">
        <v>222</v>
      </c>
      <c r="C233" s="174">
        <v>12471</v>
      </c>
      <c r="D233" s="292">
        <v>3140774931</v>
      </c>
      <c r="E233" s="273" t="s">
        <v>467</v>
      </c>
      <c r="F233" s="130" t="s">
        <v>3562</v>
      </c>
      <c r="G233" s="10"/>
      <c r="H233" s="263"/>
      <c r="I233" s="55">
        <v>1</v>
      </c>
      <c r="J233" s="196">
        <v>1</v>
      </c>
      <c r="K233" s="52"/>
      <c r="L233" s="52" t="s">
        <v>502</v>
      </c>
      <c r="M233" s="294" t="s">
        <v>42</v>
      </c>
      <c r="N233" s="297">
        <v>41779</v>
      </c>
      <c r="O233" s="158">
        <f t="shared" si="5"/>
        <v>41779</v>
      </c>
      <c r="P233" s="133" t="s">
        <v>3693</v>
      </c>
      <c r="Q233" s="354" t="s">
        <v>1767</v>
      </c>
      <c r="R233" s="52" t="s">
        <v>505</v>
      </c>
      <c r="S233" s="295" t="s">
        <v>2553</v>
      </c>
      <c r="T233" s="79">
        <v>15414</v>
      </c>
      <c r="U233" s="64" t="s">
        <v>2134</v>
      </c>
      <c r="V233" s="64" t="s">
        <v>2554</v>
      </c>
      <c r="W233" s="64" t="s">
        <v>2211</v>
      </c>
      <c r="X233" s="64" t="s">
        <v>43</v>
      </c>
      <c r="Y233" s="295" t="s">
        <v>1768</v>
      </c>
      <c r="Z233" s="295" t="s">
        <v>1769</v>
      </c>
      <c r="AA233" s="64"/>
      <c r="AB233" s="292" t="s">
        <v>1770</v>
      </c>
      <c r="AC233" s="64" t="s">
        <v>505</v>
      </c>
      <c r="AD233" s="292" t="s">
        <v>20</v>
      </c>
      <c r="AE233" s="292" t="s">
        <v>921</v>
      </c>
      <c r="AF233" s="114"/>
      <c r="AG233" s="400" t="s">
        <v>3264</v>
      </c>
      <c r="AH233" s="114"/>
      <c r="AI233" s="292" t="s">
        <v>1771</v>
      </c>
      <c r="AJ233" s="64" t="s">
        <v>505</v>
      </c>
      <c r="AK233" s="292" t="s">
        <v>20</v>
      </c>
      <c r="AL233" s="292" t="s">
        <v>923</v>
      </c>
      <c r="AM233" s="221"/>
      <c r="AN233" s="400" t="s">
        <v>3518</v>
      </c>
      <c r="AO233" s="64"/>
      <c r="AP233" s="191" t="s">
        <v>2302</v>
      </c>
      <c r="AQ233" s="322"/>
      <c r="AR233" s="114"/>
      <c r="AS233" s="323"/>
      <c r="AT233" s="323"/>
      <c r="AU233" s="322"/>
      <c r="AV233" s="322"/>
      <c r="AW233" s="323"/>
      <c r="AX233" s="324"/>
      <c r="AY233" s="60"/>
      <c r="AZ233" s="95"/>
      <c r="BA233" s="60"/>
      <c r="BB233" s="60"/>
      <c r="BC233" s="60"/>
      <c r="BD233" s="60"/>
      <c r="BE233" s="75"/>
      <c r="BF233" s="64"/>
      <c r="BG233" s="64" t="s">
        <v>3560</v>
      </c>
      <c r="BH233" s="245">
        <v>765766</v>
      </c>
      <c r="BI233" s="64" t="s">
        <v>3551</v>
      </c>
      <c r="BJ233" s="229" t="s">
        <v>3552</v>
      </c>
    </row>
    <row r="234" spans="1:62" s="51" customFormat="1" ht="52.5" customHeight="1">
      <c r="A234" s="51">
        <v>3</v>
      </c>
      <c r="B234" s="125" t="s">
        <v>222</v>
      </c>
      <c r="C234" s="174">
        <v>12504</v>
      </c>
      <c r="D234" s="383" t="s">
        <v>2812</v>
      </c>
      <c r="E234" s="273" t="s">
        <v>468</v>
      </c>
      <c r="F234" s="130" t="s">
        <v>3562</v>
      </c>
      <c r="G234" s="10"/>
      <c r="H234" s="131"/>
      <c r="I234" s="55">
        <v>1</v>
      </c>
      <c r="J234" s="196">
        <v>2</v>
      </c>
      <c r="K234" s="178"/>
      <c r="L234" s="52" t="s">
        <v>502</v>
      </c>
      <c r="M234" s="294" t="s">
        <v>52</v>
      </c>
      <c r="N234" s="296">
        <v>41370</v>
      </c>
      <c r="O234" s="158">
        <f t="shared" si="5"/>
        <v>41370</v>
      </c>
      <c r="P234" s="133" t="s">
        <v>3694</v>
      </c>
      <c r="Q234" s="354" t="s">
        <v>1772</v>
      </c>
      <c r="R234" s="52" t="s">
        <v>505</v>
      </c>
      <c r="S234" s="295" t="s">
        <v>3036</v>
      </c>
      <c r="T234" s="79">
        <v>55283</v>
      </c>
      <c r="U234" s="64" t="s">
        <v>2556</v>
      </c>
      <c r="V234" s="64" t="s">
        <v>2135</v>
      </c>
      <c r="W234" s="64" t="s">
        <v>76</v>
      </c>
      <c r="X234" s="64" t="s">
        <v>29</v>
      </c>
      <c r="Y234" s="295" t="s">
        <v>1773</v>
      </c>
      <c r="Z234" s="295" t="s">
        <v>1774</v>
      </c>
      <c r="AA234" s="64"/>
      <c r="AB234" s="301" t="s">
        <v>1775</v>
      </c>
      <c r="AC234" s="64" t="s">
        <v>505</v>
      </c>
      <c r="AD234" s="292" t="s">
        <v>20</v>
      </c>
      <c r="AE234" s="292" t="s">
        <v>921</v>
      </c>
      <c r="AF234" s="114"/>
      <c r="AG234" s="400" t="s">
        <v>3265</v>
      </c>
      <c r="AH234" s="114"/>
      <c r="AI234" s="292" t="s">
        <v>1776</v>
      </c>
      <c r="AJ234" s="64" t="s">
        <v>505</v>
      </c>
      <c r="AK234" s="292" t="s">
        <v>20</v>
      </c>
      <c r="AL234" s="292" t="s">
        <v>165</v>
      </c>
      <c r="AM234" s="221"/>
      <c r="AN234" s="400" t="s">
        <v>3519</v>
      </c>
      <c r="AO234" s="64"/>
      <c r="AP234" s="191" t="s">
        <v>2303</v>
      </c>
      <c r="AQ234" s="322"/>
      <c r="AR234" s="114"/>
      <c r="AS234" s="323"/>
      <c r="AT234" s="323"/>
      <c r="AU234" s="322"/>
      <c r="AV234" s="322"/>
      <c r="AW234" s="323"/>
      <c r="AX234" s="324"/>
      <c r="AY234" s="60"/>
      <c r="AZ234" s="95"/>
      <c r="BA234" s="60"/>
      <c r="BB234" s="60"/>
      <c r="BC234" s="60"/>
      <c r="BD234" s="60"/>
      <c r="BE234" s="75"/>
      <c r="BF234" s="64"/>
      <c r="BG234" s="64" t="s">
        <v>3560</v>
      </c>
      <c r="BH234" s="245">
        <v>765766</v>
      </c>
      <c r="BI234" s="64" t="s">
        <v>3551</v>
      </c>
      <c r="BJ234" s="229" t="s">
        <v>3552</v>
      </c>
    </row>
    <row r="235" spans="1:62" s="51" customFormat="1" ht="52.5" customHeight="1">
      <c r="A235" s="51">
        <v>4</v>
      </c>
      <c r="B235" s="125" t="s">
        <v>222</v>
      </c>
      <c r="C235" s="174">
        <v>12522</v>
      </c>
      <c r="D235" s="383" t="s">
        <v>2813</v>
      </c>
      <c r="E235" s="273" t="s">
        <v>469</v>
      </c>
      <c r="F235" s="130" t="s">
        <v>3562</v>
      </c>
      <c r="G235" s="10"/>
      <c r="H235" s="131"/>
      <c r="I235" s="55">
        <v>2</v>
      </c>
      <c r="J235" s="196">
        <v>2</v>
      </c>
      <c r="K235" s="52"/>
      <c r="L235" s="52" t="s">
        <v>502</v>
      </c>
      <c r="M235" s="294" t="s">
        <v>55</v>
      </c>
      <c r="N235" s="297">
        <v>41529</v>
      </c>
      <c r="O235" s="158">
        <f t="shared" si="5"/>
        <v>41529</v>
      </c>
      <c r="P235" s="133" t="s">
        <v>3660</v>
      </c>
      <c r="Q235" s="354" t="s">
        <v>1777</v>
      </c>
      <c r="R235" s="52" t="s">
        <v>505</v>
      </c>
      <c r="S235" s="295" t="s">
        <v>2322</v>
      </c>
      <c r="T235" s="79">
        <v>56372</v>
      </c>
      <c r="U235" s="64" t="s">
        <v>2557</v>
      </c>
      <c r="V235" s="64" t="s">
        <v>2558</v>
      </c>
      <c r="W235" s="64" t="s">
        <v>55</v>
      </c>
      <c r="X235" s="64" t="s">
        <v>29</v>
      </c>
      <c r="Y235" s="295" t="s">
        <v>1778</v>
      </c>
      <c r="Z235" s="295" t="s">
        <v>1779</v>
      </c>
      <c r="AA235" s="64"/>
      <c r="AB235" s="292" t="s">
        <v>2951</v>
      </c>
      <c r="AC235" s="64" t="s">
        <v>505</v>
      </c>
      <c r="AD235" s="292" t="s">
        <v>20</v>
      </c>
      <c r="AE235" s="292" t="s">
        <v>921</v>
      </c>
      <c r="AF235" s="114"/>
      <c r="AG235" s="400" t="s">
        <v>3266</v>
      </c>
      <c r="AH235" s="114"/>
      <c r="AI235" s="292" t="s">
        <v>1780</v>
      </c>
      <c r="AJ235" s="64" t="s">
        <v>505</v>
      </c>
      <c r="AK235" s="292" t="s">
        <v>922</v>
      </c>
      <c r="AL235" s="292" t="s">
        <v>165</v>
      </c>
      <c r="AM235" s="221"/>
      <c r="AN235" s="400" t="s">
        <v>3520</v>
      </c>
      <c r="AO235" s="64"/>
      <c r="AP235" s="191" t="s">
        <v>2323</v>
      </c>
      <c r="AQ235" s="322"/>
      <c r="AR235" s="114"/>
      <c r="AS235" s="323"/>
      <c r="AT235" s="323"/>
      <c r="AU235" s="322"/>
      <c r="AV235" s="322"/>
      <c r="AW235" s="323"/>
      <c r="AX235" s="324"/>
      <c r="AY235" s="60"/>
      <c r="AZ235" s="95"/>
      <c r="BA235" s="60"/>
      <c r="BB235" s="60"/>
      <c r="BC235" s="60"/>
      <c r="BD235" s="60"/>
      <c r="BE235" s="75"/>
      <c r="BF235" s="64"/>
      <c r="BG235" s="64" t="s">
        <v>3560</v>
      </c>
      <c r="BH235" s="245">
        <v>765766</v>
      </c>
      <c r="BI235" s="64" t="s">
        <v>3551</v>
      </c>
      <c r="BJ235" s="229" t="s">
        <v>3552</v>
      </c>
    </row>
    <row r="236" spans="1:62" s="51" customFormat="1" ht="52.5" customHeight="1">
      <c r="A236" s="51">
        <v>5</v>
      </c>
      <c r="B236" s="125" t="s">
        <v>222</v>
      </c>
      <c r="C236" s="174">
        <v>12546</v>
      </c>
      <c r="D236" s="383" t="s">
        <v>2814</v>
      </c>
      <c r="E236" s="273" t="s">
        <v>470</v>
      </c>
      <c r="F236" s="130" t="s">
        <v>3562</v>
      </c>
      <c r="G236" s="10"/>
      <c r="H236" s="131"/>
      <c r="I236" s="55">
        <v>2</v>
      </c>
      <c r="J236" s="196">
        <v>2</v>
      </c>
      <c r="K236" s="52"/>
      <c r="L236" s="52" t="s">
        <v>502</v>
      </c>
      <c r="M236" s="294" t="s">
        <v>76</v>
      </c>
      <c r="N236" s="296">
        <v>41633</v>
      </c>
      <c r="O236" s="158">
        <f t="shared" si="5"/>
        <v>41633</v>
      </c>
      <c r="P236" s="133" t="s">
        <v>747</v>
      </c>
      <c r="Q236" s="354" t="s">
        <v>1781</v>
      </c>
      <c r="R236" s="52" t="s">
        <v>505</v>
      </c>
      <c r="S236" s="295" t="s">
        <v>1782</v>
      </c>
      <c r="T236" s="79">
        <v>56415</v>
      </c>
      <c r="U236" s="64" t="s">
        <v>2555</v>
      </c>
      <c r="V236" s="64" t="s">
        <v>2551</v>
      </c>
      <c r="W236" s="64" t="s">
        <v>76</v>
      </c>
      <c r="X236" s="64" t="s">
        <v>29</v>
      </c>
      <c r="Y236" s="295" t="s">
        <v>1783</v>
      </c>
      <c r="Z236" s="295" t="s">
        <v>1784</v>
      </c>
      <c r="AA236" s="64"/>
      <c r="AB236" s="292" t="s">
        <v>1785</v>
      </c>
      <c r="AC236" s="64" t="s">
        <v>505</v>
      </c>
      <c r="AD236" s="292" t="s">
        <v>22</v>
      </c>
      <c r="AE236" s="292" t="s">
        <v>921</v>
      </c>
      <c r="AF236" s="114"/>
      <c r="AG236" s="400" t="s">
        <v>3267</v>
      </c>
      <c r="AH236" s="114"/>
      <c r="AI236" s="292" t="s">
        <v>1786</v>
      </c>
      <c r="AJ236" s="64" t="s">
        <v>505</v>
      </c>
      <c r="AK236" s="292" t="s">
        <v>20</v>
      </c>
      <c r="AL236" s="292" t="s">
        <v>921</v>
      </c>
      <c r="AM236" s="221"/>
      <c r="AN236" s="400" t="s">
        <v>3521</v>
      </c>
      <c r="AO236" s="64"/>
      <c r="AP236" s="191" t="s">
        <v>2324</v>
      </c>
      <c r="AQ236" s="322"/>
      <c r="AR236" s="114"/>
      <c r="AS236" s="323"/>
      <c r="AT236" s="323"/>
      <c r="AU236" s="322"/>
      <c r="AV236" s="322"/>
      <c r="AW236" s="323"/>
      <c r="AX236" s="324"/>
      <c r="AY236" s="60"/>
      <c r="AZ236" s="95"/>
      <c r="BA236" s="60"/>
      <c r="BB236" s="60"/>
      <c r="BC236" s="60"/>
      <c r="BD236" s="60"/>
      <c r="BE236" s="75"/>
      <c r="BF236" s="64"/>
      <c r="BG236" s="64" t="s">
        <v>3560</v>
      </c>
      <c r="BH236" s="245">
        <v>765766</v>
      </c>
      <c r="BI236" s="64" t="s">
        <v>3551</v>
      </c>
      <c r="BJ236" s="229" t="s">
        <v>3552</v>
      </c>
    </row>
    <row r="237" spans="1:62" s="51" customFormat="1" ht="52.5" customHeight="1">
      <c r="A237" s="51">
        <v>6</v>
      </c>
      <c r="B237" s="125" t="s">
        <v>222</v>
      </c>
      <c r="C237" s="174">
        <v>12555</v>
      </c>
      <c r="D237" s="383" t="s">
        <v>2815</v>
      </c>
      <c r="E237" s="273" t="s">
        <v>471</v>
      </c>
      <c r="F237" s="130" t="s">
        <v>3562</v>
      </c>
      <c r="G237" s="10"/>
      <c r="H237" s="131"/>
      <c r="I237" s="55">
        <v>2</v>
      </c>
      <c r="J237" s="196">
        <v>2</v>
      </c>
      <c r="K237" s="52"/>
      <c r="L237" s="52" t="s">
        <v>502</v>
      </c>
      <c r="M237" s="294" t="s">
        <v>93</v>
      </c>
      <c r="N237" s="297">
        <v>41512</v>
      </c>
      <c r="O237" s="158">
        <f t="shared" si="5"/>
        <v>41512</v>
      </c>
      <c r="P237" s="133" t="s">
        <v>2999</v>
      </c>
      <c r="Q237" s="354" t="s">
        <v>1787</v>
      </c>
      <c r="R237" s="52" t="s">
        <v>505</v>
      </c>
      <c r="S237" s="295" t="s">
        <v>2559</v>
      </c>
      <c r="T237" s="79">
        <v>53413</v>
      </c>
      <c r="U237" s="64" t="s">
        <v>2552</v>
      </c>
      <c r="V237" s="64" t="s">
        <v>63</v>
      </c>
      <c r="W237" s="64" t="s">
        <v>63</v>
      </c>
      <c r="X237" s="64" t="s">
        <v>29</v>
      </c>
      <c r="Y237" s="295" t="s">
        <v>1788</v>
      </c>
      <c r="Z237" s="295" t="s">
        <v>1789</v>
      </c>
      <c r="AA237" s="64"/>
      <c r="AB237" s="301" t="s">
        <v>1790</v>
      </c>
      <c r="AC237" s="64" t="s">
        <v>505</v>
      </c>
      <c r="AD237" s="292" t="s">
        <v>20</v>
      </c>
      <c r="AE237" s="292" t="s">
        <v>926</v>
      </c>
      <c r="AF237" s="114"/>
      <c r="AG237" s="400" t="s">
        <v>3268</v>
      </c>
      <c r="AH237" s="114"/>
      <c r="AI237" s="292" t="s">
        <v>1791</v>
      </c>
      <c r="AJ237" s="64" t="s">
        <v>505</v>
      </c>
      <c r="AK237" s="292" t="s">
        <v>20</v>
      </c>
      <c r="AL237" s="292" t="s">
        <v>21</v>
      </c>
      <c r="AM237" s="221"/>
      <c r="AN237" s="400" t="s">
        <v>3522</v>
      </c>
      <c r="AO237" s="64"/>
      <c r="AP237" s="191" t="s">
        <v>2325</v>
      </c>
      <c r="AQ237" s="322"/>
      <c r="AR237" s="114"/>
      <c r="AS237" s="323"/>
      <c r="AT237" s="323"/>
      <c r="AU237" s="322"/>
      <c r="AV237" s="322"/>
      <c r="AW237" s="323"/>
      <c r="AX237" s="324"/>
      <c r="AY237" s="60"/>
      <c r="AZ237" s="95"/>
      <c r="BA237" s="60"/>
      <c r="BB237" s="60"/>
      <c r="BC237" s="60"/>
      <c r="BD237" s="60"/>
      <c r="BE237" s="75"/>
      <c r="BF237" s="64"/>
      <c r="BG237" s="64" t="s">
        <v>3560</v>
      </c>
      <c r="BH237" s="245">
        <v>765766</v>
      </c>
      <c r="BI237" s="64" t="s">
        <v>3551</v>
      </c>
      <c r="BJ237" s="229" t="s">
        <v>3552</v>
      </c>
    </row>
    <row r="238" spans="1:62" s="51" customFormat="1" ht="52.5" customHeight="1">
      <c r="A238" s="51">
        <v>7</v>
      </c>
      <c r="B238" s="125" t="s">
        <v>222</v>
      </c>
      <c r="C238" s="174">
        <v>12563</v>
      </c>
      <c r="D238" s="383" t="s">
        <v>2816</v>
      </c>
      <c r="E238" s="273" t="s">
        <v>472</v>
      </c>
      <c r="F238" s="130" t="s">
        <v>3562</v>
      </c>
      <c r="G238" s="10"/>
      <c r="H238" s="131"/>
      <c r="I238" s="55">
        <v>1</v>
      </c>
      <c r="J238" s="196">
        <v>0</v>
      </c>
      <c r="K238" s="52"/>
      <c r="L238" s="52" t="s">
        <v>502</v>
      </c>
      <c r="M238" s="294" t="s">
        <v>1792</v>
      </c>
      <c r="N238" s="297">
        <v>41707</v>
      </c>
      <c r="O238" s="158">
        <f t="shared" si="5"/>
        <v>41707</v>
      </c>
      <c r="P238" s="133" t="s">
        <v>3695</v>
      </c>
      <c r="Q238" s="354" t="s">
        <v>1793</v>
      </c>
      <c r="R238" s="52" t="s">
        <v>505</v>
      </c>
      <c r="S238" s="295" t="s">
        <v>2560</v>
      </c>
      <c r="T238" s="79">
        <v>63137</v>
      </c>
      <c r="U238" s="64" t="s">
        <v>1877</v>
      </c>
      <c r="V238" s="64" t="s">
        <v>2561</v>
      </c>
      <c r="W238" s="64" t="s">
        <v>1792</v>
      </c>
      <c r="X238" s="64" t="s">
        <v>39</v>
      </c>
      <c r="Y238" s="295" t="s">
        <v>1794</v>
      </c>
      <c r="Z238" s="295" t="s">
        <v>1795</v>
      </c>
      <c r="AA238" s="64"/>
      <c r="AB238" s="64" t="s">
        <v>2326</v>
      </c>
      <c r="AC238" s="64" t="s">
        <v>505</v>
      </c>
      <c r="AD238" s="292" t="s">
        <v>30</v>
      </c>
      <c r="AE238" s="292" t="s">
        <v>168</v>
      </c>
      <c r="AF238" s="114"/>
      <c r="AG238" s="400" t="s">
        <v>3269</v>
      </c>
      <c r="AH238" s="114"/>
      <c r="AI238" s="292" t="s">
        <v>1796</v>
      </c>
      <c r="AJ238" s="64" t="s">
        <v>505</v>
      </c>
      <c r="AK238" s="292" t="s">
        <v>30</v>
      </c>
      <c r="AL238" s="292" t="s">
        <v>511</v>
      </c>
      <c r="AM238" s="221"/>
      <c r="AN238" s="400" t="s">
        <v>3523</v>
      </c>
      <c r="AO238" s="64"/>
      <c r="AP238" s="191" t="s">
        <v>2327</v>
      </c>
      <c r="AQ238" s="322"/>
      <c r="AR238" s="114"/>
      <c r="AS238" s="323"/>
      <c r="AT238" s="323"/>
      <c r="AU238" s="322"/>
      <c r="AV238" s="322"/>
      <c r="AW238" s="323"/>
      <c r="AX238" s="324"/>
      <c r="AY238" s="60"/>
      <c r="AZ238" s="95"/>
      <c r="BA238" s="60"/>
      <c r="BB238" s="60"/>
      <c r="BC238" s="60"/>
      <c r="BD238" s="60"/>
      <c r="BE238" s="75"/>
      <c r="BF238" s="64"/>
      <c r="BG238" s="64" t="s">
        <v>3560</v>
      </c>
      <c r="BH238" s="245">
        <v>765766</v>
      </c>
      <c r="BI238" s="64" t="s">
        <v>3551</v>
      </c>
      <c r="BJ238" s="229" t="s">
        <v>3552</v>
      </c>
    </row>
    <row r="239" spans="1:62" s="51" customFormat="1" ht="52.5" customHeight="1">
      <c r="A239" s="51">
        <v>8</v>
      </c>
      <c r="B239" s="125" t="s">
        <v>222</v>
      </c>
      <c r="C239" s="174">
        <v>12581</v>
      </c>
      <c r="D239" s="383" t="s">
        <v>2817</v>
      </c>
      <c r="E239" s="273" t="s">
        <v>473</v>
      </c>
      <c r="F239" s="130" t="s">
        <v>3562</v>
      </c>
      <c r="G239" s="10"/>
      <c r="H239" s="263"/>
      <c r="I239" s="55">
        <v>1</v>
      </c>
      <c r="J239" s="196">
        <v>2</v>
      </c>
      <c r="K239" s="52"/>
      <c r="L239" s="52" t="s">
        <v>502</v>
      </c>
      <c r="M239" s="294" t="s">
        <v>129</v>
      </c>
      <c r="N239" s="296">
        <v>41697</v>
      </c>
      <c r="O239" s="158">
        <f t="shared" si="5"/>
        <v>41697</v>
      </c>
      <c r="P239" s="133" t="s">
        <v>3696</v>
      </c>
      <c r="Q239" s="354" t="s">
        <v>1797</v>
      </c>
      <c r="R239" s="52" t="s">
        <v>505</v>
      </c>
      <c r="S239" s="295" t="s">
        <v>2328</v>
      </c>
      <c r="T239" s="79">
        <v>52354</v>
      </c>
      <c r="U239" s="64" t="s">
        <v>2157</v>
      </c>
      <c r="V239" s="64" t="s">
        <v>2154</v>
      </c>
      <c r="W239" s="64" t="s">
        <v>124</v>
      </c>
      <c r="X239" s="64" t="s">
        <v>29</v>
      </c>
      <c r="Y239" s="295" t="s">
        <v>1204</v>
      </c>
      <c r="Z239" s="295" t="s">
        <v>1798</v>
      </c>
      <c r="AA239" s="64"/>
      <c r="AB239" s="292" t="s">
        <v>1799</v>
      </c>
      <c r="AC239" s="64" t="s">
        <v>505</v>
      </c>
      <c r="AD239" s="292" t="s">
        <v>20</v>
      </c>
      <c r="AE239" s="292" t="s">
        <v>165</v>
      </c>
      <c r="AF239" s="114"/>
      <c r="AG239" s="400" t="s">
        <v>3270</v>
      </c>
      <c r="AH239" s="114"/>
      <c r="AI239" s="292" t="s">
        <v>1800</v>
      </c>
      <c r="AJ239" s="64" t="s">
        <v>505</v>
      </c>
      <c r="AK239" s="292" t="s">
        <v>20</v>
      </c>
      <c r="AL239" s="292" t="s">
        <v>165</v>
      </c>
      <c r="AM239" s="221"/>
      <c r="AN239" s="400" t="s">
        <v>3524</v>
      </c>
      <c r="AO239" s="64"/>
      <c r="AP239" s="191" t="s">
        <v>2329</v>
      </c>
      <c r="AQ239" s="322"/>
      <c r="AR239" s="114"/>
      <c r="AS239" s="323"/>
      <c r="AT239" s="323"/>
      <c r="AU239" s="322"/>
      <c r="AV239" s="322"/>
      <c r="AW239" s="323"/>
      <c r="AX239" s="324"/>
      <c r="AY239" s="60"/>
      <c r="AZ239" s="95"/>
      <c r="BA239" s="60"/>
      <c r="BB239" s="60"/>
      <c r="BC239" s="60"/>
      <c r="BD239" s="60"/>
      <c r="BE239" s="75"/>
      <c r="BF239" s="64"/>
      <c r="BG239" s="64" t="s">
        <v>3560</v>
      </c>
      <c r="BH239" s="245">
        <v>765766</v>
      </c>
      <c r="BI239" s="64" t="s">
        <v>3551</v>
      </c>
      <c r="BJ239" s="229" t="s">
        <v>3552</v>
      </c>
    </row>
    <row r="240" spans="1:62" s="51" customFormat="1" ht="47.25">
      <c r="A240" s="51">
        <v>9</v>
      </c>
      <c r="B240" s="125" t="s">
        <v>222</v>
      </c>
      <c r="C240" s="174">
        <v>12583</v>
      </c>
      <c r="D240" s="292">
        <v>3134994929</v>
      </c>
      <c r="E240" s="273" t="s">
        <v>474</v>
      </c>
      <c r="F240" s="130" t="s">
        <v>3562</v>
      </c>
      <c r="G240" s="10"/>
      <c r="H240" s="131"/>
      <c r="I240" s="55">
        <v>1</v>
      </c>
      <c r="J240" s="196">
        <v>1</v>
      </c>
      <c r="K240" s="52"/>
      <c r="L240" s="52" t="s">
        <v>502</v>
      </c>
      <c r="M240" s="294" t="s">
        <v>27</v>
      </c>
      <c r="N240" s="297">
        <v>41608</v>
      </c>
      <c r="O240" s="158">
        <f t="shared" si="5"/>
        <v>41608</v>
      </c>
      <c r="P240" s="133" t="s">
        <v>3697</v>
      </c>
      <c r="Q240" s="354" t="s">
        <v>1801</v>
      </c>
      <c r="R240" s="52" t="s">
        <v>505</v>
      </c>
      <c r="S240" s="295" t="s">
        <v>2562</v>
      </c>
      <c r="T240" s="79">
        <v>13530</v>
      </c>
      <c r="U240" s="64" t="s">
        <v>2563</v>
      </c>
      <c r="V240" s="64" t="s">
        <v>2564</v>
      </c>
      <c r="W240" s="64" t="s">
        <v>2566</v>
      </c>
      <c r="X240" s="64" t="s">
        <v>65</v>
      </c>
      <c r="Y240" s="295" t="s">
        <v>1802</v>
      </c>
      <c r="Z240" s="295" t="s">
        <v>1803</v>
      </c>
      <c r="AA240" s="64"/>
      <c r="AB240" s="292" t="s">
        <v>1804</v>
      </c>
      <c r="AC240" s="64" t="s">
        <v>505</v>
      </c>
      <c r="AD240" s="292" t="s">
        <v>30</v>
      </c>
      <c r="AE240" s="292" t="s">
        <v>21</v>
      </c>
      <c r="AF240" s="114"/>
      <c r="AG240" s="400" t="s">
        <v>3271</v>
      </c>
      <c r="AH240" s="114"/>
      <c r="AI240" s="292" t="s">
        <v>1805</v>
      </c>
      <c r="AJ240" s="64" t="s">
        <v>505</v>
      </c>
      <c r="AK240" s="292" t="s">
        <v>30</v>
      </c>
      <c r="AL240" s="292" t="s">
        <v>21</v>
      </c>
      <c r="AM240" s="221"/>
      <c r="AN240" s="400" t="s">
        <v>3525</v>
      </c>
      <c r="AO240" s="64"/>
      <c r="AP240" s="191" t="s">
        <v>2330</v>
      </c>
      <c r="AQ240" s="322"/>
      <c r="AR240" s="114"/>
      <c r="AS240" s="323"/>
      <c r="AT240" s="323"/>
      <c r="AU240" s="322"/>
      <c r="AV240" s="322"/>
      <c r="AW240" s="323"/>
      <c r="AX240" s="324"/>
      <c r="AY240" s="60"/>
      <c r="AZ240" s="95"/>
      <c r="BA240" s="60"/>
      <c r="BB240" s="60"/>
      <c r="BC240" s="60"/>
      <c r="BD240" s="60"/>
      <c r="BE240" s="75"/>
      <c r="BF240" s="64"/>
      <c r="BG240" s="64" t="s">
        <v>3560</v>
      </c>
      <c r="BH240" s="245">
        <v>765766</v>
      </c>
      <c r="BI240" s="64" t="s">
        <v>3551</v>
      </c>
      <c r="BJ240" s="229" t="s">
        <v>3552</v>
      </c>
    </row>
    <row r="241" spans="1:62" s="51" customFormat="1" ht="63">
      <c r="A241" s="51">
        <v>10</v>
      </c>
      <c r="B241" s="125" t="s">
        <v>222</v>
      </c>
      <c r="C241" s="174">
        <v>12619</v>
      </c>
      <c r="D241" s="383" t="s">
        <v>2818</v>
      </c>
      <c r="E241" s="273" t="s">
        <v>475</v>
      </c>
      <c r="F241" s="130" t="s">
        <v>3562</v>
      </c>
      <c r="G241" s="10"/>
      <c r="H241" s="131"/>
      <c r="I241" s="55">
        <v>1</v>
      </c>
      <c r="J241" s="196">
        <v>0</v>
      </c>
      <c r="K241" s="52"/>
      <c r="L241" s="52" t="s">
        <v>502</v>
      </c>
      <c r="M241" s="294" t="s">
        <v>47</v>
      </c>
      <c r="N241" s="296">
        <v>41633</v>
      </c>
      <c r="O241" s="158">
        <f t="shared" si="5"/>
        <v>41633</v>
      </c>
      <c r="P241" s="133" t="s">
        <v>747</v>
      </c>
      <c r="Q241" s="354" t="s">
        <v>1806</v>
      </c>
      <c r="R241" s="52" t="s">
        <v>505</v>
      </c>
      <c r="S241" s="295" t="s">
        <v>2854</v>
      </c>
      <c r="T241" s="79">
        <v>71571</v>
      </c>
      <c r="U241" s="64" t="s">
        <v>2567</v>
      </c>
      <c r="V241" s="64" t="s">
        <v>2565</v>
      </c>
      <c r="W241" s="64" t="s">
        <v>118</v>
      </c>
      <c r="X241" s="64" t="s">
        <v>48</v>
      </c>
      <c r="Y241" s="295" t="s">
        <v>119</v>
      </c>
      <c r="Z241" s="295" t="s">
        <v>1807</v>
      </c>
      <c r="AA241" s="64"/>
      <c r="AB241" s="292" t="s">
        <v>1808</v>
      </c>
      <c r="AC241" s="64" t="s">
        <v>505</v>
      </c>
      <c r="AD241" s="292" t="s">
        <v>30</v>
      </c>
      <c r="AE241" s="292" t="s">
        <v>21</v>
      </c>
      <c r="AF241" s="114"/>
      <c r="AG241" s="400" t="s">
        <v>3272</v>
      </c>
      <c r="AH241" s="114"/>
      <c r="AI241" s="292" t="s">
        <v>1809</v>
      </c>
      <c r="AJ241" s="64" t="s">
        <v>505</v>
      </c>
      <c r="AK241" s="292" t="s">
        <v>20</v>
      </c>
      <c r="AL241" s="292" t="s">
        <v>1080</v>
      </c>
      <c r="AM241" s="114"/>
      <c r="AN241" s="400" t="s">
        <v>3526</v>
      </c>
      <c r="AO241" s="64"/>
      <c r="AP241" s="191" t="s">
        <v>2331</v>
      </c>
      <c r="AQ241" s="322"/>
      <c r="AR241" s="114"/>
      <c r="AS241" s="323"/>
      <c r="AT241" s="323"/>
      <c r="AU241" s="322"/>
      <c r="AV241" s="114"/>
      <c r="AW241" s="323"/>
      <c r="AX241" s="324"/>
      <c r="AY241" s="60"/>
      <c r="AZ241" s="95"/>
      <c r="BA241" s="60"/>
      <c r="BB241" s="60"/>
      <c r="BC241" s="60"/>
      <c r="BD241" s="60"/>
      <c r="BE241" s="75"/>
      <c r="BF241" s="64"/>
      <c r="BG241" s="64" t="s">
        <v>3560</v>
      </c>
      <c r="BH241" s="245">
        <v>765766</v>
      </c>
      <c r="BI241" s="64" t="s">
        <v>3551</v>
      </c>
      <c r="BJ241" s="229" t="s">
        <v>3552</v>
      </c>
    </row>
    <row r="242" spans="1:62" s="51" customFormat="1" ht="47.25">
      <c r="A242" s="51">
        <v>11</v>
      </c>
      <c r="B242" s="125" t="s">
        <v>222</v>
      </c>
      <c r="C242" s="174">
        <v>12636</v>
      </c>
      <c r="D242" s="383" t="s">
        <v>2819</v>
      </c>
      <c r="E242" s="273" t="s">
        <v>476</v>
      </c>
      <c r="F242" s="130" t="s">
        <v>3562</v>
      </c>
      <c r="G242" s="10"/>
      <c r="H242" s="131"/>
      <c r="I242" s="55">
        <v>3</v>
      </c>
      <c r="J242" s="196">
        <v>5</v>
      </c>
      <c r="K242" s="52"/>
      <c r="L242" s="52" t="s">
        <v>502</v>
      </c>
      <c r="M242" s="294" t="s">
        <v>23</v>
      </c>
      <c r="N242" s="296">
        <v>41553</v>
      </c>
      <c r="O242" s="158">
        <f t="shared" si="5"/>
        <v>41553</v>
      </c>
      <c r="P242" s="133" t="s">
        <v>3022</v>
      </c>
      <c r="Q242" s="354" t="s">
        <v>1810</v>
      </c>
      <c r="R242" s="52" t="s">
        <v>505</v>
      </c>
      <c r="S242" s="295" t="s">
        <v>2855</v>
      </c>
      <c r="T242" s="79">
        <v>55262</v>
      </c>
      <c r="U242" s="64" t="s">
        <v>2469</v>
      </c>
      <c r="V242" s="64" t="s">
        <v>2470</v>
      </c>
      <c r="W242" s="64" t="s">
        <v>695</v>
      </c>
      <c r="X242" s="64" t="s">
        <v>696</v>
      </c>
      <c r="Y242" s="295" t="s">
        <v>1811</v>
      </c>
      <c r="Z242" s="295" t="s">
        <v>1812</v>
      </c>
      <c r="AA242" s="64"/>
      <c r="AB242" s="292" t="s">
        <v>1813</v>
      </c>
      <c r="AC242" s="64" t="s">
        <v>505</v>
      </c>
      <c r="AD242" s="292" t="s">
        <v>30</v>
      </c>
      <c r="AE242" s="292" t="s">
        <v>165</v>
      </c>
      <c r="AF242" s="114"/>
      <c r="AG242" s="400" t="s">
        <v>3273</v>
      </c>
      <c r="AH242" s="114"/>
      <c r="AI242" s="292" t="s">
        <v>1814</v>
      </c>
      <c r="AJ242" s="64" t="s">
        <v>505</v>
      </c>
      <c r="AK242" s="292" t="s">
        <v>20</v>
      </c>
      <c r="AL242" s="292" t="s">
        <v>923</v>
      </c>
      <c r="AM242" s="221"/>
      <c r="AN242" s="400" t="s">
        <v>3527</v>
      </c>
      <c r="AO242" s="64"/>
      <c r="AP242" s="191" t="s">
        <v>2332</v>
      </c>
      <c r="AQ242" s="322"/>
      <c r="AR242" s="114"/>
      <c r="AS242" s="323"/>
      <c r="AT242" s="323"/>
      <c r="AU242" s="322"/>
      <c r="AV242" s="322"/>
      <c r="AW242" s="323"/>
      <c r="AX242" s="324"/>
      <c r="AY242" s="60"/>
      <c r="AZ242" s="95"/>
      <c r="BA242" s="60"/>
      <c r="BB242" s="60"/>
      <c r="BC242" s="60"/>
      <c r="BD242" s="60"/>
      <c r="BE242" s="75"/>
      <c r="BF242" s="64"/>
      <c r="BG242" s="64" t="s">
        <v>3560</v>
      </c>
      <c r="BH242" s="245">
        <v>765766</v>
      </c>
      <c r="BI242" s="64" t="s">
        <v>3551</v>
      </c>
      <c r="BJ242" s="229" t="s">
        <v>3552</v>
      </c>
    </row>
    <row r="243" spans="1:62" s="51" customFormat="1" ht="64.5" customHeight="1">
      <c r="A243" s="51">
        <v>12</v>
      </c>
      <c r="B243" s="125" t="s">
        <v>222</v>
      </c>
      <c r="C243" s="52">
        <v>12651</v>
      </c>
      <c r="D243" s="383" t="s">
        <v>2820</v>
      </c>
      <c r="E243" s="273" t="s">
        <v>477</v>
      </c>
      <c r="F243" s="130" t="s">
        <v>3562</v>
      </c>
      <c r="G243" s="10"/>
      <c r="H243" s="131"/>
      <c r="I243" s="55">
        <v>2</v>
      </c>
      <c r="J243" s="196">
        <v>1</v>
      </c>
      <c r="K243" s="178"/>
      <c r="L243" s="52" t="s">
        <v>502</v>
      </c>
      <c r="M243" s="294" t="s">
        <v>76</v>
      </c>
      <c r="N243" s="296">
        <v>41708</v>
      </c>
      <c r="O243" s="158">
        <f t="shared" si="5"/>
        <v>41708</v>
      </c>
      <c r="P243" s="133" t="s">
        <v>3604</v>
      </c>
      <c r="Q243" s="354" t="s">
        <v>1815</v>
      </c>
      <c r="R243" s="52" t="s">
        <v>505</v>
      </c>
      <c r="S243" s="295" t="s">
        <v>1816</v>
      </c>
      <c r="T243" s="79">
        <v>56195</v>
      </c>
      <c r="U243" s="64" t="s">
        <v>2568</v>
      </c>
      <c r="V243" s="64" t="s">
        <v>2135</v>
      </c>
      <c r="W243" s="64" t="s">
        <v>76</v>
      </c>
      <c r="X243" s="64" t="s">
        <v>29</v>
      </c>
      <c r="Y243" s="295" t="s">
        <v>1817</v>
      </c>
      <c r="Z243" s="295" t="s">
        <v>1818</v>
      </c>
      <c r="AA243" s="64"/>
      <c r="AB243" s="292" t="s">
        <v>1819</v>
      </c>
      <c r="AC243" s="64" t="s">
        <v>505</v>
      </c>
      <c r="AD243" s="292" t="s">
        <v>20</v>
      </c>
      <c r="AE243" s="292" t="s">
        <v>921</v>
      </c>
      <c r="AF243" s="114"/>
      <c r="AG243" s="400" t="s">
        <v>3274</v>
      </c>
      <c r="AH243" s="114"/>
      <c r="AI243" s="292" t="s">
        <v>1820</v>
      </c>
      <c r="AJ243" s="64" t="s">
        <v>505</v>
      </c>
      <c r="AK243" s="292" t="s">
        <v>22</v>
      </c>
      <c r="AL243" s="292" t="s">
        <v>923</v>
      </c>
      <c r="AM243" s="114"/>
      <c r="AN243" s="400" t="s">
        <v>3274</v>
      </c>
      <c r="AO243" s="64"/>
      <c r="AP243" s="190" t="s">
        <v>2333</v>
      </c>
      <c r="AQ243" s="72"/>
      <c r="AR243" s="64"/>
      <c r="AS243" s="324"/>
      <c r="AT243" s="324"/>
      <c r="AU243" s="72"/>
      <c r="AV243" s="72"/>
      <c r="AW243" s="324"/>
      <c r="AX243" s="324"/>
      <c r="AY243" s="60"/>
      <c r="AZ243" s="95"/>
      <c r="BA243" s="60"/>
      <c r="BB243" s="60"/>
      <c r="BC243" s="60"/>
      <c r="BD243" s="60"/>
      <c r="BE243" s="75"/>
      <c r="BF243" s="64"/>
      <c r="BG243" s="64" t="s">
        <v>3560</v>
      </c>
      <c r="BH243" s="245">
        <v>765766</v>
      </c>
      <c r="BI243" s="64" t="s">
        <v>3551</v>
      </c>
      <c r="BJ243" s="229" t="s">
        <v>3552</v>
      </c>
    </row>
    <row r="244" spans="1:62" s="51" customFormat="1" ht="52.5" customHeight="1">
      <c r="A244" s="51">
        <v>13</v>
      </c>
      <c r="B244" s="125" t="s">
        <v>222</v>
      </c>
      <c r="C244" s="174">
        <v>12665</v>
      </c>
      <c r="D244" s="292">
        <v>3134240292</v>
      </c>
      <c r="E244" s="273" t="s">
        <v>478</v>
      </c>
      <c r="F244" s="130" t="s">
        <v>3562</v>
      </c>
      <c r="G244" s="10"/>
      <c r="H244" s="131"/>
      <c r="I244" s="55">
        <v>1</v>
      </c>
      <c r="J244" s="196">
        <v>1</v>
      </c>
      <c r="K244" s="52"/>
      <c r="L244" s="52" t="s">
        <v>502</v>
      </c>
      <c r="M244" s="294" t="s">
        <v>1821</v>
      </c>
      <c r="N244" s="296">
        <v>41557</v>
      </c>
      <c r="O244" s="158">
        <f t="shared" si="5"/>
        <v>41557</v>
      </c>
      <c r="P244" s="133" t="s">
        <v>3698</v>
      </c>
      <c r="Q244" s="354" t="s">
        <v>1822</v>
      </c>
      <c r="R244" s="52" t="s">
        <v>505</v>
      </c>
      <c r="S244" s="295" t="s">
        <v>2570</v>
      </c>
      <c r="T244" s="79">
        <v>13440</v>
      </c>
      <c r="U244" s="64" t="s">
        <v>2571</v>
      </c>
      <c r="V244" s="64" t="s">
        <v>2571</v>
      </c>
      <c r="W244" s="64" t="s">
        <v>2566</v>
      </c>
      <c r="X244" s="64" t="s">
        <v>65</v>
      </c>
      <c r="Y244" s="295" t="s">
        <v>1823</v>
      </c>
      <c r="Z244" s="295" t="s">
        <v>1824</v>
      </c>
      <c r="AA244" s="64"/>
      <c r="AB244" s="292" t="s">
        <v>1825</v>
      </c>
      <c r="AC244" s="64" t="s">
        <v>505</v>
      </c>
      <c r="AD244" s="292" t="s">
        <v>20</v>
      </c>
      <c r="AE244" s="292" t="s">
        <v>921</v>
      </c>
      <c r="AF244" s="114"/>
      <c r="AG244" s="400" t="s">
        <v>3275</v>
      </c>
      <c r="AH244" s="114"/>
      <c r="AI244" s="292" t="s">
        <v>1826</v>
      </c>
      <c r="AJ244" s="64" t="s">
        <v>505</v>
      </c>
      <c r="AK244" s="292" t="s">
        <v>20</v>
      </c>
      <c r="AL244" s="292" t="s">
        <v>21</v>
      </c>
      <c r="AM244" s="221"/>
      <c r="AN244" s="400" t="s">
        <v>3528</v>
      </c>
      <c r="AO244" s="64"/>
      <c r="AP244" s="191" t="s">
        <v>2334</v>
      </c>
      <c r="AQ244" s="322"/>
      <c r="AR244" s="114"/>
      <c r="AS244" s="323"/>
      <c r="AT244" s="323"/>
      <c r="AU244" s="322"/>
      <c r="AV244" s="322"/>
      <c r="AW244" s="323"/>
      <c r="AX244" s="324"/>
      <c r="AY244" s="60"/>
      <c r="AZ244" s="95"/>
      <c r="BA244" s="60"/>
      <c r="BB244" s="60"/>
      <c r="BC244" s="60"/>
      <c r="BD244" s="60"/>
      <c r="BE244" s="75"/>
      <c r="BF244" s="64"/>
      <c r="BG244" s="64" t="s">
        <v>3560</v>
      </c>
      <c r="BH244" s="245">
        <v>765766</v>
      </c>
      <c r="BI244" s="64" t="s">
        <v>3551</v>
      </c>
      <c r="BJ244" s="229" t="s">
        <v>3552</v>
      </c>
    </row>
    <row r="245" spans="1:62" s="51" customFormat="1" ht="52.5" customHeight="1">
      <c r="A245" s="51">
        <v>14</v>
      </c>
      <c r="B245" s="125" t="s">
        <v>222</v>
      </c>
      <c r="C245" s="174">
        <v>12690</v>
      </c>
      <c r="D245" s="383" t="s">
        <v>2821</v>
      </c>
      <c r="E245" s="273" t="s">
        <v>479</v>
      </c>
      <c r="F245" s="130" t="s">
        <v>3562</v>
      </c>
      <c r="G245" s="10"/>
      <c r="H245" s="131"/>
      <c r="I245" s="55">
        <v>1</v>
      </c>
      <c r="J245" s="196">
        <v>1</v>
      </c>
      <c r="K245" s="52"/>
      <c r="L245" s="52" t="s">
        <v>502</v>
      </c>
      <c r="M245" s="294" t="s">
        <v>41</v>
      </c>
      <c r="N245" s="296">
        <v>41881</v>
      </c>
      <c r="O245" s="158">
        <f t="shared" si="5"/>
        <v>41881</v>
      </c>
      <c r="P245" s="133" t="s">
        <v>3699</v>
      </c>
      <c r="Q245" s="354" t="s">
        <v>1827</v>
      </c>
      <c r="R245" s="52" t="s">
        <v>505</v>
      </c>
      <c r="S245" s="295" t="s">
        <v>1828</v>
      </c>
      <c r="T245" s="79">
        <v>50267</v>
      </c>
      <c r="U245" s="64" t="s">
        <v>2569</v>
      </c>
      <c r="V245" s="64" t="s">
        <v>1903</v>
      </c>
      <c r="W245" s="64" t="s">
        <v>1904</v>
      </c>
      <c r="X245" s="64" t="s">
        <v>29</v>
      </c>
      <c r="Y245" s="295" t="s">
        <v>1411</v>
      </c>
      <c r="Z245" s="295" t="s">
        <v>1829</v>
      </c>
      <c r="AA245" s="64"/>
      <c r="AB245" s="292" t="s">
        <v>1830</v>
      </c>
      <c r="AC245" s="64" t="s">
        <v>505</v>
      </c>
      <c r="AD245" s="292" t="s">
        <v>20</v>
      </c>
      <c r="AE245" s="292" t="s">
        <v>165</v>
      </c>
      <c r="AF245" s="114"/>
      <c r="AG245" s="400" t="s">
        <v>3276</v>
      </c>
      <c r="AH245" s="114"/>
      <c r="AI245" s="292" t="s">
        <v>1831</v>
      </c>
      <c r="AJ245" s="64" t="s">
        <v>505</v>
      </c>
      <c r="AK245" s="292" t="s">
        <v>20</v>
      </c>
      <c r="AL245" s="292" t="s">
        <v>21</v>
      </c>
      <c r="AM245" s="221"/>
      <c r="AN245" s="400" t="s">
        <v>3529</v>
      </c>
      <c r="AO245" s="64"/>
      <c r="AP245" s="191" t="s">
        <v>2335</v>
      </c>
      <c r="AQ245" s="322"/>
      <c r="AR245" s="114"/>
      <c r="AS245" s="323"/>
      <c r="AT245" s="323"/>
      <c r="AU245" s="322"/>
      <c r="AV245" s="322"/>
      <c r="AW245" s="323"/>
      <c r="AX245" s="324"/>
      <c r="AY245" s="60"/>
      <c r="AZ245" s="95"/>
      <c r="BA245" s="60"/>
      <c r="BB245" s="60"/>
      <c r="BC245" s="60"/>
      <c r="BD245" s="60"/>
      <c r="BE245" s="75"/>
      <c r="BF245" s="64"/>
      <c r="BG245" s="64" t="s">
        <v>3560</v>
      </c>
      <c r="BH245" s="245">
        <v>765766</v>
      </c>
      <c r="BI245" s="64" t="s">
        <v>3551</v>
      </c>
      <c r="BJ245" s="229" t="s">
        <v>3552</v>
      </c>
    </row>
    <row r="246" spans="1:62" s="51" customFormat="1" ht="46.5" customHeight="1">
      <c r="A246" s="51">
        <v>15</v>
      </c>
      <c r="B246" s="125" t="s">
        <v>222</v>
      </c>
      <c r="C246" s="174">
        <v>12699</v>
      </c>
      <c r="D246" s="292">
        <v>3133132873</v>
      </c>
      <c r="E246" s="273" t="s">
        <v>480</v>
      </c>
      <c r="F246" s="130" t="s">
        <v>3562</v>
      </c>
      <c r="G246" s="10"/>
      <c r="H246" s="131"/>
      <c r="I246" s="55">
        <v>1</v>
      </c>
      <c r="J246" s="196">
        <v>1</v>
      </c>
      <c r="K246" s="52"/>
      <c r="L246" s="52" t="s">
        <v>502</v>
      </c>
      <c r="M246" s="294" t="s">
        <v>19</v>
      </c>
      <c r="N246" s="297">
        <v>41425</v>
      </c>
      <c r="O246" s="158">
        <f t="shared" si="5"/>
        <v>41425</v>
      </c>
      <c r="P246" s="133" t="s">
        <v>3700</v>
      </c>
      <c r="Q246" s="354" t="s">
        <v>1832</v>
      </c>
      <c r="R246" s="52" t="s">
        <v>505</v>
      </c>
      <c r="S246" s="295" t="s">
        <v>1833</v>
      </c>
      <c r="T246" s="79">
        <v>55711</v>
      </c>
      <c r="U246" s="64" t="s">
        <v>2112</v>
      </c>
      <c r="V246" s="64"/>
      <c r="W246" s="64"/>
      <c r="X246" s="64"/>
      <c r="Y246" s="295" t="s">
        <v>2911</v>
      </c>
      <c r="Z246" s="295" t="s">
        <v>1834</v>
      </c>
      <c r="AA246" s="64"/>
      <c r="AB246" s="292" t="s">
        <v>1835</v>
      </c>
      <c r="AC246" s="64" t="s">
        <v>505</v>
      </c>
      <c r="AD246" s="292" t="s">
        <v>22</v>
      </c>
      <c r="AE246" s="292" t="s">
        <v>1289</v>
      </c>
      <c r="AF246" s="114"/>
      <c r="AG246" s="400" t="s">
        <v>3277</v>
      </c>
      <c r="AH246" s="114"/>
      <c r="AI246" s="292" t="s">
        <v>1836</v>
      </c>
      <c r="AJ246" s="64" t="s">
        <v>505</v>
      </c>
      <c r="AK246" s="292" t="s">
        <v>20</v>
      </c>
      <c r="AL246" s="292" t="s">
        <v>21</v>
      </c>
      <c r="AM246" s="221"/>
      <c r="AN246" s="400" t="s">
        <v>3530</v>
      </c>
      <c r="AO246" s="64"/>
      <c r="AP246" s="191" t="s">
        <v>2336</v>
      </c>
      <c r="AQ246" s="322"/>
      <c r="AR246" s="114"/>
      <c r="AS246" s="323"/>
      <c r="AT246" s="323"/>
      <c r="AU246" s="322"/>
      <c r="AV246" s="322"/>
      <c r="AW246" s="323"/>
      <c r="AX246" s="324"/>
      <c r="AY246" s="60"/>
      <c r="AZ246" s="95"/>
      <c r="BA246" s="60"/>
      <c r="BB246" s="60"/>
      <c r="BC246" s="60"/>
      <c r="BD246" s="60"/>
      <c r="BE246" s="75"/>
      <c r="BF246" s="64"/>
      <c r="BG246" s="64" t="s">
        <v>3560</v>
      </c>
      <c r="BH246" s="245">
        <v>765766</v>
      </c>
      <c r="BI246" s="64" t="s">
        <v>3551</v>
      </c>
      <c r="BJ246" s="229" t="s">
        <v>3552</v>
      </c>
    </row>
    <row r="247" spans="1:62" s="51" customFormat="1" ht="52.5" customHeight="1">
      <c r="A247" s="51">
        <v>16</v>
      </c>
      <c r="B247" s="125" t="s">
        <v>222</v>
      </c>
      <c r="C247" s="174">
        <v>12703</v>
      </c>
      <c r="D247" s="383" t="s">
        <v>2822</v>
      </c>
      <c r="E247" s="273" t="s">
        <v>481</v>
      </c>
      <c r="F247" s="130" t="s">
        <v>3562</v>
      </c>
      <c r="G247" s="10"/>
      <c r="H247" s="131"/>
      <c r="I247" s="55">
        <v>1</v>
      </c>
      <c r="J247" s="196">
        <v>2</v>
      </c>
      <c r="K247" s="52"/>
      <c r="L247" s="52" t="s">
        <v>502</v>
      </c>
      <c r="M247" s="294" t="s">
        <v>23</v>
      </c>
      <c r="N247" s="296">
        <v>41505</v>
      </c>
      <c r="O247" s="158">
        <f t="shared" si="5"/>
        <v>41505</v>
      </c>
      <c r="P247" s="133" t="s">
        <v>3616</v>
      </c>
      <c r="Q247" s="354" t="s">
        <v>1837</v>
      </c>
      <c r="R247" s="52" t="s">
        <v>505</v>
      </c>
      <c r="S247" s="295" t="s">
        <v>1838</v>
      </c>
      <c r="T247" s="79">
        <v>56261</v>
      </c>
      <c r="U247" s="64" t="s">
        <v>2136</v>
      </c>
      <c r="V247" s="64" t="s">
        <v>705</v>
      </c>
      <c r="W247" s="64" t="s">
        <v>695</v>
      </c>
      <c r="X247" s="64" t="s">
        <v>696</v>
      </c>
      <c r="Y247" s="295" t="s">
        <v>1839</v>
      </c>
      <c r="Z247" s="295" t="s">
        <v>1840</v>
      </c>
      <c r="AA247" s="64"/>
      <c r="AB247" s="292" t="s">
        <v>1841</v>
      </c>
      <c r="AC247" s="64" t="s">
        <v>505</v>
      </c>
      <c r="AD247" s="292" t="s">
        <v>30</v>
      </c>
      <c r="AE247" s="292" t="s">
        <v>165</v>
      </c>
      <c r="AF247" s="114"/>
      <c r="AG247" s="400" t="s">
        <v>3278</v>
      </c>
      <c r="AH247" s="114"/>
      <c r="AI247" s="292" t="s">
        <v>1842</v>
      </c>
      <c r="AJ247" s="64" t="s">
        <v>505</v>
      </c>
      <c r="AK247" s="292" t="s">
        <v>30</v>
      </c>
      <c r="AL247" s="292" t="s">
        <v>1080</v>
      </c>
      <c r="AM247" s="221"/>
      <c r="AN247" s="400" t="s">
        <v>3531</v>
      </c>
      <c r="AO247" s="64"/>
      <c r="AP247" s="191" t="s">
        <v>2337</v>
      </c>
      <c r="AQ247" s="322"/>
      <c r="AR247" s="114"/>
      <c r="AS247" s="323"/>
      <c r="AT247" s="323"/>
      <c r="AU247" s="322"/>
      <c r="AV247" s="322"/>
      <c r="AW247" s="323"/>
      <c r="AX247" s="324"/>
      <c r="AY247" s="60"/>
      <c r="AZ247" s="95"/>
      <c r="BA247" s="60"/>
      <c r="BB247" s="60"/>
      <c r="BC247" s="60"/>
      <c r="BD247" s="60"/>
      <c r="BE247" s="75"/>
      <c r="BF247" s="64"/>
      <c r="BG247" s="64" t="s">
        <v>3560</v>
      </c>
      <c r="BH247" s="245">
        <v>765766</v>
      </c>
      <c r="BI247" s="64" t="s">
        <v>3551</v>
      </c>
      <c r="BJ247" s="229" t="s">
        <v>3552</v>
      </c>
    </row>
    <row r="248" spans="1:62" s="51" customFormat="1" ht="52.5" customHeight="1">
      <c r="A248" s="51">
        <v>17</v>
      </c>
      <c r="B248" s="125" t="s">
        <v>222</v>
      </c>
      <c r="C248" s="4">
        <v>12706</v>
      </c>
      <c r="D248" s="383" t="s">
        <v>2823</v>
      </c>
      <c r="E248" s="273" t="s">
        <v>482</v>
      </c>
      <c r="F248" s="130" t="s">
        <v>3562</v>
      </c>
      <c r="G248" s="10"/>
      <c r="H248" s="131"/>
      <c r="I248" s="55">
        <v>1</v>
      </c>
      <c r="J248" s="196">
        <v>1</v>
      </c>
      <c r="K248" s="52"/>
      <c r="L248" s="52" t="s">
        <v>502</v>
      </c>
      <c r="M248" s="294" t="s">
        <v>81</v>
      </c>
      <c r="N248" s="296">
        <v>41568</v>
      </c>
      <c r="O248" s="158">
        <f t="shared" si="5"/>
        <v>41568</v>
      </c>
      <c r="P248" s="133" t="s">
        <v>3032</v>
      </c>
      <c r="Q248" s="354" t="s">
        <v>1843</v>
      </c>
      <c r="R248" s="52" t="s">
        <v>505</v>
      </c>
      <c r="S248" s="295" t="s">
        <v>2338</v>
      </c>
      <c r="T248" s="79">
        <v>68121</v>
      </c>
      <c r="U248" s="64" t="s">
        <v>2202</v>
      </c>
      <c r="V248" s="64" t="s">
        <v>2202</v>
      </c>
      <c r="W248" s="64" t="s">
        <v>81</v>
      </c>
      <c r="X248" s="64" t="s">
        <v>39</v>
      </c>
      <c r="Y248" s="295" t="s">
        <v>1844</v>
      </c>
      <c r="Z248" s="295" t="s">
        <v>1845</v>
      </c>
      <c r="AA248" s="64"/>
      <c r="AB248" s="292" t="s">
        <v>1846</v>
      </c>
      <c r="AC248" s="64" t="s">
        <v>505</v>
      </c>
      <c r="AD248" s="292" t="s">
        <v>30</v>
      </c>
      <c r="AE248" s="292" t="s">
        <v>165</v>
      </c>
      <c r="AF248" s="114"/>
      <c r="AG248" s="400" t="s">
        <v>3279</v>
      </c>
      <c r="AH248" s="114"/>
      <c r="AI248" s="292" t="s">
        <v>1847</v>
      </c>
      <c r="AJ248" s="64" t="s">
        <v>505</v>
      </c>
      <c r="AK248" s="292" t="s">
        <v>30</v>
      </c>
      <c r="AL248" s="292" t="s">
        <v>924</v>
      </c>
      <c r="AM248" s="221"/>
      <c r="AN248" s="400" t="s">
        <v>3279</v>
      </c>
      <c r="AO248" s="64"/>
      <c r="AP248" s="191" t="s">
        <v>2339</v>
      </c>
      <c r="AQ248" s="322"/>
      <c r="AR248" s="114"/>
      <c r="AS248" s="323"/>
      <c r="AT248" s="323"/>
      <c r="AU248" s="322"/>
      <c r="AV248" s="322"/>
      <c r="AW248" s="323"/>
      <c r="AX248" s="324"/>
      <c r="AY248" s="60"/>
      <c r="AZ248" s="95"/>
      <c r="BA248" s="60"/>
      <c r="BB248" s="60"/>
      <c r="BC248" s="60"/>
      <c r="BD248" s="60"/>
      <c r="BE248" s="75"/>
      <c r="BF248" s="64"/>
      <c r="BG248" s="64" t="s">
        <v>3560</v>
      </c>
      <c r="BH248" s="245">
        <v>765766</v>
      </c>
      <c r="BI248" s="64" t="s">
        <v>3551</v>
      </c>
      <c r="BJ248" s="229" t="s">
        <v>3552</v>
      </c>
    </row>
    <row r="249" spans="1:62" s="51" customFormat="1" ht="52.5" customHeight="1">
      <c r="A249" s="51">
        <v>18</v>
      </c>
      <c r="B249" s="125" t="s">
        <v>222</v>
      </c>
      <c r="C249" s="4">
        <v>12711</v>
      </c>
      <c r="D249" s="292">
        <v>3133891660</v>
      </c>
      <c r="E249" s="273" t="s">
        <v>483</v>
      </c>
      <c r="F249" s="130" t="s">
        <v>3562</v>
      </c>
      <c r="G249" s="10"/>
      <c r="H249" s="131"/>
      <c r="I249" s="55">
        <v>3</v>
      </c>
      <c r="J249" s="196">
        <v>2</v>
      </c>
      <c r="K249" s="52"/>
      <c r="L249" s="52" t="s">
        <v>502</v>
      </c>
      <c r="M249" s="294" t="s">
        <v>126</v>
      </c>
      <c r="N249" s="296">
        <v>41360</v>
      </c>
      <c r="O249" s="158">
        <f t="shared" si="5"/>
        <v>41360</v>
      </c>
      <c r="P249" s="133" t="s">
        <v>3687</v>
      </c>
      <c r="Q249" s="354" t="s">
        <v>1848</v>
      </c>
      <c r="R249" s="52" t="s">
        <v>505</v>
      </c>
      <c r="S249" s="295" t="s">
        <v>3710</v>
      </c>
      <c r="T249" s="79">
        <v>65152</v>
      </c>
      <c r="U249" s="64" t="s">
        <v>2576</v>
      </c>
      <c r="V249" s="64" t="s">
        <v>2575</v>
      </c>
      <c r="W249" s="64" t="s">
        <v>126</v>
      </c>
      <c r="X249" s="64" t="s">
        <v>39</v>
      </c>
      <c r="Y249" s="295" t="s">
        <v>1849</v>
      </c>
      <c r="Z249" s="295" t="s">
        <v>1850</v>
      </c>
      <c r="AA249" s="64"/>
      <c r="AB249" s="292" t="s">
        <v>1851</v>
      </c>
      <c r="AC249" s="64" t="s">
        <v>505</v>
      </c>
      <c r="AD249" s="292" t="s">
        <v>75</v>
      </c>
      <c r="AE249" s="292" t="s">
        <v>21</v>
      </c>
      <c r="AF249" s="114"/>
      <c r="AG249" s="400" t="s">
        <v>3280</v>
      </c>
      <c r="AH249" s="114"/>
      <c r="AI249" s="292" t="s">
        <v>1852</v>
      </c>
      <c r="AJ249" s="64" t="s">
        <v>505</v>
      </c>
      <c r="AK249" s="292" t="s">
        <v>30</v>
      </c>
      <c r="AL249" s="292" t="s">
        <v>924</v>
      </c>
      <c r="AM249" s="221"/>
      <c r="AN249" s="400" t="s">
        <v>3532</v>
      </c>
      <c r="AO249" s="64"/>
      <c r="AP249" s="191" t="s">
        <v>2340</v>
      </c>
      <c r="AQ249" s="322"/>
      <c r="AR249" s="114"/>
      <c r="AS249" s="323"/>
      <c r="AT249" s="323"/>
      <c r="AU249" s="322"/>
      <c r="AV249" s="322"/>
      <c r="AW249" s="323"/>
      <c r="AX249" s="324"/>
      <c r="AY249" s="60"/>
      <c r="AZ249" s="95"/>
      <c r="BA249" s="60"/>
      <c r="BB249" s="60"/>
      <c r="BC249" s="60"/>
      <c r="BD249" s="60"/>
      <c r="BE249" s="75"/>
      <c r="BF249" s="64"/>
      <c r="BG249" s="64" t="s">
        <v>3560</v>
      </c>
      <c r="BH249" s="245">
        <v>765766</v>
      </c>
      <c r="BI249" s="64" t="s">
        <v>3551</v>
      </c>
      <c r="BJ249" s="229" t="s">
        <v>3552</v>
      </c>
    </row>
    <row r="250" spans="1:62" s="51" customFormat="1" ht="61.5" customHeight="1" thickBot="1">
      <c r="A250" s="51">
        <v>19</v>
      </c>
      <c r="B250" s="125" t="s">
        <v>222</v>
      </c>
      <c r="C250" s="4">
        <v>12720</v>
      </c>
      <c r="D250" s="383" t="s">
        <v>2824</v>
      </c>
      <c r="E250" s="275" t="s">
        <v>484</v>
      </c>
      <c r="F250" s="130" t="s">
        <v>3562</v>
      </c>
      <c r="G250" s="10"/>
      <c r="H250" s="131"/>
      <c r="I250" s="55">
        <v>4</v>
      </c>
      <c r="J250" s="196">
        <v>3</v>
      </c>
      <c r="K250" s="52"/>
      <c r="L250" s="52" t="s">
        <v>502</v>
      </c>
      <c r="M250" s="294" t="s">
        <v>76</v>
      </c>
      <c r="N250" s="296">
        <v>41557</v>
      </c>
      <c r="O250" s="158">
        <f t="shared" si="5"/>
        <v>41557</v>
      </c>
      <c r="P250" s="133" t="s">
        <v>3698</v>
      </c>
      <c r="Q250" s="354" t="s">
        <v>1853</v>
      </c>
      <c r="R250" s="52" t="s">
        <v>505</v>
      </c>
      <c r="S250" s="295" t="s">
        <v>2856</v>
      </c>
      <c r="T250" s="79">
        <v>56115</v>
      </c>
      <c r="U250" s="64" t="s">
        <v>2577</v>
      </c>
      <c r="V250" s="64" t="s">
        <v>2578</v>
      </c>
      <c r="W250" s="64" t="s">
        <v>630</v>
      </c>
      <c r="X250" s="64" t="s">
        <v>29</v>
      </c>
      <c r="Y250" s="295" t="s">
        <v>103</v>
      </c>
      <c r="Z250" s="295" t="s">
        <v>1854</v>
      </c>
      <c r="AA250" s="64"/>
      <c r="AB250" s="292" t="s">
        <v>2952</v>
      </c>
      <c r="AC250" s="64" t="s">
        <v>505</v>
      </c>
      <c r="AD250" s="292" t="s">
        <v>20</v>
      </c>
      <c r="AE250" s="292" t="s">
        <v>21</v>
      </c>
      <c r="AF250" s="114"/>
      <c r="AG250" s="400" t="s">
        <v>3281</v>
      </c>
      <c r="AH250" s="114"/>
      <c r="AI250" s="292" t="s">
        <v>2990</v>
      </c>
      <c r="AJ250" s="64" t="s">
        <v>505</v>
      </c>
      <c r="AK250" s="292" t="s">
        <v>20</v>
      </c>
      <c r="AL250" s="292" t="s">
        <v>21</v>
      </c>
      <c r="AM250" s="221"/>
      <c r="AN250" s="400" t="s">
        <v>3533</v>
      </c>
      <c r="AO250" s="64"/>
      <c r="AP250" s="191" t="s">
        <v>2341</v>
      </c>
      <c r="AQ250" s="322"/>
      <c r="AR250" s="114"/>
      <c r="AS250" s="323"/>
      <c r="AT250" s="323"/>
      <c r="AU250" s="322"/>
      <c r="AV250" s="322"/>
      <c r="AW250" s="322"/>
      <c r="AX250" s="324"/>
      <c r="AY250" s="60"/>
      <c r="AZ250" s="95"/>
      <c r="BA250" s="60"/>
      <c r="BB250" s="60"/>
      <c r="BC250" s="60"/>
      <c r="BD250" s="60"/>
      <c r="BE250" s="75"/>
      <c r="BF250" s="64"/>
      <c r="BG250" s="64" t="s">
        <v>3560</v>
      </c>
      <c r="BH250" s="245">
        <v>765766</v>
      </c>
      <c r="BI250" s="64" t="s">
        <v>3551</v>
      </c>
      <c r="BJ250" s="229" t="s">
        <v>3552</v>
      </c>
    </row>
    <row r="251" spans="1:62" s="51" customFormat="1" ht="52.5" customHeight="1">
      <c r="A251" s="50">
        <v>1</v>
      </c>
      <c r="B251" s="163" t="s">
        <v>223</v>
      </c>
      <c r="C251" s="174">
        <v>12512</v>
      </c>
      <c r="D251" s="383" t="s">
        <v>2825</v>
      </c>
      <c r="E251" s="276" t="s">
        <v>485</v>
      </c>
      <c r="F251" s="130" t="s">
        <v>3562</v>
      </c>
      <c r="G251" s="10"/>
      <c r="H251" s="131"/>
      <c r="I251" s="55">
        <v>1</v>
      </c>
      <c r="J251" s="196">
        <v>0</v>
      </c>
      <c r="K251" s="52"/>
      <c r="L251" s="52" t="s">
        <v>502</v>
      </c>
      <c r="M251" s="294" t="s">
        <v>19</v>
      </c>
      <c r="N251" s="296">
        <v>41281</v>
      </c>
      <c r="O251" s="158">
        <f t="shared" si="5"/>
        <v>41281</v>
      </c>
      <c r="P251" s="133" t="s">
        <v>3701</v>
      </c>
      <c r="Q251" s="292" t="s">
        <v>2342</v>
      </c>
      <c r="R251" s="52" t="s">
        <v>505</v>
      </c>
      <c r="S251" s="295" t="s">
        <v>3713</v>
      </c>
      <c r="T251" s="79"/>
      <c r="U251" s="64" t="s">
        <v>2478</v>
      </c>
      <c r="V251" s="64" t="s">
        <v>2573</v>
      </c>
      <c r="W251" s="64" t="s">
        <v>19</v>
      </c>
      <c r="X251" s="64" t="s">
        <v>696</v>
      </c>
      <c r="Y251" s="318" t="s">
        <v>2343</v>
      </c>
      <c r="Z251" s="318" t="s">
        <v>2344</v>
      </c>
      <c r="AA251" s="64"/>
      <c r="AB251" s="292" t="s">
        <v>2345</v>
      </c>
      <c r="AC251" s="64" t="s">
        <v>505</v>
      </c>
      <c r="AD251" s="292" t="s">
        <v>20</v>
      </c>
      <c r="AE251" s="292" t="s">
        <v>921</v>
      </c>
      <c r="AF251" s="114"/>
      <c r="AG251" s="400" t="s">
        <v>3282</v>
      </c>
      <c r="AH251" s="114"/>
      <c r="AI251" s="292" t="s">
        <v>2346</v>
      </c>
      <c r="AJ251" s="64" t="s">
        <v>505</v>
      </c>
      <c r="AK251" s="292" t="s">
        <v>20</v>
      </c>
      <c r="AL251" s="292" t="s">
        <v>924</v>
      </c>
      <c r="AM251" s="221"/>
      <c r="AN251" s="400" t="s">
        <v>3534</v>
      </c>
      <c r="AO251" s="64"/>
      <c r="AP251" s="191" t="s">
        <v>2406</v>
      </c>
      <c r="AQ251" s="322"/>
      <c r="AR251" s="114"/>
      <c r="AS251" s="323"/>
      <c r="AT251" s="323"/>
      <c r="AU251" s="322"/>
      <c r="AV251" s="322"/>
      <c r="AW251" s="323"/>
      <c r="AX251" s="324"/>
      <c r="AY251" s="60"/>
      <c r="AZ251" s="95"/>
      <c r="BA251" s="60"/>
      <c r="BB251" s="60"/>
      <c r="BC251" s="60"/>
      <c r="BD251" s="60"/>
      <c r="BE251" s="75"/>
      <c r="BF251" s="64"/>
      <c r="BG251" s="64" t="s">
        <v>3561</v>
      </c>
      <c r="BH251" s="245">
        <v>1210806</v>
      </c>
      <c r="BI251" s="64" t="s">
        <v>3551</v>
      </c>
      <c r="BJ251" s="229" t="s">
        <v>3552</v>
      </c>
    </row>
    <row r="252" spans="1:62" s="51" customFormat="1" ht="52.5" customHeight="1">
      <c r="A252" s="166">
        <v>2</v>
      </c>
      <c r="B252" s="163" t="s">
        <v>223</v>
      </c>
      <c r="C252" s="174">
        <v>12515</v>
      </c>
      <c r="D252" s="383" t="s">
        <v>2826</v>
      </c>
      <c r="E252" s="277" t="s">
        <v>486</v>
      </c>
      <c r="F252" s="130" t="s">
        <v>3562</v>
      </c>
      <c r="G252" s="10"/>
      <c r="H252" s="263"/>
      <c r="I252" s="55">
        <v>1</v>
      </c>
      <c r="J252" s="196">
        <v>1</v>
      </c>
      <c r="K252" s="52"/>
      <c r="L252" s="52" t="s">
        <v>502</v>
      </c>
      <c r="M252" s="294" t="s">
        <v>66</v>
      </c>
      <c r="N252" s="296">
        <v>41503</v>
      </c>
      <c r="O252" s="158">
        <f t="shared" si="5"/>
        <v>41503</v>
      </c>
      <c r="P252" s="133" t="s">
        <v>3572</v>
      </c>
      <c r="Q252" s="292" t="s">
        <v>2347</v>
      </c>
      <c r="R252" s="52" t="s">
        <v>505</v>
      </c>
      <c r="S252" s="295" t="s">
        <v>2857</v>
      </c>
      <c r="T252" s="79">
        <v>53223</v>
      </c>
      <c r="U252" s="64" t="s">
        <v>2532</v>
      </c>
      <c r="V252" s="64" t="s">
        <v>2531</v>
      </c>
      <c r="W252" s="64" t="s">
        <v>66</v>
      </c>
      <c r="X252" s="64" t="s">
        <v>29</v>
      </c>
      <c r="Y252" s="294" t="s">
        <v>2912</v>
      </c>
      <c r="Z252" s="294" t="s">
        <v>2348</v>
      </c>
      <c r="AA252" s="64"/>
      <c r="AB252" s="292" t="s">
        <v>2953</v>
      </c>
      <c r="AC252" s="64" t="s">
        <v>505</v>
      </c>
      <c r="AD252" s="292" t="s">
        <v>30</v>
      </c>
      <c r="AE252" s="292" t="s">
        <v>921</v>
      </c>
      <c r="AF252" s="114"/>
      <c r="AG252" s="400" t="s">
        <v>3283</v>
      </c>
      <c r="AH252" s="114"/>
      <c r="AI252" s="292" t="s">
        <v>2991</v>
      </c>
      <c r="AJ252" s="64" t="s">
        <v>505</v>
      </c>
      <c r="AK252" s="292" t="s">
        <v>20</v>
      </c>
      <c r="AL252" s="292" t="s">
        <v>165</v>
      </c>
      <c r="AM252" s="221"/>
      <c r="AN252" s="400" t="s">
        <v>3535</v>
      </c>
      <c r="AO252" s="64"/>
      <c r="AP252" s="191" t="s">
        <v>2407</v>
      </c>
      <c r="AQ252" s="322"/>
      <c r="AR252" s="114"/>
      <c r="AS252" s="323"/>
      <c r="AT252" s="323"/>
      <c r="AU252" s="322"/>
      <c r="AV252" s="322"/>
      <c r="AW252" s="323"/>
      <c r="AX252" s="324"/>
      <c r="AY252" s="60"/>
      <c r="AZ252" s="95"/>
      <c r="BA252" s="60"/>
      <c r="BB252" s="60"/>
      <c r="BC252" s="60"/>
      <c r="BD252" s="60"/>
      <c r="BE252" s="75"/>
      <c r="BF252" s="64"/>
      <c r="BG252" s="64" t="s">
        <v>3561</v>
      </c>
      <c r="BH252" s="245">
        <v>1210806</v>
      </c>
      <c r="BI252" s="64" t="s">
        <v>3551</v>
      </c>
      <c r="BJ252" s="229" t="s">
        <v>3552</v>
      </c>
    </row>
    <row r="253" spans="1:62" s="51" customFormat="1" ht="52.5" customHeight="1">
      <c r="A253" s="50">
        <v>3</v>
      </c>
      <c r="B253" s="163" t="s">
        <v>223</v>
      </c>
      <c r="C253" s="174">
        <v>12516</v>
      </c>
      <c r="D253" s="292">
        <v>3130312527</v>
      </c>
      <c r="E253" s="278" t="s">
        <v>487</v>
      </c>
      <c r="F253" s="130" t="s">
        <v>3562</v>
      </c>
      <c r="G253" s="10"/>
      <c r="H253" s="131"/>
      <c r="I253" s="55">
        <v>1</v>
      </c>
      <c r="J253" s="196">
        <v>1</v>
      </c>
      <c r="K253" s="52"/>
      <c r="L253" s="52" t="s">
        <v>502</v>
      </c>
      <c r="M253" s="294" t="s">
        <v>164</v>
      </c>
      <c r="N253" s="296">
        <v>41637</v>
      </c>
      <c r="O253" s="158">
        <f t="shared" si="5"/>
        <v>41637</v>
      </c>
      <c r="P253" s="133" t="s">
        <v>3004</v>
      </c>
      <c r="Q253" s="292" t="s">
        <v>2349</v>
      </c>
      <c r="R253" s="52" t="s">
        <v>505</v>
      </c>
      <c r="S253" s="295" t="s">
        <v>2350</v>
      </c>
      <c r="T253" s="79">
        <v>70714</v>
      </c>
      <c r="U253" s="64" t="s">
        <v>2580</v>
      </c>
      <c r="V253" s="64" t="s">
        <v>2520</v>
      </c>
      <c r="W253" s="64" t="s">
        <v>2521</v>
      </c>
      <c r="X253" s="64" t="s">
        <v>48</v>
      </c>
      <c r="Y253" s="318" t="s">
        <v>2351</v>
      </c>
      <c r="Z253" s="318" t="s">
        <v>2352</v>
      </c>
      <c r="AA253" s="64"/>
      <c r="AB253" s="301" t="s">
        <v>2955</v>
      </c>
      <c r="AC253" s="64" t="s">
        <v>505</v>
      </c>
      <c r="AD253" s="292" t="s">
        <v>20</v>
      </c>
      <c r="AE253" s="292" t="s">
        <v>1057</v>
      </c>
      <c r="AF253" s="114"/>
      <c r="AG253" s="400" t="s">
        <v>3284</v>
      </c>
      <c r="AH253" s="114"/>
      <c r="AI253" s="292" t="s">
        <v>2353</v>
      </c>
      <c r="AJ253" s="64" t="s">
        <v>505</v>
      </c>
      <c r="AK253" s="292" t="s">
        <v>30</v>
      </c>
      <c r="AL253" s="292" t="s">
        <v>1080</v>
      </c>
      <c r="AM253" s="221"/>
      <c r="AN253" s="400" t="s">
        <v>3536</v>
      </c>
      <c r="AO253" s="64"/>
      <c r="AP253" s="191" t="s">
        <v>2408</v>
      </c>
      <c r="AQ253" s="322"/>
      <c r="AR253" s="114"/>
      <c r="AS253" s="323"/>
      <c r="AT253" s="323"/>
      <c r="AU253" s="322"/>
      <c r="AV253" s="322"/>
      <c r="AW253" s="323"/>
      <c r="AX253" s="324"/>
      <c r="AY253" s="60"/>
      <c r="AZ253" s="95"/>
      <c r="BA253" s="60"/>
      <c r="BB253" s="60"/>
      <c r="BC253" s="60"/>
      <c r="BD253" s="60"/>
      <c r="BE253" s="75"/>
      <c r="BF253" s="64"/>
      <c r="BG253" s="64" t="s">
        <v>3561</v>
      </c>
      <c r="BH253" s="245">
        <v>1210806</v>
      </c>
      <c r="BI253" s="64" t="s">
        <v>3551</v>
      </c>
      <c r="BJ253" s="229" t="s">
        <v>3552</v>
      </c>
    </row>
    <row r="254" spans="1:62" s="171" customFormat="1" ht="52.5" customHeight="1">
      <c r="A254" s="50">
        <v>4</v>
      </c>
      <c r="B254" s="163" t="s">
        <v>223</v>
      </c>
      <c r="C254" s="174">
        <v>12571</v>
      </c>
      <c r="D254" s="383" t="s">
        <v>2827</v>
      </c>
      <c r="E254" s="277" t="s">
        <v>488</v>
      </c>
      <c r="F254" s="130" t="s">
        <v>3562</v>
      </c>
      <c r="G254" s="208"/>
      <c r="H254" s="167"/>
      <c r="I254" s="168">
        <v>1</v>
      </c>
      <c r="J254" s="197">
        <v>3</v>
      </c>
      <c r="K254" s="165"/>
      <c r="L254" s="52" t="s">
        <v>502</v>
      </c>
      <c r="M254" s="294" t="s">
        <v>2354</v>
      </c>
      <c r="N254" s="296">
        <v>41531</v>
      </c>
      <c r="O254" s="158">
        <f t="shared" si="5"/>
        <v>41531</v>
      </c>
      <c r="P254" s="133" t="s">
        <v>3656</v>
      </c>
      <c r="Q254" s="292" t="s">
        <v>2355</v>
      </c>
      <c r="R254" s="52" t="s">
        <v>505</v>
      </c>
      <c r="S254" s="295" t="s">
        <v>2581</v>
      </c>
      <c r="T254" s="228">
        <v>76143</v>
      </c>
      <c r="U254" s="114" t="s">
        <v>68</v>
      </c>
      <c r="V254" s="114" t="s">
        <v>2572</v>
      </c>
      <c r="W254" s="114" t="s">
        <v>2354</v>
      </c>
      <c r="X254" s="114" t="s">
        <v>36</v>
      </c>
      <c r="Y254" s="318" t="s">
        <v>2356</v>
      </c>
      <c r="Z254" s="318" t="s">
        <v>2357</v>
      </c>
      <c r="AA254" s="114"/>
      <c r="AB254" s="292" t="s">
        <v>2954</v>
      </c>
      <c r="AC254" s="64" t="s">
        <v>505</v>
      </c>
      <c r="AD254" s="292" t="s">
        <v>922</v>
      </c>
      <c r="AE254" s="292" t="s">
        <v>165</v>
      </c>
      <c r="AF254" s="114"/>
      <c r="AG254" s="400" t="s">
        <v>3285</v>
      </c>
      <c r="AH254" s="114"/>
      <c r="AI254" s="292" t="s">
        <v>2992</v>
      </c>
      <c r="AJ254" s="64" t="s">
        <v>505</v>
      </c>
      <c r="AK254" s="292" t="s">
        <v>20</v>
      </c>
      <c r="AL254" s="292" t="s">
        <v>926</v>
      </c>
      <c r="AM254" s="292"/>
      <c r="AN254" s="400" t="s">
        <v>3537</v>
      </c>
      <c r="AO254" s="114"/>
      <c r="AP254" s="191" t="s">
        <v>2409</v>
      </c>
      <c r="AQ254" s="322"/>
      <c r="AR254" s="114"/>
      <c r="AS254" s="323"/>
      <c r="AT254" s="323"/>
      <c r="AU254" s="322"/>
      <c r="AV254" s="322"/>
      <c r="AW254" s="323"/>
      <c r="AX254" s="323"/>
      <c r="AY254" s="109"/>
      <c r="AZ254" s="95"/>
      <c r="BA254" s="109"/>
      <c r="BB254" s="109"/>
      <c r="BC254" s="109"/>
      <c r="BD254" s="109"/>
      <c r="BE254" s="113"/>
      <c r="BF254" s="114"/>
      <c r="BG254" s="64" t="s">
        <v>3561</v>
      </c>
      <c r="BH254" s="245">
        <v>1210806</v>
      </c>
      <c r="BI254" s="64" t="s">
        <v>3551</v>
      </c>
      <c r="BJ254" s="229" t="s">
        <v>3552</v>
      </c>
    </row>
    <row r="255" spans="1:62" s="51" customFormat="1" ht="52.5" customHeight="1">
      <c r="A255" s="50">
        <v>5</v>
      </c>
      <c r="B255" s="163" t="s">
        <v>223</v>
      </c>
      <c r="C255" s="174">
        <v>12586</v>
      </c>
      <c r="D255" s="383" t="s">
        <v>2828</v>
      </c>
      <c r="E255" s="278" t="s">
        <v>489</v>
      </c>
      <c r="F255" s="130" t="s">
        <v>3562</v>
      </c>
      <c r="G255" s="10"/>
      <c r="H255" s="131"/>
      <c r="I255" s="55">
        <v>1</v>
      </c>
      <c r="J255" s="196">
        <v>0</v>
      </c>
      <c r="K255" s="52"/>
      <c r="L255" s="52" t="s">
        <v>502</v>
      </c>
      <c r="M255" s="294" t="s">
        <v>956</v>
      </c>
      <c r="N255" s="296">
        <v>41575</v>
      </c>
      <c r="O255" s="158">
        <f t="shared" si="5"/>
        <v>41575</v>
      </c>
      <c r="P255" s="133" t="s">
        <v>3027</v>
      </c>
      <c r="Q255" s="292" t="s">
        <v>2358</v>
      </c>
      <c r="R255" s="52" t="s">
        <v>505</v>
      </c>
      <c r="S255" s="295" t="s">
        <v>2582</v>
      </c>
      <c r="T255" s="79">
        <v>55143</v>
      </c>
      <c r="U255" s="64" t="s">
        <v>2583</v>
      </c>
      <c r="V255" s="64" t="s">
        <v>2078</v>
      </c>
      <c r="W255" s="64" t="s">
        <v>19</v>
      </c>
      <c r="X255" s="64" t="s">
        <v>696</v>
      </c>
      <c r="Y255" s="318" t="s">
        <v>83</v>
      </c>
      <c r="Z255" s="318" t="s">
        <v>2359</v>
      </c>
      <c r="AA255" s="64"/>
      <c r="AB255" s="292" t="s">
        <v>2360</v>
      </c>
      <c r="AC255" s="64" t="s">
        <v>505</v>
      </c>
      <c r="AD255" s="292" t="s">
        <v>20</v>
      </c>
      <c r="AE255" s="292" t="s">
        <v>921</v>
      </c>
      <c r="AF255" s="114"/>
      <c r="AG255" s="400" t="s">
        <v>3286</v>
      </c>
      <c r="AH255" s="114"/>
      <c r="AI255" s="292" t="s">
        <v>2361</v>
      </c>
      <c r="AJ255" s="64" t="s">
        <v>505</v>
      </c>
      <c r="AK255" s="292" t="s">
        <v>922</v>
      </c>
      <c r="AL255" s="292" t="s">
        <v>923</v>
      </c>
      <c r="AM255" s="114"/>
      <c r="AN255" s="400" t="s">
        <v>3538</v>
      </c>
      <c r="AO255" s="64"/>
      <c r="AP255" s="191" t="s">
        <v>2410</v>
      </c>
      <c r="AQ255" s="322"/>
      <c r="AR255" s="114"/>
      <c r="AS255" s="323"/>
      <c r="AT255" s="323"/>
      <c r="AU255" s="322"/>
      <c r="AV255" s="322"/>
      <c r="AW255" s="323"/>
      <c r="AX255" s="324"/>
      <c r="AY255" s="60"/>
      <c r="AZ255" s="95"/>
      <c r="BA255" s="60"/>
      <c r="BB255" s="60"/>
      <c r="BC255" s="60"/>
      <c r="BD255" s="60"/>
      <c r="BE255" s="75"/>
      <c r="BF255" s="64"/>
      <c r="BG255" s="64" t="s">
        <v>3561</v>
      </c>
      <c r="BH255" s="245">
        <v>1210806</v>
      </c>
      <c r="BI255" s="64" t="s">
        <v>3551</v>
      </c>
      <c r="BJ255" s="229" t="s">
        <v>3552</v>
      </c>
    </row>
    <row r="256" spans="1:62" s="51" customFormat="1" ht="63">
      <c r="A256" s="50">
        <v>6</v>
      </c>
      <c r="B256" s="163" t="s">
        <v>223</v>
      </c>
      <c r="C256" s="174">
        <v>12610</v>
      </c>
      <c r="D256" s="292">
        <v>3146207336</v>
      </c>
      <c r="E256" s="277" t="s">
        <v>490</v>
      </c>
      <c r="F256" s="130" t="s">
        <v>3562</v>
      </c>
      <c r="G256" s="10"/>
      <c r="H256" s="131"/>
      <c r="I256" s="55">
        <v>3</v>
      </c>
      <c r="J256" s="196">
        <v>3</v>
      </c>
      <c r="K256" s="52"/>
      <c r="L256" s="52" t="s">
        <v>502</v>
      </c>
      <c r="M256" s="294" t="s">
        <v>2362</v>
      </c>
      <c r="N256" s="296">
        <v>41717</v>
      </c>
      <c r="O256" s="158">
        <f t="shared" si="5"/>
        <v>41717</v>
      </c>
      <c r="P256" s="133" t="s">
        <v>3672</v>
      </c>
      <c r="Q256" s="292" t="s">
        <v>2363</v>
      </c>
      <c r="R256" s="52" t="s">
        <v>505</v>
      </c>
      <c r="S256" s="295" t="s">
        <v>3712</v>
      </c>
      <c r="T256" s="79">
        <v>75565</v>
      </c>
      <c r="U256" s="64" t="s">
        <v>2584</v>
      </c>
      <c r="V256" s="64" t="s">
        <v>2585</v>
      </c>
      <c r="W256" s="64" t="s">
        <v>2579</v>
      </c>
      <c r="X256" s="64" t="s">
        <v>36</v>
      </c>
      <c r="Y256" s="318" t="s">
        <v>2913</v>
      </c>
      <c r="Z256" s="318" t="s">
        <v>2364</v>
      </c>
      <c r="AA256" s="64"/>
      <c r="AB256" s="292" t="s">
        <v>2956</v>
      </c>
      <c r="AC256" s="64" t="s">
        <v>505</v>
      </c>
      <c r="AD256" s="292" t="s">
        <v>20</v>
      </c>
      <c r="AE256" s="292" t="s">
        <v>21</v>
      </c>
      <c r="AF256" s="114"/>
      <c r="AG256" s="400" t="s">
        <v>3287</v>
      </c>
      <c r="AH256" s="114"/>
      <c r="AI256" s="292" t="s">
        <v>2993</v>
      </c>
      <c r="AJ256" s="64" t="s">
        <v>505</v>
      </c>
      <c r="AK256" s="292" t="s">
        <v>20</v>
      </c>
      <c r="AL256" s="292" t="s">
        <v>921</v>
      </c>
      <c r="AM256" s="114"/>
      <c r="AN256" s="400" t="s">
        <v>3539</v>
      </c>
      <c r="AO256" s="64"/>
      <c r="AP256" s="191" t="s">
        <v>2411</v>
      </c>
      <c r="AQ256" s="322"/>
      <c r="AR256" s="114"/>
      <c r="AS256" s="323"/>
      <c r="AT256" s="323"/>
      <c r="AU256" s="322"/>
      <c r="AV256" s="322"/>
      <c r="AW256" s="323"/>
      <c r="AX256" s="324"/>
      <c r="AY256" s="60"/>
      <c r="AZ256" s="95"/>
      <c r="BA256" s="60"/>
      <c r="BB256" s="60"/>
      <c r="BC256" s="60"/>
      <c r="BD256" s="60"/>
      <c r="BE256" s="75"/>
      <c r="BF256" s="64"/>
      <c r="BG256" s="64" t="s">
        <v>3561</v>
      </c>
      <c r="BH256" s="245">
        <v>1210806</v>
      </c>
      <c r="BI256" s="64" t="s">
        <v>3551</v>
      </c>
      <c r="BJ256" s="229" t="s">
        <v>3552</v>
      </c>
    </row>
    <row r="257" spans="1:63" s="51" customFormat="1" ht="63">
      <c r="A257" s="50">
        <v>7</v>
      </c>
      <c r="B257" s="163" t="s">
        <v>223</v>
      </c>
      <c r="C257" s="174">
        <v>12614</v>
      </c>
      <c r="D257" s="383" t="s">
        <v>2829</v>
      </c>
      <c r="E257" s="278" t="s">
        <v>491</v>
      </c>
      <c r="F257" s="130" t="s">
        <v>3562</v>
      </c>
      <c r="G257" s="10"/>
      <c r="H257" s="131"/>
      <c r="I257" s="55">
        <v>3</v>
      </c>
      <c r="J257" s="196">
        <v>2</v>
      </c>
      <c r="K257" s="52"/>
      <c r="L257" s="52" t="s">
        <v>502</v>
      </c>
      <c r="M257" s="294" t="s">
        <v>52</v>
      </c>
      <c r="N257" s="296">
        <v>41678</v>
      </c>
      <c r="O257" s="158">
        <f t="shared" si="5"/>
        <v>41678</v>
      </c>
      <c r="P257" s="133" t="s">
        <v>3661</v>
      </c>
      <c r="Q257" s="292" t="s">
        <v>2365</v>
      </c>
      <c r="R257" s="52" t="s">
        <v>505</v>
      </c>
      <c r="S257" s="295" t="s">
        <v>2586</v>
      </c>
      <c r="T257" s="79">
        <v>55225</v>
      </c>
      <c r="U257" s="64" t="s">
        <v>2574</v>
      </c>
      <c r="V257" s="64" t="s">
        <v>2081</v>
      </c>
      <c r="W257" s="64" t="s">
        <v>695</v>
      </c>
      <c r="X257" s="64" t="s">
        <v>696</v>
      </c>
      <c r="Y257" s="294" t="s">
        <v>120</v>
      </c>
      <c r="Z257" s="294" t="s">
        <v>2366</v>
      </c>
      <c r="AA257" s="64"/>
      <c r="AB257" s="292" t="s">
        <v>2367</v>
      </c>
      <c r="AC257" s="64" t="s">
        <v>505</v>
      </c>
      <c r="AD257" s="292" t="s">
        <v>30</v>
      </c>
      <c r="AE257" s="292" t="s">
        <v>165</v>
      </c>
      <c r="AF257" s="114"/>
      <c r="AG257" s="400" t="s">
        <v>3288</v>
      </c>
      <c r="AH257" s="114"/>
      <c r="AI257" s="292" t="s">
        <v>2368</v>
      </c>
      <c r="AJ257" s="64" t="s">
        <v>505</v>
      </c>
      <c r="AK257" s="292" t="s">
        <v>30</v>
      </c>
      <c r="AL257" s="292" t="s">
        <v>926</v>
      </c>
      <c r="AM257" s="221"/>
      <c r="AN257" s="400" t="s">
        <v>3540</v>
      </c>
      <c r="AO257" s="64"/>
      <c r="AP257" s="191" t="s">
        <v>2412</v>
      </c>
      <c r="AQ257" s="322"/>
      <c r="AR257" s="114"/>
      <c r="AS257" s="323"/>
      <c r="AT257" s="323"/>
      <c r="AU257" s="322"/>
      <c r="AV257" s="322"/>
      <c r="AW257" s="323"/>
      <c r="AX257" s="324"/>
      <c r="AY257" s="60"/>
      <c r="AZ257" s="95"/>
      <c r="BA257" s="60"/>
      <c r="BB257" s="60"/>
      <c r="BC257" s="60"/>
      <c r="BD257" s="60"/>
      <c r="BE257" s="75"/>
      <c r="BF257" s="64"/>
      <c r="BG257" s="64" t="s">
        <v>3561</v>
      </c>
      <c r="BH257" s="245">
        <v>1210806</v>
      </c>
      <c r="BI257" s="64" t="s">
        <v>3551</v>
      </c>
      <c r="BJ257" s="229" t="s">
        <v>3552</v>
      </c>
    </row>
    <row r="258" spans="1:63" s="51" customFormat="1" ht="63">
      <c r="A258" s="50">
        <v>8</v>
      </c>
      <c r="B258" s="163" t="s">
        <v>223</v>
      </c>
      <c r="C258" s="174">
        <v>12638</v>
      </c>
      <c r="D258" s="383" t="s">
        <v>2830</v>
      </c>
      <c r="E258" s="278" t="s">
        <v>492</v>
      </c>
      <c r="F258" s="130" t="s">
        <v>3562</v>
      </c>
      <c r="G258" s="10"/>
      <c r="H258" s="131"/>
      <c r="I258" s="55">
        <v>2</v>
      </c>
      <c r="J258" s="196">
        <v>1</v>
      </c>
      <c r="K258" s="52"/>
      <c r="L258" s="52" t="s">
        <v>502</v>
      </c>
      <c r="M258" s="294" t="s">
        <v>47</v>
      </c>
      <c r="N258" s="296">
        <v>41812</v>
      </c>
      <c r="O258" s="158">
        <f t="shared" si="5"/>
        <v>41812</v>
      </c>
      <c r="P258" s="133" t="s">
        <v>3016</v>
      </c>
      <c r="Q258" s="292" t="s">
        <v>2369</v>
      </c>
      <c r="R258" s="52" t="s">
        <v>505</v>
      </c>
      <c r="S258" s="295" t="s">
        <v>3711</v>
      </c>
      <c r="T258" s="79">
        <v>70238</v>
      </c>
      <c r="U258" s="64" t="s">
        <v>2589</v>
      </c>
      <c r="V258" s="64" t="s">
        <v>2590</v>
      </c>
      <c r="W258" s="64" t="s">
        <v>2504</v>
      </c>
      <c r="X258" s="64" t="s">
        <v>48</v>
      </c>
      <c r="Y258" s="318" t="s">
        <v>2914</v>
      </c>
      <c r="Z258" s="318" t="s">
        <v>2372</v>
      </c>
      <c r="AA258" s="64"/>
      <c r="AB258" s="292" t="s">
        <v>2373</v>
      </c>
      <c r="AC258" s="64" t="s">
        <v>505</v>
      </c>
      <c r="AD258" s="292" t="s">
        <v>20</v>
      </c>
      <c r="AE258" s="292" t="s">
        <v>921</v>
      </c>
      <c r="AF258" s="114"/>
      <c r="AG258" s="400" t="s">
        <v>3289</v>
      </c>
      <c r="AH258" s="114"/>
      <c r="AI258" s="292" t="s">
        <v>2374</v>
      </c>
      <c r="AJ258" s="64" t="s">
        <v>505</v>
      </c>
      <c r="AK258" s="292" t="s">
        <v>20</v>
      </c>
      <c r="AL258" s="292" t="s">
        <v>923</v>
      </c>
      <c r="AM258" s="114"/>
      <c r="AN258" s="400" t="s">
        <v>3541</v>
      </c>
      <c r="AO258" s="64"/>
      <c r="AP258" s="191" t="s">
        <v>2413</v>
      </c>
      <c r="AQ258" s="322"/>
      <c r="AR258" s="114"/>
      <c r="AS258" s="323"/>
      <c r="AT258" s="323"/>
      <c r="AU258" s="322"/>
      <c r="AV258" s="322"/>
      <c r="AW258" s="323"/>
      <c r="AX258" s="324"/>
      <c r="AY258" s="60"/>
      <c r="AZ258" s="95"/>
      <c r="BA258" s="60"/>
      <c r="BB258" s="60"/>
      <c r="BC258" s="60"/>
      <c r="BD258" s="60"/>
      <c r="BE258" s="75"/>
      <c r="BF258" s="64"/>
      <c r="BG258" s="64" t="s">
        <v>3561</v>
      </c>
      <c r="BH258" s="245">
        <v>1210806</v>
      </c>
      <c r="BI258" s="64" t="s">
        <v>3551</v>
      </c>
      <c r="BJ258" s="229" t="s">
        <v>3552</v>
      </c>
    </row>
    <row r="259" spans="1:63" s="171" customFormat="1" ht="63">
      <c r="A259" s="50">
        <v>9</v>
      </c>
      <c r="B259" s="163" t="s">
        <v>223</v>
      </c>
      <c r="C259" s="174">
        <v>12643</v>
      </c>
      <c r="D259" s="383" t="s">
        <v>2831</v>
      </c>
      <c r="E259" s="277" t="s">
        <v>493</v>
      </c>
      <c r="F259" s="130" t="s">
        <v>3562</v>
      </c>
      <c r="G259" s="208"/>
      <c r="H259" s="167"/>
      <c r="I259" s="168">
        <v>2</v>
      </c>
      <c r="J259" s="197">
        <v>1</v>
      </c>
      <c r="K259" s="165"/>
      <c r="L259" s="52" t="s">
        <v>502</v>
      </c>
      <c r="M259" s="294" t="s">
        <v>2370</v>
      </c>
      <c r="N259" s="296">
        <v>41418</v>
      </c>
      <c r="O259" s="158">
        <f t="shared" ref="O259:O268" si="7">N259</f>
        <v>41418</v>
      </c>
      <c r="P259" s="133" t="s">
        <v>3583</v>
      </c>
      <c r="Q259" s="292" t="s">
        <v>2371</v>
      </c>
      <c r="R259" s="52" t="s">
        <v>505</v>
      </c>
      <c r="S259" s="295" t="s">
        <v>2375</v>
      </c>
      <c r="T259" s="228">
        <v>56115</v>
      </c>
      <c r="U259" s="114" t="s">
        <v>2577</v>
      </c>
      <c r="V259" s="114" t="s">
        <v>2578</v>
      </c>
      <c r="W259" s="114" t="s">
        <v>630</v>
      </c>
      <c r="X259" s="114" t="s">
        <v>29</v>
      </c>
      <c r="Y259" s="318" t="s">
        <v>2376</v>
      </c>
      <c r="Z259" s="318" t="s">
        <v>2377</v>
      </c>
      <c r="AA259" s="114"/>
      <c r="AB259" s="292" t="s">
        <v>2378</v>
      </c>
      <c r="AC259" s="64" t="s">
        <v>505</v>
      </c>
      <c r="AD259" s="292" t="s">
        <v>30</v>
      </c>
      <c r="AE259" s="292" t="s">
        <v>921</v>
      </c>
      <c r="AF259" s="114"/>
      <c r="AG259" s="400" t="s">
        <v>3290</v>
      </c>
      <c r="AH259" s="114"/>
      <c r="AI259" s="292" t="s">
        <v>2379</v>
      </c>
      <c r="AJ259" s="64" t="s">
        <v>505</v>
      </c>
      <c r="AK259" s="292" t="s">
        <v>20</v>
      </c>
      <c r="AL259" s="292" t="s">
        <v>923</v>
      </c>
      <c r="AM259" s="221"/>
      <c r="AN259" s="400" t="s">
        <v>3290</v>
      </c>
      <c r="AO259" s="114"/>
      <c r="AP259" s="352" t="s">
        <v>2414</v>
      </c>
      <c r="AQ259" s="322"/>
      <c r="AR259" s="114"/>
      <c r="AS259" s="323"/>
      <c r="AT259" s="323"/>
      <c r="AU259" s="322"/>
      <c r="AV259" s="322"/>
      <c r="AW259" s="323"/>
      <c r="AX259" s="323"/>
      <c r="AY259" s="109"/>
      <c r="AZ259" s="260"/>
      <c r="BA259" s="109"/>
      <c r="BB259" s="109"/>
      <c r="BC259" s="109"/>
      <c r="BD259" s="109"/>
      <c r="BE259" s="113"/>
      <c r="BF259" s="114"/>
      <c r="BG259" s="64" t="s">
        <v>3561</v>
      </c>
      <c r="BH259" s="245">
        <v>1210806</v>
      </c>
      <c r="BI259" s="64" t="s">
        <v>3551</v>
      </c>
      <c r="BJ259" s="229" t="s">
        <v>3552</v>
      </c>
    </row>
    <row r="260" spans="1:63" s="51" customFormat="1" ht="52.5" customHeight="1">
      <c r="A260" s="50">
        <v>10</v>
      </c>
      <c r="B260" s="163" t="s">
        <v>223</v>
      </c>
      <c r="C260" s="174">
        <v>12659</v>
      </c>
      <c r="D260" s="383" t="s">
        <v>2832</v>
      </c>
      <c r="E260" s="277" t="s">
        <v>494</v>
      </c>
      <c r="F260" s="130" t="s">
        <v>3562</v>
      </c>
      <c r="G260" s="10"/>
      <c r="H260" s="131"/>
      <c r="I260" s="55">
        <v>3</v>
      </c>
      <c r="J260" s="196">
        <v>2</v>
      </c>
      <c r="K260" s="52"/>
      <c r="L260" s="52" t="s">
        <v>502</v>
      </c>
      <c r="M260" s="100" t="s">
        <v>60</v>
      </c>
      <c r="N260" s="347">
        <v>41677</v>
      </c>
      <c r="O260" s="158">
        <f t="shared" si="7"/>
        <v>41677</v>
      </c>
      <c r="P260" s="133" t="s">
        <v>3702</v>
      </c>
      <c r="Q260" s="41" t="s">
        <v>2415</v>
      </c>
      <c r="R260" s="52" t="s">
        <v>505</v>
      </c>
      <c r="S260" s="64" t="s">
        <v>2416</v>
      </c>
      <c r="T260" s="79">
        <v>56451</v>
      </c>
      <c r="U260" s="64" t="s">
        <v>2587</v>
      </c>
      <c r="V260" s="64" t="s">
        <v>2551</v>
      </c>
      <c r="W260" s="64" t="s">
        <v>76</v>
      </c>
      <c r="X260" s="64" t="s">
        <v>29</v>
      </c>
      <c r="Y260" s="240"/>
      <c r="Z260" s="58"/>
      <c r="AA260" s="64"/>
      <c r="AB260" s="292" t="s">
        <v>2380</v>
      </c>
      <c r="AC260" s="64" t="s">
        <v>505</v>
      </c>
      <c r="AD260" s="64" t="s">
        <v>20</v>
      </c>
      <c r="AE260" s="64" t="s">
        <v>21</v>
      </c>
      <c r="AF260" s="114"/>
      <c r="AG260" s="400" t="s">
        <v>3291</v>
      </c>
      <c r="AH260" s="114"/>
      <c r="AI260" s="292" t="s">
        <v>2381</v>
      </c>
      <c r="AJ260" s="64" t="s">
        <v>505</v>
      </c>
      <c r="AK260" s="207" t="s">
        <v>20</v>
      </c>
      <c r="AL260" s="207" t="s">
        <v>21</v>
      </c>
      <c r="AM260" s="221"/>
      <c r="AN260" s="400" t="s">
        <v>3542</v>
      </c>
      <c r="AO260" s="64"/>
      <c r="AP260" s="191" t="s">
        <v>2417</v>
      </c>
      <c r="AQ260" s="322"/>
      <c r="AR260" s="114"/>
      <c r="AS260" s="323"/>
      <c r="AT260" s="323"/>
      <c r="AU260" s="322"/>
      <c r="AV260" s="322"/>
      <c r="AW260" s="323"/>
      <c r="AX260" s="324"/>
      <c r="AY260" s="60"/>
      <c r="AZ260" s="95"/>
      <c r="BA260" s="60"/>
      <c r="BB260" s="60"/>
      <c r="BC260" s="60"/>
      <c r="BD260" s="60"/>
      <c r="BE260" s="75"/>
      <c r="BF260" s="64"/>
      <c r="BG260" s="64" t="s">
        <v>3561</v>
      </c>
      <c r="BH260" s="245">
        <v>1210806</v>
      </c>
      <c r="BI260" s="64" t="s">
        <v>3551</v>
      </c>
      <c r="BJ260" s="229" t="s">
        <v>3552</v>
      </c>
    </row>
    <row r="261" spans="1:63" s="171" customFormat="1" ht="52.5" customHeight="1">
      <c r="A261" s="50">
        <v>11</v>
      </c>
      <c r="B261" s="163" t="s">
        <v>223</v>
      </c>
      <c r="C261" s="174">
        <v>12668</v>
      </c>
      <c r="D261" s="383" t="s">
        <v>2833</v>
      </c>
      <c r="E261" s="278" t="s">
        <v>495</v>
      </c>
      <c r="F261" s="130" t="s">
        <v>3562</v>
      </c>
      <c r="G261" s="10"/>
      <c r="H261" s="167"/>
      <c r="I261" s="168">
        <v>2</v>
      </c>
      <c r="J261" s="197">
        <v>1</v>
      </c>
      <c r="K261" s="165"/>
      <c r="L261" s="52" t="s">
        <v>502</v>
      </c>
      <c r="M261" s="294" t="s">
        <v>52</v>
      </c>
      <c r="N261" s="296">
        <v>41434</v>
      </c>
      <c r="O261" s="158">
        <f t="shared" si="7"/>
        <v>41434</v>
      </c>
      <c r="P261" s="133" t="s">
        <v>3703</v>
      </c>
      <c r="Q261" s="292" t="s">
        <v>2382</v>
      </c>
      <c r="R261" s="52" t="s">
        <v>505</v>
      </c>
      <c r="S261" s="295" t="s">
        <v>3714</v>
      </c>
      <c r="T261" s="228">
        <v>55295</v>
      </c>
      <c r="U261" s="114" t="s">
        <v>2588</v>
      </c>
      <c r="V261" s="114" t="s">
        <v>2440</v>
      </c>
      <c r="W261" s="114" t="s">
        <v>52</v>
      </c>
      <c r="X261" s="114" t="s">
        <v>696</v>
      </c>
      <c r="Y261" s="318" t="s">
        <v>50</v>
      </c>
      <c r="Z261" s="318" t="s">
        <v>2383</v>
      </c>
      <c r="AA261" s="114"/>
      <c r="AB261" s="292" t="s">
        <v>2384</v>
      </c>
      <c r="AC261" s="64" t="s">
        <v>505</v>
      </c>
      <c r="AD261" s="292" t="s">
        <v>30</v>
      </c>
      <c r="AE261" s="292" t="s">
        <v>165</v>
      </c>
      <c r="AF261" s="114"/>
      <c r="AG261" s="400" t="s">
        <v>3292</v>
      </c>
      <c r="AH261" s="114"/>
      <c r="AI261" s="292" t="s">
        <v>2385</v>
      </c>
      <c r="AJ261" s="64" t="s">
        <v>505</v>
      </c>
      <c r="AK261" s="292" t="s">
        <v>75</v>
      </c>
      <c r="AL261" s="292" t="s">
        <v>924</v>
      </c>
      <c r="AM261" s="221"/>
      <c r="AN261" s="400" t="s">
        <v>3543</v>
      </c>
      <c r="AO261" s="114"/>
      <c r="AP261" s="191" t="s">
        <v>2418</v>
      </c>
      <c r="AQ261" s="322"/>
      <c r="AR261" s="114"/>
      <c r="AS261" s="323"/>
      <c r="AT261" s="323"/>
      <c r="AU261" s="322"/>
      <c r="AV261" s="322"/>
      <c r="AW261" s="323"/>
      <c r="AX261" s="323"/>
      <c r="AY261" s="109"/>
      <c r="AZ261" s="95"/>
      <c r="BA261" s="109"/>
      <c r="BB261" s="109"/>
      <c r="BC261" s="109"/>
      <c r="BD261" s="109"/>
      <c r="BE261" s="113"/>
      <c r="BF261" s="114"/>
      <c r="BG261" s="64" t="s">
        <v>3561</v>
      </c>
      <c r="BH261" s="245">
        <v>1210806</v>
      </c>
      <c r="BI261" s="64" t="s">
        <v>3551</v>
      </c>
      <c r="BJ261" s="229" t="s">
        <v>3552</v>
      </c>
    </row>
    <row r="262" spans="1:63" s="171" customFormat="1" ht="52.5" customHeight="1">
      <c r="A262" s="50">
        <v>12</v>
      </c>
      <c r="B262" s="163" t="s">
        <v>223</v>
      </c>
      <c r="C262" s="52">
        <v>12670</v>
      </c>
      <c r="D262" s="383" t="s">
        <v>2834</v>
      </c>
      <c r="E262" s="278" t="s">
        <v>496</v>
      </c>
      <c r="F262" s="130" t="s">
        <v>3562</v>
      </c>
      <c r="G262" s="10"/>
      <c r="H262" s="167"/>
      <c r="I262" s="168">
        <v>1</v>
      </c>
      <c r="J262" s="197">
        <v>1</v>
      </c>
      <c r="K262" s="165"/>
      <c r="L262" s="52" t="s">
        <v>502</v>
      </c>
      <c r="M262" s="294" t="s">
        <v>2592</v>
      </c>
      <c r="N262" s="296">
        <v>41751</v>
      </c>
      <c r="O262" s="158">
        <f t="shared" si="7"/>
        <v>41751</v>
      </c>
      <c r="P262" s="133" t="s">
        <v>3651</v>
      </c>
      <c r="Q262" s="292" t="s">
        <v>2386</v>
      </c>
      <c r="R262" s="52" t="s">
        <v>505</v>
      </c>
      <c r="S262" s="295" t="s">
        <v>2858</v>
      </c>
      <c r="T262" s="228">
        <v>42423</v>
      </c>
      <c r="U262" s="114" t="s">
        <v>2593</v>
      </c>
      <c r="V262" s="114" t="s">
        <v>2592</v>
      </c>
      <c r="W262" s="114" t="s">
        <v>2594</v>
      </c>
      <c r="X262" s="114" t="s">
        <v>106</v>
      </c>
      <c r="Y262" s="318" t="s">
        <v>2915</v>
      </c>
      <c r="Z262" s="318" t="s">
        <v>2387</v>
      </c>
      <c r="AA262" s="114"/>
      <c r="AB262" s="292" t="s">
        <v>2957</v>
      </c>
      <c r="AC262" s="64" t="s">
        <v>505</v>
      </c>
      <c r="AD262" s="292" t="s">
        <v>20</v>
      </c>
      <c r="AE262" s="292" t="s">
        <v>921</v>
      </c>
      <c r="AF262" s="114"/>
      <c r="AG262" s="400" t="s">
        <v>3293</v>
      </c>
      <c r="AH262" s="114"/>
      <c r="AI262" s="292" t="s">
        <v>2994</v>
      </c>
      <c r="AJ262" s="64" t="s">
        <v>505</v>
      </c>
      <c r="AK262" s="292" t="s">
        <v>30</v>
      </c>
      <c r="AL262" s="292" t="s">
        <v>924</v>
      </c>
      <c r="AM262" s="114"/>
      <c r="AN262" s="400" t="s">
        <v>3544</v>
      </c>
      <c r="AO262" s="114"/>
      <c r="AP262" s="191" t="s">
        <v>2419</v>
      </c>
      <c r="AQ262" s="322"/>
      <c r="AR262" s="114"/>
      <c r="AS262" s="323"/>
      <c r="AT262" s="323"/>
      <c r="AU262" s="322"/>
      <c r="AV262" s="322"/>
      <c r="AW262" s="323"/>
      <c r="AX262" s="323"/>
      <c r="AY262" s="109"/>
      <c r="AZ262" s="95"/>
      <c r="BA262" s="109"/>
      <c r="BB262" s="109"/>
      <c r="BC262" s="109"/>
      <c r="BD262" s="109"/>
      <c r="BE262" s="113"/>
      <c r="BF262" s="114"/>
      <c r="BG262" s="64" t="s">
        <v>3561</v>
      </c>
      <c r="BH262" s="245">
        <v>1210806</v>
      </c>
      <c r="BI262" s="64" t="s">
        <v>3551</v>
      </c>
      <c r="BJ262" s="229" t="s">
        <v>3552</v>
      </c>
    </row>
    <row r="263" spans="1:63" s="51" customFormat="1" ht="52.5" customHeight="1">
      <c r="A263" s="50">
        <v>13</v>
      </c>
      <c r="B263" s="163" t="s">
        <v>223</v>
      </c>
      <c r="C263" s="174">
        <v>12671</v>
      </c>
      <c r="D263" s="309">
        <v>3138038345</v>
      </c>
      <c r="E263" s="277" t="s">
        <v>497</v>
      </c>
      <c r="F263" s="130" t="s">
        <v>3562</v>
      </c>
      <c r="G263" s="10"/>
      <c r="H263" s="131"/>
      <c r="I263" s="55">
        <v>2</v>
      </c>
      <c r="J263" s="196">
        <v>1</v>
      </c>
      <c r="K263" s="52"/>
      <c r="L263" s="52" t="s">
        <v>502</v>
      </c>
      <c r="M263" s="366" t="s">
        <v>104</v>
      </c>
      <c r="N263" s="367">
        <v>41521</v>
      </c>
      <c r="O263" s="158">
        <f t="shared" si="7"/>
        <v>41521</v>
      </c>
      <c r="P263" s="133" t="s">
        <v>3704</v>
      </c>
      <c r="Q263" s="309" t="s">
        <v>2388</v>
      </c>
      <c r="R263" s="52" t="s">
        <v>505</v>
      </c>
      <c r="S263" s="300" t="s">
        <v>2389</v>
      </c>
      <c r="T263" s="79">
        <v>62265</v>
      </c>
      <c r="U263" s="64" t="s">
        <v>2595</v>
      </c>
      <c r="V263" s="64" t="s">
        <v>2595</v>
      </c>
      <c r="W263" s="64" t="s">
        <v>104</v>
      </c>
      <c r="X263" s="64" t="s">
        <v>39</v>
      </c>
      <c r="Y263" s="366" t="s">
        <v>2390</v>
      </c>
      <c r="Z263" s="366" t="s">
        <v>2391</v>
      </c>
      <c r="AA263" s="64"/>
      <c r="AB263" s="368" t="s">
        <v>2420</v>
      </c>
      <c r="AC263" s="64" t="s">
        <v>505</v>
      </c>
      <c r="AD263" s="309" t="s">
        <v>30</v>
      </c>
      <c r="AE263" s="309" t="s">
        <v>165</v>
      </c>
      <c r="AF263" s="114"/>
      <c r="AG263" s="402" t="s">
        <v>3294</v>
      </c>
      <c r="AH263" s="114"/>
      <c r="AI263" s="309" t="s">
        <v>2392</v>
      </c>
      <c r="AJ263" s="64" t="s">
        <v>505</v>
      </c>
      <c r="AK263" s="309" t="s">
        <v>922</v>
      </c>
      <c r="AL263" s="309" t="s">
        <v>165</v>
      </c>
      <c r="AM263" s="114"/>
      <c r="AN263" s="402" t="s">
        <v>3545</v>
      </c>
      <c r="AO263" s="64"/>
      <c r="AP263" s="191" t="s">
        <v>2421</v>
      </c>
      <c r="AQ263" s="322"/>
      <c r="AR263" s="114"/>
      <c r="AS263" s="323"/>
      <c r="AT263" s="323"/>
      <c r="AU263" s="322"/>
      <c r="AV263" s="322"/>
      <c r="AW263" s="323"/>
      <c r="AX263" s="324"/>
      <c r="AY263" s="60"/>
      <c r="AZ263" s="95"/>
      <c r="BA263" s="60"/>
      <c r="BB263" s="60"/>
      <c r="BC263" s="60"/>
      <c r="BD263" s="60"/>
      <c r="BE263" s="75"/>
      <c r="BF263" s="64"/>
      <c r="BG263" s="64" t="s">
        <v>3561</v>
      </c>
      <c r="BH263" s="245">
        <v>1210806</v>
      </c>
      <c r="BI263" s="64" t="s">
        <v>3551</v>
      </c>
      <c r="BJ263" s="229" t="s">
        <v>3552</v>
      </c>
    </row>
    <row r="264" spans="1:63" s="51" customFormat="1" ht="52.5" customHeight="1">
      <c r="A264" s="50">
        <v>14</v>
      </c>
      <c r="B264" s="163" t="s">
        <v>223</v>
      </c>
      <c r="C264" s="174">
        <v>12674</v>
      </c>
      <c r="D264" s="292">
        <v>3133388949</v>
      </c>
      <c r="E264" s="277" t="s">
        <v>498</v>
      </c>
      <c r="F264" s="130" t="s">
        <v>3562</v>
      </c>
      <c r="G264" s="10"/>
      <c r="H264" s="263"/>
      <c r="I264" s="55">
        <v>1</v>
      </c>
      <c r="J264" s="196">
        <v>1</v>
      </c>
      <c r="K264" s="52"/>
      <c r="L264" s="52" t="s">
        <v>502</v>
      </c>
      <c r="M264" s="294" t="s">
        <v>27</v>
      </c>
      <c r="N264" s="296">
        <v>41494</v>
      </c>
      <c r="O264" s="158">
        <f t="shared" si="7"/>
        <v>41494</v>
      </c>
      <c r="P264" s="133" t="s">
        <v>3705</v>
      </c>
      <c r="Q264" s="292" t="s">
        <v>2393</v>
      </c>
      <c r="R264" s="52" t="s">
        <v>505</v>
      </c>
      <c r="S264" s="295" t="s">
        <v>2394</v>
      </c>
      <c r="T264" s="79">
        <v>11480</v>
      </c>
      <c r="U264" s="64" t="s">
        <v>2467</v>
      </c>
      <c r="V264" s="64" t="s">
        <v>2596</v>
      </c>
      <c r="W264" s="64" t="s">
        <v>42</v>
      </c>
      <c r="X264" s="64" t="s">
        <v>43</v>
      </c>
      <c r="Y264" s="294" t="s">
        <v>2395</v>
      </c>
      <c r="Z264" s="294" t="s">
        <v>2396</v>
      </c>
      <c r="AA264" s="64"/>
      <c r="AB264" s="301" t="s">
        <v>2397</v>
      </c>
      <c r="AC264" s="64" t="s">
        <v>505</v>
      </c>
      <c r="AD264" s="292" t="s">
        <v>20</v>
      </c>
      <c r="AE264" s="292" t="s">
        <v>921</v>
      </c>
      <c r="AF264" s="114"/>
      <c r="AG264" s="400" t="s">
        <v>3295</v>
      </c>
      <c r="AH264" s="114"/>
      <c r="AI264" s="292" t="s">
        <v>2398</v>
      </c>
      <c r="AJ264" s="64" t="s">
        <v>505</v>
      </c>
      <c r="AK264" s="292" t="s">
        <v>20</v>
      </c>
      <c r="AL264" s="292" t="s">
        <v>923</v>
      </c>
      <c r="AM264" s="221"/>
      <c r="AN264" s="400" t="s">
        <v>3295</v>
      </c>
      <c r="AO264" s="64"/>
      <c r="AP264" s="191" t="s">
        <v>2422</v>
      </c>
      <c r="AQ264" s="322"/>
      <c r="AR264" s="114"/>
      <c r="AS264" s="323"/>
      <c r="AT264" s="323"/>
      <c r="AU264" s="322"/>
      <c r="AV264" s="322"/>
      <c r="AW264" s="323"/>
      <c r="AX264" s="324"/>
      <c r="AY264" s="60"/>
      <c r="AZ264" s="95"/>
      <c r="BA264" s="60"/>
      <c r="BB264" s="60"/>
      <c r="BC264" s="60"/>
      <c r="BD264" s="60"/>
      <c r="BE264" s="75"/>
      <c r="BF264" s="64"/>
      <c r="BG264" s="64" t="s">
        <v>3561</v>
      </c>
      <c r="BH264" s="245">
        <v>1210806</v>
      </c>
      <c r="BI264" s="64" t="s">
        <v>3551</v>
      </c>
      <c r="BJ264" s="229" t="s">
        <v>3552</v>
      </c>
    </row>
    <row r="265" spans="1:63" s="51" customFormat="1" ht="52.5" customHeight="1">
      <c r="A265" s="50">
        <v>15</v>
      </c>
      <c r="B265" s="163" t="s">
        <v>223</v>
      </c>
      <c r="C265" s="4">
        <v>12677</v>
      </c>
      <c r="D265" s="292">
        <v>3149073410</v>
      </c>
      <c r="E265" s="277" t="s">
        <v>499</v>
      </c>
      <c r="F265" s="130" t="s">
        <v>3562</v>
      </c>
      <c r="G265" s="10"/>
      <c r="H265" s="131"/>
      <c r="I265" s="55">
        <v>2</v>
      </c>
      <c r="J265" s="196">
        <v>2</v>
      </c>
      <c r="K265" s="52"/>
      <c r="L265" s="52" t="s">
        <v>502</v>
      </c>
      <c r="M265" s="294" t="s">
        <v>52</v>
      </c>
      <c r="N265" s="296">
        <v>41702</v>
      </c>
      <c r="O265" s="158">
        <f t="shared" si="7"/>
        <v>41702</v>
      </c>
      <c r="P265" s="133" t="s">
        <v>3706</v>
      </c>
      <c r="Q265" s="292" t="s">
        <v>2399</v>
      </c>
      <c r="R265" s="52" t="s">
        <v>505</v>
      </c>
      <c r="S265" s="295" t="s">
        <v>2598</v>
      </c>
      <c r="T265" s="79">
        <v>56372</v>
      </c>
      <c r="U265" s="64" t="s">
        <v>2597</v>
      </c>
      <c r="V265" s="64" t="s">
        <v>2558</v>
      </c>
      <c r="W265" s="64" t="s">
        <v>55</v>
      </c>
      <c r="X265" s="64" t="s">
        <v>29</v>
      </c>
      <c r="Y265" s="318" t="s">
        <v>2916</v>
      </c>
      <c r="Z265" s="318" t="s">
        <v>2400</v>
      </c>
      <c r="AA265" s="64"/>
      <c r="AB265" s="292" t="s">
        <v>2958</v>
      </c>
      <c r="AC265" s="64" t="s">
        <v>505</v>
      </c>
      <c r="AD265" s="292" t="s">
        <v>30</v>
      </c>
      <c r="AE265" s="292" t="s">
        <v>21</v>
      </c>
      <c r="AF265" s="114"/>
      <c r="AG265" s="400" t="s">
        <v>3296</v>
      </c>
      <c r="AH265" s="114"/>
      <c r="AI265" s="292" t="s">
        <v>2996</v>
      </c>
      <c r="AJ265" s="64" t="s">
        <v>505</v>
      </c>
      <c r="AK265" s="292" t="s">
        <v>30</v>
      </c>
      <c r="AL265" s="292" t="s">
        <v>1291</v>
      </c>
      <c r="AM265" s="221"/>
      <c r="AN265" s="400" t="s">
        <v>3546</v>
      </c>
      <c r="AO265" s="64"/>
      <c r="AP265" s="191" t="s">
        <v>2423</v>
      </c>
      <c r="AQ265" s="322"/>
      <c r="AR265" s="114"/>
      <c r="AS265" s="323"/>
      <c r="AT265" s="323"/>
      <c r="AU265" s="322"/>
      <c r="AV265" s="322"/>
      <c r="AW265" s="323"/>
      <c r="AX265" s="324"/>
      <c r="AY265" s="60"/>
      <c r="AZ265" s="95"/>
      <c r="BA265" s="60"/>
      <c r="BB265" s="60"/>
      <c r="BC265" s="60"/>
      <c r="BD265" s="60"/>
      <c r="BE265" s="75"/>
      <c r="BF265" s="64"/>
      <c r="BG265" s="64" t="s">
        <v>3561</v>
      </c>
      <c r="BH265" s="245">
        <v>1210806</v>
      </c>
      <c r="BI265" s="64" t="s">
        <v>3551</v>
      </c>
      <c r="BJ265" s="229" t="s">
        <v>3552</v>
      </c>
    </row>
    <row r="266" spans="1:63" s="51" customFormat="1" ht="52.5" customHeight="1">
      <c r="A266" s="50">
        <v>16</v>
      </c>
      <c r="B266" s="163" t="s">
        <v>223</v>
      </c>
      <c r="C266" s="4">
        <v>12698</v>
      </c>
      <c r="D266" s="387" t="s">
        <v>2835</v>
      </c>
      <c r="E266" s="370" t="s">
        <v>2424</v>
      </c>
      <c r="F266" s="130" t="s">
        <v>3562</v>
      </c>
      <c r="G266" s="211"/>
      <c r="H266" s="132"/>
      <c r="I266" s="68">
        <v>1</v>
      </c>
      <c r="J266" s="198">
        <v>1</v>
      </c>
      <c r="K266" s="209"/>
      <c r="L266" s="52" t="s">
        <v>502</v>
      </c>
      <c r="M266" s="244" t="s">
        <v>135</v>
      </c>
      <c r="N266" s="347">
        <v>41430</v>
      </c>
      <c r="O266" s="158">
        <f t="shared" si="7"/>
        <v>41430</v>
      </c>
      <c r="P266" s="133" t="s">
        <v>3608</v>
      </c>
      <c r="Q266" s="361" t="s">
        <v>2425</v>
      </c>
      <c r="R266" s="52" t="s">
        <v>505</v>
      </c>
      <c r="S266" s="210" t="s">
        <v>2426</v>
      </c>
      <c r="T266" s="230">
        <v>40125</v>
      </c>
      <c r="U266" s="210" t="s">
        <v>2600</v>
      </c>
      <c r="V266" s="210" t="s">
        <v>2591</v>
      </c>
      <c r="W266" s="210" t="s">
        <v>2599</v>
      </c>
      <c r="X266" s="210" t="s">
        <v>40</v>
      </c>
      <c r="Y266" s="240"/>
      <c r="Z266" s="212"/>
      <c r="AA266" s="210"/>
      <c r="AB266" s="210" t="s">
        <v>2427</v>
      </c>
      <c r="AC266" s="64" t="s">
        <v>505</v>
      </c>
      <c r="AD266" s="213" t="s">
        <v>20</v>
      </c>
      <c r="AE266" s="213" t="s">
        <v>511</v>
      </c>
      <c r="AF266" s="214"/>
      <c r="AG266" s="401"/>
      <c r="AH266" s="214"/>
      <c r="AI266" s="212" t="s">
        <v>2428</v>
      </c>
      <c r="AJ266" s="64" t="s">
        <v>505</v>
      </c>
      <c r="AK266" s="210" t="s">
        <v>20</v>
      </c>
      <c r="AL266" s="210" t="s">
        <v>520</v>
      </c>
      <c r="AM266" s="214"/>
      <c r="AN266" s="403"/>
      <c r="AO266" s="210"/>
      <c r="AP266" s="353" t="s">
        <v>2429</v>
      </c>
      <c r="AQ266" s="348"/>
      <c r="AR266" s="214"/>
      <c r="AS266" s="349"/>
      <c r="AT266" s="349"/>
      <c r="AU266" s="348"/>
      <c r="AV266" s="348"/>
      <c r="AW266" s="349"/>
      <c r="AX266" s="350"/>
      <c r="AY266" s="66"/>
      <c r="AZ266" s="95"/>
      <c r="BA266" s="66"/>
      <c r="BB266" s="66"/>
      <c r="BC266" s="66"/>
      <c r="BD266" s="66"/>
      <c r="BE266" s="76"/>
      <c r="BF266" s="210"/>
      <c r="BG266" s="64" t="s">
        <v>3561</v>
      </c>
      <c r="BH266" s="245">
        <v>1210806</v>
      </c>
      <c r="BI266" s="64" t="s">
        <v>3551</v>
      </c>
      <c r="BJ266" s="229" t="s">
        <v>3552</v>
      </c>
    </row>
    <row r="267" spans="1:63" s="51" customFormat="1" ht="52.5" customHeight="1">
      <c r="A267" s="50">
        <v>17</v>
      </c>
      <c r="B267" s="163" t="s">
        <v>223</v>
      </c>
      <c r="C267" s="4">
        <v>12716</v>
      </c>
      <c r="D267" s="383" t="s">
        <v>2836</v>
      </c>
      <c r="E267" s="279" t="s">
        <v>500</v>
      </c>
      <c r="F267" s="130" t="s">
        <v>3562</v>
      </c>
      <c r="G267" s="211"/>
      <c r="H267" s="79"/>
      <c r="I267" s="70"/>
      <c r="J267" s="70"/>
      <c r="K267" s="52"/>
      <c r="L267" s="52" t="s">
        <v>502</v>
      </c>
      <c r="M267" s="127" t="s">
        <v>2430</v>
      </c>
      <c r="N267" s="347">
        <v>41563</v>
      </c>
      <c r="O267" s="158">
        <f t="shared" si="7"/>
        <v>41563</v>
      </c>
      <c r="P267" s="133" t="s">
        <v>3707</v>
      </c>
      <c r="Q267" s="41" t="s">
        <v>2431</v>
      </c>
      <c r="R267" s="52" t="s">
        <v>505</v>
      </c>
      <c r="S267" s="127" t="s">
        <v>2432</v>
      </c>
      <c r="T267" s="79">
        <v>55153</v>
      </c>
      <c r="U267" s="127" t="s">
        <v>2602</v>
      </c>
      <c r="V267" s="127" t="s">
        <v>2601</v>
      </c>
      <c r="W267" s="127" t="s">
        <v>695</v>
      </c>
      <c r="X267" s="127" t="s">
        <v>696</v>
      </c>
      <c r="Y267" s="318" t="s">
        <v>2917</v>
      </c>
      <c r="Z267" s="318"/>
      <c r="AA267" s="79"/>
      <c r="AB267" s="292" t="s">
        <v>2959</v>
      </c>
      <c r="AC267" s="64" t="s">
        <v>505</v>
      </c>
      <c r="AD267" s="79"/>
      <c r="AE267" s="79"/>
      <c r="AF267" s="79"/>
      <c r="AG267" s="400" t="s">
        <v>3297</v>
      </c>
      <c r="AH267" s="117"/>
      <c r="AI267" s="292" t="s">
        <v>2995</v>
      </c>
      <c r="AJ267" s="64" t="s">
        <v>505</v>
      </c>
      <c r="AK267" s="64"/>
      <c r="AL267" s="64"/>
      <c r="AM267" s="64"/>
      <c r="AN267" s="400" t="s">
        <v>3547</v>
      </c>
      <c r="AO267" s="72"/>
      <c r="AP267" s="371" t="s">
        <v>2433</v>
      </c>
      <c r="AQ267" s="322"/>
      <c r="AR267" s="322"/>
      <c r="AS267" s="114"/>
      <c r="AT267" s="323"/>
      <c r="AU267" s="323"/>
      <c r="AV267" s="322"/>
      <c r="AW267" s="322"/>
      <c r="AX267" s="324"/>
      <c r="AY267" s="324"/>
      <c r="AZ267" s="95"/>
      <c r="BA267" s="64"/>
      <c r="BB267" s="64"/>
      <c r="BC267" s="64"/>
      <c r="BD267" s="64"/>
      <c r="BE267" s="64"/>
      <c r="BF267" s="72"/>
      <c r="BG267" s="64" t="s">
        <v>3561</v>
      </c>
      <c r="BH267" s="245">
        <v>1210806</v>
      </c>
      <c r="BI267" s="64" t="s">
        <v>3551</v>
      </c>
      <c r="BJ267" s="229" t="s">
        <v>3552</v>
      </c>
      <c r="BK267" s="5"/>
    </row>
    <row r="268" spans="1:63" s="51" customFormat="1" ht="63">
      <c r="A268" s="50">
        <v>18</v>
      </c>
      <c r="B268" s="163" t="s">
        <v>223</v>
      </c>
      <c r="C268" s="4">
        <v>12725</v>
      </c>
      <c r="D268" s="384" t="s">
        <v>2837</v>
      </c>
      <c r="E268" s="280" t="s">
        <v>501</v>
      </c>
      <c r="F268" s="130" t="s">
        <v>3562</v>
      </c>
      <c r="G268" s="10"/>
      <c r="H268" s="79"/>
      <c r="I268" s="70">
        <v>4</v>
      </c>
      <c r="J268" s="70">
        <v>3</v>
      </c>
      <c r="K268" s="52"/>
      <c r="L268" s="52" t="s">
        <v>502</v>
      </c>
      <c r="M268" s="366" t="s">
        <v>135</v>
      </c>
      <c r="N268" s="367">
        <v>41522</v>
      </c>
      <c r="O268" s="158">
        <f t="shared" si="7"/>
        <v>41522</v>
      </c>
      <c r="P268" s="133" t="s">
        <v>3017</v>
      </c>
      <c r="Q268" s="309" t="s">
        <v>2401</v>
      </c>
      <c r="R268" s="52" t="s">
        <v>505</v>
      </c>
      <c r="S268" s="300" t="s">
        <v>2402</v>
      </c>
      <c r="T268" s="79">
        <v>44191</v>
      </c>
      <c r="U268" s="79" t="s">
        <v>2604</v>
      </c>
      <c r="V268" s="79" t="s">
        <v>2603</v>
      </c>
      <c r="W268" s="79" t="s">
        <v>135</v>
      </c>
      <c r="X268" s="79" t="s">
        <v>40</v>
      </c>
      <c r="Y268" s="369" t="s">
        <v>2403</v>
      </c>
      <c r="Z268" s="369" t="s">
        <v>2404</v>
      </c>
      <c r="AA268" s="79"/>
      <c r="AB268" s="309" t="s">
        <v>2405</v>
      </c>
      <c r="AC268" s="64" t="s">
        <v>505</v>
      </c>
      <c r="AD268" s="309" t="s">
        <v>30</v>
      </c>
      <c r="AE268" s="309" t="s">
        <v>21</v>
      </c>
      <c r="AF268" s="79"/>
      <c r="AG268" s="402" t="s">
        <v>3298</v>
      </c>
      <c r="AH268" s="117"/>
      <c r="AI268" s="309" t="s">
        <v>1592</v>
      </c>
      <c r="AJ268" s="64" t="s">
        <v>505</v>
      </c>
      <c r="AK268" s="309" t="s">
        <v>20</v>
      </c>
      <c r="AL268" s="309" t="s">
        <v>21</v>
      </c>
      <c r="AM268" s="64"/>
      <c r="AN268" s="402" t="s">
        <v>3548</v>
      </c>
      <c r="AO268" s="72"/>
      <c r="AP268" s="371" t="s">
        <v>2434</v>
      </c>
      <c r="AQ268" s="322"/>
      <c r="AR268" s="322"/>
      <c r="AS268" s="114"/>
      <c r="AT268" s="323"/>
      <c r="AU268" s="323"/>
      <c r="AV268" s="322"/>
      <c r="AW268" s="322"/>
      <c r="AX268" s="324"/>
      <c r="AY268" s="324"/>
      <c r="AZ268" s="95"/>
      <c r="BA268" s="64"/>
      <c r="BB268" s="64"/>
      <c r="BC268" s="64"/>
      <c r="BD268" s="64"/>
      <c r="BE268" s="64"/>
      <c r="BF268" s="72"/>
      <c r="BG268" s="64" t="s">
        <v>3561</v>
      </c>
      <c r="BH268" s="245">
        <v>1210806</v>
      </c>
      <c r="BI268" s="64" t="s">
        <v>3551</v>
      </c>
      <c r="BJ268" s="229" t="s">
        <v>3552</v>
      </c>
      <c r="BK268" s="5"/>
    </row>
    <row r="269" spans="1:63" s="51" customFormat="1" ht="52.5" customHeight="1">
      <c r="A269" s="5"/>
      <c r="B269" s="12"/>
      <c r="C269" s="5"/>
      <c r="D269" s="25"/>
      <c r="E269" s="8"/>
      <c r="F269" s="1"/>
      <c r="G269" s="1"/>
      <c r="H269" s="25"/>
      <c r="I269" s="7"/>
      <c r="J269" s="7"/>
      <c r="K269" s="1"/>
      <c r="L269" s="1"/>
      <c r="M269" s="8"/>
      <c r="N269" s="65"/>
      <c r="O269" s="94"/>
      <c r="P269" s="93"/>
      <c r="Q269" s="83"/>
      <c r="R269" s="1"/>
      <c r="S269" s="8"/>
      <c r="T269" s="62"/>
      <c r="U269" s="5"/>
      <c r="V269" s="8"/>
      <c r="W269" s="8"/>
      <c r="X269" s="8"/>
      <c r="Y269" s="8"/>
      <c r="Z269" s="8"/>
      <c r="AA269" s="5"/>
      <c r="AB269" s="5"/>
      <c r="AC269" s="5"/>
      <c r="AD269" s="5"/>
      <c r="AE269" s="121"/>
      <c r="AF269" s="129"/>
      <c r="AG269" s="179"/>
      <c r="AH269" s="73"/>
      <c r="AI269" s="176"/>
      <c r="AJ269" s="8"/>
      <c r="AK269" s="5"/>
      <c r="AL269" s="5"/>
      <c r="AM269" s="8"/>
      <c r="AN269" s="176"/>
      <c r="AO269" s="45"/>
      <c r="AP269" s="179"/>
      <c r="AQ269" s="216"/>
      <c r="AR269" s="216"/>
      <c r="AS269" s="217"/>
      <c r="AT269" s="218"/>
      <c r="AU269" s="218"/>
      <c r="AV269" s="216"/>
      <c r="AW269" s="216"/>
      <c r="AX269" s="88"/>
      <c r="AY269" s="88"/>
      <c r="AZ269" s="8"/>
      <c r="BA269" s="5"/>
      <c r="BB269" s="5"/>
      <c r="BC269" s="8"/>
      <c r="BD269" s="8"/>
      <c r="BE269" s="5"/>
      <c r="BF269" s="73"/>
      <c r="BG269" s="5"/>
      <c r="BH269" s="5"/>
      <c r="BI269" s="5"/>
      <c r="BJ269" s="5"/>
      <c r="BK269" s="5"/>
    </row>
    <row r="270" spans="1:63" s="51" customFormat="1" ht="52.5" customHeight="1">
      <c r="A270" s="5"/>
      <c r="B270" s="12"/>
      <c r="C270" s="5"/>
      <c r="D270" s="25"/>
      <c r="E270" s="8"/>
      <c r="F270" s="1"/>
      <c r="G270" s="1"/>
      <c r="H270" s="25"/>
      <c r="I270" s="7"/>
      <c r="J270" s="7"/>
      <c r="K270" s="1"/>
      <c r="L270" s="1"/>
      <c r="M270" s="8"/>
      <c r="N270" s="65"/>
      <c r="O270" s="94"/>
      <c r="P270" s="93"/>
      <c r="Q270" s="83"/>
      <c r="R270" s="1"/>
      <c r="S270" s="8"/>
      <c r="T270" s="62"/>
      <c r="U270" s="5"/>
      <c r="V270" s="8"/>
      <c r="W270" s="8"/>
      <c r="X270" s="8"/>
      <c r="Y270" s="8"/>
      <c r="Z270" s="8"/>
      <c r="AA270" s="5"/>
      <c r="AB270" s="5"/>
      <c r="AC270" s="5"/>
      <c r="AD270" s="5"/>
      <c r="AE270" s="121"/>
      <c r="AF270" s="129"/>
      <c r="AG270" s="179"/>
      <c r="AH270" s="73"/>
      <c r="AI270" s="176"/>
      <c r="AJ270" s="8"/>
      <c r="AK270" s="5"/>
      <c r="AL270" s="5"/>
      <c r="AM270" s="8"/>
      <c r="AN270" s="176"/>
      <c r="AO270" s="45"/>
      <c r="AP270" s="179"/>
      <c r="AQ270" s="216"/>
      <c r="AR270" s="216"/>
      <c r="AS270" s="217"/>
      <c r="AT270" s="218"/>
      <c r="AU270" s="218"/>
      <c r="AV270" s="216"/>
      <c r="AW270" s="216"/>
      <c r="AX270" s="88"/>
      <c r="AY270" s="88"/>
      <c r="AZ270" s="8"/>
      <c r="BA270" s="5"/>
      <c r="BB270" s="5"/>
      <c r="BC270" s="8"/>
      <c r="BD270" s="8"/>
      <c r="BE270" s="5"/>
      <c r="BF270" s="73"/>
      <c r="BG270" s="5"/>
      <c r="BH270" s="5"/>
      <c r="BI270" s="5"/>
      <c r="BJ270" s="5"/>
      <c r="BK270" s="5"/>
    </row>
    <row r="271" spans="1:63" s="171" customFormat="1" ht="52.5" customHeight="1">
      <c r="A271" s="5"/>
      <c r="B271" s="12"/>
      <c r="C271" s="179"/>
      <c r="D271" s="248"/>
      <c r="E271" s="176"/>
      <c r="F271" s="249"/>
      <c r="G271" s="249"/>
      <c r="H271" s="248"/>
      <c r="I271" s="250"/>
      <c r="J271" s="250"/>
      <c r="K271" s="249"/>
      <c r="L271" s="249"/>
      <c r="M271" s="176"/>
      <c r="N271" s="251"/>
      <c r="O271" s="252"/>
      <c r="P271" s="253"/>
      <c r="Q271" s="254"/>
      <c r="R271" s="249"/>
      <c r="S271" s="176"/>
      <c r="T271" s="255"/>
      <c r="U271" s="179"/>
      <c r="V271" s="176"/>
      <c r="W271" s="176"/>
      <c r="X271" s="176"/>
      <c r="Y271" s="176"/>
      <c r="Z271" s="176"/>
      <c r="AA271" s="179"/>
      <c r="AB271" s="179"/>
      <c r="AC271" s="179"/>
      <c r="AD271" s="179"/>
      <c r="AE271" s="256"/>
      <c r="AF271" s="257"/>
      <c r="AG271" s="179"/>
      <c r="AH271" s="258"/>
      <c r="AI271" s="176"/>
      <c r="AJ271" s="176"/>
      <c r="AK271" s="179"/>
      <c r="AL271" s="179"/>
      <c r="AM271" s="176"/>
      <c r="AN271" s="176"/>
      <c r="AO271" s="259"/>
      <c r="AP271" s="179"/>
      <c r="AQ271" s="216"/>
      <c r="AR271" s="216"/>
      <c r="AS271" s="217"/>
      <c r="AT271" s="218"/>
      <c r="AU271" s="218"/>
      <c r="AV271" s="216"/>
      <c r="AW271" s="216"/>
      <c r="AX271" s="218"/>
      <c r="AY271" s="218"/>
      <c r="AZ271" s="176"/>
      <c r="BA271" s="179"/>
      <c r="BB271" s="179"/>
      <c r="BC271" s="176"/>
      <c r="BD271" s="176"/>
      <c r="BE271" s="179"/>
      <c r="BF271" s="258"/>
      <c r="BG271" s="179"/>
      <c r="BH271" s="179"/>
      <c r="BI271" s="179"/>
      <c r="BJ271" s="179"/>
      <c r="BK271" s="179"/>
    </row>
    <row r="272" spans="1:63" s="51" customFormat="1" ht="52.5" customHeight="1">
      <c r="A272" s="5"/>
      <c r="B272" s="12"/>
      <c r="C272" s="5"/>
      <c r="D272" s="25"/>
      <c r="E272" s="8"/>
      <c r="F272" s="1"/>
      <c r="G272" s="1"/>
      <c r="H272" s="25"/>
      <c r="I272" s="7"/>
      <c r="J272" s="7"/>
      <c r="K272" s="1"/>
      <c r="L272" s="1"/>
      <c r="M272" s="8"/>
      <c r="N272" s="65"/>
      <c r="O272" s="94"/>
      <c r="P272" s="93"/>
      <c r="Q272" s="83"/>
      <c r="R272" s="1"/>
      <c r="S272" s="8"/>
      <c r="T272" s="62"/>
      <c r="U272" s="5"/>
      <c r="V272" s="8"/>
      <c r="W272" s="8"/>
      <c r="X272" s="8"/>
      <c r="Y272" s="8"/>
      <c r="Z272" s="8"/>
      <c r="AA272" s="5"/>
      <c r="AB272" s="5"/>
      <c r="AC272" s="5"/>
      <c r="AD272" s="5"/>
      <c r="AE272" s="121"/>
      <c r="AF272" s="129"/>
      <c r="AG272" s="179"/>
      <c r="AH272" s="73"/>
      <c r="AI272" s="176"/>
      <c r="AJ272" s="8"/>
      <c r="AK272" s="5"/>
      <c r="AL272" s="5"/>
      <c r="AM272" s="8"/>
      <c r="AN272" s="176"/>
      <c r="AO272" s="45"/>
      <c r="AP272" s="179"/>
      <c r="AQ272" s="216"/>
      <c r="AR272" s="216"/>
      <c r="AS272" s="217"/>
      <c r="AT272" s="218"/>
      <c r="AU272" s="218"/>
      <c r="AV272" s="216"/>
      <c r="AW272" s="216"/>
      <c r="AX272" s="88"/>
      <c r="AY272" s="88"/>
      <c r="AZ272" s="8"/>
      <c r="BA272" s="5"/>
      <c r="BB272" s="5"/>
      <c r="BC272" s="8"/>
      <c r="BD272" s="8"/>
      <c r="BE272" s="5"/>
      <c r="BF272" s="73"/>
      <c r="BG272" s="5"/>
      <c r="BH272" s="5"/>
      <c r="BI272" s="5"/>
      <c r="BJ272" s="5"/>
      <c r="BK272" s="5"/>
    </row>
    <row r="273" spans="1:63" s="51" customFormat="1" ht="52.5" customHeight="1">
      <c r="A273" s="179"/>
      <c r="B273" s="247"/>
      <c r="C273" s="5"/>
      <c r="D273" s="25"/>
      <c r="E273" s="8"/>
      <c r="F273" s="1"/>
      <c r="G273" s="1"/>
      <c r="H273" s="25"/>
      <c r="I273" s="7"/>
      <c r="J273" s="7"/>
      <c r="K273" s="1"/>
      <c r="L273" s="1"/>
      <c r="M273" s="8"/>
      <c r="N273" s="65"/>
      <c r="O273" s="94"/>
      <c r="P273" s="93"/>
      <c r="Q273" s="83"/>
      <c r="R273" s="1"/>
      <c r="S273" s="8"/>
      <c r="T273" s="62"/>
      <c r="U273" s="5"/>
      <c r="V273" s="8"/>
      <c r="W273" s="8"/>
      <c r="X273" s="8"/>
      <c r="Y273" s="8"/>
      <c r="Z273" s="8"/>
      <c r="AA273" s="5"/>
      <c r="AB273" s="5"/>
      <c r="AC273" s="5"/>
      <c r="AD273" s="5"/>
      <c r="AE273" s="121"/>
      <c r="AF273" s="129"/>
      <c r="AG273" s="179"/>
      <c r="AH273" s="73"/>
      <c r="AI273" s="176"/>
      <c r="AJ273" s="8"/>
      <c r="AK273" s="5"/>
      <c r="AL273" s="5"/>
      <c r="AM273" s="8"/>
      <c r="AN273" s="176"/>
      <c r="AO273" s="45"/>
      <c r="AP273" s="179"/>
      <c r="AQ273" s="216"/>
      <c r="AR273" s="216"/>
      <c r="AS273" s="217"/>
      <c r="AT273" s="218"/>
      <c r="AU273" s="218"/>
      <c r="AV273" s="216"/>
      <c r="AW273" s="216"/>
      <c r="AX273" s="88"/>
      <c r="AY273" s="88"/>
      <c r="AZ273" s="8"/>
      <c r="BA273" s="5"/>
      <c r="BB273" s="5"/>
      <c r="BC273" s="8"/>
      <c r="BD273" s="8"/>
      <c r="BE273" s="5"/>
      <c r="BF273" s="73"/>
      <c r="BG273" s="5"/>
      <c r="BH273" s="5"/>
      <c r="BI273" s="5"/>
      <c r="BJ273" s="5"/>
      <c r="BK273" s="5"/>
    </row>
    <row r="274" spans="1:63" s="51" customFormat="1" ht="52.5" customHeight="1">
      <c r="A274" s="5"/>
      <c r="B274" s="12"/>
      <c r="C274" s="5"/>
      <c r="D274" s="25"/>
      <c r="E274" s="8"/>
      <c r="F274" s="1"/>
      <c r="G274" s="1"/>
      <c r="H274" s="25"/>
      <c r="I274" s="7"/>
      <c r="J274" s="7"/>
      <c r="K274" s="1"/>
      <c r="L274" s="1"/>
      <c r="M274" s="8"/>
      <c r="N274" s="65"/>
      <c r="O274" s="94"/>
      <c r="P274" s="93"/>
      <c r="Q274" s="83"/>
      <c r="R274" s="1"/>
      <c r="S274" s="8"/>
      <c r="T274" s="62"/>
      <c r="U274" s="5"/>
      <c r="V274" s="8"/>
      <c r="W274" s="8"/>
      <c r="X274" s="8"/>
      <c r="Y274" s="8"/>
      <c r="Z274" s="8"/>
      <c r="AA274" s="5"/>
      <c r="AB274" s="5"/>
      <c r="AC274" s="5"/>
      <c r="AD274" s="5"/>
      <c r="AE274" s="121"/>
      <c r="AF274" s="129"/>
      <c r="AG274" s="179"/>
      <c r="AH274" s="73"/>
      <c r="AI274" s="176"/>
      <c r="AJ274" s="8"/>
      <c r="AK274" s="5"/>
      <c r="AL274" s="5"/>
      <c r="AM274" s="8"/>
      <c r="AN274" s="176"/>
      <c r="AO274" s="45"/>
      <c r="AP274" s="179"/>
      <c r="AQ274" s="216"/>
      <c r="AR274" s="216"/>
      <c r="AS274" s="217"/>
      <c r="AT274" s="218"/>
      <c r="AU274" s="218"/>
      <c r="AV274" s="216"/>
      <c r="AW274" s="216"/>
      <c r="AX274" s="88"/>
      <c r="AY274" s="88"/>
      <c r="AZ274" s="8"/>
      <c r="BA274" s="5"/>
      <c r="BB274" s="5"/>
      <c r="BC274" s="8"/>
      <c r="BD274" s="8"/>
      <c r="BE274" s="5"/>
      <c r="BF274" s="73"/>
      <c r="BG274" s="5"/>
      <c r="BH274" s="5"/>
      <c r="BI274" s="5"/>
      <c r="BJ274" s="5"/>
      <c r="BK274" s="5"/>
    </row>
    <row r="275" spans="1:63" s="51" customFormat="1" ht="52.5" customHeight="1">
      <c r="A275" s="5"/>
      <c r="B275" s="12"/>
      <c r="C275" s="5"/>
      <c r="D275" s="25"/>
      <c r="E275" s="8"/>
      <c r="F275" s="1"/>
      <c r="G275" s="1"/>
      <c r="H275" s="25"/>
      <c r="I275" s="7"/>
      <c r="J275" s="7"/>
      <c r="K275" s="1"/>
      <c r="L275" s="1"/>
      <c r="M275" s="8"/>
      <c r="N275" s="65"/>
      <c r="O275" s="94"/>
      <c r="P275" s="93"/>
      <c r="Q275" s="83"/>
      <c r="R275" s="1"/>
      <c r="S275" s="8"/>
      <c r="T275" s="62"/>
      <c r="U275" s="5"/>
      <c r="V275" s="8"/>
      <c r="W275" s="8"/>
      <c r="X275" s="8"/>
      <c r="Y275" s="8"/>
      <c r="Z275" s="8"/>
      <c r="AA275" s="5"/>
      <c r="AB275" s="5"/>
      <c r="AC275" s="5"/>
      <c r="AD275" s="5"/>
      <c r="AE275" s="121"/>
      <c r="AF275" s="129"/>
      <c r="AG275" s="179"/>
      <c r="AH275" s="73"/>
      <c r="AI275" s="176"/>
      <c r="AJ275" s="8"/>
      <c r="AK275" s="5"/>
      <c r="AL275" s="5"/>
      <c r="AM275" s="8"/>
      <c r="AN275" s="176"/>
      <c r="AO275" s="45"/>
      <c r="AP275" s="5"/>
      <c r="AQ275" s="86"/>
      <c r="AR275" s="86"/>
      <c r="AS275" s="87"/>
      <c r="AT275" s="88"/>
      <c r="AU275" s="88"/>
      <c r="AV275" s="86"/>
      <c r="AW275" s="86"/>
      <c r="AX275" s="88"/>
      <c r="AY275" s="88"/>
      <c r="AZ275" s="8"/>
      <c r="BA275" s="5"/>
      <c r="BB275" s="5"/>
      <c r="BC275" s="8"/>
      <c r="BD275" s="8"/>
      <c r="BE275" s="5"/>
      <c r="BF275" s="73"/>
      <c r="BG275" s="5"/>
      <c r="BH275" s="5"/>
      <c r="BI275" s="5"/>
      <c r="BJ275" s="5"/>
      <c r="BK275" s="5"/>
    </row>
    <row r="276" spans="1:63" s="51" customFormat="1" ht="52.5" customHeight="1">
      <c r="A276" s="5"/>
      <c r="B276" s="12"/>
      <c r="C276" s="5"/>
      <c r="D276" s="25"/>
      <c r="E276" s="8"/>
      <c r="F276" s="1"/>
      <c r="G276" s="1"/>
      <c r="H276" s="25"/>
      <c r="I276" s="7"/>
      <c r="J276" s="7"/>
      <c r="K276" s="1"/>
      <c r="L276" s="1"/>
      <c r="M276" s="8"/>
      <c r="N276" s="65"/>
      <c r="O276" s="94"/>
      <c r="P276" s="93"/>
      <c r="Q276" s="83"/>
      <c r="R276" s="1"/>
      <c r="S276" s="8"/>
      <c r="T276" s="62"/>
      <c r="U276" s="5"/>
      <c r="V276" s="8"/>
      <c r="W276" s="8"/>
      <c r="X276" s="8"/>
      <c r="Y276" s="8"/>
      <c r="Z276" s="8"/>
      <c r="AA276" s="5"/>
      <c r="AB276" s="5"/>
      <c r="AC276" s="5"/>
      <c r="AD276" s="5"/>
      <c r="AE276" s="121"/>
      <c r="AF276" s="129"/>
      <c r="AG276" s="179"/>
      <c r="AH276" s="73"/>
      <c r="AI276" s="176"/>
      <c r="AJ276" s="8"/>
      <c r="AK276" s="5"/>
      <c r="AL276" s="5"/>
      <c r="AM276" s="8"/>
      <c r="AN276" s="176"/>
      <c r="AO276" s="45"/>
      <c r="AP276" s="5"/>
      <c r="AQ276" s="86"/>
      <c r="AR276" s="86"/>
      <c r="AS276" s="87"/>
      <c r="AT276" s="88"/>
      <c r="AU276" s="88"/>
      <c r="AV276" s="86"/>
      <c r="AW276" s="86"/>
      <c r="AX276" s="88"/>
      <c r="AY276" s="88"/>
      <c r="AZ276" s="8"/>
      <c r="BA276" s="5"/>
      <c r="BB276" s="5"/>
      <c r="BC276" s="8"/>
      <c r="BD276" s="8"/>
      <c r="BE276" s="5"/>
      <c r="BF276" s="73"/>
      <c r="BG276" s="5"/>
      <c r="BH276" s="5"/>
      <c r="BI276" s="5"/>
      <c r="BJ276" s="5"/>
      <c r="BK276" s="5"/>
    </row>
    <row r="277" spans="1:63" s="51" customFormat="1" ht="52.5" customHeight="1">
      <c r="A277" s="5"/>
      <c r="B277" s="12"/>
      <c r="C277" s="5"/>
      <c r="D277" s="25"/>
      <c r="E277" s="8"/>
      <c r="F277" s="1"/>
      <c r="G277" s="1"/>
      <c r="H277" s="25"/>
      <c r="I277" s="7"/>
      <c r="J277" s="7"/>
      <c r="K277" s="1"/>
      <c r="L277" s="1"/>
      <c r="M277" s="8"/>
      <c r="N277" s="65"/>
      <c r="O277" s="94"/>
      <c r="P277" s="93"/>
      <c r="Q277" s="83"/>
      <c r="R277" s="1"/>
      <c r="S277" s="8"/>
      <c r="T277" s="62"/>
      <c r="U277" s="5"/>
      <c r="V277" s="8"/>
      <c r="W277" s="8"/>
      <c r="X277" s="8"/>
      <c r="Y277" s="8"/>
      <c r="Z277" s="8"/>
      <c r="AA277" s="5"/>
      <c r="AB277" s="5"/>
      <c r="AC277" s="5"/>
      <c r="AD277" s="5"/>
      <c r="AE277" s="121"/>
      <c r="AF277" s="129"/>
      <c r="AG277" s="179"/>
      <c r="AH277" s="73"/>
      <c r="AI277" s="176"/>
      <c r="AJ277" s="8"/>
      <c r="AK277" s="5"/>
      <c r="AL277" s="5"/>
      <c r="AM277" s="8"/>
      <c r="AN277" s="176"/>
      <c r="AO277" s="45"/>
      <c r="AP277" s="5"/>
      <c r="AQ277" s="86"/>
      <c r="AR277" s="86"/>
      <c r="AS277" s="87"/>
      <c r="AT277" s="88"/>
      <c r="AU277" s="88"/>
      <c r="AV277" s="86"/>
      <c r="AW277" s="86"/>
      <c r="AX277" s="88"/>
      <c r="AY277" s="88"/>
      <c r="AZ277" s="8"/>
      <c r="BA277" s="5"/>
      <c r="BB277" s="5"/>
      <c r="BC277" s="8"/>
      <c r="BD277" s="8"/>
      <c r="BE277" s="5"/>
      <c r="BF277" s="73"/>
      <c r="BG277" s="5"/>
      <c r="BH277" s="5"/>
      <c r="BI277" s="5"/>
      <c r="BJ277" s="5"/>
      <c r="BK277" s="5"/>
    </row>
    <row r="278" spans="1:63" s="51" customFormat="1" ht="52.5" customHeight="1">
      <c r="A278" s="5"/>
      <c r="B278" s="12"/>
      <c r="C278" s="5"/>
      <c r="D278" s="25"/>
      <c r="E278" s="8"/>
      <c r="F278" s="1"/>
      <c r="G278" s="1"/>
      <c r="H278" s="25"/>
      <c r="I278" s="7"/>
      <c r="J278" s="7"/>
      <c r="K278" s="1"/>
      <c r="L278" s="1"/>
      <c r="M278" s="8"/>
      <c r="N278" s="65"/>
      <c r="O278" s="94"/>
      <c r="P278" s="93"/>
      <c r="Q278" s="83"/>
      <c r="R278" s="1"/>
      <c r="S278" s="8"/>
      <c r="T278" s="62"/>
      <c r="U278" s="5"/>
      <c r="V278" s="8"/>
      <c r="W278" s="8"/>
      <c r="X278" s="8"/>
      <c r="Y278" s="8"/>
      <c r="Z278" s="8"/>
      <c r="AA278" s="5"/>
      <c r="AB278" s="5"/>
      <c r="AC278" s="5"/>
      <c r="AD278" s="5"/>
      <c r="AE278" s="121"/>
      <c r="AF278" s="129"/>
      <c r="AG278" s="179"/>
      <c r="AH278" s="73"/>
      <c r="AI278" s="176"/>
      <c r="AJ278" s="8"/>
      <c r="AK278" s="5"/>
      <c r="AL278" s="5"/>
      <c r="AM278" s="8"/>
      <c r="AN278" s="176"/>
      <c r="AO278" s="45"/>
      <c r="AP278" s="5"/>
      <c r="AQ278" s="86"/>
      <c r="AR278" s="86"/>
      <c r="AS278" s="87"/>
      <c r="AT278" s="88"/>
      <c r="AU278" s="88"/>
      <c r="AV278" s="86"/>
      <c r="AW278" s="86"/>
      <c r="AX278" s="88"/>
      <c r="AY278" s="88"/>
      <c r="AZ278" s="8"/>
      <c r="BA278" s="5"/>
      <c r="BB278" s="5"/>
      <c r="BC278" s="8"/>
      <c r="BD278" s="8"/>
      <c r="BE278" s="5"/>
      <c r="BF278" s="73"/>
      <c r="BG278" s="5"/>
      <c r="BH278" s="5"/>
      <c r="BI278" s="5"/>
      <c r="BJ278" s="5"/>
      <c r="BK278" s="5"/>
    </row>
  </sheetData>
  <autoFilter ref="A1:AS266" xr:uid="{00000000-0001-0000-0100-000000000000}"/>
  <phoneticPr fontId="23" type="noConversion"/>
  <conditionalFormatting sqref="C2:C31">
    <cfRule type="duplicateValues" dxfId="15" priority="65"/>
  </conditionalFormatting>
  <conditionalFormatting sqref="C32:C62">
    <cfRule type="duplicateValues" dxfId="14" priority="8"/>
  </conditionalFormatting>
  <conditionalFormatting sqref="C63:C92">
    <cfRule type="duplicateValues" dxfId="13" priority="7"/>
  </conditionalFormatting>
  <conditionalFormatting sqref="C93:C123">
    <cfRule type="duplicateValues" dxfId="12" priority="6"/>
  </conditionalFormatting>
  <conditionalFormatting sqref="C124:C130">
    <cfRule type="duplicateValues" dxfId="11" priority="4"/>
  </conditionalFormatting>
  <conditionalFormatting sqref="C131:C153">
    <cfRule type="duplicateValues" dxfId="10" priority="5"/>
  </conditionalFormatting>
  <conditionalFormatting sqref="C154:C168">
    <cfRule type="duplicateValues" dxfId="9" priority="2"/>
  </conditionalFormatting>
  <conditionalFormatting sqref="C169:C183">
    <cfRule type="duplicateValues" dxfId="8" priority="3"/>
  </conditionalFormatting>
  <conditionalFormatting sqref="C184:C208">
    <cfRule type="duplicateValues" dxfId="7" priority="1"/>
  </conditionalFormatting>
  <conditionalFormatting sqref="C234">
    <cfRule type="duplicateValues" dxfId="6" priority="17"/>
  </conditionalFormatting>
  <conditionalFormatting sqref="C243 C221">
    <cfRule type="duplicateValues" dxfId="5" priority="20"/>
  </conditionalFormatting>
  <conditionalFormatting sqref="C253">
    <cfRule type="duplicateValues" dxfId="4" priority="14"/>
  </conditionalFormatting>
  <conditionalFormatting sqref="C262">
    <cfRule type="duplicateValues" dxfId="3" priority="40"/>
  </conditionalFormatting>
  <conditionalFormatting sqref="I2:J266">
    <cfRule type="cellIs" dxfId="2" priority="64" operator="lessThan">
      <formula>0.5</formula>
    </cfRule>
  </conditionalFormatting>
  <pageMargins left="0.7" right="0.7" top="0.75" bottom="0.75" header="0.3" footer="0.3"/>
  <pageSetup paperSize="30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363"/>
  <sheetViews>
    <sheetView zoomScale="85" zoomScaleNormal="85" workbookViewId="0">
      <pane xSplit="5" ySplit="1" topLeftCell="F239" activePane="bottomRight" state="frozen"/>
      <selection pane="topRight" activeCell="E1" sqref="E1"/>
      <selection pane="bottomLeft" activeCell="A2" sqref="A2"/>
      <selection pane="bottomRight" activeCell="E256" sqref="E256"/>
    </sheetView>
  </sheetViews>
  <sheetFormatPr defaultRowHeight="15.75"/>
  <cols>
    <col min="1" max="1" width="9.140625" style="12" customWidth="1"/>
    <col min="2" max="2" width="5.7109375" style="1" customWidth="1"/>
    <col min="3" max="3" width="11" style="12" customWidth="1"/>
    <col min="4" max="4" width="15" style="12" customWidth="1"/>
    <col min="5" max="5" width="48.85546875" style="12" customWidth="1"/>
    <col min="6" max="6" width="13.28515625" style="1" customWidth="1"/>
    <col min="7" max="7" width="18.42578125" style="5" customWidth="1"/>
    <col min="8" max="8" width="14.42578125" style="1" customWidth="1"/>
    <col min="9" max="10" width="8.85546875" style="1" customWidth="1"/>
    <col min="11" max="11" width="10" style="1" customWidth="1"/>
    <col min="12" max="12" width="100.7109375" style="5" customWidth="1"/>
    <col min="13" max="16" width="29.7109375" style="5" customWidth="1"/>
    <col min="17" max="17" width="44.42578125" style="5" customWidth="1"/>
    <col min="18" max="18" width="67.7109375" style="5" customWidth="1"/>
    <col min="19" max="19" width="8" style="5" customWidth="1"/>
    <col min="20" max="20" width="36.5703125" style="5" customWidth="1"/>
    <col min="21" max="21" width="10" style="5" customWidth="1"/>
    <col min="22" max="22" width="11" style="5" customWidth="1"/>
    <col min="23" max="23" width="13.42578125" style="5" customWidth="1"/>
    <col min="24" max="24" width="24.7109375" style="5" customWidth="1"/>
    <col min="25" max="25" width="17.42578125" style="45" customWidth="1"/>
    <col min="26" max="26" width="36.5703125" style="5" customWidth="1"/>
    <col min="27" max="27" width="35.5703125" style="5" customWidth="1"/>
    <col min="28" max="28" width="10.7109375" style="5" customWidth="1"/>
    <col min="29" max="29" width="11" style="5" customWidth="1"/>
    <col min="30" max="30" width="13.42578125" style="5" customWidth="1"/>
    <col min="31" max="31" width="24.7109375" style="5" customWidth="1"/>
    <col min="32" max="32" width="19.85546875" style="45" customWidth="1"/>
    <col min="33" max="33" width="36.5703125" style="5" customWidth="1"/>
    <col min="34" max="35" width="15.42578125" style="5" customWidth="1"/>
    <col min="36" max="36" width="11" style="5" customWidth="1"/>
    <col min="37" max="38" width="13.42578125" style="5" customWidth="1"/>
    <col min="39" max="39" width="18.42578125" style="5" customWidth="1"/>
    <col min="40" max="40" width="17.28515625" style="5" customWidth="1"/>
    <col min="41" max="41" width="16.42578125" style="5" customWidth="1"/>
    <col min="42" max="42" width="28.28515625" style="5" customWidth="1"/>
    <col min="43" max="16384" width="9.140625" style="5"/>
  </cols>
  <sheetData>
    <row r="1" spans="1:42" s="8" customFormat="1" ht="37.5" customHeight="1" thickBot="1">
      <c r="A1" s="22" t="s">
        <v>138</v>
      </c>
      <c r="B1" s="2" t="s">
        <v>179</v>
      </c>
      <c r="C1" s="11" t="s">
        <v>139</v>
      </c>
      <c r="D1" s="11" t="s">
        <v>2</v>
      </c>
      <c r="E1" s="11" t="s">
        <v>140</v>
      </c>
      <c r="F1" s="2" t="s">
        <v>4</v>
      </c>
      <c r="G1" s="2" t="s">
        <v>180</v>
      </c>
      <c r="H1" s="2" t="s">
        <v>181</v>
      </c>
      <c r="I1" s="2" t="s">
        <v>5</v>
      </c>
      <c r="J1" s="2" t="s">
        <v>148</v>
      </c>
      <c r="K1" s="2" t="s">
        <v>186</v>
      </c>
      <c r="L1" s="2" t="s">
        <v>209</v>
      </c>
      <c r="M1" s="2" t="s">
        <v>182</v>
      </c>
      <c r="N1" s="2" t="s">
        <v>183</v>
      </c>
      <c r="O1" s="2" t="s">
        <v>184</v>
      </c>
      <c r="P1" s="2" t="s">
        <v>7</v>
      </c>
      <c r="Q1" s="2" t="s">
        <v>8</v>
      </c>
      <c r="R1" s="2" t="s">
        <v>9</v>
      </c>
      <c r="S1" s="2" t="s">
        <v>10</v>
      </c>
      <c r="T1" s="2" t="s">
        <v>11</v>
      </c>
      <c r="U1" s="2" t="s">
        <v>191</v>
      </c>
      <c r="V1" s="2" t="s">
        <v>12</v>
      </c>
      <c r="W1" s="2" t="s">
        <v>13</v>
      </c>
      <c r="X1" s="2" t="s">
        <v>14</v>
      </c>
      <c r="Y1" s="44" t="s">
        <v>15</v>
      </c>
      <c r="Z1" s="2" t="s">
        <v>16</v>
      </c>
      <c r="AA1" s="2" t="s">
        <v>17</v>
      </c>
      <c r="AB1" s="2" t="s">
        <v>190</v>
      </c>
      <c r="AC1" s="2" t="s">
        <v>12</v>
      </c>
      <c r="AD1" s="2" t="s">
        <v>13</v>
      </c>
      <c r="AE1" s="2" t="s">
        <v>14</v>
      </c>
      <c r="AF1" s="44" t="s">
        <v>15</v>
      </c>
      <c r="AG1" s="2" t="s">
        <v>16</v>
      </c>
      <c r="AH1" s="2" t="s">
        <v>18</v>
      </c>
      <c r="AI1" s="2" t="s">
        <v>189</v>
      </c>
      <c r="AJ1" s="2" t="s">
        <v>12</v>
      </c>
      <c r="AK1" s="2" t="s">
        <v>13</v>
      </c>
      <c r="AL1" s="2" t="s">
        <v>210</v>
      </c>
      <c r="AM1" s="2" t="s">
        <v>14</v>
      </c>
      <c r="AN1" s="2" t="s">
        <v>15</v>
      </c>
      <c r="AO1" s="2" t="s">
        <v>16</v>
      </c>
      <c r="AP1" s="8" t="s">
        <v>185</v>
      </c>
    </row>
    <row r="2" spans="1:42" s="50" customFormat="1" ht="20.100000000000001" customHeight="1" thickBot="1">
      <c r="A2" s="13" t="s">
        <v>142</v>
      </c>
      <c r="B2">
        <v>1</v>
      </c>
      <c r="C2" s="116">
        <f>'BIO DATA'!C2</f>
        <v>12470</v>
      </c>
      <c r="D2" s="116" t="str">
        <f>'BIO DATA'!D2</f>
        <v>0141962152</v>
      </c>
      <c r="E2" s="115" t="str">
        <f>'BIO DATA'!E2</f>
        <v>Agha Faeyza Barra</v>
      </c>
      <c r="F2" s="46" t="str">
        <f>'BIO DATA'!L2</f>
        <v>Laki-laki</v>
      </c>
      <c r="G2" s="9" t="str">
        <f>'BIO DATA'!M2</f>
        <v>Gresik</v>
      </c>
      <c r="H2" s="48">
        <f>'BIO DATA'!O2</f>
        <v>41746</v>
      </c>
      <c r="I2" s="46" t="str">
        <f>'BIO DATA'!R2</f>
        <v>Islam</v>
      </c>
      <c r="J2" s="47">
        <f>'BIO DATA'!I2</f>
        <v>2</v>
      </c>
      <c r="K2" s="47">
        <f>'BIO DATA'!J2</f>
        <v>2</v>
      </c>
      <c r="L2" s="9" t="str">
        <f>'BIO DATA'!S2</f>
        <v>Jl. Taman Ruby No. 11 RT 008 RW 021 Suci Manyar Gresik Jawa Timur 61151</v>
      </c>
      <c r="M2" s="9" t="str">
        <f>'BIO DATA'!U2</f>
        <v>Suci</v>
      </c>
      <c r="N2" s="9" t="str">
        <f>'BIO DATA'!V2</f>
        <v>Manyar</v>
      </c>
      <c r="O2" s="9" t="str">
        <f>'BIO DATA'!W2</f>
        <v>Gresik</v>
      </c>
      <c r="P2" s="9" t="str">
        <f>'BIO DATA'!X2</f>
        <v>Jawa Timur</v>
      </c>
      <c r="Q2" s="9" t="str">
        <f>'BIO DATA'!Y2</f>
        <v>SD Muhammadiyah Manyar</v>
      </c>
      <c r="R2" s="9" t="str">
        <f>'BIO DATA'!Z2</f>
        <v>Jl. Amuntai No.1 GKB Gresik</v>
      </c>
      <c r="S2" s="9">
        <f>'BIO DATA'!AA2</f>
        <v>0</v>
      </c>
      <c r="T2" s="9" t="str">
        <f>'BIO DATA'!AB2</f>
        <v>Rahmat Agus Santoso</v>
      </c>
      <c r="U2" s="9" t="str">
        <f>'BIO DATA'!AC2</f>
        <v>Islam</v>
      </c>
      <c r="V2" s="9" t="str">
        <f>'BIO DATA'!AD2</f>
        <v>S2</v>
      </c>
      <c r="W2" s="9" t="str">
        <f>'BIO DATA'!AE2</f>
        <v>Dosen</v>
      </c>
      <c r="X2" s="9" t="str">
        <f>'BIO DATA'!AF2</f>
        <v>5jt-10jt</v>
      </c>
      <c r="Y2" s="144" t="str">
        <f>'BIO DATA'!AG2</f>
        <v>085101387222</v>
      </c>
      <c r="Z2" s="9">
        <f>'BIO DATA'!AH2</f>
        <v>0</v>
      </c>
      <c r="AA2" s="9" t="str">
        <f>'BIO DATA'!AI2</f>
        <v>Tsalis Apriliyah</v>
      </c>
      <c r="AB2" s="9" t="str">
        <f>'BIO DATA'!AJ2</f>
        <v>Islam</v>
      </c>
      <c r="AC2" s="9" t="str">
        <f>'BIO DATA'!AK2</f>
        <v>S1</v>
      </c>
      <c r="AD2" s="9" t="str">
        <f>'BIO DATA'!AL2</f>
        <v>Karyawan Swasta</v>
      </c>
      <c r="AE2" s="9" t="str">
        <f>'BIO DATA'!AM2</f>
        <v>3jt-5jt</v>
      </c>
      <c r="AF2" s="49" t="str">
        <f>'BIO DATA'!AN2</f>
        <v>081259296871</v>
      </c>
      <c r="AG2" s="9">
        <f>'BIO DATA'!AO2</f>
        <v>0</v>
      </c>
      <c r="AH2" s="9">
        <f>'BIO DATA'!AY2</f>
        <v>0</v>
      </c>
      <c r="AI2" s="9">
        <f>'BIO DATA'!AZ2</f>
        <v>0</v>
      </c>
      <c r="AJ2" s="9">
        <f>'BIO DATA'!BA2</f>
        <v>0</v>
      </c>
      <c r="AK2" s="9">
        <f>'BIO DATA'!BB2</f>
        <v>0</v>
      </c>
      <c r="AL2" s="9">
        <f>'BIO DATA'!BC2</f>
        <v>0</v>
      </c>
      <c r="AM2" s="9">
        <f>'BIO DATA'!BD2</f>
        <v>0</v>
      </c>
      <c r="AN2" s="9">
        <f>'BIO DATA'!BE2</f>
        <v>0</v>
      </c>
      <c r="AO2" s="9">
        <f>'BIO DATA'!BF2</f>
        <v>0</v>
      </c>
      <c r="AP2" s="50" t="str">
        <f>'BIO DATA'!BG2</f>
        <v>Muhammad Irfan Syihab, S.Hum.</v>
      </c>
    </row>
    <row r="3" spans="1:42" s="50" customFormat="1" ht="20.100000000000001" customHeight="1" thickBot="1">
      <c r="A3" s="13" t="s">
        <v>142</v>
      </c>
      <c r="B3">
        <v>11</v>
      </c>
      <c r="C3" s="116">
        <f>'BIO DATA'!C3</f>
        <v>12475</v>
      </c>
      <c r="D3" s="116" t="str">
        <f>'BIO DATA'!D3</f>
        <v>0138659690</v>
      </c>
      <c r="E3" s="115" t="str">
        <f>'BIO DATA'!E3</f>
        <v>Ahmad Ibrahim Al Mahmudi</v>
      </c>
      <c r="F3" s="46" t="str">
        <f>'BIO DATA'!L3</f>
        <v>Laki-laki</v>
      </c>
      <c r="G3" s="9" t="str">
        <f>'BIO DATA'!M3</f>
        <v>Gresik</v>
      </c>
      <c r="H3" s="48">
        <f>'BIO DATA'!O3</f>
        <v>41609</v>
      </c>
      <c r="I3" s="46" t="str">
        <f>'BIO DATA'!R3</f>
        <v>Islam</v>
      </c>
      <c r="J3" s="47">
        <f>'BIO DATA'!I3</f>
        <v>3</v>
      </c>
      <c r="K3" s="47">
        <f>'BIO DATA'!J3</f>
        <v>2</v>
      </c>
      <c r="L3" s="9" t="str">
        <f>'BIO DATA'!S3</f>
        <v>Dsn. Kalisari RT 009 RW 004 Kalipadang Benjeng Gresk Jawa Timur 61172</v>
      </c>
      <c r="M3" s="9" t="str">
        <f>'BIO DATA'!U3</f>
        <v>Kalipadang</v>
      </c>
      <c r="N3" s="9" t="str">
        <f>'BIO DATA'!V3</f>
        <v>Benjeng</v>
      </c>
      <c r="O3" s="9" t="str">
        <f>'BIO DATA'!W3</f>
        <v>Gresik</v>
      </c>
      <c r="P3" s="9" t="str">
        <f>'BIO DATA'!X3</f>
        <v>Jawa Timur</v>
      </c>
      <c r="Q3" s="9" t="str">
        <f>'BIO DATA'!Y3</f>
        <v>SD Muhamadiyah 1 Balongpanggang Gresik</v>
      </c>
      <c r="R3" s="9" t="str">
        <f>'BIO DATA'!Z3</f>
        <v>Jl. Kedungpring No.21, Wates, Kedungpring, Kec. Balongpanggang, Kabupaten Gresik, Jawa Timur 61173, Indonesia</v>
      </c>
      <c r="S3" s="9">
        <f>'BIO DATA'!AA3</f>
        <v>0</v>
      </c>
      <c r="T3" s="9" t="str">
        <f>'BIO DATA'!AB3</f>
        <v>Mudiono</v>
      </c>
      <c r="U3" s="9" t="str">
        <f>'BIO DATA'!AC3</f>
        <v>Islam</v>
      </c>
      <c r="V3" s="9" t="str">
        <f>'BIO DATA'!AD3</f>
        <v>SLTA</v>
      </c>
      <c r="W3" s="9" t="str">
        <f>'BIO DATA'!AE3</f>
        <v>Wiraswasta</v>
      </c>
      <c r="X3" s="9" t="str">
        <f>'BIO DATA'!AF3</f>
        <v>&gt;10jt</v>
      </c>
      <c r="Y3" s="144" t="str">
        <f>'BIO DATA'!AG3</f>
        <v>081553167008</v>
      </c>
      <c r="Z3" s="9">
        <f>'BIO DATA'!AH3</f>
        <v>0</v>
      </c>
      <c r="AA3" s="9" t="str">
        <f>'BIO DATA'!AI3</f>
        <v>Kastini</v>
      </c>
      <c r="AB3" s="9" t="str">
        <f>'BIO DATA'!AJ3</f>
        <v>Islam</v>
      </c>
      <c r="AC3" s="9" t="str">
        <f>'BIO DATA'!AK3</f>
        <v>SLTA</v>
      </c>
      <c r="AD3" s="9" t="str">
        <f>'BIO DATA'!AL3</f>
        <v>Ibu Rumah Tangga</v>
      </c>
      <c r="AE3" s="9" t="str">
        <f>'BIO DATA'!AM3</f>
        <v>1jt-3jt</v>
      </c>
      <c r="AF3" s="49" t="str">
        <f>'BIO DATA'!AN3</f>
        <v>085101680518</v>
      </c>
      <c r="AG3" s="9">
        <f>'BIO DATA'!AO3</f>
        <v>0</v>
      </c>
      <c r="AH3" s="9">
        <f>'BIO DATA'!AY3</f>
        <v>0</v>
      </c>
      <c r="AI3" s="9">
        <f>'BIO DATA'!AZ3</f>
        <v>0</v>
      </c>
      <c r="AJ3" s="9">
        <f>'BIO DATA'!BA3</f>
        <v>0</v>
      </c>
      <c r="AK3" s="9">
        <f>'BIO DATA'!BB3</f>
        <v>0</v>
      </c>
      <c r="AL3" s="9">
        <f>'BIO DATA'!BC3</f>
        <v>0</v>
      </c>
      <c r="AM3" s="9">
        <f>'BIO DATA'!BD3</f>
        <v>0</v>
      </c>
      <c r="AN3" s="9">
        <f>'BIO DATA'!BE3</f>
        <v>0</v>
      </c>
      <c r="AO3" s="9">
        <f>'BIO DATA'!BF3</f>
        <v>0</v>
      </c>
      <c r="AP3" s="50" t="str">
        <f>'BIO DATA'!BG3</f>
        <v>Muhammad Irfan Syihab, S.Hum.</v>
      </c>
    </row>
    <row r="4" spans="1:42" s="51" customFormat="1" ht="20.100000000000001" customHeight="1" thickBot="1">
      <c r="A4" s="13" t="s">
        <v>142</v>
      </c>
      <c r="B4">
        <v>12</v>
      </c>
      <c r="C4" s="116">
        <f>'BIO DATA'!C4</f>
        <v>12487</v>
      </c>
      <c r="D4" s="116">
        <f>'BIO DATA'!D4</f>
        <v>3153546425</v>
      </c>
      <c r="E4" s="115" t="str">
        <f>'BIO DATA'!E4</f>
        <v>Almer Bahi Mahdy</v>
      </c>
      <c r="F4" s="46" t="str">
        <f>'BIO DATA'!L4</f>
        <v>Laki-laki</v>
      </c>
      <c r="G4" s="9" t="str">
        <f>'BIO DATA'!M4</f>
        <v>Padang</v>
      </c>
      <c r="H4" s="48">
        <f>'BIO DATA'!O4</f>
        <v>41654</v>
      </c>
      <c r="I4" s="46" t="str">
        <f>'BIO DATA'!R4</f>
        <v>Islam</v>
      </c>
      <c r="J4" s="47">
        <f>'BIO DATA'!I4</f>
        <v>4</v>
      </c>
      <c r="K4" s="47">
        <f>'BIO DATA'!J4</f>
        <v>3</v>
      </c>
      <c r="L4" s="9" t="str">
        <f>'BIO DATA'!S4</f>
        <v>Jl. Tanjung Raja 1 No. 48 RT 002 RW 037 Perak Barat Krembangan Kota Surabaya Jawa Timur 60177</v>
      </c>
      <c r="M4" s="9" t="str">
        <f>'BIO DATA'!U4</f>
        <v>Perak Barat</v>
      </c>
      <c r="N4" s="9" t="str">
        <f>'BIO DATA'!V4</f>
        <v>Krembangan</v>
      </c>
      <c r="O4" s="9" t="str">
        <f>'BIO DATA'!W4</f>
        <v>Kota Surabaya</v>
      </c>
      <c r="P4" s="9" t="str">
        <f>'BIO DATA'!X4</f>
        <v>Jawa Timur</v>
      </c>
      <c r="Q4" s="9" t="str">
        <f>'BIO DATA'!Y4</f>
        <v>SDN Perak Barat, Surabaya</v>
      </c>
      <c r="R4" s="9">
        <f>'BIO DATA'!Z4</f>
        <v>0</v>
      </c>
      <c r="S4" s="9">
        <f>'BIO DATA'!AA4</f>
        <v>0</v>
      </c>
      <c r="T4" s="9" t="str">
        <f>'BIO DATA'!AB4</f>
        <v>Budiarto</v>
      </c>
      <c r="U4" s="9" t="str">
        <f>'BIO DATA'!AC4</f>
        <v>Islam</v>
      </c>
      <c r="V4" s="9" t="str">
        <f>'BIO DATA'!AD4</f>
        <v>SLTA</v>
      </c>
      <c r="W4" s="9" t="str">
        <f>'BIO DATA'!AE4</f>
        <v>PNS</v>
      </c>
      <c r="X4" s="9">
        <f>'BIO DATA'!AF4</f>
        <v>0</v>
      </c>
      <c r="Y4" s="144" t="str">
        <f>'BIO DATA'!AG4</f>
        <v>08131515040</v>
      </c>
      <c r="Z4" s="9">
        <f>'BIO DATA'!AH4</f>
        <v>0</v>
      </c>
      <c r="AA4" s="9">
        <f>'BIO DATA'!AI4</f>
        <v>0</v>
      </c>
      <c r="AB4" s="9" t="str">
        <f>'BIO DATA'!AJ4</f>
        <v>Islam</v>
      </c>
      <c r="AC4" s="9" t="str">
        <f>'BIO DATA'!AK4</f>
        <v>D-3</v>
      </c>
      <c r="AD4" s="9" t="str">
        <f>'BIO DATA'!AL4</f>
        <v>Ibu Rumah Tangga</v>
      </c>
      <c r="AE4" s="9">
        <f>'BIO DATA'!AM4</f>
        <v>0</v>
      </c>
      <c r="AF4" s="49" t="str">
        <f>'BIO DATA'!AN4</f>
        <v>081310624679</v>
      </c>
      <c r="AG4" s="9">
        <f>'BIO DATA'!AO4</f>
        <v>0</v>
      </c>
      <c r="AH4" s="9">
        <f>'BIO DATA'!AY4</f>
        <v>0</v>
      </c>
      <c r="AI4" s="9">
        <f>'BIO DATA'!AZ4</f>
        <v>0</v>
      </c>
      <c r="AJ4" s="9">
        <f>'BIO DATA'!BA4</f>
        <v>0</v>
      </c>
      <c r="AK4" s="9">
        <f>'BIO DATA'!BB4</f>
        <v>0</v>
      </c>
      <c r="AL4" s="9">
        <f>'BIO DATA'!BC4</f>
        <v>0</v>
      </c>
      <c r="AM4" s="9">
        <f>'BIO DATA'!BD4</f>
        <v>0</v>
      </c>
      <c r="AN4" s="9">
        <f>'BIO DATA'!BE4</f>
        <v>0</v>
      </c>
      <c r="AO4" s="9">
        <f>'BIO DATA'!BF4</f>
        <v>0</v>
      </c>
      <c r="AP4" s="50" t="str">
        <f>'BIO DATA'!BG4</f>
        <v>Muhammad Irfan Syihab, S.Hum.</v>
      </c>
    </row>
    <row r="5" spans="1:42" s="51" customFormat="1" ht="20.100000000000001" customHeight="1" thickBot="1">
      <c r="A5" s="13" t="s">
        <v>142</v>
      </c>
      <c r="B5">
        <v>14</v>
      </c>
      <c r="C5" s="116">
        <f>'BIO DATA'!C5</f>
        <v>12488</v>
      </c>
      <c r="D5" s="116" t="str">
        <f>'BIO DATA'!D5</f>
        <v>0137676177</v>
      </c>
      <c r="E5" s="115" t="str">
        <f>'BIO DATA'!E5</f>
        <v>Ammar Abdul Aziz</v>
      </c>
      <c r="F5" s="46" t="str">
        <f>'BIO DATA'!L5</f>
        <v>Laki-laki</v>
      </c>
      <c r="G5" s="9" t="str">
        <f>'BIO DATA'!M5</f>
        <v>Denpasar</v>
      </c>
      <c r="H5" s="48">
        <f>'BIO DATA'!O5</f>
        <v>41487</v>
      </c>
      <c r="I5" s="46" t="str">
        <f>'BIO DATA'!R5</f>
        <v>Islam</v>
      </c>
      <c r="J5" s="47">
        <f>'BIO DATA'!I5</f>
        <v>1</v>
      </c>
      <c r="K5" s="47">
        <f>'BIO DATA'!J5</f>
        <v>2</v>
      </c>
      <c r="L5" s="9" t="str">
        <f>'BIO DATA'!S5</f>
        <v>Jl. Padang Kartika I No. 20 DPS, BR/Link. Teges Padangsambian Kelod Denpasar Barat Kota Denpasar Bali</v>
      </c>
      <c r="M5" s="9" t="str">
        <f>'BIO DATA'!U5</f>
        <v>Padangsambian Kelod</v>
      </c>
      <c r="N5" s="9" t="str">
        <f>'BIO DATA'!V5</f>
        <v>Denpasar Barat</v>
      </c>
      <c r="O5" s="9" t="str">
        <f>'BIO DATA'!W5</f>
        <v>Kota Denpasar</v>
      </c>
      <c r="P5" s="9" t="str">
        <f>'BIO DATA'!X5</f>
        <v>Bali</v>
      </c>
      <c r="Q5" s="9" t="str">
        <f>'BIO DATA'!Y5</f>
        <v>SD Muhammadiyah Tabanan</v>
      </c>
      <c r="R5" s="9" t="str">
        <f>'BIO DATA'!Z5</f>
        <v>Jl. Pulau Nias No. 39 C Tabanan</v>
      </c>
      <c r="S5" s="9">
        <f>'BIO DATA'!AA5</f>
        <v>0</v>
      </c>
      <c r="T5" s="9" t="str">
        <f>'BIO DATA'!AB5</f>
        <v>Aditya Budi Prabowo</v>
      </c>
      <c r="U5" s="9" t="str">
        <f>'BIO DATA'!AC5</f>
        <v>Islam</v>
      </c>
      <c r="V5" s="9" t="str">
        <f>'BIO DATA'!AD5</f>
        <v>D-3</v>
      </c>
      <c r="W5" s="9" t="str">
        <f>'BIO DATA'!AE5</f>
        <v>PNS</v>
      </c>
      <c r="X5" s="9" t="str">
        <f>'BIO DATA'!AF5</f>
        <v>5jt-10jt</v>
      </c>
      <c r="Y5" s="144" t="str">
        <f>'BIO DATA'!AG5</f>
        <v>083119033255</v>
      </c>
      <c r="Z5" s="9">
        <f>'BIO DATA'!AH5</f>
        <v>0</v>
      </c>
      <c r="AA5" s="9" t="str">
        <f>'BIO DATA'!AI5</f>
        <v>Sudarwati</v>
      </c>
      <c r="AB5" s="9" t="str">
        <f>'BIO DATA'!AJ5</f>
        <v>Islam</v>
      </c>
      <c r="AC5" s="9" t="str">
        <f>'BIO DATA'!AK5</f>
        <v>SLTA</v>
      </c>
      <c r="AD5" s="9" t="str">
        <f>'BIO DATA'!AL5</f>
        <v>Ibu Rumah Tangga</v>
      </c>
      <c r="AE5" s="9" t="str">
        <f>'BIO DATA'!AM5</f>
        <v>&lt; 500rb</v>
      </c>
      <c r="AF5" s="49" t="str">
        <f>'BIO DATA'!AN5</f>
        <v>087862216787</v>
      </c>
      <c r="AG5" s="9">
        <f>'BIO DATA'!AO5</f>
        <v>0</v>
      </c>
      <c r="AH5" s="9">
        <f>'BIO DATA'!AY5</f>
        <v>0</v>
      </c>
      <c r="AI5" s="9">
        <f>'BIO DATA'!AZ5</f>
        <v>0</v>
      </c>
      <c r="AJ5" s="9">
        <f>'BIO DATA'!BA5</f>
        <v>0</v>
      </c>
      <c r="AK5" s="9">
        <f>'BIO DATA'!BB5</f>
        <v>0</v>
      </c>
      <c r="AL5" s="9">
        <f>'BIO DATA'!BC5</f>
        <v>0</v>
      </c>
      <c r="AM5" s="9">
        <f>'BIO DATA'!BD5</f>
        <v>0</v>
      </c>
      <c r="AN5" s="9">
        <f>'BIO DATA'!BE5</f>
        <v>0</v>
      </c>
      <c r="AO5" s="9">
        <f>'BIO DATA'!BF5</f>
        <v>0</v>
      </c>
      <c r="AP5" s="50" t="str">
        <f>'BIO DATA'!BG5</f>
        <v>Muhammad Irfan Syihab, S.Hum.</v>
      </c>
    </row>
    <row r="6" spans="1:42" s="51" customFormat="1" ht="20.100000000000001" customHeight="1" thickBot="1">
      <c r="A6" s="13" t="s">
        <v>142</v>
      </c>
      <c r="B6">
        <v>38</v>
      </c>
      <c r="C6" s="116">
        <f>'BIO DATA'!C6</f>
        <v>12506</v>
      </c>
      <c r="D6" s="116" t="str">
        <f>'BIO DATA'!D6</f>
        <v>0144148854</v>
      </c>
      <c r="E6" s="115" t="str">
        <f>'BIO DATA'!E6</f>
        <v>Attaya Fikri Rizqullah</v>
      </c>
      <c r="F6" s="46" t="str">
        <f>'BIO DATA'!L6</f>
        <v>Laki-laki</v>
      </c>
      <c r="G6" s="9" t="str">
        <f>'BIO DATA'!M6</f>
        <v>Gresik</v>
      </c>
      <c r="H6" s="48">
        <f>'BIO DATA'!O6</f>
        <v>41895</v>
      </c>
      <c r="I6" s="46" t="str">
        <f>'BIO DATA'!R6</f>
        <v>Islam</v>
      </c>
      <c r="J6" s="47">
        <f>'BIO DATA'!I6</f>
        <v>2</v>
      </c>
      <c r="K6" s="47">
        <f>'BIO DATA'!J6</f>
        <v>1</v>
      </c>
      <c r="L6" s="9" t="str">
        <f>'BIO DATA'!S6</f>
        <v>Dr. Wahidin SH 316 RT 001 RW 003 Randuagung Kebomas Gresik Jawa Timur 61121</v>
      </c>
      <c r="M6" s="9" t="str">
        <f>'BIO DATA'!U6</f>
        <v>Randuagung</v>
      </c>
      <c r="N6" s="9" t="str">
        <f>'BIO DATA'!V6</f>
        <v>Kebomas</v>
      </c>
      <c r="O6" s="9" t="str">
        <f>'BIO DATA'!W6</f>
        <v>Gresik</v>
      </c>
      <c r="P6" s="9" t="str">
        <f>'BIO DATA'!X6</f>
        <v>Jawa Timur</v>
      </c>
      <c r="Q6" s="9" t="str">
        <f>'BIO DATA'!Y6</f>
        <v>SD Muhammadiyah Manyar Gresik</v>
      </c>
      <c r="R6" s="9" t="str">
        <f>'BIO DATA'!Z6</f>
        <v>Jalan Amuntai no 1 Yosowilangun Manyar Gresik</v>
      </c>
      <c r="S6" s="9">
        <f>'BIO DATA'!AA6</f>
        <v>0</v>
      </c>
      <c r="T6" s="9" t="str">
        <f>'BIO DATA'!AB6</f>
        <v>Kemal Abdi, SE</v>
      </c>
      <c r="U6" s="9" t="str">
        <f>'BIO DATA'!AC6</f>
        <v>Islam</v>
      </c>
      <c r="V6" s="9" t="str">
        <f>'BIO DATA'!AD6</f>
        <v>S1</v>
      </c>
      <c r="W6" s="9" t="str">
        <f>'BIO DATA'!AE6</f>
        <v>Karyawan Swasta</v>
      </c>
      <c r="X6" s="9" t="str">
        <f>'BIO DATA'!AF6</f>
        <v>5jt-10jt</v>
      </c>
      <c r="Y6" s="144" t="str">
        <f>'BIO DATA'!AG6</f>
        <v>081330258061</v>
      </c>
      <c r="Z6" s="9">
        <f>'BIO DATA'!AH6</f>
        <v>0</v>
      </c>
      <c r="AA6" s="9" t="str">
        <f>'BIO DATA'!AI6</f>
        <v>Ririn Aprilianti Astuti, SE</v>
      </c>
      <c r="AB6" s="9" t="str">
        <f>'BIO DATA'!AJ6</f>
        <v>Islam</v>
      </c>
      <c r="AC6" s="9" t="str">
        <f>'BIO DATA'!AK6</f>
        <v>S1</v>
      </c>
      <c r="AD6" s="9" t="str">
        <f>'BIO DATA'!AL6</f>
        <v>Karyawan Swasta</v>
      </c>
      <c r="AE6" s="9" t="str">
        <f>'BIO DATA'!AM6</f>
        <v>&lt; 500rb</v>
      </c>
      <c r="AF6" s="49" t="str">
        <f>'BIO DATA'!AN6</f>
        <v>0895365035007</v>
      </c>
      <c r="AG6" s="9">
        <f>'BIO DATA'!AO6</f>
        <v>0</v>
      </c>
      <c r="AH6" s="9">
        <f>'BIO DATA'!AY6</f>
        <v>0</v>
      </c>
      <c r="AI6" s="9">
        <f>'BIO DATA'!AZ6</f>
        <v>0</v>
      </c>
      <c r="AJ6" s="9">
        <f>'BIO DATA'!BA6</f>
        <v>0</v>
      </c>
      <c r="AK6" s="9">
        <f>'BIO DATA'!BB6</f>
        <v>0</v>
      </c>
      <c r="AL6" s="9">
        <f>'BIO DATA'!BC6</f>
        <v>0</v>
      </c>
      <c r="AM6" s="9">
        <f>'BIO DATA'!BD6</f>
        <v>0</v>
      </c>
      <c r="AN6" s="9">
        <f>'BIO DATA'!BE6</f>
        <v>0</v>
      </c>
      <c r="AO6" s="9">
        <f>'BIO DATA'!BF6</f>
        <v>0</v>
      </c>
      <c r="AP6" s="50" t="str">
        <f>'BIO DATA'!BG6</f>
        <v>Muhammad Irfan Syihab, S.Hum.</v>
      </c>
    </row>
    <row r="7" spans="1:42" s="51" customFormat="1" ht="20.100000000000001" customHeight="1" thickBot="1">
      <c r="A7" s="13" t="s">
        <v>142</v>
      </c>
      <c r="B7">
        <v>40</v>
      </c>
      <c r="C7" s="116">
        <f>'BIO DATA'!C7</f>
        <v>12518</v>
      </c>
      <c r="D7" s="116" t="str">
        <f>'BIO DATA'!D7</f>
        <v>0142430159</v>
      </c>
      <c r="E7" s="115" t="str">
        <f>'BIO DATA'!E7</f>
        <v>Bisma Pragaswara Suprapto</v>
      </c>
      <c r="F7" s="46" t="str">
        <f>'BIO DATA'!L7</f>
        <v>Laki-laki</v>
      </c>
      <c r="G7" s="9" t="str">
        <f>'BIO DATA'!M7</f>
        <v>Batam</v>
      </c>
      <c r="H7" s="48">
        <f>'BIO DATA'!O7</f>
        <v>41735</v>
      </c>
      <c r="I7" s="46" t="str">
        <f>'BIO DATA'!R7</f>
        <v>Islam</v>
      </c>
      <c r="J7" s="47">
        <f>'BIO DATA'!I7</f>
        <v>1</v>
      </c>
      <c r="K7" s="47">
        <f>'BIO DATA'!J7</f>
        <v>1</v>
      </c>
      <c r="L7" s="9" t="str">
        <f>'BIO DATA'!S7</f>
        <v>Perum Marbela Extention Blok G1 No. 6 RT 003 RW 039 Belian Batam Kota Kota Batam Kep. Riau</v>
      </c>
      <c r="M7" s="9" t="str">
        <f>'BIO DATA'!U7</f>
        <v>Belian</v>
      </c>
      <c r="N7" s="9" t="str">
        <f>'BIO DATA'!V7</f>
        <v>Batam Kota</v>
      </c>
      <c r="O7" s="9" t="str">
        <f>'BIO DATA'!W7</f>
        <v>Kota Batam</v>
      </c>
      <c r="P7" s="9" t="str">
        <f>'BIO DATA'!X7</f>
        <v>Kepulauan Riau</v>
      </c>
      <c r="Q7" s="9" t="str">
        <f>'BIO DATA'!Y7</f>
        <v>SD Muhammadiyah Plus Batam</v>
      </c>
      <c r="R7" s="9" t="str">
        <f>'BIO DATA'!Z7</f>
        <v xml:space="preserve"> Perumahan Kurnia Djaja Alam Jl. Kutilang Raya Kel. Belian Kec. Batam Kota - Batam Prov. Kepri - Indonesia</v>
      </c>
      <c r="S7" s="9">
        <f>'BIO DATA'!AA7</f>
        <v>0</v>
      </c>
      <c r="T7" s="9" t="str">
        <f>'BIO DATA'!AB7</f>
        <v>Eko Setiono</v>
      </c>
      <c r="U7" s="9" t="str">
        <f>'BIO DATA'!AC7</f>
        <v>Islam</v>
      </c>
      <c r="V7" s="9" t="str">
        <f>'BIO DATA'!AD7</f>
        <v>S1</v>
      </c>
      <c r="W7" s="9" t="str">
        <f>'BIO DATA'!AE7</f>
        <v>Wiraswasta</v>
      </c>
      <c r="X7" s="9" t="str">
        <f>'BIO DATA'!AF7</f>
        <v>5jt-10jt</v>
      </c>
      <c r="Y7" s="144" t="str">
        <f>'BIO DATA'!AG7</f>
        <v>08976811172</v>
      </c>
      <c r="Z7" s="9">
        <f>'BIO DATA'!AH7</f>
        <v>0</v>
      </c>
      <c r="AA7" s="9" t="str">
        <f>'BIO DATA'!AI7</f>
        <v>Muntiati</v>
      </c>
      <c r="AB7" s="9" t="str">
        <f>'BIO DATA'!AJ7</f>
        <v>Islam</v>
      </c>
      <c r="AC7" s="9" t="str">
        <f>'BIO DATA'!AK7</f>
        <v>SLTA</v>
      </c>
      <c r="AD7" s="9" t="str">
        <f>'BIO DATA'!AL7</f>
        <v>Ibu Rumah Tangga</v>
      </c>
      <c r="AE7" s="9" t="str">
        <f>'BIO DATA'!AM7</f>
        <v>1jt-3jt</v>
      </c>
      <c r="AF7" s="49" t="str">
        <f>'BIO DATA'!AN7</f>
        <v>085355754132</v>
      </c>
      <c r="AG7" s="9">
        <f>'BIO DATA'!AO7</f>
        <v>0</v>
      </c>
      <c r="AH7" s="9">
        <f>'BIO DATA'!AY7</f>
        <v>0</v>
      </c>
      <c r="AI7" s="9">
        <f>'BIO DATA'!AZ7</f>
        <v>0</v>
      </c>
      <c r="AJ7" s="9">
        <f>'BIO DATA'!BA7</f>
        <v>0</v>
      </c>
      <c r="AK7" s="9">
        <f>'BIO DATA'!BB7</f>
        <v>0</v>
      </c>
      <c r="AL7" s="9">
        <f>'BIO DATA'!BC7</f>
        <v>0</v>
      </c>
      <c r="AM7" s="9">
        <f>'BIO DATA'!BD7</f>
        <v>0</v>
      </c>
      <c r="AN7" s="9">
        <f>'BIO DATA'!BE7</f>
        <v>0</v>
      </c>
      <c r="AO7" s="9">
        <f>'BIO DATA'!BF7</f>
        <v>0</v>
      </c>
      <c r="AP7" s="50" t="str">
        <f>'BIO DATA'!BG7</f>
        <v>Muhammad Irfan Syihab, S.Hum.</v>
      </c>
    </row>
    <row r="8" spans="1:42" s="51" customFormat="1" ht="20.100000000000001" customHeight="1" thickBot="1">
      <c r="A8" s="13" t="s">
        <v>142</v>
      </c>
      <c r="B8">
        <v>64</v>
      </c>
      <c r="C8" s="116">
        <f>'BIO DATA'!C8</f>
        <v>12527</v>
      </c>
      <c r="D8" s="116" t="str">
        <f>'BIO DATA'!D8</f>
        <v>0134521478</v>
      </c>
      <c r="E8" s="115" t="str">
        <f>'BIO DATA'!E8</f>
        <v>Dava Ad Dzikri</v>
      </c>
      <c r="F8" s="46" t="str">
        <f>'BIO DATA'!L8</f>
        <v>Laki-laki</v>
      </c>
      <c r="G8" s="9" t="str">
        <f>'BIO DATA'!M8</f>
        <v>Ambon</v>
      </c>
      <c r="H8" s="48">
        <f>'BIO DATA'!O8</f>
        <v>41633</v>
      </c>
      <c r="I8" s="46" t="str">
        <f>'BIO DATA'!R8</f>
        <v>Islam</v>
      </c>
      <c r="J8" s="47">
        <f>'BIO DATA'!I8</f>
        <v>1</v>
      </c>
      <c r="K8" s="47">
        <f>'BIO DATA'!J8</f>
        <v>1</v>
      </c>
      <c r="L8" s="9" t="str">
        <f>'BIO DATA'!S8</f>
        <v>Perum Mahkota Mutiara Permai RT 003 RW 005 Lodar El Pulau Dullah Selatan Kota Tual Maluku</v>
      </c>
      <c r="M8" s="9" t="str">
        <f>'BIO DATA'!U8</f>
        <v>Lodar El</v>
      </c>
      <c r="N8" s="9" t="str">
        <f>'BIO DATA'!V8</f>
        <v>Pulau Dullah Selatan</v>
      </c>
      <c r="O8" s="9" t="str">
        <f>'BIO DATA'!W8</f>
        <v>Kota Tual</v>
      </c>
      <c r="P8" s="9" t="str">
        <f>'BIO DATA'!X8</f>
        <v>Maluku</v>
      </c>
      <c r="Q8" s="9" t="str">
        <f>'BIO DATA'!Y8</f>
        <v>SD Islam Imam Asy-Syafi'i Tual</v>
      </c>
      <c r="R8" s="9" t="str">
        <f>'BIO DATA'!Z8</f>
        <v>BTN koperasi Tual</v>
      </c>
      <c r="S8" s="9">
        <f>'BIO DATA'!AA8</f>
        <v>0</v>
      </c>
      <c r="T8" s="9" t="str">
        <f>'BIO DATA'!AB8</f>
        <v>Amirudin</v>
      </c>
      <c r="U8" s="9" t="str">
        <f>'BIO DATA'!AC8</f>
        <v>Islam</v>
      </c>
      <c r="V8" s="9" t="str">
        <f>'BIO DATA'!AD8</f>
        <v>SLTA</v>
      </c>
      <c r="W8" s="9" t="str">
        <f>'BIO DATA'!AE8</f>
        <v>Wiraswasta</v>
      </c>
      <c r="X8" s="9" t="str">
        <f>'BIO DATA'!AF8</f>
        <v>3jt-5jt</v>
      </c>
      <c r="Y8" s="144" t="str">
        <f>'BIO DATA'!AG8</f>
        <v>08114788789</v>
      </c>
      <c r="Z8" s="9">
        <f>'BIO DATA'!AH8</f>
        <v>0</v>
      </c>
      <c r="AA8" s="9" t="str">
        <f>'BIO DATA'!AI8</f>
        <v>Rahma Juwita</v>
      </c>
      <c r="AB8" s="9" t="str">
        <f>'BIO DATA'!AJ8</f>
        <v>Islam</v>
      </c>
      <c r="AC8" s="9" t="str">
        <f>'BIO DATA'!AK8</f>
        <v>SLTA</v>
      </c>
      <c r="AD8" s="9" t="str">
        <f>'BIO DATA'!AL8</f>
        <v>Ibu Rumah Tangga</v>
      </c>
      <c r="AE8" s="9" t="str">
        <f>'BIO DATA'!AM8</f>
        <v>1jt-3jt</v>
      </c>
      <c r="AF8" s="49" t="str">
        <f>'BIO DATA'!AN8</f>
        <v>085243565031</v>
      </c>
      <c r="AG8" s="9">
        <f>'BIO DATA'!AO8</f>
        <v>0</v>
      </c>
      <c r="AH8" s="9">
        <f>'BIO DATA'!AY8</f>
        <v>0</v>
      </c>
      <c r="AI8" s="9">
        <f>'BIO DATA'!AZ8</f>
        <v>0</v>
      </c>
      <c r="AJ8" s="9">
        <f>'BIO DATA'!BA8</f>
        <v>0</v>
      </c>
      <c r="AK8" s="9">
        <f>'BIO DATA'!BB8</f>
        <v>0</v>
      </c>
      <c r="AL8" s="9">
        <f>'BIO DATA'!BC8</f>
        <v>0</v>
      </c>
      <c r="AM8" s="9">
        <f>'BIO DATA'!BD8</f>
        <v>0</v>
      </c>
      <c r="AN8" s="9">
        <f>'BIO DATA'!BE8</f>
        <v>0</v>
      </c>
      <c r="AO8" s="9">
        <f>'BIO DATA'!BF8</f>
        <v>0</v>
      </c>
      <c r="AP8" s="50" t="str">
        <f>'BIO DATA'!BG8</f>
        <v>Muhammad Irfan Syihab, S.Hum.</v>
      </c>
    </row>
    <row r="9" spans="1:42" s="51" customFormat="1" ht="20.100000000000001" customHeight="1" thickBot="1">
      <c r="A9" s="13" t="s">
        <v>142</v>
      </c>
      <c r="B9">
        <v>81</v>
      </c>
      <c r="C9" s="116">
        <f>'BIO DATA'!C9</f>
        <v>12529</v>
      </c>
      <c r="D9" s="116">
        <f>'BIO DATA'!D9</f>
        <v>3137470894</v>
      </c>
      <c r="E9" s="115" t="str">
        <f>'BIO DATA'!E9</f>
        <v>Dhio Itqon Ilmi Izzulhaqq</v>
      </c>
      <c r="F9" s="46" t="str">
        <f>'BIO DATA'!L9</f>
        <v>Laki-laki</v>
      </c>
      <c r="G9" s="9" t="str">
        <f>'BIO DATA'!M9</f>
        <v>Yogyakarta</v>
      </c>
      <c r="H9" s="48">
        <f>'BIO DATA'!O9</f>
        <v>41633</v>
      </c>
      <c r="I9" s="46" t="str">
        <f>'BIO DATA'!R9</f>
        <v>Islam</v>
      </c>
      <c r="J9" s="47">
        <f>'BIO DATA'!I9</f>
        <v>6</v>
      </c>
      <c r="K9" s="47">
        <f>'BIO DATA'!J9</f>
        <v>5</v>
      </c>
      <c r="L9" s="9" t="str">
        <f>'BIO DATA'!S9</f>
        <v>Minggiran MJ 2/1482 B RT 056 RW 015 Suryodiningratan Mantrijeron Kota Yogyakarta DIY</v>
      </c>
      <c r="M9" s="9" t="str">
        <f>'BIO DATA'!U9</f>
        <v>Suryodiningratan</v>
      </c>
      <c r="N9" s="9" t="str">
        <f>'BIO DATA'!V9</f>
        <v>Mantrijeron</v>
      </c>
      <c r="O9" s="9" t="str">
        <f>'BIO DATA'!W9</f>
        <v>Kota Yogyakarta</v>
      </c>
      <c r="P9" s="9" t="str">
        <f>'BIO DATA'!X9</f>
        <v>DIY</v>
      </c>
      <c r="Q9" s="9" t="str">
        <f>'BIO DATA'!Y9</f>
        <v>SD Muhamadiyah Wirobrajan 3 Yogyakarta</v>
      </c>
      <c r="R9" s="9" t="str">
        <f>'BIO DATA'!Z9</f>
        <v>Jl. Gatotkaca No.19A, Wirobrajan, Kota Yogyakarta, Derah Istimewa Yogyakarta 55252</v>
      </c>
      <c r="S9" s="9">
        <f>'BIO DATA'!AA9</f>
        <v>0</v>
      </c>
      <c r="T9" s="9" t="str">
        <f>'BIO DATA'!AB9</f>
        <v>Zainal Arifin</v>
      </c>
      <c r="U9" s="9" t="str">
        <f>'BIO DATA'!AC9</f>
        <v>Islam</v>
      </c>
      <c r="V9" s="9">
        <f>'BIO DATA'!AD9</f>
        <v>0</v>
      </c>
      <c r="W9" s="9">
        <f>'BIO DATA'!AE9</f>
        <v>0</v>
      </c>
      <c r="X9" s="9" t="str">
        <f>'BIO DATA'!AF9</f>
        <v>5jt-10jt</v>
      </c>
      <c r="Y9" s="144" t="str">
        <f>'BIO DATA'!AG9</f>
        <v>0811252558</v>
      </c>
      <c r="Z9" s="9">
        <f>'BIO DATA'!AH9</f>
        <v>0</v>
      </c>
      <c r="AA9" s="9" t="str">
        <f>'BIO DATA'!AI9</f>
        <v>Maya Veri Oktavia</v>
      </c>
      <c r="AB9" s="9" t="str">
        <f>'BIO DATA'!AJ9</f>
        <v>Islam</v>
      </c>
      <c r="AC9" s="9" t="str">
        <f>'BIO DATA'!AK9</f>
        <v>D-3</v>
      </c>
      <c r="AD9" s="9" t="str">
        <f>'BIO DATA'!AL9</f>
        <v>Ibu Rumah Tangga</v>
      </c>
      <c r="AE9" s="9" t="str">
        <f>'BIO DATA'!AM9</f>
        <v>3jt-5jt</v>
      </c>
      <c r="AF9" s="49" t="str">
        <f>'BIO DATA'!AN9</f>
        <v>082134400101</v>
      </c>
      <c r="AG9" s="9">
        <f>'BIO DATA'!AO9</f>
        <v>0</v>
      </c>
      <c r="AH9" s="9">
        <f>'BIO DATA'!AY9</f>
        <v>0</v>
      </c>
      <c r="AI9" s="9">
        <f>'BIO DATA'!AZ9</f>
        <v>0</v>
      </c>
      <c r="AJ9" s="9">
        <f>'BIO DATA'!BA9</f>
        <v>0</v>
      </c>
      <c r="AK9" s="9">
        <f>'BIO DATA'!BB9</f>
        <v>0</v>
      </c>
      <c r="AL9" s="9">
        <f>'BIO DATA'!BC9</f>
        <v>0</v>
      </c>
      <c r="AM9" s="9">
        <f>'BIO DATA'!BD9</f>
        <v>0</v>
      </c>
      <c r="AN9" s="9">
        <f>'BIO DATA'!BE9</f>
        <v>0</v>
      </c>
      <c r="AO9" s="9">
        <f>'BIO DATA'!BF9</f>
        <v>0</v>
      </c>
      <c r="AP9" s="50" t="str">
        <f>'BIO DATA'!BG9</f>
        <v>Muhammad Irfan Syihab, S.Hum.</v>
      </c>
    </row>
    <row r="10" spans="1:42" s="51" customFormat="1" ht="20.100000000000001" customHeight="1" thickBot="1">
      <c r="A10" s="13" t="s">
        <v>142</v>
      </c>
      <c r="B10">
        <v>82</v>
      </c>
      <c r="C10" s="116">
        <f>'BIO DATA'!C10</f>
        <v>12542</v>
      </c>
      <c r="D10" s="116" t="str">
        <f>'BIO DATA'!D10</f>
        <v>0134004761</v>
      </c>
      <c r="E10" s="115" t="str">
        <f>'BIO DATA'!E10</f>
        <v>Fajri Annaafi'u Alfarizi</v>
      </c>
      <c r="F10" s="46" t="str">
        <f>'BIO DATA'!L10</f>
        <v>Laki-laki</v>
      </c>
      <c r="G10" s="9" t="str">
        <f>'BIO DATA'!M10</f>
        <v>Tuban</v>
      </c>
      <c r="H10" s="48">
        <f>'BIO DATA'!O10</f>
        <v>41349</v>
      </c>
      <c r="I10" s="46" t="str">
        <f>'BIO DATA'!R10</f>
        <v>Islam</v>
      </c>
      <c r="J10" s="47">
        <f>'BIO DATA'!I10</f>
        <v>2</v>
      </c>
      <c r="K10" s="47">
        <f>'BIO DATA'!J10</f>
        <v>2</v>
      </c>
      <c r="L10" s="9" t="str">
        <f>'BIO DATA'!S10</f>
        <v>Dsn. Genengan RT 005 RW 003 Mojomalang Parengan Tuban Jawa Timur 62366</v>
      </c>
      <c r="M10" s="9" t="str">
        <f>'BIO DATA'!U10</f>
        <v>Mojomalang</v>
      </c>
      <c r="N10" s="9" t="str">
        <f>'BIO DATA'!V10</f>
        <v>Parengan</v>
      </c>
      <c r="O10" s="9" t="str">
        <f>'BIO DATA'!W10</f>
        <v>Tuban</v>
      </c>
      <c r="P10" s="9" t="str">
        <f>'BIO DATA'!X10</f>
        <v>Jawa Timur</v>
      </c>
      <c r="Q10" s="9" t="str">
        <f>'BIO DATA'!Y10</f>
        <v>SD Muhammadiyah 2 Bojonegoro</v>
      </c>
      <c r="R10" s="9" t="str">
        <f>'BIO DATA'!Z10</f>
        <v>Jln untung Suropati no 44 A-D, Bojonegoro, Jawa Timur</v>
      </c>
      <c r="S10" s="9">
        <f>'BIO DATA'!AA10</f>
        <v>0</v>
      </c>
      <c r="T10" s="9" t="str">
        <f>'BIO DATA'!AB10</f>
        <v>Adi Sahyudi</v>
      </c>
      <c r="U10" s="9" t="str">
        <f>'BIO DATA'!AC10</f>
        <v>Islam</v>
      </c>
      <c r="V10" s="9" t="str">
        <f>'BIO DATA'!AD10</f>
        <v>SLTA</v>
      </c>
      <c r="W10" s="9" t="str">
        <f>'BIO DATA'!AE10</f>
        <v>Wiraswasta</v>
      </c>
      <c r="X10" s="9" t="str">
        <f>'BIO DATA'!AF10</f>
        <v>3jt-5jt</v>
      </c>
      <c r="Y10" s="144" t="str">
        <f>'BIO DATA'!AG10</f>
        <v>081331829897</v>
      </c>
      <c r="Z10" s="9">
        <f>'BIO DATA'!AH10</f>
        <v>0</v>
      </c>
      <c r="AA10" s="9" t="str">
        <f>'BIO DATA'!AI10</f>
        <v>Murtiani</v>
      </c>
      <c r="AB10" s="9" t="str">
        <f>'BIO DATA'!AJ10</f>
        <v>Islam</v>
      </c>
      <c r="AC10" s="9" t="str">
        <f>'BIO DATA'!AK10</f>
        <v>SLTP</v>
      </c>
      <c r="AD10" s="9" t="str">
        <f>'BIO DATA'!AL10</f>
        <v>Ibu Rumah Tangga</v>
      </c>
      <c r="AE10" s="9" t="str">
        <f>'BIO DATA'!AM10</f>
        <v>&lt; 500rb</v>
      </c>
      <c r="AF10" s="49" t="str">
        <f>'BIO DATA'!AN10</f>
        <v>085105738899</v>
      </c>
      <c r="AG10" s="9">
        <f>'BIO DATA'!AO10</f>
        <v>0</v>
      </c>
      <c r="AH10" s="9">
        <f>'BIO DATA'!AY10</f>
        <v>0</v>
      </c>
      <c r="AI10" s="9">
        <f>'BIO DATA'!AZ10</f>
        <v>0</v>
      </c>
      <c r="AJ10" s="9">
        <f>'BIO DATA'!BA10</f>
        <v>0</v>
      </c>
      <c r="AK10" s="9">
        <f>'BIO DATA'!BB10</f>
        <v>0</v>
      </c>
      <c r="AL10" s="9">
        <f>'BIO DATA'!BC10</f>
        <v>0</v>
      </c>
      <c r="AM10" s="9">
        <f>'BIO DATA'!BD10</f>
        <v>0</v>
      </c>
      <c r="AN10" s="9">
        <f>'BIO DATA'!BE10</f>
        <v>0</v>
      </c>
      <c r="AO10" s="9">
        <f>'BIO DATA'!BF10</f>
        <v>0</v>
      </c>
      <c r="AP10" s="50" t="str">
        <f>'BIO DATA'!BG10</f>
        <v>Muhammad Irfan Syihab, S.Hum.</v>
      </c>
    </row>
    <row r="11" spans="1:42" s="51" customFormat="1" ht="20.100000000000001" customHeight="1" thickBot="1">
      <c r="A11" s="13" t="s">
        <v>142</v>
      </c>
      <c r="B11">
        <v>88</v>
      </c>
      <c r="C11" s="116">
        <f>'BIO DATA'!C11</f>
        <v>12548</v>
      </c>
      <c r="D11" s="116" t="str">
        <f>'BIO DATA'!D11</f>
        <v>0137232042</v>
      </c>
      <c r="E11" s="115" t="str">
        <f>'BIO DATA'!E11</f>
        <v>Fatih Al Faiz</v>
      </c>
      <c r="F11" s="46" t="str">
        <f>'BIO DATA'!L11</f>
        <v>Laki-laki</v>
      </c>
      <c r="G11" s="9" t="str">
        <f>'BIO DATA'!M11</f>
        <v>Banyuwangi</v>
      </c>
      <c r="H11" s="48">
        <f>'BIO DATA'!O11</f>
        <v>41340</v>
      </c>
      <c r="I11" s="46" t="str">
        <f>'BIO DATA'!R11</f>
        <v>Islam</v>
      </c>
      <c r="J11" s="47">
        <f>'BIO DATA'!I11</f>
        <v>5</v>
      </c>
      <c r="K11" s="47">
        <f>'BIO DATA'!J11</f>
        <v>4</v>
      </c>
      <c r="L11" s="9" t="str">
        <f>'BIO DATA'!S11</f>
        <v>Dusun Kopenbayah RT 002 RW 002 Kelir Kalipuro Banyiuwangi Jawa Timur 68455</v>
      </c>
      <c r="M11" s="9" t="str">
        <f>'BIO DATA'!U11</f>
        <v>Kelir</v>
      </c>
      <c r="N11" s="9" t="str">
        <f>'BIO DATA'!V11</f>
        <v>Kalipuro</v>
      </c>
      <c r="O11" s="9" t="str">
        <f>'BIO DATA'!W11</f>
        <v>Banyuwangi</v>
      </c>
      <c r="P11" s="9" t="str">
        <f>'BIO DATA'!X11</f>
        <v>Jawa Timur</v>
      </c>
      <c r="Q11" s="9" t="str">
        <f>'BIO DATA'!Y11</f>
        <v>SD Muhammadiyah 1 Banyuwangi</v>
      </c>
      <c r="R11" s="9" t="str">
        <f>'BIO DATA'!Z11</f>
        <v>Jln. Jaksa Agung Suprapto No.60, Penganjuran, kec.Banyuwangi, Kabupaten Banyuwangi, Jawa Timur 68416</v>
      </c>
      <c r="S11" s="9">
        <f>'BIO DATA'!AA11</f>
        <v>0</v>
      </c>
      <c r="T11" s="9" t="str">
        <f>'BIO DATA'!AB11</f>
        <v>Yenianto Kusumo</v>
      </c>
      <c r="U11" s="9" t="str">
        <f>'BIO DATA'!AC11</f>
        <v>Islam</v>
      </c>
      <c r="V11" s="9">
        <f>'BIO DATA'!AD11</f>
        <v>0</v>
      </c>
      <c r="W11" s="9">
        <f>'BIO DATA'!AE11</f>
        <v>0</v>
      </c>
      <c r="X11" s="9" t="str">
        <f>'BIO DATA'!AF11</f>
        <v>3jt-5jt</v>
      </c>
      <c r="Y11" s="144" t="str">
        <f>'BIO DATA'!AG11</f>
        <v>085233309357</v>
      </c>
      <c r="Z11" s="9">
        <f>'BIO DATA'!AH11</f>
        <v>0</v>
      </c>
      <c r="AA11" s="9" t="str">
        <f>'BIO DATA'!AI11</f>
        <v>Terziana Evayanti</v>
      </c>
      <c r="AB11" s="9" t="str">
        <f>'BIO DATA'!AJ11</f>
        <v>Islam</v>
      </c>
      <c r="AC11" s="9">
        <f>'BIO DATA'!AK11</f>
        <v>0</v>
      </c>
      <c r="AD11" s="9">
        <f>'BIO DATA'!AL11</f>
        <v>0</v>
      </c>
      <c r="AE11" s="9" t="str">
        <f>'BIO DATA'!AM11</f>
        <v>500-1jt</v>
      </c>
      <c r="AF11" s="49" t="str">
        <f>'BIO DATA'!AN11</f>
        <v>085117790414</v>
      </c>
      <c r="AG11" s="9">
        <f>'BIO DATA'!AO11</f>
        <v>0</v>
      </c>
      <c r="AH11" s="9">
        <f>'BIO DATA'!AY11</f>
        <v>0</v>
      </c>
      <c r="AI11" s="9">
        <f>'BIO DATA'!AZ11</f>
        <v>0</v>
      </c>
      <c r="AJ11" s="9">
        <f>'BIO DATA'!BA11</f>
        <v>0</v>
      </c>
      <c r="AK11" s="9">
        <f>'BIO DATA'!BB11</f>
        <v>0</v>
      </c>
      <c r="AL11" s="9">
        <f>'BIO DATA'!BC11</f>
        <v>0</v>
      </c>
      <c r="AM11" s="9">
        <f>'BIO DATA'!BD11</f>
        <v>0</v>
      </c>
      <c r="AN11" s="9">
        <f>'BIO DATA'!BE11</f>
        <v>0</v>
      </c>
      <c r="AO11" s="9">
        <f>'BIO DATA'!BF11</f>
        <v>0</v>
      </c>
      <c r="AP11" s="50" t="str">
        <f>'BIO DATA'!BG11</f>
        <v>Muhammad Irfan Syihab, S.Hum.</v>
      </c>
    </row>
    <row r="12" spans="1:42" s="51" customFormat="1" ht="20.100000000000001" customHeight="1" thickBot="1">
      <c r="A12" s="13" t="s">
        <v>142</v>
      </c>
      <c r="B12">
        <v>90</v>
      </c>
      <c r="C12" s="116">
        <f>'BIO DATA'!C12</f>
        <v>12551</v>
      </c>
      <c r="D12" s="116">
        <f>'BIO DATA'!D12</f>
        <v>3130145596</v>
      </c>
      <c r="E12" s="115" t="str">
        <f>'BIO DATA'!E12</f>
        <v>Fayzan Ghadi Safaraz</v>
      </c>
      <c r="F12" s="46" t="str">
        <f>'BIO DATA'!L12</f>
        <v>Laki-laki</v>
      </c>
      <c r="G12" s="9" t="str">
        <f>'BIO DATA'!M12</f>
        <v>Yogyakarta</v>
      </c>
      <c r="H12" s="48">
        <f>'BIO DATA'!O12</f>
        <v>41401</v>
      </c>
      <c r="I12" s="46" t="str">
        <f>'BIO DATA'!R12</f>
        <v>Islam</v>
      </c>
      <c r="J12" s="47">
        <f>'BIO DATA'!I12</f>
        <v>1</v>
      </c>
      <c r="K12" s="47">
        <f>'BIO DATA'!J12</f>
        <v>2</v>
      </c>
      <c r="L12" s="9" t="str">
        <f>'BIO DATA'!S12</f>
        <v>Jl. Kenari, Gg. Tanjung VII/37.B RT 006 RW 002 Muja Muju Umbulharo Kota Yogyakarta DIY</v>
      </c>
      <c r="M12" s="9" t="str">
        <f>'BIO DATA'!U12</f>
        <v>Muja Muju</v>
      </c>
      <c r="N12" s="9" t="str">
        <f>'BIO DATA'!V12</f>
        <v>Umbulharjo</v>
      </c>
      <c r="O12" s="9" t="str">
        <f>'BIO DATA'!W12</f>
        <v>Kota Yogyakarta</v>
      </c>
      <c r="P12" s="9" t="str">
        <f>'BIO DATA'!X12</f>
        <v>DIY</v>
      </c>
      <c r="Q12" s="9" t="str">
        <f>'BIO DATA'!Y12</f>
        <v>SDIT Hidayatullah</v>
      </c>
      <c r="R12" s="9" t="str">
        <f>'BIO DATA'!Z12</f>
        <v>Jalan Palagan Tentara Pelajar KM 14.5, Balong, Donoharjo, Ngaglik, Sleman, Daerah Istimewa Yogyakarta</v>
      </c>
      <c r="S12" s="9">
        <f>'BIO DATA'!AA12</f>
        <v>0</v>
      </c>
      <c r="T12" s="9" t="str">
        <f>'BIO DATA'!AB12</f>
        <v>Satria Syahrie Ramadhana, ST</v>
      </c>
      <c r="U12" s="9" t="str">
        <f>'BIO DATA'!AC12</f>
        <v>Islam</v>
      </c>
      <c r="V12" s="9" t="str">
        <f>'BIO DATA'!AD12</f>
        <v>S1</v>
      </c>
      <c r="W12" s="9" t="str">
        <f>'BIO DATA'!AE12</f>
        <v>Arsitek</v>
      </c>
      <c r="X12" s="9" t="str">
        <f>'BIO DATA'!AF12</f>
        <v>3jt-5jt</v>
      </c>
      <c r="Y12" s="144" t="str">
        <f>'BIO DATA'!AG12</f>
        <v>085228857100</v>
      </c>
      <c r="Z12" s="9">
        <f>'BIO DATA'!AH12</f>
        <v>0</v>
      </c>
      <c r="AA12" s="9" t="str">
        <f>'BIO DATA'!AI12</f>
        <v>Audia Inasa, ST</v>
      </c>
      <c r="AB12" s="9" t="str">
        <f>'BIO DATA'!AJ12</f>
        <v>Islam</v>
      </c>
      <c r="AC12" s="9" t="str">
        <f>'BIO DATA'!AK12</f>
        <v>S1</v>
      </c>
      <c r="AD12" s="9" t="str">
        <f>'BIO DATA'!AL12</f>
        <v>Wiraswasta</v>
      </c>
      <c r="AE12" s="9" t="str">
        <f>'BIO DATA'!AM12</f>
        <v>&lt; 500rb</v>
      </c>
      <c r="AF12" s="49" t="str">
        <f>'BIO DATA'!AN12</f>
        <v>08128024194</v>
      </c>
      <c r="AG12" s="9">
        <f>'BIO DATA'!AO12</f>
        <v>0</v>
      </c>
      <c r="AH12" s="9">
        <f>'BIO DATA'!AY12</f>
        <v>0</v>
      </c>
      <c r="AI12" s="9">
        <f>'BIO DATA'!AZ12</f>
        <v>0</v>
      </c>
      <c r="AJ12" s="9">
        <f>'BIO DATA'!BA12</f>
        <v>0</v>
      </c>
      <c r="AK12" s="9">
        <f>'BIO DATA'!BB12</f>
        <v>0</v>
      </c>
      <c r="AL12" s="9">
        <f>'BIO DATA'!BC12</f>
        <v>0</v>
      </c>
      <c r="AM12" s="9">
        <f>'BIO DATA'!BD12</f>
        <v>0</v>
      </c>
      <c r="AN12" s="9">
        <f>'BIO DATA'!BE12</f>
        <v>0</v>
      </c>
      <c r="AO12" s="9">
        <f>'BIO DATA'!BF12</f>
        <v>0</v>
      </c>
      <c r="AP12" s="50" t="str">
        <f>'BIO DATA'!BG12</f>
        <v>Muhammad Irfan Syihab, S.Hum.</v>
      </c>
    </row>
    <row r="13" spans="1:42" s="51" customFormat="1" ht="20.100000000000001" customHeight="1" thickBot="1">
      <c r="A13" s="13" t="s">
        <v>142</v>
      </c>
      <c r="B13">
        <v>93</v>
      </c>
      <c r="C13" s="116">
        <f>'BIO DATA'!C13</f>
        <v>12556</v>
      </c>
      <c r="D13" s="116" t="str">
        <f>'BIO DATA'!D13</f>
        <v>0139069142</v>
      </c>
      <c r="E13" s="115" t="str">
        <f>'BIO DATA'!E13</f>
        <v>H. Muhammad Musthofa El Akhyar AR</v>
      </c>
      <c r="F13" s="46" t="str">
        <f>'BIO DATA'!L13</f>
        <v>Laki-laki</v>
      </c>
      <c r="G13" s="9" t="str">
        <f>'BIO DATA'!M13</f>
        <v>Sragen</v>
      </c>
      <c r="H13" s="48">
        <f>'BIO DATA'!O13</f>
        <v>41558</v>
      </c>
      <c r="I13" s="46" t="str">
        <f>'BIO DATA'!R13</f>
        <v>Islam</v>
      </c>
      <c r="J13" s="47">
        <f>'BIO DATA'!I13</f>
        <v>3</v>
      </c>
      <c r="K13" s="47">
        <f>'BIO DATA'!J13</f>
        <v>3</v>
      </c>
      <c r="L13" s="9" t="str">
        <f>'BIO DATA'!S13</f>
        <v>Kedawung Kidul RT 018 RW 004 Kedawung Kedawung Sragen Jawa Tengah 57292</v>
      </c>
      <c r="M13" s="9" t="str">
        <f>'BIO DATA'!U13</f>
        <v>Kedawung</v>
      </c>
      <c r="N13" s="9" t="str">
        <f>'BIO DATA'!V13</f>
        <v>Kedawung</v>
      </c>
      <c r="O13" s="9" t="str">
        <f>'BIO DATA'!W13</f>
        <v>Sragen</v>
      </c>
      <c r="P13" s="9" t="str">
        <f>'BIO DATA'!X13</f>
        <v>Jawa Tengah</v>
      </c>
      <c r="Q13" s="9" t="str">
        <f>'BIO DATA'!Y13</f>
        <v>SD Birrul Walidain Muhammadiyah Sragen</v>
      </c>
      <c r="R13" s="9" t="str">
        <f>'BIO DATA'!Z13</f>
        <v>Jln. Batanghari, Sragen Tengah, Sragen, Jawa Tengah</v>
      </c>
      <c r="S13" s="9">
        <f>'BIO DATA'!AA13</f>
        <v>0</v>
      </c>
      <c r="T13" s="9" t="str">
        <f>'BIO DATA'!AB13</f>
        <v>Ali Rosyidhi, S.Pd.</v>
      </c>
      <c r="U13" s="9" t="str">
        <f>'BIO DATA'!AC13</f>
        <v>Islam</v>
      </c>
      <c r="V13" s="9" t="str">
        <f>'BIO DATA'!AD13</f>
        <v>S1</v>
      </c>
      <c r="W13" s="9" t="str">
        <f>'BIO DATA'!AE13</f>
        <v>Guru</v>
      </c>
      <c r="X13" s="9" t="str">
        <f>'BIO DATA'!AF13</f>
        <v>3jt-5jt</v>
      </c>
      <c r="Y13" s="144" t="str">
        <f>'BIO DATA'!AG13</f>
        <v>081329054541</v>
      </c>
      <c r="Z13" s="9">
        <f>'BIO DATA'!AH13</f>
        <v>0</v>
      </c>
      <c r="AA13" s="9" t="str">
        <f>'BIO DATA'!AI13</f>
        <v>Rohmawati, S.Si.</v>
      </c>
      <c r="AB13" s="9" t="str">
        <f>'BIO DATA'!AJ13</f>
        <v>Islam</v>
      </c>
      <c r="AC13" s="9" t="str">
        <f>'BIO DATA'!AK13</f>
        <v>S1</v>
      </c>
      <c r="AD13" s="9" t="str">
        <f>'BIO DATA'!AL13</f>
        <v>Guru</v>
      </c>
      <c r="AE13" s="9" t="str">
        <f>'BIO DATA'!AM13</f>
        <v>1jt-3jt</v>
      </c>
      <c r="AF13" s="49" t="str">
        <f>'BIO DATA'!AN13</f>
        <v>085227446034</v>
      </c>
      <c r="AG13" s="9">
        <f>'BIO DATA'!AO13</f>
        <v>0</v>
      </c>
      <c r="AH13" s="9">
        <f>'BIO DATA'!AY13</f>
        <v>0</v>
      </c>
      <c r="AI13" s="9">
        <f>'BIO DATA'!AZ13</f>
        <v>0</v>
      </c>
      <c r="AJ13" s="9">
        <f>'BIO DATA'!BA13</f>
        <v>0</v>
      </c>
      <c r="AK13" s="9">
        <f>'BIO DATA'!BB13</f>
        <v>0</v>
      </c>
      <c r="AL13" s="9">
        <f>'BIO DATA'!BC13</f>
        <v>0</v>
      </c>
      <c r="AM13" s="9">
        <f>'BIO DATA'!BD13</f>
        <v>0</v>
      </c>
      <c r="AN13" s="9">
        <f>'BIO DATA'!BE13</f>
        <v>0</v>
      </c>
      <c r="AO13" s="9">
        <f>'BIO DATA'!BF13</f>
        <v>0</v>
      </c>
      <c r="AP13" s="50" t="str">
        <f>'BIO DATA'!BG13</f>
        <v>Muhammad Irfan Syihab, S.Hum.</v>
      </c>
    </row>
    <row r="14" spans="1:42" s="51" customFormat="1" ht="20.100000000000001" customHeight="1" thickBot="1">
      <c r="A14" s="13" t="s">
        <v>142</v>
      </c>
      <c r="B14">
        <v>96</v>
      </c>
      <c r="C14" s="116">
        <f>'BIO DATA'!C14</f>
        <v>12558</v>
      </c>
      <c r="D14" s="116" t="str">
        <f>'BIO DATA'!D14</f>
        <v>0139187067</v>
      </c>
      <c r="E14" s="115" t="str">
        <f>'BIO DATA'!E14</f>
        <v>Hafeez Azmi Muhammad</v>
      </c>
      <c r="F14" s="46" t="str">
        <f>'BIO DATA'!L14</f>
        <v>Laki-laki</v>
      </c>
      <c r="G14" s="9" t="str">
        <f>'BIO DATA'!M14</f>
        <v>Yogyakarta</v>
      </c>
      <c r="H14" s="48">
        <f>'BIO DATA'!O14</f>
        <v>41431</v>
      </c>
      <c r="I14" s="46" t="str">
        <f>'BIO DATA'!R14</f>
        <v>Islam</v>
      </c>
      <c r="J14" s="47">
        <f>'BIO DATA'!I14</f>
        <v>2</v>
      </c>
      <c r="K14" s="47">
        <f>'BIO DATA'!J14</f>
        <v>4</v>
      </c>
      <c r="L14" s="9" t="str">
        <f>'BIO DATA'!S14</f>
        <v>Dusun Kwasen RT 001 Srimartani Piyungan Bantul DIY 55792</v>
      </c>
      <c r="M14" s="9" t="str">
        <f>'BIO DATA'!U14</f>
        <v>Srimartani</v>
      </c>
      <c r="N14" s="9" t="str">
        <f>'BIO DATA'!V14</f>
        <v>Piyungan</v>
      </c>
      <c r="O14" s="9" t="str">
        <f>'BIO DATA'!W14</f>
        <v>Bantul</v>
      </c>
      <c r="P14" s="9" t="str">
        <f>'BIO DATA'!X14</f>
        <v>DIY</v>
      </c>
      <c r="Q14" s="9" t="str">
        <f>'BIO DATA'!Y14</f>
        <v>SD Muhammadiyah MBS Prambanan</v>
      </c>
      <c r="R14" s="9" t="str">
        <f>'BIO DATA'!Z14</f>
        <v>Jl. Piyungan Km. 2 Marangan Bokoharjo Prambanan Sleman</v>
      </c>
      <c r="S14" s="9">
        <f>'BIO DATA'!AA14</f>
        <v>0</v>
      </c>
      <c r="T14" s="9" t="str">
        <f>'BIO DATA'!AB14</f>
        <v>Muhammad Sulthoni Wibowo</v>
      </c>
      <c r="U14" s="9" t="str">
        <f>'BIO DATA'!AC14</f>
        <v>Islam</v>
      </c>
      <c r="V14" s="9" t="str">
        <f>'BIO DATA'!AD14</f>
        <v>S1</v>
      </c>
      <c r="W14" s="9" t="str">
        <f>'BIO DATA'!AE14</f>
        <v>PNS</v>
      </c>
      <c r="X14" s="9" t="str">
        <f>'BIO DATA'!AF14</f>
        <v>&gt;10jt</v>
      </c>
      <c r="Y14" s="144" t="str">
        <f>'BIO DATA'!AG14</f>
        <v>08562804943</v>
      </c>
      <c r="Z14" s="9">
        <f>'BIO DATA'!AH14</f>
        <v>0</v>
      </c>
      <c r="AA14" s="9" t="str">
        <f>'BIO DATA'!AI14</f>
        <v>Vembri Noor Helia</v>
      </c>
      <c r="AB14" s="9" t="str">
        <f>'BIO DATA'!AJ14</f>
        <v>Islam</v>
      </c>
      <c r="AC14" s="9" t="str">
        <f>'BIO DATA'!AK14</f>
        <v>S2</v>
      </c>
      <c r="AD14" s="9" t="str">
        <f>'BIO DATA'!AL14</f>
        <v>Dosen</v>
      </c>
      <c r="AE14" s="9" t="str">
        <f>'BIO DATA'!AM14</f>
        <v>5jt-10jt</v>
      </c>
      <c r="AF14" s="49" t="str">
        <f>'BIO DATA'!AN14</f>
        <v>08174106005</v>
      </c>
      <c r="AG14" s="9">
        <f>'BIO DATA'!AO14</f>
        <v>0</v>
      </c>
      <c r="AH14" s="9">
        <f>'BIO DATA'!AY14</f>
        <v>0</v>
      </c>
      <c r="AI14" s="9">
        <f>'BIO DATA'!AZ14</f>
        <v>0</v>
      </c>
      <c r="AJ14" s="9">
        <f>'BIO DATA'!BA14</f>
        <v>0</v>
      </c>
      <c r="AK14" s="9">
        <f>'BIO DATA'!BB14</f>
        <v>0</v>
      </c>
      <c r="AL14" s="9">
        <f>'BIO DATA'!BC14</f>
        <v>0</v>
      </c>
      <c r="AM14" s="9">
        <f>'BIO DATA'!BD14</f>
        <v>0</v>
      </c>
      <c r="AN14" s="9">
        <f>'BIO DATA'!BE14</f>
        <v>0</v>
      </c>
      <c r="AO14" s="9">
        <f>'BIO DATA'!BF14</f>
        <v>0</v>
      </c>
      <c r="AP14" s="50" t="str">
        <f>'BIO DATA'!BG14</f>
        <v>Muhammad Irfan Syihab, S.Hum.</v>
      </c>
    </row>
    <row r="15" spans="1:42" s="51" customFormat="1" ht="20.100000000000001" customHeight="1" thickBot="1">
      <c r="A15" s="13" t="s">
        <v>142</v>
      </c>
      <c r="B15">
        <v>110</v>
      </c>
      <c r="C15" s="116">
        <f>'BIO DATA'!C15</f>
        <v>12562</v>
      </c>
      <c r="D15" s="116" t="str">
        <f>'BIO DATA'!D15</f>
        <v>0137725694</v>
      </c>
      <c r="E15" s="115" t="str">
        <f>'BIO DATA'!E15</f>
        <v>Hakam Naja Hasan</v>
      </c>
      <c r="F15" s="46" t="str">
        <f>'BIO DATA'!L15</f>
        <v>Laki-laki</v>
      </c>
      <c r="G15" s="9" t="str">
        <f>'BIO DATA'!M15</f>
        <v>Kulon Progo</v>
      </c>
      <c r="H15" s="48">
        <f>'BIO DATA'!O15</f>
        <v>41344</v>
      </c>
      <c r="I15" s="46" t="str">
        <f>'BIO DATA'!R15</f>
        <v>Islam</v>
      </c>
      <c r="J15" s="47">
        <f>'BIO DATA'!I15</f>
        <v>3</v>
      </c>
      <c r="K15" s="47">
        <f>'BIO DATA'!J15</f>
        <v>4</v>
      </c>
      <c r="L15" s="9" t="str">
        <f>'BIO DATA'!S15</f>
        <v>Dusun Ngemplak RT 076 RW 025 Kembang Nanggulan Kulon Progo DIY 55671</v>
      </c>
      <c r="M15" s="9" t="str">
        <f>'BIO DATA'!U15</f>
        <v>Kembang</v>
      </c>
      <c r="N15" s="9" t="str">
        <f>'BIO DATA'!V15</f>
        <v>Nanggulan</v>
      </c>
      <c r="O15" s="9" t="str">
        <f>'BIO DATA'!W15</f>
        <v>Kulon Progo</v>
      </c>
      <c r="P15" s="9" t="str">
        <f>'BIO DATA'!X15</f>
        <v>DIY</v>
      </c>
      <c r="Q15" s="9" t="str">
        <f>'BIO DATA'!Y15</f>
        <v>SD Muhammadiyah Ngijon 1</v>
      </c>
      <c r="R15" s="9">
        <f>'BIO DATA'!Z15</f>
        <v>0</v>
      </c>
      <c r="S15" s="9">
        <f>'BIO DATA'!AA15</f>
        <v>0</v>
      </c>
      <c r="T15" s="9" t="str">
        <f>'BIO DATA'!AB15</f>
        <v>Upiya Al Hasan</v>
      </c>
      <c r="U15" s="9" t="str">
        <f>'BIO DATA'!AC15</f>
        <v>Islam</v>
      </c>
      <c r="V15" s="9" t="str">
        <f>'BIO DATA'!AD15</f>
        <v>SLTA</v>
      </c>
      <c r="W15" s="9" t="str">
        <f>'BIO DATA'!AE15</f>
        <v>Anggota DPRD Kab/Kota</v>
      </c>
      <c r="X15" s="9">
        <f>'BIO DATA'!AF15</f>
        <v>0</v>
      </c>
      <c r="Y15" s="144" t="str">
        <f>'BIO DATA'!AG15</f>
        <v>087838541666</v>
      </c>
      <c r="Z15" s="9">
        <f>'BIO DATA'!AH15</f>
        <v>0</v>
      </c>
      <c r="AA15" s="9" t="str">
        <f>'BIO DATA'!AI15</f>
        <v>Tri Indarti</v>
      </c>
      <c r="AB15" s="9" t="str">
        <f>'BIO DATA'!AJ15</f>
        <v>Islam</v>
      </c>
      <c r="AC15" s="9" t="str">
        <f>'BIO DATA'!AK15</f>
        <v>D-3</v>
      </c>
      <c r="AD15" s="9" t="str">
        <f>'BIO DATA'!AL15</f>
        <v>Wiraswasta</v>
      </c>
      <c r="AE15" s="9">
        <f>'BIO DATA'!AM15</f>
        <v>0</v>
      </c>
      <c r="AF15" s="49" t="str">
        <f>'BIO DATA'!AN15</f>
        <v>087739092799</v>
      </c>
      <c r="AG15" s="9">
        <f>'BIO DATA'!AO15</f>
        <v>0</v>
      </c>
      <c r="AH15" s="9">
        <f>'BIO DATA'!AY15</f>
        <v>0</v>
      </c>
      <c r="AI15" s="9">
        <f>'BIO DATA'!AZ15</f>
        <v>0</v>
      </c>
      <c r="AJ15" s="9">
        <f>'BIO DATA'!BA15</f>
        <v>0</v>
      </c>
      <c r="AK15" s="9">
        <f>'BIO DATA'!BB15</f>
        <v>0</v>
      </c>
      <c r="AL15" s="9">
        <f>'BIO DATA'!BC15</f>
        <v>0</v>
      </c>
      <c r="AM15" s="9">
        <f>'BIO DATA'!BD15</f>
        <v>0</v>
      </c>
      <c r="AN15" s="9">
        <f>'BIO DATA'!BE15</f>
        <v>0</v>
      </c>
      <c r="AO15" s="9">
        <f>'BIO DATA'!BF15</f>
        <v>0</v>
      </c>
      <c r="AP15" s="50" t="str">
        <f>'BIO DATA'!BG15</f>
        <v>Muhammad Irfan Syihab, S.Hum.</v>
      </c>
    </row>
    <row r="16" spans="1:42" s="51" customFormat="1" ht="20.100000000000001" customHeight="1" thickBot="1">
      <c r="A16" s="13" t="s">
        <v>142</v>
      </c>
      <c r="B16">
        <v>119</v>
      </c>
      <c r="C16" s="116">
        <f>'BIO DATA'!C16</f>
        <v>12567</v>
      </c>
      <c r="D16" s="116" t="str">
        <f>'BIO DATA'!D16</f>
        <v>0123456789</v>
      </c>
      <c r="E16" s="115" t="str">
        <f>'BIO DATA'!E16</f>
        <v>Harits Tammam Rahman</v>
      </c>
      <c r="F16" s="46" t="str">
        <f>'BIO DATA'!L16</f>
        <v>Laki-laki</v>
      </c>
      <c r="G16" s="9" t="str">
        <f>'BIO DATA'!M16</f>
        <v>Purworejo</v>
      </c>
      <c r="H16" s="48">
        <f>'BIO DATA'!O16</f>
        <v>41726</v>
      </c>
      <c r="I16" s="46" t="str">
        <f>'BIO DATA'!R16</f>
        <v>Islam</v>
      </c>
      <c r="J16" s="47">
        <f>'BIO DATA'!I16</f>
        <v>3</v>
      </c>
      <c r="K16" s="47">
        <f>'BIO DATA'!J16</f>
        <v>2</v>
      </c>
      <c r="L16" s="9" t="str">
        <f>'BIO DATA'!S16</f>
        <v>Jl. Gatot Subroto No. 461 Dusun Lingkungan 2 RT 003 RW 004 Keseneng Purworejo Purworejo Jawa Tengah 54119</v>
      </c>
      <c r="M16" s="9" t="str">
        <f>'BIO DATA'!U16</f>
        <v>Keseneng</v>
      </c>
      <c r="N16" s="9" t="str">
        <f>'BIO DATA'!V16</f>
        <v>Purworejo</v>
      </c>
      <c r="O16" s="9" t="str">
        <f>'BIO DATA'!W16</f>
        <v>Purworejo</v>
      </c>
      <c r="P16" s="9" t="str">
        <f>'BIO DATA'!X16</f>
        <v>Jawa Tengah</v>
      </c>
      <c r="Q16" s="9" t="str">
        <f>'BIO DATA'!Y16</f>
        <v>SD KUB Muhammadiyah Purworejo</v>
      </c>
      <c r="R16" s="9">
        <f>'BIO DATA'!Z16</f>
        <v>0</v>
      </c>
      <c r="S16" s="9">
        <f>'BIO DATA'!AA16</f>
        <v>0</v>
      </c>
      <c r="T16" s="9" t="str">
        <f>'BIO DATA'!AB16</f>
        <v>Bakhruni Rakhman</v>
      </c>
      <c r="U16" s="9" t="str">
        <f>'BIO DATA'!AC16</f>
        <v>Islam</v>
      </c>
      <c r="V16" s="9" t="str">
        <f>'BIO DATA'!AD16</f>
        <v>S1</v>
      </c>
      <c r="W16" s="9" t="str">
        <f>'BIO DATA'!AE16</f>
        <v>Wiraswasta</v>
      </c>
      <c r="X16" s="9">
        <f>'BIO DATA'!AF16</f>
        <v>0</v>
      </c>
      <c r="Y16" s="144" t="str">
        <f>'BIO DATA'!AG16</f>
        <v>08122725844</v>
      </c>
      <c r="Z16" s="9">
        <f>'BIO DATA'!AH16</f>
        <v>0</v>
      </c>
      <c r="AA16" s="9" t="str">
        <f>'BIO DATA'!AI16</f>
        <v>Yulia Kurniawati</v>
      </c>
      <c r="AB16" s="9" t="str">
        <f>'BIO DATA'!AJ16</f>
        <v>Islam</v>
      </c>
      <c r="AC16" s="9" t="str">
        <f>'BIO DATA'!AK16</f>
        <v>S1</v>
      </c>
      <c r="AD16" s="9" t="str">
        <f>'BIO DATA'!AL16</f>
        <v>Ibu Rumah Tangga</v>
      </c>
      <c r="AE16" s="9">
        <f>'BIO DATA'!AM16</f>
        <v>0</v>
      </c>
      <c r="AF16" s="49" t="str">
        <f>'BIO DATA'!AN16</f>
        <v>081227851780</v>
      </c>
      <c r="AG16" s="9">
        <f>'BIO DATA'!AO16</f>
        <v>0</v>
      </c>
      <c r="AH16" s="9">
        <f>'BIO DATA'!AY16</f>
        <v>0</v>
      </c>
      <c r="AI16" s="9">
        <f>'BIO DATA'!AZ16</f>
        <v>0</v>
      </c>
      <c r="AJ16" s="9">
        <f>'BIO DATA'!BA16</f>
        <v>0</v>
      </c>
      <c r="AK16" s="9">
        <f>'BIO DATA'!BB16</f>
        <v>0</v>
      </c>
      <c r="AL16" s="9">
        <f>'BIO DATA'!BC16</f>
        <v>0</v>
      </c>
      <c r="AM16" s="9">
        <f>'BIO DATA'!BD16</f>
        <v>0</v>
      </c>
      <c r="AN16" s="9">
        <f>'BIO DATA'!BE16</f>
        <v>0</v>
      </c>
      <c r="AO16" s="9">
        <f>'BIO DATA'!BF16</f>
        <v>0</v>
      </c>
      <c r="AP16" s="50" t="str">
        <f>'BIO DATA'!BG16</f>
        <v>Muhammad Irfan Syihab, S.Hum.</v>
      </c>
    </row>
    <row r="17" spans="1:42" s="51" customFormat="1" ht="20.100000000000001" customHeight="1" thickBot="1">
      <c r="A17" s="13" t="s">
        <v>142</v>
      </c>
      <c r="B17">
        <v>128</v>
      </c>
      <c r="C17" s="116">
        <f>'BIO DATA'!C17</f>
        <v>12575</v>
      </c>
      <c r="D17" s="116">
        <f>'BIO DATA'!D17</f>
        <v>3126141550</v>
      </c>
      <c r="E17" s="115" t="str">
        <f>'BIO DATA'!E17</f>
        <v>Ibrohim Rofiq</v>
      </c>
      <c r="F17" s="46" t="str">
        <f>'BIO DATA'!L17</f>
        <v>Laki-laki</v>
      </c>
      <c r="G17" s="9" t="str">
        <f>'BIO DATA'!M17</f>
        <v>Purbalingga</v>
      </c>
      <c r="H17" s="48">
        <f>'BIO DATA'!O17</f>
        <v>41104</v>
      </c>
      <c r="I17" s="46" t="str">
        <f>'BIO DATA'!R17</f>
        <v>Islam</v>
      </c>
      <c r="J17" s="47">
        <f>'BIO DATA'!I17</f>
        <v>2</v>
      </c>
      <c r="K17" s="47">
        <f>'BIO DATA'!J17</f>
        <v>1</v>
      </c>
      <c r="L17" s="9" t="str">
        <f>'BIO DATA'!S17</f>
        <v>Makam RT 001 RW 001 Makam Rembang Purbalingga Jawa Tengah 53356</v>
      </c>
      <c r="M17" s="9" t="str">
        <f>'BIO DATA'!U17</f>
        <v>Makm</v>
      </c>
      <c r="N17" s="9" t="str">
        <f>'BIO DATA'!V17</f>
        <v>Rembang</v>
      </c>
      <c r="O17" s="9" t="str">
        <f>'BIO DATA'!W17</f>
        <v>Purbalingga</v>
      </c>
      <c r="P17" s="9" t="str">
        <f>'BIO DATA'!X17</f>
        <v>Jawa Tengah</v>
      </c>
      <c r="Q17" s="9" t="str">
        <f>'BIO DATA'!Y17</f>
        <v>Ma'dah Al Manshuroh Rembang Purbalinggag</v>
      </c>
      <c r="R17" s="9">
        <f>'BIO DATA'!Z17</f>
        <v>0</v>
      </c>
      <c r="S17" s="9">
        <f>'BIO DATA'!AA17</f>
        <v>0</v>
      </c>
      <c r="T17" s="9" t="str">
        <f>'BIO DATA'!AB17</f>
        <v>Andy Rovik, S.Ag.</v>
      </c>
      <c r="U17" s="9" t="str">
        <f>'BIO DATA'!AC17</f>
        <v>Islam</v>
      </c>
      <c r="V17" s="9" t="str">
        <f>'BIO DATA'!AD17</f>
        <v>S1</v>
      </c>
      <c r="W17" s="9" t="str">
        <f>'BIO DATA'!AE17</f>
        <v>Wiraswasta</v>
      </c>
      <c r="X17" s="9">
        <f>'BIO DATA'!AF17</f>
        <v>0</v>
      </c>
      <c r="Y17" s="144" t="str">
        <f>'BIO DATA'!AG17</f>
        <v>082136706557</v>
      </c>
      <c r="Z17" s="9">
        <f>'BIO DATA'!AH17</f>
        <v>0</v>
      </c>
      <c r="AA17" s="9" t="str">
        <f>'BIO DATA'!AI17</f>
        <v>Sajatin Muflikhah</v>
      </c>
      <c r="AB17" s="9" t="str">
        <f>'BIO DATA'!AJ17</f>
        <v>Islam</v>
      </c>
      <c r="AC17" s="9" t="str">
        <f>'BIO DATA'!AK17</f>
        <v>SLTA</v>
      </c>
      <c r="AD17" s="9" t="str">
        <f>'BIO DATA'!AL17</f>
        <v>Ibu Rumah Tangga</v>
      </c>
      <c r="AE17" s="9">
        <f>'BIO DATA'!AM17</f>
        <v>0</v>
      </c>
      <c r="AF17" s="49" t="str">
        <f>'BIO DATA'!AN17</f>
        <v>0857 2858 9195</v>
      </c>
      <c r="AG17" s="9">
        <f>'BIO DATA'!AO17</f>
        <v>0</v>
      </c>
      <c r="AH17" s="9">
        <f>'BIO DATA'!AY17</f>
        <v>0</v>
      </c>
      <c r="AI17" s="9">
        <f>'BIO DATA'!AZ17</f>
        <v>0</v>
      </c>
      <c r="AJ17" s="9">
        <f>'BIO DATA'!BA17</f>
        <v>0</v>
      </c>
      <c r="AK17" s="9">
        <f>'BIO DATA'!BB17</f>
        <v>0</v>
      </c>
      <c r="AL17" s="9">
        <f>'BIO DATA'!BC17</f>
        <v>0</v>
      </c>
      <c r="AM17" s="9">
        <f>'BIO DATA'!BD17</f>
        <v>0</v>
      </c>
      <c r="AN17" s="9">
        <f>'BIO DATA'!BE17</f>
        <v>0</v>
      </c>
      <c r="AO17" s="9">
        <f>'BIO DATA'!BF17</f>
        <v>0</v>
      </c>
      <c r="AP17" s="50" t="str">
        <f>'BIO DATA'!BG17</f>
        <v>Muhammad Irfan Syihab, S.Hum.</v>
      </c>
    </row>
    <row r="18" spans="1:42" s="51" customFormat="1" ht="20.100000000000001" customHeight="1" thickBot="1">
      <c r="A18" s="13" t="s">
        <v>142</v>
      </c>
      <c r="B18">
        <v>130</v>
      </c>
      <c r="C18" s="116">
        <f>'BIO DATA'!C18</f>
        <v>12578</v>
      </c>
      <c r="D18" s="116" t="str">
        <f>'BIO DATA'!D18</f>
        <v>0144447319</v>
      </c>
      <c r="E18" s="115" t="str">
        <f>'BIO DATA'!E18</f>
        <v>Iman Ashraf Athaillah</v>
      </c>
      <c r="F18" s="46" t="str">
        <f>'BIO DATA'!L18</f>
        <v>Laki-laki</v>
      </c>
      <c r="G18" s="9" t="str">
        <f>'BIO DATA'!M18</f>
        <v>Purworejo</v>
      </c>
      <c r="H18" s="48">
        <f>'BIO DATA'!O18</f>
        <v>41698</v>
      </c>
      <c r="I18" s="46" t="str">
        <f>'BIO DATA'!R18</f>
        <v>Islam</v>
      </c>
      <c r="J18" s="47">
        <f>'BIO DATA'!I18</f>
        <v>2</v>
      </c>
      <c r="K18" s="47">
        <f>'BIO DATA'!J18</f>
        <v>1</v>
      </c>
      <c r="L18" s="9" t="str">
        <f>'BIO DATA'!S18</f>
        <v>Munggangsari RT 001 RW 002 Munggangsari Grabag Purworejo Jawa Tengah 54265</v>
      </c>
      <c r="M18" s="9" t="str">
        <f>'BIO DATA'!U18</f>
        <v>Manggarsari</v>
      </c>
      <c r="N18" s="9" t="str">
        <f>'BIO DATA'!V18</f>
        <v>Grabag</v>
      </c>
      <c r="O18" s="9" t="str">
        <f>'BIO DATA'!W18</f>
        <v>Purworejo</v>
      </c>
      <c r="P18" s="9" t="str">
        <f>'BIO DATA'!X18</f>
        <v>Jawa Tengah</v>
      </c>
      <c r="Q18" s="9" t="str">
        <f>'BIO DATA'!Y18</f>
        <v>SD Muhammadiyah Kutoarjo</v>
      </c>
      <c r="R18" s="9" t="str">
        <f>'BIO DATA'!Z18</f>
        <v>Jl. Kliwonan II No.10, Kutoarjo, Purworejo, Kabupaten Purworejo, Jawa Tengah 54251</v>
      </c>
      <c r="S18" s="9">
        <f>'BIO DATA'!AA18</f>
        <v>0</v>
      </c>
      <c r="T18" s="9" t="str">
        <f>'BIO DATA'!AB18</f>
        <v>Sukardi</v>
      </c>
      <c r="U18" s="9" t="str">
        <f>'BIO DATA'!AC18</f>
        <v>Islam</v>
      </c>
      <c r="V18" s="9" t="str">
        <f>'BIO DATA'!AD18</f>
        <v>SLTA</v>
      </c>
      <c r="W18" s="9" t="str">
        <f>'BIO DATA'!AE18</f>
        <v>Wiraswasta</v>
      </c>
      <c r="X18" s="9" t="str">
        <f>'BIO DATA'!AF18</f>
        <v>1jt-3jt</v>
      </c>
      <c r="Y18" s="144" t="str">
        <f>'BIO DATA'!AG18</f>
        <v>085729775253</v>
      </c>
      <c r="Z18" s="9">
        <f>'BIO DATA'!AH18</f>
        <v>0</v>
      </c>
      <c r="AA18" s="9" t="str">
        <f>'BIO DATA'!AI18</f>
        <v>Supriyati</v>
      </c>
      <c r="AB18" s="9" t="str">
        <f>'BIO DATA'!AJ18</f>
        <v>Islam</v>
      </c>
      <c r="AC18" s="9" t="str">
        <f>'BIO DATA'!AK18</f>
        <v>SLTP</v>
      </c>
      <c r="AD18" s="9" t="str">
        <f>'BIO DATA'!AL18</f>
        <v>Ibu Rumah Tangga</v>
      </c>
      <c r="AE18" s="9" t="str">
        <f>'BIO DATA'!AM18</f>
        <v>&lt; 500rb</v>
      </c>
      <c r="AF18" s="49" t="str">
        <f>'BIO DATA'!AN18</f>
        <v>087875434796</v>
      </c>
      <c r="AG18" s="9">
        <f>'BIO DATA'!AO18</f>
        <v>0</v>
      </c>
      <c r="AH18" s="9">
        <f>'BIO DATA'!AY18</f>
        <v>0</v>
      </c>
      <c r="AI18" s="9">
        <f>'BIO DATA'!AZ18</f>
        <v>0</v>
      </c>
      <c r="AJ18" s="9">
        <f>'BIO DATA'!BA18</f>
        <v>0</v>
      </c>
      <c r="AK18" s="9">
        <f>'BIO DATA'!BB18</f>
        <v>0</v>
      </c>
      <c r="AL18" s="9">
        <f>'BIO DATA'!BC18</f>
        <v>0</v>
      </c>
      <c r="AM18" s="9">
        <f>'BIO DATA'!BD18</f>
        <v>0</v>
      </c>
      <c r="AN18" s="9">
        <f>'BIO DATA'!BE18</f>
        <v>0</v>
      </c>
      <c r="AO18" s="9">
        <f>'BIO DATA'!BF18</f>
        <v>0</v>
      </c>
      <c r="AP18" s="50" t="str">
        <f>'BIO DATA'!BG18</f>
        <v>Muhammad Irfan Syihab, S.Hum.</v>
      </c>
    </row>
    <row r="19" spans="1:42" s="51" customFormat="1" ht="20.100000000000001" customHeight="1" thickBot="1">
      <c r="A19" s="13" t="s">
        <v>142</v>
      </c>
      <c r="B19">
        <v>141</v>
      </c>
      <c r="C19" s="116">
        <f>'BIO DATA'!C19</f>
        <v>12590</v>
      </c>
      <c r="D19" s="116" t="str">
        <f>'BIO DATA'!D19</f>
        <v>0139050887</v>
      </c>
      <c r="E19" s="115" t="str">
        <f>'BIO DATA'!E19</f>
        <v>Khenan Naufal Dary Abiyyu</v>
      </c>
      <c r="F19" s="46" t="str">
        <f>'BIO DATA'!L19</f>
        <v>Laki-laki</v>
      </c>
      <c r="G19" s="9" t="str">
        <f>'BIO DATA'!M19</f>
        <v>Sleman</v>
      </c>
      <c r="H19" s="48">
        <f>'BIO DATA'!O19</f>
        <v>41538</v>
      </c>
      <c r="I19" s="46" t="str">
        <f>'BIO DATA'!R19</f>
        <v>Islam</v>
      </c>
      <c r="J19" s="47">
        <f>'BIO DATA'!I19</f>
        <v>2</v>
      </c>
      <c r="K19" s="47">
        <f>'BIO DATA'!J19</f>
        <v>2</v>
      </c>
      <c r="L19" s="9" t="str">
        <f>'BIO DATA'!S19</f>
        <v>Dusun Kadipiro RT 003 RW 020 Margodadi Seyegan Sleman DIY 55561</v>
      </c>
      <c r="M19" s="9" t="str">
        <f>'BIO DATA'!U19</f>
        <v>Margodadi</v>
      </c>
      <c r="N19" s="9" t="str">
        <f>'BIO DATA'!V19</f>
        <v>Seyegan</v>
      </c>
      <c r="O19" s="9" t="str">
        <f>'BIO DATA'!W19</f>
        <v>Sleman</v>
      </c>
      <c r="P19" s="9" t="str">
        <f>'BIO DATA'!X19</f>
        <v>DIY</v>
      </c>
      <c r="Q19" s="9" t="str">
        <f>'BIO DATA'!Y19</f>
        <v>SD Muh Gendol V</v>
      </c>
      <c r="R19" s="9">
        <f>'BIO DATA'!Z19</f>
        <v>0</v>
      </c>
      <c r="S19" s="9">
        <f>'BIO DATA'!AA19</f>
        <v>0</v>
      </c>
      <c r="T19" s="9" t="str">
        <f>'BIO DATA'!AB19</f>
        <v>Wahyu Eko Styawan</v>
      </c>
      <c r="U19" s="9" t="str">
        <f>'BIO DATA'!AC19</f>
        <v>Islam</v>
      </c>
      <c r="V19" s="9" t="str">
        <f>'BIO DATA'!AD19</f>
        <v>SLTA</v>
      </c>
      <c r="W19" s="9" t="str">
        <f>'BIO DATA'!AE19</f>
        <v>Wiraswasta</v>
      </c>
      <c r="X19" s="9">
        <f>'BIO DATA'!AF19</f>
        <v>0</v>
      </c>
      <c r="Y19" s="144" t="str">
        <f>'BIO DATA'!AG19</f>
        <v>083890636270</v>
      </c>
      <c r="Z19" s="9">
        <f>'BIO DATA'!AH19</f>
        <v>0</v>
      </c>
      <c r="AA19" s="9" t="str">
        <f>'BIO DATA'!AI19</f>
        <v>Meina Liza Nur Evawati</v>
      </c>
      <c r="AB19" s="9" t="str">
        <f>'BIO DATA'!AJ19</f>
        <v>Islam</v>
      </c>
      <c r="AC19" s="9" t="str">
        <f>'BIO DATA'!AK19</f>
        <v>D-3</v>
      </c>
      <c r="AD19" s="9" t="str">
        <f>'BIO DATA'!AL19</f>
        <v>Karyawan Swasta</v>
      </c>
      <c r="AE19" s="9">
        <f>'BIO DATA'!AM19</f>
        <v>0</v>
      </c>
      <c r="AF19" s="49" t="str">
        <f>'BIO DATA'!AN19</f>
        <v>083840730422</v>
      </c>
      <c r="AG19" s="9">
        <f>'BIO DATA'!AO19</f>
        <v>0</v>
      </c>
      <c r="AH19" s="9">
        <f>'BIO DATA'!AY19</f>
        <v>0</v>
      </c>
      <c r="AI19" s="9">
        <f>'BIO DATA'!AZ19</f>
        <v>0</v>
      </c>
      <c r="AJ19" s="9">
        <f>'BIO DATA'!BA19</f>
        <v>0</v>
      </c>
      <c r="AK19" s="9">
        <f>'BIO DATA'!BB19</f>
        <v>0</v>
      </c>
      <c r="AL19" s="9">
        <f>'BIO DATA'!BC19</f>
        <v>0</v>
      </c>
      <c r="AM19" s="9">
        <f>'BIO DATA'!BD19</f>
        <v>0</v>
      </c>
      <c r="AN19" s="9">
        <f>'BIO DATA'!BE19</f>
        <v>0</v>
      </c>
      <c r="AO19" s="9">
        <f>'BIO DATA'!BF19</f>
        <v>0</v>
      </c>
      <c r="AP19" s="50" t="str">
        <f>'BIO DATA'!BG19</f>
        <v>Muhammad Irfan Syihab, S.Hum.</v>
      </c>
    </row>
    <row r="20" spans="1:42" s="51" customFormat="1" ht="20.100000000000001" customHeight="1" thickBot="1">
      <c r="A20" s="13" t="s">
        <v>142</v>
      </c>
      <c r="B20">
        <v>157</v>
      </c>
      <c r="C20" s="116">
        <f>'BIO DATA'!C20</f>
        <v>12603</v>
      </c>
      <c r="D20" s="116" t="str">
        <f>'BIO DATA'!D20</f>
        <v>0143617273</v>
      </c>
      <c r="E20" s="115" t="str">
        <f>'BIO DATA'!E20</f>
        <v>Mikail Ahmad Zaidan</v>
      </c>
      <c r="F20" s="46" t="str">
        <f>'BIO DATA'!L20</f>
        <v>Laki-laki</v>
      </c>
      <c r="G20" s="9" t="str">
        <f>'BIO DATA'!M20</f>
        <v>Gresik</v>
      </c>
      <c r="H20" s="48">
        <f>'BIO DATA'!O20</f>
        <v>41696</v>
      </c>
      <c r="I20" s="46" t="str">
        <f>'BIO DATA'!R20</f>
        <v>Islam</v>
      </c>
      <c r="J20" s="47">
        <f>'BIO DATA'!I20</f>
        <v>2</v>
      </c>
      <c r="K20" s="47">
        <f>'BIO DATA'!J20</f>
        <v>2</v>
      </c>
      <c r="L20" s="9" t="str">
        <f>'BIO DATA'!S20</f>
        <v>Jl. Rembang II/18 GKB RT 001 RW 009 Yosowilangun Manyar Gresik Jawa Timur 61151</v>
      </c>
      <c r="M20" s="9" t="str">
        <f>'BIO DATA'!U20</f>
        <v>Yosowilangun</v>
      </c>
      <c r="N20" s="9" t="str">
        <f>'BIO DATA'!V20</f>
        <v>Manyar</v>
      </c>
      <c r="O20" s="9" t="str">
        <f>'BIO DATA'!W20</f>
        <v>Gresik</v>
      </c>
      <c r="P20" s="9" t="str">
        <f>'BIO DATA'!X20</f>
        <v>Jawa Timur</v>
      </c>
      <c r="Q20" s="9" t="str">
        <f>'BIO DATA'!Y20</f>
        <v>SD Muhammadiyah Manyar Gresik</v>
      </c>
      <c r="R20" s="9" t="str">
        <f>'BIO DATA'!Z20</f>
        <v>Jl. Amuntai 01 GKB Gresik - Jawa Timur 61151, Telp : (031) 3959349 Fax : (031) 3954826</v>
      </c>
      <c r="S20" s="9">
        <f>'BIO DATA'!AA20</f>
        <v>0</v>
      </c>
      <c r="T20" s="9" t="str">
        <f>'BIO DATA'!AB20</f>
        <v>Suadrmono</v>
      </c>
      <c r="U20" s="9" t="str">
        <f>'BIO DATA'!AC20</f>
        <v>Islam</v>
      </c>
      <c r="V20" s="9" t="str">
        <f>'BIO DATA'!AD20</f>
        <v>S1</v>
      </c>
      <c r="W20" s="9" t="str">
        <f>'BIO DATA'!AE20</f>
        <v>PNS</v>
      </c>
      <c r="X20" s="9" t="str">
        <f>'BIO DATA'!AF20</f>
        <v>5jt-10jt</v>
      </c>
      <c r="Y20" s="144" t="str">
        <f>'BIO DATA'!AG20</f>
        <v>08151608608</v>
      </c>
      <c r="Z20" s="9">
        <f>'BIO DATA'!AH20</f>
        <v>0</v>
      </c>
      <c r="AA20" s="9" t="str">
        <f>'BIO DATA'!AI20</f>
        <v>Malini Roos</v>
      </c>
      <c r="AB20" s="9" t="str">
        <f>'BIO DATA'!AJ20</f>
        <v>Islam</v>
      </c>
      <c r="AC20" s="9" t="str">
        <f>'BIO DATA'!AK20</f>
        <v>S1</v>
      </c>
      <c r="AD20" s="9" t="str">
        <f>'BIO DATA'!AL20</f>
        <v>Karyawan Swasta</v>
      </c>
      <c r="AE20" s="9" t="str">
        <f>'BIO DATA'!AM20</f>
        <v>5jt-10jt</v>
      </c>
      <c r="AF20" s="49" t="str">
        <f>'BIO DATA'!AN20</f>
        <v>081259592221</v>
      </c>
      <c r="AG20" s="9">
        <f>'BIO DATA'!AO20</f>
        <v>0</v>
      </c>
      <c r="AH20" s="9">
        <f>'BIO DATA'!AY20</f>
        <v>0</v>
      </c>
      <c r="AI20" s="9">
        <f>'BIO DATA'!AZ20</f>
        <v>0</v>
      </c>
      <c r="AJ20" s="9">
        <f>'BIO DATA'!BA20</f>
        <v>0</v>
      </c>
      <c r="AK20" s="9">
        <f>'BIO DATA'!BB20</f>
        <v>0</v>
      </c>
      <c r="AL20" s="9">
        <f>'BIO DATA'!BC20</f>
        <v>0</v>
      </c>
      <c r="AM20" s="9">
        <f>'BIO DATA'!BD20</f>
        <v>0</v>
      </c>
      <c r="AN20" s="9">
        <f>'BIO DATA'!BE20</f>
        <v>0</v>
      </c>
      <c r="AO20" s="9">
        <f>'BIO DATA'!BF20</f>
        <v>0</v>
      </c>
      <c r="AP20" s="50" t="str">
        <f>'BIO DATA'!BG20</f>
        <v>Muhammad Irfan Syihab, S.Hum.</v>
      </c>
    </row>
    <row r="21" spans="1:42" s="51" customFormat="1" ht="20.100000000000001" customHeight="1" thickBot="1">
      <c r="A21" s="13" t="s">
        <v>142</v>
      </c>
      <c r="B21">
        <v>159</v>
      </c>
      <c r="C21" s="116">
        <f>'BIO DATA'!C21</f>
        <v>12605</v>
      </c>
      <c r="D21" s="116" t="str">
        <f>'BIO DATA'!D21</f>
        <v>0132358490</v>
      </c>
      <c r="E21" s="115" t="str">
        <f>'BIO DATA'!E21</f>
        <v>Moh. Athariz Chalief Hamidy</v>
      </c>
      <c r="F21" s="46" t="str">
        <f>'BIO DATA'!L21</f>
        <v>Laki-laki</v>
      </c>
      <c r="G21" s="9" t="str">
        <f>'BIO DATA'!M21</f>
        <v>Brebes</v>
      </c>
      <c r="H21" s="48">
        <f>'BIO DATA'!O21</f>
        <v>41428</v>
      </c>
      <c r="I21" s="46" t="str">
        <f>'BIO DATA'!R21</f>
        <v>Islam</v>
      </c>
      <c r="J21" s="47">
        <f>'BIO DATA'!I21</f>
        <v>1</v>
      </c>
      <c r="K21" s="47">
        <f>'BIO DATA'!J21</f>
        <v>0</v>
      </c>
      <c r="L21" s="9" t="str">
        <f>'BIO DATA'!S21</f>
        <v>Slatri Tengah RT 001 RW 001 Slatri Larangan Brebes Jawa Tengah 52262</v>
      </c>
      <c r="M21" s="9" t="str">
        <f>'BIO DATA'!U21</f>
        <v>Slatri</v>
      </c>
      <c r="N21" s="9" t="str">
        <f>'BIO DATA'!V21</f>
        <v>Larangan</v>
      </c>
      <c r="O21" s="9" t="str">
        <f>'BIO DATA'!W21</f>
        <v>Brebes</v>
      </c>
      <c r="P21" s="9" t="str">
        <f>'BIO DATA'!X21</f>
        <v>Jawa Tengah</v>
      </c>
      <c r="Q21" s="9" t="str">
        <f>'BIO DATA'!Y21</f>
        <v>SD Muhammadiyah Ketanggungan</v>
      </c>
      <c r="R21" s="9" t="str">
        <f>'BIO DATA'!Z21</f>
        <v>Jalan Jend A.Yani 104 Dukuhturi Ketanggungan Brebes</v>
      </c>
      <c r="S21" s="9">
        <f>'BIO DATA'!AA21</f>
        <v>0</v>
      </c>
      <c r="T21" s="9" t="str">
        <f>'BIO DATA'!AB21</f>
        <v>Tarmidi</v>
      </c>
      <c r="U21" s="9" t="str">
        <f>'BIO DATA'!AC21</f>
        <v>Islam</v>
      </c>
      <c r="V21" s="9" t="str">
        <f>'BIO DATA'!AD21</f>
        <v>SLTA</v>
      </c>
      <c r="W21" s="9" t="str">
        <f>'BIO DATA'!AE21</f>
        <v>Wiraswasta</v>
      </c>
      <c r="X21" s="9" t="str">
        <f>'BIO DATA'!AF21</f>
        <v>5jt-10jt</v>
      </c>
      <c r="Y21" s="144" t="str">
        <f>'BIO DATA'!AG21</f>
        <v>081299933381</v>
      </c>
      <c r="Z21" s="9">
        <f>'BIO DATA'!AH21</f>
        <v>0</v>
      </c>
      <c r="AA21" s="9" t="str">
        <f>'BIO DATA'!AI21</f>
        <v>Irvi Azizah Halia</v>
      </c>
      <c r="AB21" s="9" t="str">
        <f>'BIO DATA'!AJ21</f>
        <v>Islam</v>
      </c>
      <c r="AC21" s="9" t="str">
        <f>'BIO DATA'!AK21</f>
        <v>S1</v>
      </c>
      <c r="AD21" s="9" t="str">
        <f>'BIO DATA'!AL21</f>
        <v>Guru</v>
      </c>
      <c r="AE21" s="9" t="str">
        <f>'BIO DATA'!AM21</f>
        <v>3jt-5jt</v>
      </c>
      <c r="AF21" s="49" t="str">
        <f>'BIO DATA'!AN21</f>
        <v>081914142349</v>
      </c>
      <c r="AG21" s="9">
        <f>'BIO DATA'!AO21</f>
        <v>0</v>
      </c>
      <c r="AH21" s="9">
        <f>'BIO DATA'!AY21</f>
        <v>0</v>
      </c>
      <c r="AI21" s="9">
        <f>'BIO DATA'!AZ21</f>
        <v>0</v>
      </c>
      <c r="AJ21" s="9">
        <f>'BIO DATA'!BA21</f>
        <v>0</v>
      </c>
      <c r="AK21" s="9">
        <f>'BIO DATA'!BB21</f>
        <v>0</v>
      </c>
      <c r="AL21" s="9">
        <f>'BIO DATA'!BC21</f>
        <v>0</v>
      </c>
      <c r="AM21" s="9">
        <f>'BIO DATA'!BD21</f>
        <v>0</v>
      </c>
      <c r="AN21" s="9">
        <f>'BIO DATA'!BE21</f>
        <v>0</v>
      </c>
      <c r="AO21" s="9">
        <f>'BIO DATA'!BF21</f>
        <v>0</v>
      </c>
      <c r="AP21" s="50" t="str">
        <f>'BIO DATA'!BG21</f>
        <v>Muhammad Irfan Syihab, S.Hum.</v>
      </c>
    </row>
    <row r="22" spans="1:42" s="51" customFormat="1" ht="20.100000000000001" customHeight="1" thickBot="1">
      <c r="A22" s="13" t="s">
        <v>142</v>
      </c>
      <c r="B22">
        <v>171</v>
      </c>
      <c r="C22" s="116">
        <f>'BIO DATA'!C22</f>
        <v>12606</v>
      </c>
      <c r="D22" s="116" t="str">
        <f>'BIO DATA'!D22</f>
        <v>0144213525</v>
      </c>
      <c r="E22" s="115" t="str">
        <f>'BIO DATA'!E22</f>
        <v>Muhamad Fathan Sakhi Zaidan</v>
      </c>
      <c r="F22" s="46" t="str">
        <f>'BIO DATA'!L22</f>
        <v>Laki-laki</v>
      </c>
      <c r="G22" s="9" t="str">
        <f>'BIO DATA'!M22</f>
        <v>Kota Magelang</v>
      </c>
      <c r="H22" s="48">
        <f>'BIO DATA'!O22</f>
        <v>41694</v>
      </c>
      <c r="I22" s="46" t="str">
        <f>'BIO DATA'!R22</f>
        <v>Islam</v>
      </c>
      <c r="J22" s="47">
        <f>'BIO DATA'!I22</f>
        <v>2</v>
      </c>
      <c r="K22" s="47">
        <f>'BIO DATA'!J22</f>
        <v>1</v>
      </c>
      <c r="L22" s="9" t="str">
        <f>'BIO DATA'!S22</f>
        <v>Jl. Pemuda 170 B RT 004 RW 009 Kemirirejo Magelang Tengah Kota Magelang Jawa Tengah 56112</v>
      </c>
      <c r="M22" s="9" t="str">
        <f>'BIO DATA'!U22</f>
        <v>Kemirirejo</v>
      </c>
      <c r="N22" s="9" t="str">
        <f>'BIO DATA'!V22</f>
        <v>Magelang Tengah</v>
      </c>
      <c r="O22" s="9" t="str">
        <f>'BIO DATA'!W22</f>
        <v>Kota Magelang</v>
      </c>
      <c r="P22" s="9" t="str">
        <f>'BIO DATA'!X22</f>
        <v>Jawa Tengah</v>
      </c>
      <c r="Q22" s="9" t="str">
        <f>'BIO DATA'!Y22</f>
        <v>SD Muhammadiyah 1 Alternatif Kota Magelang</v>
      </c>
      <c r="R22" s="9" t="str">
        <f>'BIO DATA'!Z22</f>
        <v>Jl.Tidar no.21 A Kota Magelang</v>
      </c>
      <c r="S22" s="9">
        <f>'BIO DATA'!AA22</f>
        <v>0</v>
      </c>
      <c r="T22" s="9" t="str">
        <f>'BIO DATA'!AB22</f>
        <v>Moch. Jonny</v>
      </c>
      <c r="U22" s="9" t="str">
        <f>'BIO DATA'!AC22</f>
        <v>Islam</v>
      </c>
      <c r="V22" s="9" t="str">
        <f>'BIO DATA'!AD22</f>
        <v>S1</v>
      </c>
      <c r="W22" s="9" t="str">
        <f>'BIO DATA'!AE22</f>
        <v>Wiraswasta</v>
      </c>
      <c r="X22" s="9" t="str">
        <f>'BIO DATA'!AF22</f>
        <v>5jt-10jt</v>
      </c>
      <c r="Y22" s="144" t="str">
        <f>'BIO DATA'!AG22</f>
        <v>08121550098</v>
      </c>
      <c r="Z22" s="9">
        <f>'BIO DATA'!AH22</f>
        <v>0</v>
      </c>
      <c r="AA22" s="9" t="str">
        <f>'BIO DATA'!AI22</f>
        <v>Yulizarti</v>
      </c>
      <c r="AB22" s="9" t="str">
        <f>'BIO DATA'!AJ22</f>
        <v>Islam</v>
      </c>
      <c r="AC22" s="9" t="str">
        <f>'BIO DATA'!AK22</f>
        <v>SLTA</v>
      </c>
      <c r="AD22" s="9" t="str">
        <f>'BIO DATA'!AL22</f>
        <v>Wiraswasta</v>
      </c>
      <c r="AE22" s="9" t="str">
        <f>'BIO DATA'!AM22</f>
        <v>&lt; 500rb</v>
      </c>
      <c r="AF22" s="49" t="str">
        <f>'BIO DATA'!AN22</f>
        <v>081392277669</v>
      </c>
      <c r="AG22" s="9">
        <f>'BIO DATA'!AO22</f>
        <v>0</v>
      </c>
      <c r="AH22" s="9">
        <f>'BIO DATA'!AY22</f>
        <v>0</v>
      </c>
      <c r="AI22" s="9">
        <f>'BIO DATA'!AZ22</f>
        <v>0</v>
      </c>
      <c r="AJ22" s="9">
        <f>'BIO DATA'!BA22</f>
        <v>0</v>
      </c>
      <c r="AK22" s="9">
        <f>'BIO DATA'!BB22</f>
        <v>0</v>
      </c>
      <c r="AL22" s="9">
        <f>'BIO DATA'!BC22</f>
        <v>0</v>
      </c>
      <c r="AM22" s="9">
        <f>'BIO DATA'!BD22</f>
        <v>0</v>
      </c>
      <c r="AN22" s="9">
        <f>'BIO DATA'!BE22</f>
        <v>0</v>
      </c>
      <c r="AO22" s="9">
        <f>'BIO DATA'!BF22</f>
        <v>0</v>
      </c>
      <c r="AP22" s="50" t="str">
        <f>'BIO DATA'!BG22</f>
        <v>Muhammad Irfan Syihab, S.Hum.</v>
      </c>
    </row>
    <row r="23" spans="1:42" s="51" customFormat="1" ht="20.100000000000001" customHeight="1" thickBot="1">
      <c r="A23" s="13" t="s">
        <v>142</v>
      </c>
      <c r="B23">
        <v>177</v>
      </c>
      <c r="C23" s="116">
        <f>'BIO DATA'!C23</f>
        <v>12623</v>
      </c>
      <c r="D23" s="116" t="str">
        <f>'BIO DATA'!D23</f>
        <v>0147465826</v>
      </c>
      <c r="E23" s="115" t="str">
        <f>'BIO DATA'!E23</f>
        <v>Muhammad Azmi An Najah</v>
      </c>
      <c r="F23" s="46" t="str">
        <f>'BIO DATA'!L23</f>
        <v>Laki-laki</v>
      </c>
      <c r="G23" s="9" t="str">
        <f>'BIO DATA'!M23</f>
        <v>Pekalongan</v>
      </c>
      <c r="H23" s="48">
        <f>'BIO DATA'!O23</f>
        <v>41656</v>
      </c>
      <c r="I23" s="46" t="str">
        <f>'BIO DATA'!R23</f>
        <v>Islam</v>
      </c>
      <c r="J23" s="47">
        <f>'BIO DATA'!I23</f>
        <v>2</v>
      </c>
      <c r="K23" s="47">
        <f>'BIO DATA'!J23</f>
        <v>1</v>
      </c>
      <c r="L23" s="9" t="str">
        <f>'BIO DATA'!S23</f>
        <v>Dusun Bandaran RT 001 RW 002 Rowosari Ulujami Pemalang Jawa Tengah 52371</v>
      </c>
      <c r="M23" s="9" t="str">
        <f>'BIO DATA'!U23</f>
        <v>Rowosari</v>
      </c>
      <c r="N23" s="9" t="str">
        <f>'BIO DATA'!V23</f>
        <v>Ulujami</v>
      </c>
      <c r="O23" s="9" t="str">
        <f>'BIO DATA'!W23</f>
        <v>Pemalang</v>
      </c>
      <c r="P23" s="9" t="str">
        <f>'BIO DATA'!X23</f>
        <v>Jawa Tengah</v>
      </c>
      <c r="Q23" s="9" t="str">
        <f>'BIO DATA'!Y23</f>
        <v>SD Muhammadiyah 2 Bendan</v>
      </c>
      <c r="R23" s="9" t="str">
        <f>'BIO DATA'!Z23</f>
        <v>Jl, Kurinci No.2 Pekalongan</v>
      </c>
      <c r="S23" s="9">
        <f>'BIO DATA'!AA23</f>
        <v>0</v>
      </c>
      <c r="T23" s="9" t="str">
        <f>'BIO DATA'!AB23</f>
        <v>Sudi Raharjo</v>
      </c>
      <c r="U23" s="9" t="str">
        <f>'BIO DATA'!AC23</f>
        <v>Islam</v>
      </c>
      <c r="V23" s="9" t="str">
        <f>'BIO DATA'!AD23</f>
        <v>S2</v>
      </c>
      <c r="W23" s="9" t="str">
        <f>'BIO DATA'!AE23</f>
        <v>Dosen</v>
      </c>
      <c r="X23" s="9" t="str">
        <f>'BIO DATA'!AF23</f>
        <v>1jt-3jt</v>
      </c>
      <c r="Y23" s="144" t="str">
        <f>'BIO DATA'!AG23</f>
        <v>085742807672</v>
      </c>
      <c r="Z23" s="9">
        <f>'BIO DATA'!AH23</f>
        <v>0</v>
      </c>
      <c r="AA23" s="9" t="str">
        <f>'BIO DATA'!AI23</f>
        <v>Ida Nafiaty</v>
      </c>
      <c r="AB23" s="9" t="str">
        <f>'BIO DATA'!AJ23</f>
        <v>Islam</v>
      </c>
      <c r="AC23" s="9" t="str">
        <f>'BIO DATA'!AK23</f>
        <v>S1</v>
      </c>
      <c r="AD23" s="9" t="str">
        <f>'BIO DATA'!AL23</f>
        <v>ASN</v>
      </c>
      <c r="AE23" s="9" t="str">
        <f>'BIO DATA'!AM23</f>
        <v>1jt-3jt</v>
      </c>
      <c r="AF23" s="49" t="str">
        <f>'BIO DATA'!AN23</f>
        <v>089665776364</v>
      </c>
      <c r="AG23" s="9">
        <f>'BIO DATA'!AO23</f>
        <v>0</v>
      </c>
      <c r="AH23" s="9">
        <f>'BIO DATA'!AY23</f>
        <v>0</v>
      </c>
      <c r="AI23" s="9">
        <f>'BIO DATA'!AZ23</f>
        <v>0</v>
      </c>
      <c r="AJ23" s="9">
        <f>'BIO DATA'!BA23</f>
        <v>0</v>
      </c>
      <c r="AK23" s="9">
        <f>'BIO DATA'!BB23</f>
        <v>0</v>
      </c>
      <c r="AL23" s="9">
        <f>'BIO DATA'!BC23</f>
        <v>0</v>
      </c>
      <c r="AM23" s="9">
        <f>'BIO DATA'!BD23</f>
        <v>0</v>
      </c>
      <c r="AN23" s="9">
        <f>'BIO DATA'!BE23</f>
        <v>0</v>
      </c>
      <c r="AO23" s="9">
        <f>'BIO DATA'!BF23</f>
        <v>0</v>
      </c>
      <c r="AP23" s="50" t="str">
        <f>'BIO DATA'!BG23</f>
        <v>Muhammad Irfan Syihab, S.Hum.</v>
      </c>
    </row>
    <row r="24" spans="1:42" s="51" customFormat="1" ht="20.100000000000001" customHeight="1" thickBot="1">
      <c r="A24" s="13" t="s">
        <v>142</v>
      </c>
      <c r="B24">
        <v>192</v>
      </c>
      <c r="C24" s="116">
        <f>'BIO DATA'!C24</f>
        <v>12637</v>
      </c>
      <c r="D24" s="116" t="str">
        <f>'BIO DATA'!D24</f>
        <v>0135724276</v>
      </c>
      <c r="E24" s="115" t="str">
        <f>'BIO DATA'!E24</f>
        <v>Muhammad Hafis Makarim</v>
      </c>
      <c r="F24" s="46" t="str">
        <f>'BIO DATA'!L24</f>
        <v>Laki-laki</v>
      </c>
      <c r="G24" s="9" t="str">
        <f>'BIO DATA'!M24</f>
        <v>Purworejo</v>
      </c>
      <c r="H24" s="48">
        <f>'BIO DATA'!O24</f>
        <v>41445</v>
      </c>
      <c r="I24" s="46" t="str">
        <f>'BIO DATA'!R24</f>
        <v>Islam</v>
      </c>
      <c r="J24" s="47">
        <f>'BIO DATA'!I24</f>
        <v>2</v>
      </c>
      <c r="K24" s="47">
        <f>'BIO DATA'!J24</f>
        <v>1</v>
      </c>
      <c r="L24" s="9" t="str">
        <f>'BIO DATA'!S24</f>
        <v>Grantung RT 002 RW 006 Grantung Bayan Purworejo Jawa Tengah 54162</v>
      </c>
      <c r="M24" s="9" t="str">
        <f>'BIO DATA'!U24</f>
        <v>Grantung</v>
      </c>
      <c r="N24" s="9" t="str">
        <f>'BIO DATA'!V24</f>
        <v>Bayan</v>
      </c>
      <c r="O24" s="9" t="str">
        <f>'BIO DATA'!W24</f>
        <v>Purworejo</v>
      </c>
      <c r="P24" s="9" t="str">
        <f>'BIO DATA'!X24</f>
        <v>Jawa Tengah</v>
      </c>
      <c r="Q24" s="9" t="str">
        <f>'BIO DATA'!Y24</f>
        <v>SD Muhammadyah Kutoarjo</v>
      </c>
      <c r="R24" s="9">
        <f>'BIO DATA'!Z24</f>
        <v>0</v>
      </c>
      <c r="S24" s="9">
        <f>'BIO DATA'!AA24</f>
        <v>0</v>
      </c>
      <c r="T24" s="9" t="str">
        <f>'BIO DATA'!AB24</f>
        <v>Amri Harjono</v>
      </c>
      <c r="U24" s="9" t="str">
        <f>'BIO DATA'!AC24</f>
        <v>Islam</v>
      </c>
      <c r="V24" s="9" t="str">
        <f>'BIO DATA'!AD24</f>
        <v>S1</v>
      </c>
      <c r="W24" s="9" t="str">
        <f>'BIO DATA'!AE24</f>
        <v>PNS</v>
      </c>
      <c r="X24" s="9">
        <f>'BIO DATA'!AF24</f>
        <v>0</v>
      </c>
      <c r="Y24" s="144" t="str">
        <f>'BIO DATA'!AG24</f>
        <v>081225473936</v>
      </c>
      <c r="Z24" s="9">
        <f>'BIO DATA'!AH24</f>
        <v>0</v>
      </c>
      <c r="AA24" s="9" t="str">
        <f>'BIO DATA'!AI24</f>
        <v>Nur Khasanah</v>
      </c>
      <c r="AB24" s="9" t="str">
        <f>'BIO DATA'!AJ24</f>
        <v>Islam</v>
      </c>
      <c r="AC24" s="9" t="str">
        <f>'BIO DATA'!AK24</f>
        <v>D-3</v>
      </c>
      <c r="AD24" s="9" t="str">
        <f>'BIO DATA'!AL24</f>
        <v>Guru</v>
      </c>
      <c r="AE24" s="9">
        <f>'BIO DATA'!AM24</f>
        <v>0</v>
      </c>
      <c r="AF24" s="49" t="str">
        <f>'BIO DATA'!AN24</f>
        <v>085328222169</v>
      </c>
      <c r="AG24" s="9">
        <f>'BIO DATA'!AO24</f>
        <v>0</v>
      </c>
      <c r="AH24" s="9">
        <f>'BIO DATA'!AY24</f>
        <v>0</v>
      </c>
      <c r="AI24" s="9">
        <f>'BIO DATA'!AZ24</f>
        <v>0</v>
      </c>
      <c r="AJ24" s="9">
        <f>'BIO DATA'!BA24</f>
        <v>0</v>
      </c>
      <c r="AK24" s="9">
        <f>'BIO DATA'!BB24</f>
        <v>0</v>
      </c>
      <c r="AL24" s="9">
        <f>'BIO DATA'!BC24</f>
        <v>0</v>
      </c>
      <c r="AM24" s="9">
        <f>'BIO DATA'!BD24</f>
        <v>0</v>
      </c>
      <c r="AN24" s="9">
        <f>'BIO DATA'!BE24</f>
        <v>0</v>
      </c>
      <c r="AO24" s="9">
        <f>'BIO DATA'!BF24</f>
        <v>0</v>
      </c>
      <c r="AP24" s="50" t="str">
        <f>'BIO DATA'!BG24</f>
        <v>Muhammad Irfan Syihab, S.Hum.</v>
      </c>
    </row>
    <row r="25" spans="1:42" s="51" customFormat="1" ht="20.100000000000001" customHeight="1" thickBot="1">
      <c r="A25" s="13" t="s">
        <v>142</v>
      </c>
      <c r="B25">
        <v>202</v>
      </c>
      <c r="C25" s="116">
        <f>'BIO DATA'!C25</f>
        <v>12654</v>
      </c>
      <c r="D25" s="116" t="str">
        <f>'BIO DATA'!D25</f>
        <v>0145818658</v>
      </c>
      <c r="E25" s="115" t="str">
        <f>'BIO DATA'!E25</f>
        <v>Muhammad Robii'ul Awwal</v>
      </c>
      <c r="F25" s="46" t="str">
        <f>'BIO DATA'!L25</f>
        <v>Laki-laki</v>
      </c>
      <c r="G25" s="9" t="str">
        <f>'BIO DATA'!M25</f>
        <v>Puruk Cahu</v>
      </c>
      <c r="H25" s="48">
        <f>'BIO DATA'!O25</f>
        <v>41654</v>
      </c>
      <c r="I25" s="46" t="str">
        <f>'BIO DATA'!R25</f>
        <v>Islam</v>
      </c>
      <c r="J25" s="47">
        <f>'BIO DATA'!I25</f>
        <v>1</v>
      </c>
      <c r="K25" s="47">
        <f>'BIO DATA'!J25</f>
        <v>4</v>
      </c>
      <c r="L25" s="9" t="str">
        <f>'BIO DATA'!S25</f>
        <v>Jl. KH.A.Dahlan No.02 Beriwit Murung Murung Raya Kalimantan Tengah 73911</v>
      </c>
      <c r="M25" s="9" t="str">
        <f>'BIO DATA'!U25</f>
        <v>Beriwit</v>
      </c>
      <c r="N25" s="9" t="str">
        <f>'BIO DATA'!V25</f>
        <v>Murung</v>
      </c>
      <c r="O25" s="9" t="str">
        <f>'BIO DATA'!W25</f>
        <v>Murung Raya</v>
      </c>
      <c r="P25" s="9" t="str">
        <f>'BIO DATA'!X25</f>
        <v>Kaliamntan Tengah</v>
      </c>
      <c r="Q25" s="9" t="str">
        <f>'BIO DATA'!Y25</f>
        <v>MIS Karya Pembangunan</v>
      </c>
      <c r="R25" s="9" t="str">
        <f>'BIO DATA'!Z25</f>
        <v>Jl KH. Ahmad Dahlan Puruk Cahu, Kec. Murung Kab. Murung Raya Kalimantan Tengah</v>
      </c>
      <c r="S25" s="9">
        <f>'BIO DATA'!AA25</f>
        <v>0</v>
      </c>
      <c r="T25" s="9" t="str">
        <f>'BIO DATA'!AB25</f>
        <v>Ali Muttaqin</v>
      </c>
      <c r="U25" s="9" t="str">
        <f>'BIO DATA'!AC25</f>
        <v>Islam</v>
      </c>
      <c r="V25" s="9" t="str">
        <f>'BIO DATA'!AD25</f>
        <v>S1</v>
      </c>
      <c r="W25" s="9" t="str">
        <f>'BIO DATA'!AE25</f>
        <v>Guru</v>
      </c>
      <c r="X25" s="9" t="str">
        <f>'BIO DATA'!AF25</f>
        <v>3jt-5jt</v>
      </c>
      <c r="Y25" s="144" t="str">
        <f>'BIO DATA'!AG25</f>
        <v>085822533716</v>
      </c>
      <c r="Z25" s="9">
        <f>'BIO DATA'!AH25</f>
        <v>0</v>
      </c>
      <c r="AA25" s="9" t="str">
        <f>'BIO DATA'!AI25</f>
        <v>Sri Utami</v>
      </c>
      <c r="AB25" s="9" t="str">
        <f>'BIO DATA'!AJ25</f>
        <v>Islam</v>
      </c>
      <c r="AC25" s="9" t="str">
        <f>'BIO DATA'!AK25</f>
        <v>S1</v>
      </c>
      <c r="AD25" s="9" t="str">
        <f>'BIO DATA'!AL25</f>
        <v>Perawat</v>
      </c>
      <c r="AE25" s="9" t="str">
        <f>'BIO DATA'!AM25</f>
        <v>1jt-3jt</v>
      </c>
      <c r="AF25" s="49" t="str">
        <f>'BIO DATA'!AN25</f>
        <v>081348217239</v>
      </c>
      <c r="AG25" s="9">
        <f>'BIO DATA'!AO25</f>
        <v>0</v>
      </c>
      <c r="AH25" s="9">
        <f>'BIO DATA'!AY25</f>
        <v>0</v>
      </c>
      <c r="AI25" s="9">
        <f>'BIO DATA'!AZ25</f>
        <v>0</v>
      </c>
      <c r="AJ25" s="9">
        <f>'BIO DATA'!BA25</f>
        <v>0</v>
      </c>
      <c r="AK25" s="9">
        <f>'BIO DATA'!BB25</f>
        <v>0</v>
      </c>
      <c r="AL25" s="9">
        <f>'BIO DATA'!BC25</f>
        <v>0</v>
      </c>
      <c r="AM25" s="9">
        <f>'BIO DATA'!BD25</f>
        <v>0</v>
      </c>
      <c r="AN25" s="9">
        <f>'BIO DATA'!BE25</f>
        <v>0</v>
      </c>
      <c r="AO25" s="9">
        <f>'BIO DATA'!BF25</f>
        <v>0</v>
      </c>
      <c r="AP25" s="50" t="str">
        <f>'BIO DATA'!BG25</f>
        <v>Muhammad Irfan Syihab, S.Hum.</v>
      </c>
    </row>
    <row r="26" spans="1:42" s="51" customFormat="1" ht="20.100000000000001" customHeight="1" thickBot="1">
      <c r="A26" s="13" t="s">
        <v>142</v>
      </c>
      <c r="B26">
        <v>211</v>
      </c>
      <c r="C26" s="116">
        <f>'BIO DATA'!C26</f>
        <v>12678</v>
      </c>
      <c r="D26" s="116">
        <f>'BIO DATA'!D26</f>
        <v>3134418841</v>
      </c>
      <c r="E26" s="115" t="str">
        <f>'BIO DATA'!E26</f>
        <v>Radhin Nabil Alauna</v>
      </c>
      <c r="F26" s="46" t="str">
        <f>'BIO DATA'!L26</f>
        <v>Laki-laki</v>
      </c>
      <c r="G26" s="9" t="str">
        <f>'BIO DATA'!M26</f>
        <v>Boyolali</v>
      </c>
      <c r="H26" s="48">
        <f>'BIO DATA'!O26</f>
        <v>41567</v>
      </c>
      <c r="I26" s="46" t="str">
        <f>'BIO DATA'!R26</f>
        <v>Islam</v>
      </c>
      <c r="J26" s="47">
        <f>'BIO DATA'!I26</f>
        <v>2</v>
      </c>
      <c r="K26" s="47">
        <f>'BIO DATA'!J26</f>
        <v>2</v>
      </c>
      <c r="L26" s="9" t="str">
        <f>'BIO DATA'!S26</f>
        <v>Jl. Kebo Iwa Utara Gg. I No. 9 Batukandik Padang Sambian Kaja Kota Denpasar Bali 80117</v>
      </c>
      <c r="M26" s="9" t="str">
        <f>'BIO DATA'!U26</f>
        <v>Batukandik</v>
      </c>
      <c r="N26" s="9" t="str">
        <f>'BIO DATA'!V26</f>
        <v>Padang Sambian Kaja</v>
      </c>
      <c r="O26" s="9" t="str">
        <f>'BIO DATA'!W26</f>
        <v>Kota Denpasar</v>
      </c>
      <c r="P26" s="9" t="str">
        <f>'BIO DATA'!X26</f>
        <v>Bali</v>
      </c>
      <c r="Q26" s="9" t="str">
        <f>'BIO DATA'!Y26</f>
        <v>SD Anak Emas</v>
      </c>
      <c r="R26" s="9" t="str">
        <f>'BIO DATA'!Z26</f>
        <v>Jl Buana Raya No 99X Denpasar-Bali</v>
      </c>
      <c r="S26" s="9">
        <f>'BIO DATA'!AA26</f>
        <v>0</v>
      </c>
      <c r="T26" s="9" t="str">
        <f>'BIO DATA'!AB26</f>
        <v>Jarod Sudarmaji</v>
      </c>
      <c r="U26" s="9" t="str">
        <f>'BIO DATA'!AC26</f>
        <v>Islam</v>
      </c>
      <c r="V26" s="9" t="str">
        <f>'BIO DATA'!AD26</f>
        <v>S1</v>
      </c>
      <c r="W26" s="9" t="str">
        <f>'BIO DATA'!AE26</f>
        <v>Guru</v>
      </c>
      <c r="X26" s="9" t="str">
        <f>'BIO DATA'!AF26</f>
        <v>3jt-5jt</v>
      </c>
      <c r="Y26" s="144" t="str">
        <f>'BIO DATA'!AG26</f>
        <v>087860126186</v>
      </c>
      <c r="Z26" s="9">
        <f>'BIO DATA'!AH26</f>
        <v>0</v>
      </c>
      <c r="AA26" s="9" t="str">
        <f>'BIO DATA'!AI26</f>
        <v>Siti Bahriyah</v>
      </c>
      <c r="AB26" s="9" t="str">
        <f>'BIO DATA'!AJ26</f>
        <v>Islam</v>
      </c>
      <c r="AC26" s="9" t="str">
        <f>'BIO DATA'!AK26</f>
        <v>D-3</v>
      </c>
      <c r="AD26" s="9" t="str">
        <f>'BIO DATA'!AL26</f>
        <v>Ibu Rumah Tangga</v>
      </c>
      <c r="AE26" s="9" t="str">
        <f>'BIO DATA'!AM26</f>
        <v>5jt-10jt</v>
      </c>
      <c r="AF26" s="49" t="str">
        <f>'BIO DATA'!AN26</f>
        <v>082237599179</v>
      </c>
      <c r="AG26" s="9">
        <f>'BIO DATA'!AO26</f>
        <v>0</v>
      </c>
      <c r="AH26" s="9">
        <f>'BIO DATA'!AY26</f>
        <v>0</v>
      </c>
      <c r="AI26" s="9">
        <f>'BIO DATA'!AZ26</f>
        <v>0</v>
      </c>
      <c r="AJ26" s="9">
        <f>'BIO DATA'!BA26</f>
        <v>0</v>
      </c>
      <c r="AK26" s="9">
        <f>'BIO DATA'!BB26</f>
        <v>0</v>
      </c>
      <c r="AL26" s="9">
        <f>'BIO DATA'!BC26</f>
        <v>0</v>
      </c>
      <c r="AM26" s="9">
        <f>'BIO DATA'!BD26</f>
        <v>0</v>
      </c>
      <c r="AN26" s="9">
        <f>'BIO DATA'!BE26</f>
        <v>0</v>
      </c>
      <c r="AO26" s="9">
        <f>'BIO DATA'!BF26</f>
        <v>0</v>
      </c>
      <c r="AP26" s="50" t="str">
        <f>'BIO DATA'!BG26</f>
        <v>Muhammad Irfan Syihab, S.Hum.</v>
      </c>
    </row>
    <row r="27" spans="1:42" s="51" customFormat="1" ht="20.100000000000001" customHeight="1" thickBot="1">
      <c r="A27" s="13" t="s">
        <v>142</v>
      </c>
      <c r="B27">
        <v>227</v>
      </c>
      <c r="C27" s="116">
        <f>'BIO DATA'!C27</f>
        <v>12681</v>
      </c>
      <c r="D27" s="116" t="str">
        <f>'BIO DATA'!D27</f>
        <v>0136071579</v>
      </c>
      <c r="E27" s="115" t="str">
        <f>'BIO DATA'!E27</f>
        <v>Rafa Rizki Ramadhansyah Haris</v>
      </c>
      <c r="F27" s="46" t="str">
        <f>'BIO DATA'!L27</f>
        <v>Laki-laki</v>
      </c>
      <c r="G27" s="9" t="str">
        <f>'BIO DATA'!M27</f>
        <v>Sungguminasa</v>
      </c>
      <c r="H27" s="48">
        <f>'BIO DATA'!O27</f>
        <v>41483</v>
      </c>
      <c r="I27" s="46" t="str">
        <f>'BIO DATA'!R27</f>
        <v>Islam</v>
      </c>
      <c r="J27" s="47">
        <f>'BIO DATA'!I27</f>
        <v>2</v>
      </c>
      <c r="K27" s="47">
        <f>'BIO DATA'!J27</f>
        <v>3</v>
      </c>
      <c r="L27" s="9" t="str">
        <f>'BIO DATA'!S27</f>
        <v>Jl. P. Bunyu No. 30 RT 005 RW 001 Kampung I Skip Tarakan Tengah Kota Tarakan Kalimantan Utara 77122</v>
      </c>
      <c r="M27" s="9" t="str">
        <f>'BIO DATA'!U27</f>
        <v>Kampung I Skip</v>
      </c>
      <c r="N27" s="9" t="str">
        <f>'BIO DATA'!V27</f>
        <v>Tarakan Tengah</v>
      </c>
      <c r="O27" s="9" t="str">
        <f>'BIO DATA'!W27</f>
        <v>Kota Tarakan</v>
      </c>
      <c r="P27" s="9" t="str">
        <f>'BIO DATA'!X27</f>
        <v>Kalimantan Utara</v>
      </c>
      <c r="Q27" s="9" t="str">
        <f>'BIO DATA'!Y27</f>
        <v>SDIT Al Mustaqim</v>
      </c>
      <c r="R27" s="9" t="str">
        <f>'BIO DATA'!Z27</f>
        <v>Jalan Pulai Irian Kelurahan Kampung 1 Skip RT 002 Kecematan Tarakan Tengah Kota Tarakan</v>
      </c>
      <c r="S27" s="9">
        <f>'BIO DATA'!AA27</f>
        <v>0</v>
      </c>
      <c r="T27" s="9" t="str">
        <f>'BIO DATA'!AB27</f>
        <v>Haris, S.Kep.Ns</v>
      </c>
      <c r="U27" s="9" t="str">
        <f>'BIO DATA'!AC27</f>
        <v>Islam</v>
      </c>
      <c r="V27" s="9" t="str">
        <f>'BIO DATA'!AD27</f>
        <v>S1</v>
      </c>
      <c r="W27" s="9" t="str">
        <f>'BIO DATA'!AE27</f>
        <v>Dosen</v>
      </c>
      <c r="X27" s="9" t="str">
        <f>'BIO DATA'!AF27</f>
        <v>5jt-10jt</v>
      </c>
      <c r="Y27" s="144" t="str">
        <f>'BIO DATA'!AG27</f>
        <v>085242428149</v>
      </c>
      <c r="Z27" s="9">
        <f>'BIO DATA'!AH27</f>
        <v>0</v>
      </c>
      <c r="AA27" s="9" t="str">
        <f>'BIO DATA'!AI27</f>
        <v>Rahmawati Rasyid, S.Pd.</v>
      </c>
      <c r="AB27" s="9" t="str">
        <f>'BIO DATA'!AJ27</f>
        <v>Islam</v>
      </c>
      <c r="AC27" s="9" t="str">
        <f>'BIO DATA'!AK27</f>
        <v>S1</v>
      </c>
      <c r="AD27" s="9" t="str">
        <f>'BIO DATA'!AL27</f>
        <v>Guru</v>
      </c>
      <c r="AE27" s="9" t="str">
        <f>'BIO DATA'!AM27</f>
        <v>3jt-5jt</v>
      </c>
      <c r="AF27" s="49" t="str">
        <f>'BIO DATA'!AN27</f>
        <v>08115404830</v>
      </c>
      <c r="AG27" s="9">
        <f>'BIO DATA'!AO27</f>
        <v>0</v>
      </c>
      <c r="AH27" s="9">
        <f>'BIO DATA'!AY27</f>
        <v>0</v>
      </c>
      <c r="AI27" s="9">
        <f>'BIO DATA'!AZ27</f>
        <v>0</v>
      </c>
      <c r="AJ27" s="9">
        <f>'BIO DATA'!BA27</f>
        <v>0</v>
      </c>
      <c r="AK27" s="9">
        <f>'BIO DATA'!BB27</f>
        <v>0</v>
      </c>
      <c r="AL27" s="9">
        <f>'BIO DATA'!BC27</f>
        <v>0</v>
      </c>
      <c r="AM27" s="9">
        <f>'BIO DATA'!BD27</f>
        <v>0</v>
      </c>
      <c r="AN27" s="9">
        <f>'BIO DATA'!BE27</f>
        <v>0</v>
      </c>
      <c r="AO27" s="9">
        <f>'BIO DATA'!BF27</f>
        <v>0</v>
      </c>
      <c r="AP27" s="50" t="str">
        <f>'BIO DATA'!BG27</f>
        <v>Muhammad Irfan Syihab, S.Hum.</v>
      </c>
    </row>
    <row r="28" spans="1:42" s="51" customFormat="1" ht="20.100000000000001" customHeight="1" thickBot="1">
      <c r="A28" s="13" t="s">
        <v>142</v>
      </c>
      <c r="B28">
        <v>228</v>
      </c>
      <c r="C28" s="116">
        <f>'BIO DATA'!C28</f>
        <v>12685</v>
      </c>
      <c r="D28" s="116" t="str">
        <f>'BIO DATA'!D28</f>
        <v>0139327713</v>
      </c>
      <c r="E28" s="115" t="str">
        <f>'BIO DATA'!E28</f>
        <v>Rajendra Zhafran Arsaputra</v>
      </c>
      <c r="F28" s="46" t="str">
        <f>'BIO DATA'!L28</f>
        <v>Laki-laki</v>
      </c>
      <c r="G28" s="9" t="str">
        <f>'BIO DATA'!M28</f>
        <v>Sukoharjo</v>
      </c>
      <c r="H28" s="48">
        <f>'BIO DATA'!O28</f>
        <v>41552</v>
      </c>
      <c r="I28" s="46" t="str">
        <f>'BIO DATA'!R28</f>
        <v>Islam</v>
      </c>
      <c r="J28" s="47">
        <f>'BIO DATA'!I28</f>
        <v>2</v>
      </c>
      <c r="K28" s="47">
        <f>'BIO DATA'!J28</f>
        <v>1</v>
      </c>
      <c r="L28" s="9" t="str">
        <f>'BIO DATA'!S28</f>
        <v>Pulosari RT 003 RW 004 Gayam Sukoharjo Sukoharjo Jawa Tengah 57514</v>
      </c>
      <c r="M28" s="9" t="str">
        <f>'BIO DATA'!U28</f>
        <v>Gayam</v>
      </c>
      <c r="N28" s="9" t="str">
        <f>'BIO DATA'!V28</f>
        <v>Sukoharjo</v>
      </c>
      <c r="O28" s="9" t="str">
        <f>'BIO DATA'!W28</f>
        <v>Sukoharjo</v>
      </c>
      <c r="P28" s="9" t="str">
        <f>'BIO DATA'!X28</f>
        <v>Jawa Tengah</v>
      </c>
      <c r="Q28" s="9" t="str">
        <f>'BIO DATA'!Y28</f>
        <v>SD Muhammadiyah Sokonandi Yogyakarta</v>
      </c>
      <c r="R28" s="9" t="str">
        <f>'BIO DATA'!Z28</f>
        <v>Jalan Notowinatan Gunungketur Yogya</v>
      </c>
      <c r="S28" s="9">
        <f>'BIO DATA'!AA28</f>
        <v>0</v>
      </c>
      <c r="T28" s="9" t="str">
        <f>'BIO DATA'!AB28</f>
        <v>Harun Rochmadi, SE</v>
      </c>
      <c r="U28" s="9" t="str">
        <f>'BIO DATA'!AC28</f>
        <v>Islam</v>
      </c>
      <c r="V28" s="9" t="str">
        <f>'BIO DATA'!AD28</f>
        <v>S1</v>
      </c>
      <c r="W28" s="9" t="str">
        <f>'BIO DATA'!AE28</f>
        <v>PNS</v>
      </c>
      <c r="X28" s="9" t="str">
        <f>'BIO DATA'!AF28</f>
        <v>&gt;10jt</v>
      </c>
      <c r="Y28" s="144" t="str">
        <f>'BIO DATA'!AG28</f>
        <v>088216120266</v>
      </c>
      <c r="Z28" s="9">
        <f>'BIO DATA'!AH28</f>
        <v>0</v>
      </c>
      <c r="AA28" s="9" t="str">
        <f>'BIO DATA'!AI28</f>
        <v>Syafa'atul Etikasari, ST</v>
      </c>
      <c r="AB28" s="9" t="str">
        <f>'BIO DATA'!AJ28</f>
        <v>Islam</v>
      </c>
      <c r="AC28" s="9" t="str">
        <f>'BIO DATA'!AK28</f>
        <v>S1</v>
      </c>
      <c r="AD28" s="9" t="str">
        <f>'BIO DATA'!AL28</f>
        <v>Ibu Rumah Tangga</v>
      </c>
      <c r="AE28" s="9" t="str">
        <f>'BIO DATA'!AM28</f>
        <v>&lt; 500rb</v>
      </c>
      <c r="AF28" s="49" t="str">
        <f>'BIO DATA'!AN28</f>
        <v>085747880931</v>
      </c>
      <c r="AG28" s="9">
        <f>'BIO DATA'!AO28</f>
        <v>0</v>
      </c>
      <c r="AH28" s="9">
        <f>'BIO DATA'!AY28</f>
        <v>0</v>
      </c>
      <c r="AI28" s="9">
        <f>'BIO DATA'!AZ28</f>
        <v>0</v>
      </c>
      <c r="AJ28" s="9">
        <f>'BIO DATA'!BA28</f>
        <v>0</v>
      </c>
      <c r="AK28" s="9">
        <f>'BIO DATA'!BB28</f>
        <v>0</v>
      </c>
      <c r="AL28" s="9">
        <f>'BIO DATA'!BC28</f>
        <v>0</v>
      </c>
      <c r="AM28" s="9">
        <f>'BIO DATA'!BD28</f>
        <v>0</v>
      </c>
      <c r="AN28" s="9">
        <f>'BIO DATA'!BE28</f>
        <v>0</v>
      </c>
      <c r="AO28" s="9">
        <f>'BIO DATA'!BF28</f>
        <v>0</v>
      </c>
      <c r="AP28" s="50" t="str">
        <f>'BIO DATA'!BG28</f>
        <v>Muhammad Irfan Syihab, S.Hum.</v>
      </c>
    </row>
    <row r="29" spans="1:42" s="51" customFormat="1" ht="20.100000000000001" customHeight="1" thickBot="1">
      <c r="A29" s="13" t="s">
        <v>142</v>
      </c>
      <c r="B29">
        <v>268</v>
      </c>
      <c r="C29" s="116">
        <f>'BIO DATA'!C29</f>
        <v>12701</v>
      </c>
      <c r="D29" s="116" t="str">
        <f>'BIO DATA'!D29</f>
        <v>0146837414</v>
      </c>
      <c r="E29" s="115" t="str">
        <f>'BIO DATA'!E29</f>
        <v>Salman Abqary Haidar Al Hanif</v>
      </c>
      <c r="F29" s="46" t="str">
        <f>'BIO DATA'!L29</f>
        <v>Laki-laki</v>
      </c>
      <c r="G29" s="9" t="str">
        <f>'BIO DATA'!M29</f>
        <v>Tegal</v>
      </c>
      <c r="H29" s="48">
        <f>'BIO DATA'!O29</f>
        <v>41659</v>
      </c>
      <c r="I29" s="46" t="str">
        <f>'BIO DATA'!R29</f>
        <v>Islam</v>
      </c>
      <c r="J29" s="47">
        <f>'BIO DATA'!I29</f>
        <v>2</v>
      </c>
      <c r="K29" s="47">
        <f>'BIO DATA'!J29</f>
        <v>1</v>
      </c>
      <c r="L29" s="9" t="str">
        <f>'BIO DATA'!S29</f>
        <v>Jl. P. Kemerdekaan Gg 16/32 RT 012 RW 007 Panggung Tegal Timur Tegal Jawa Tengah 52122</v>
      </c>
      <c r="M29" s="9" t="str">
        <f>'BIO DATA'!U29</f>
        <v>Panggung</v>
      </c>
      <c r="N29" s="9" t="str">
        <f>'BIO DATA'!V29</f>
        <v>Tegal Timur</v>
      </c>
      <c r="O29" s="9" t="str">
        <f>'BIO DATA'!W29</f>
        <v>Tegal</v>
      </c>
      <c r="P29" s="9" t="str">
        <f>'BIO DATA'!X29</f>
        <v>Jawa Tengah</v>
      </c>
      <c r="Q29" s="9" t="str">
        <f>'BIO DATA'!Y29</f>
        <v>SDIT Usamah Kota Tegal</v>
      </c>
      <c r="R29" s="9" t="str">
        <f>'BIO DATA'!Z29</f>
        <v>Jl. Surabayan RT 01 / 14 Kelurahan Panggung Kota Tegal Jawa Tengah 52122</v>
      </c>
      <c r="S29" s="9">
        <f>'BIO DATA'!AA29</f>
        <v>0</v>
      </c>
      <c r="T29" s="9" t="str">
        <f>'BIO DATA'!AB29</f>
        <v>Teguh Dwi Puji Santoso</v>
      </c>
      <c r="U29" s="9" t="str">
        <f>'BIO DATA'!AC29</f>
        <v>Islam</v>
      </c>
      <c r="V29" s="9" t="str">
        <f>'BIO DATA'!AD29</f>
        <v>S1</v>
      </c>
      <c r="W29" s="9" t="str">
        <f>'BIO DATA'!AE29</f>
        <v>PNS</v>
      </c>
      <c r="X29" s="9" t="str">
        <f>'BIO DATA'!AF29</f>
        <v>3jt-5jt</v>
      </c>
      <c r="Y29" s="144" t="str">
        <f>'BIO DATA'!AG29</f>
        <v>08157928486</v>
      </c>
      <c r="Z29" s="9">
        <f>'BIO DATA'!AH29</f>
        <v>0</v>
      </c>
      <c r="AA29" s="9" t="str">
        <f>'BIO DATA'!AI29</f>
        <v>Neni Hendaryati</v>
      </c>
      <c r="AB29" s="9" t="str">
        <f>'BIO DATA'!AJ29</f>
        <v>Islam</v>
      </c>
      <c r="AC29" s="9" t="str">
        <f>'BIO DATA'!AK29</f>
        <v>S2</v>
      </c>
      <c r="AD29" s="9" t="str">
        <f>'BIO DATA'!AL29</f>
        <v>Dosen</v>
      </c>
      <c r="AE29" s="9" t="str">
        <f>'BIO DATA'!AM29</f>
        <v>3jt-5jt</v>
      </c>
      <c r="AF29" s="49" t="str">
        <f>'BIO DATA'!AN29</f>
        <v>085642917002</v>
      </c>
      <c r="AG29" s="9">
        <f>'BIO DATA'!AO29</f>
        <v>0</v>
      </c>
      <c r="AH29" s="9">
        <f>'BIO DATA'!AY29</f>
        <v>0</v>
      </c>
      <c r="AI29" s="9">
        <f>'BIO DATA'!AZ29</f>
        <v>0</v>
      </c>
      <c r="AJ29" s="9">
        <f>'BIO DATA'!BA29</f>
        <v>0</v>
      </c>
      <c r="AK29" s="9">
        <f>'BIO DATA'!BB29</f>
        <v>0</v>
      </c>
      <c r="AL29" s="9">
        <f>'BIO DATA'!BC29</f>
        <v>0</v>
      </c>
      <c r="AM29" s="9">
        <f>'BIO DATA'!BD29</f>
        <v>0</v>
      </c>
      <c r="AN29" s="9">
        <f>'BIO DATA'!BE29</f>
        <v>0</v>
      </c>
      <c r="AO29" s="9">
        <f>'BIO DATA'!BF29</f>
        <v>0</v>
      </c>
      <c r="AP29" s="50" t="str">
        <f>'BIO DATA'!BG29</f>
        <v>Muhammad Irfan Syihab, S.Hum.</v>
      </c>
    </row>
    <row r="30" spans="1:42" s="51" customFormat="1" ht="20.100000000000001" customHeight="1" thickBot="1">
      <c r="A30" s="13" t="s">
        <v>142</v>
      </c>
      <c r="B30">
        <v>273</v>
      </c>
      <c r="C30" s="116">
        <f>'BIO DATA'!C30</f>
        <v>12715</v>
      </c>
      <c r="D30" s="116" t="str">
        <f>'BIO DATA'!D30</f>
        <v>0133991847</v>
      </c>
      <c r="E30" s="115" t="str">
        <f>'BIO DATA'!E30</f>
        <v>Wisanggeni Pamungkas Pamujaning Rheinandy</v>
      </c>
      <c r="F30" s="46" t="str">
        <f>'BIO DATA'!L30</f>
        <v>Laki-laki</v>
      </c>
      <c r="G30" s="9" t="str">
        <f>'BIO DATA'!M30</f>
        <v>Yogyakarta</v>
      </c>
      <c r="H30" s="48">
        <f>'BIO DATA'!O30</f>
        <v>41530</v>
      </c>
      <c r="I30" s="46" t="str">
        <f>'BIO DATA'!R30</f>
        <v>Islam</v>
      </c>
      <c r="J30" s="47">
        <f>'BIO DATA'!I30</f>
        <v>3</v>
      </c>
      <c r="K30" s="47">
        <f>'BIO DATA'!J30</f>
        <v>2</v>
      </c>
      <c r="L30" s="9" t="str">
        <f>'BIO DATA'!S30</f>
        <v>Jaranan 367 RT 010 Banguntapan Banguntapan Bantul DIY 55198</v>
      </c>
      <c r="M30" s="9" t="str">
        <f>'BIO DATA'!U30</f>
        <v>Banguntapan</v>
      </c>
      <c r="N30" s="9" t="str">
        <f>'BIO DATA'!V30</f>
        <v>Banguntapan</v>
      </c>
      <c r="O30" s="9" t="str">
        <f>'BIO DATA'!W30</f>
        <v>Bantul</v>
      </c>
      <c r="P30" s="9" t="str">
        <f>'BIO DATA'!X30</f>
        <v>DIY</v>
      </c>
      <c r="Q30" s="9" t="str">
        <f>'BIO DATA'!Y30</f>
        <v>SD Muhammadiyah Bodon</v>
      </c>
      <c r="R30" s="9">
        <f>'BIO DATA'!Z30</f>
        <v>0</v>
      </c>
      <c r="S30" s="9">
        <f>'BIO DATA'!AA30</f>
        <v>0</v>
      </c>
      <c r="T30" s="9" t="str">
        <f>'BIO DATA'!AB30</f>
        <v>R Hendy Nurcahyo Saputro</v>
      </c>
      <c r="U30" s="9" t="str">
        <f>'BIO DATA'!AC30</f>
        <v>Islam</v>
      </c>
      <c r="V30" s="9" t="str">
        <f>'BIO DATA'!AD30</f>
        <v>S2</v>
      </c>
      <c r="W30" s="9" t="str">
        <f>'BIO DATA'!AE30</f>
        <v>PNS</v>
      </c>
      <c r="X30" s="9">
        <f>'BIO DATA'!AF30</f>
        <v>0</v>
      </c>
      <c r="Y30" s="144" t="str">
        <f>'BIO DATA'!AG30</f>
        <v>085249306242</v>
      </c>
      <c r="Z30" s="9">
        <f>'BIO DATA'!AH30</f>
        <v>0</v>
      </c>
      <c r="AA30" s="9" t="str">
        <f>'BIO DATA'!AI30</f>
        <v>Rina Nurhayati</v>
      </c>
      <c r="AB30" s="9" t="str">
        <f>'BIO DATA'!AJ30</f>
        <v>Islam</v>
      </c>
      <c r="AC30" s="9" t="str">
        <f>'BIO DATA'!AK30</f>
        <v>S1</v>
      </c>
      <c r="AD30" s="9" t="str">
        <f>'BIO DATA'!AL30</f>
        <v>Ibu Rumah Tangga</v>
      </c>
      <c r="AE30" s="9">
        <f>'BIO DATA'!AM30</f>
        <v>0</v>
      </c>
      <c r="AF30" s="49" t="str">
        <f>'BIO DATA'!AN30</f>
        <v>087738850678</v>
      </c>
      <c r="AG30" s="9">
        <f>'BIO DATA'!AO30</f>
        <v>0</v>
      </c>
      <c r="AH30" s="9">
        <f>'BIO DATA'!AY30</f>
        <v>0</v>
      </c>
      <c r="AI30" s="9">
        <f>'BIO DATA'!AZ30</f>
        <v>0</v>
      </c>
      <c r="AJ30" s="9">
        <f>'BIO DATA'!BA30</f>
        <v>0</v>
      </c>
      <c r="AK30" s="9">
        <f>'BIO DATA'!BB30</f>
        <v>0</v>
      </c>
      <c r="AL30" s="9">
        <f>'BIO DATA'!BC30</f>
        <v>0</v>
      </c>
      <c r="AM30" s="9">
        <f>'BIO DATA'!BD30</f>
        <v>0</v>
      </c>
      <c r="AN30" s="9">
        <f>'BIO DATA'!BE30</f>
        <v>0</v>
      </c>
      <c r="AO30" s="9">
        <f>'BIO DATA'!BF30</f>
        <v>0</v>
      </c>
      <c r="AP30" s="50" t="str">
        <f>'BIO DATA'!BG30</f>
        <v>Muhammad Irfan Syihab, S.Hum.</v>
      </c>
    </row>
    <row r="31" spans="1:42" s="51" customFormat="1" ht="20.100000000000001" customHeight="1" thickBot="1">
      <c r="A31" s="13" t="s">
        <v>142</v>
      </c>
      <c r="B31">
        <v>284</v>
      </c>
      <c r="C31" s="116">
        <f>'BIO DATA'!C31</f>
        <v>12723</v>
      </c>
      <c r="D31" s="116">
        <f>'BIO DATA'!D31</f>
        <v>3134468755</v>
      </c>
      <c r="E31" s="115" t="str">
        <f>'BIO DATA'!E31</f>
        <v>Zidan Al Fatir Siregar</v>
      </c>
      <c r="F31" s="46" t="str">
        <f>'BIO DATA'!L31</f>
        <v>Laki-laki</v>
      </c>
      <c r="G31" s="9" t="str">
        <f>'BIO DATA'!M31</f>
        <v>Kepahiang</v>
      </c>
      <c r="H31" s="48">
        <f>'BIO DATA'!O31</f>
        <v>41539</v>
      </c>
      <c r="I31" s="46" t="str">
        <f>'BIO DATA'!R31</f>
        <v>Islam</v>
      </c>
      <c r="J31" s="47">
        <f>'BIO DATA'!I31</f>
        <v>4</v>
      </c>
      <c r="K31" s="47">
        <f>'BIO DATA'!J31</f>
        <v>3</v>
      </c>
      <c r="L31" s="9" t="str">
        <f>'BIO DATA'!S31</f>
        <v>Jl. Sidodadi RT 010 RW 004 Pasar Ujung Kepahiang Kepahiang Bengkulu 39172</v>
      </c>
      <c r="M31" s="9" t="str">
        <f>'BIO DATA'!U31</f>
        <v>Pasar Ujung</v>
      </c>
      <c r="N31" s="9" t="str">
        <f>'BIO DATA'!V31</f>
        <v>Kepahiang</v>
      </c>
      <c r="O31" s="9" t="str">
        <f>'BIO DATA'!W31</f>
        <v>Kepahiang</v>
      </c>
      <c r="P31" s="9" t="str">
        <f>'BIO DATA'!X31</f>
        <v>Bengkulu</v>
      </c>
      <c r="Q31" s="9" t="str">
        <f>'BIO DATA'!Y31</f>
        <v>SD IT Alkausar</v>
      </c>
      <c r="R31" s="9" t="str">
        <f>'BIO DATA'!Z31</f>
        <v>Jl. Lingkungan 4 Desa Westkust Baru, Kabupaten Kepahiang</v>
      </c>
      <c r="S31" s="9">
        <f>'BIO DATA'!AA31</f>
        <v>0</v>
      </c>
      <c r="T31" s="9" t="str">
        <f>'BIO DATA'!AB31</f>
        <v>Ucok Setia Siregar</v>
      </c>
      <c r="U31" s="9" t="str">
        <f>'BIO DATA'!AC31</f>
        <v>Islam</v>
      </c>
      <c r="V31" s="9" t="str">
        <f>'BIO DATA'!AD31</f>
        <v>S1</v>
      </c>
      <c r="W31" s="9" t="str">
        <f>'BIO DATA'!AE31</f>
        <v>PNS</v>
      </c>
      <c r="X31" s="9" t="str">
        <f>'BIO DATA'!AF31</f>
        <v>1jt-3jt</v>
      </c>
      <c r="Y31" s="144" t="str">
        <f>'BIO DATA'!AG31</f>
        <v>085758020276</v>
      </c>
      <c r="Z31" s="9">
        <f>'BIO DATA'!AH31</f>
        <v>0</v>
      </c>
      <c r="AA31" s="9" t="str">
        <f>'BIO DATA'!AI31</f>
        <v>Mulyaningsih</v>
      </c>
      <c r="AB31" s="9" t="str">
        <f>'BIO DATA'!AJ31</f>
        <v>Islam</v>
      </c>
      <c r="AC31" s="9" t="str">
        <f>'BIO DATA'!AK31</f>
        <v>S1</v>
      </c>
      <c r="AD31" s="9" t="str">
        <f>'BIO DATA'!AL31</f>
        <v>PNS</v>
      </c>
      <c r="AE31" s="9" t="str">
        <f>'BIO DATA'!AM31</f>
        <v>1jt-3jt</v>
      </c>
      <c r="AF31" s="49" t="str">
        <f>'BIO DATA'!AN31</f>
        <v>085758020276</v>
      </c>
      <c r="AG31" s="9">
        <f>'BIO DATA'!AO31</f>
        <v>0</v>
      </c>
      <c r="AH31" s="9">
        <f>'BIO DATA'!AY31</f>
        <v>0</v>
      </c>
      <c r="AI31" s="9">
        <f>'BIO DATA'!AZ31</f>
        <v>0</v>
      </c>
      <c r="AJ31" s="9">
        <f>'BIO DATA'!BA31</f>
        <v>0</v>
      </c>
      <c r="AK31" s="9">
        <f>'BIO DATA'!BB31</f>
        <v>0</v>
      </c>
      <c r="AL31" s="9">
        <f>'BIO DATA'!BC31</f>
        <v>0</v>
      </c>
      <c r="AM31" s="9">
        <f>'BIO DATA'!BD31</f>
        <v>0</v>
      </c>
      <c r="AN31" s="9">
        <f>'BIO DATA'!BE31</f>
        <v>0</v>
      </c>
      <c r="AO31" s="9">
        <f>'BIO DATA'!BF31</f>
        <v>0</v>
      </c>
      <c r="AP31" s="50" t="str">
        <f>'BIO DATA'!BG31</f>
        <v>Muhammad Irfan Syihab, S.Hum.</v>
      </c>
    </row>
    <row r="32" spans="1:42" s="51" customFormat="1" ht="20.100000000000001" customHeight="1" thickBot="1">
      <c r="A32" s="20" t="s">
        <v>146</v>
      </c>
      <c r="B32">
        <v>3</v>
      </c>
      <c r="C32" s="283">
        <f>'BIO DATA'!C32</f>
        <v>12459</v>
      </c>
      <c r="D32" s="283" t="str">
        <f>'BIO DATA'!D32</f>
        <v>0138441363</v>
      </c>
      <c r="E32" s="284" t="str">
        <f>'BIO DATA'!E32</f>
        <v>A.Dinar Sayuto</v>
      </c>
      <c r="F32" s="46" t="str">
        <f>'BIO DATA'!L32</f>
        <v>Laki-laki</v>
      </c>
      <c r="G32" s="9" t="str">
        <f>'BIO DATA'!M32</f>
        <v>Wates</v>
      </c>
      <c r="H32" s="48">
        <f>'BIO DATA'!O32</f>
        <v>41541</v>
      </c>
      <c r="I32" s="46" t="str">
        <f>'BIO DATA'!R32</f>
        <v>Islam</v>
      </c>
      <c r="J32" s="47">
        <f>'BIO DATA'!I32</f>
        <v>1</v>
      </c>
      <c r="K32" s="47">
        <f>'BIO DATA'!J32</f>
        <v>0</v>
      </c>
      <c r="L32" s="9" t="str">
        <f>'BIO DATA'!S32</f>
        <v>Dusun 1 Madiun RT/RW: 002/001.Rengas Bekri Lampung Tengah Lampung</v>
      </c>
      <c r="M32" s="9" t="str">
        <f>'BIO DATA'!U32</f>
        <v>Renges</v>
      </c>
      <c r="N32" s="9" t="str">
        <f>'BIO DATA'!V32</f>
        <v>Bekri</v>
      </c>
      <c r="O32" s="9" t="str">
        <f>'BIO DATA'!W32</f>
        <v>Lampung Tengah</v>
      </c>
      <c r="P32" s="9" t="str">
        <f>'BIO DATA'!X32</f>
        <v>Lampung</v>
      </c>
      <c r="Q32" s="9" t="str">
        <f>'BIO DATA'!Y32</f>
        <v>SD Muhammadiyah Sukajawa</v>
      </c>
      <c r="R32" s="9" t="str">
        <f>'BIO DATA'!Z32</f>
        <v>JL: BRAWIJAYA NO:07 SUKAJAWA BUMIRATU NUBAN LAMPUNG TENGAH</v>
      </c>
      <c r="S32" s="9">
        <f>'BIO DATA'!AA32</f>
        <v>0</v>
      </c>
      <c r="T32" s="9" t="str">
        <f>'BIO DATA'!AB32</f>
        <v>Drs. Andi Komari</v>
      </c>
      <c r="U32" s="9" t="str">
        <f>'BIO DATA'!AC32</f>
        <v>Islam</v>
      </c>
      <c r="V32" s="9" t="str">
        <f>'BIO DATA'!AD32</f>
        <v>S1</v>
      </c>
      <c r="W32" s="9" t="str">
        <f>'BIO DATA'!AE32</f>
        <v>Guru/Dosen</v>
      </c>
      <c r="X32" s="9" t="str">
        <f>'BIO DATA'!AF32</f>
        <v>5jt-10jt</v>
      </c>
      <c r="Y32" s="144" t="str">
        <f>'BIO DATA'!AG32</f>
        <v>081265574907</v>
      </c>
      <c r="Z32" s="9">
        <f>'BIO DATA'!AH32</f>
        <v>0</v>
      </c>
      <c r="AA32" s="9" t="str">
        <f>'BIO DATA'!AI32</f>
        <v>Sunarti</v>
      </c>
      <c r="AB32" s="9" t="str">
        <f>'BIO DATA'!AJ32</f>
        <v>Islam</v>
      </c>
      <c r="AC32" s="9" t="str">
        <f>'BIO DATA'!AK32</f>
        <v>SMA/SMK/MA</v>
      </c>
      <c r="AD32" s="9" t="str">
        <f>'BIO DATA'!AL32</f>
        <v>Petani/Peternak</v>
      </c>
      <c r="AE32" s="9" t="str">
        <f>'BIO DATA'!AM32</f>
        <v>3jt-5jt</v>
      </c>
      <c r="AF32" s="49" t="str">
        <f>'BIO DATA'!AN32</f>
        <v>082374999433</v>
      </c>
      <c r="AG32" s="9">
        <f>'BIO DATA'!AO32</f>
        <v>0</v>
      </c>
      <c r="AH32" s="9">
        <f>'BIO DATA'!AY32</f>
        <v>0</v>
      </c>
      <c r="AI32" s="9">
        <f>'BIO DATA'!AZ32</f>
        <v>0</v>
      </c>
      <c r="AJ32" s="9">
        <f>'BIO DATA'!BA32</f>
        <v>0</v>
      </c>
      <c r="AK32" s="9">
        <f>'BIO DATA'!BB32</f>
        <v>0</v>
      </c>
      <c r="AL32" s="9">
        <f>'BIO DATA'!BC32</f>
        <v>0</v>
      </c>
      <c r="AM32" s="9">
        <f>'BIO DATA'!BD32</f>
        <v>0</v>
      </c>
      <c r="AN32" s="9">
        <f>'BIO DATA'!BE32</f>
        <v>0</v>
      </c>
      <c r="AO32" s="9">
        <f>'BIO DATA'!BF32</f>
        <v>0</v>
      </c>
      <c r="AP32" s="50" t="str">
        <f>'BIO DATA'!BG32</f>
        <v>Husnan Wadi, S.H.I., M.P.I.</v>
      </c>
    </row>
    <row r="33" spans="1:42" s="51" customFormat="1" ht="20.100000000000001" customHeight="1" thickBot="1">
      <c r="A33" s="20" t="s">
        <v>146</v>
      </c>
      <c r="B33">
        <v>20</v>
      </c>
      <c r="C33" s="283">
        <f>'BIO DATA'!C33</f>
        <v>12466</v>
      </c>
      <c r="D33" s="283" t="str">
        <f>'BIO DATA'!D33</f>
        <v>0133560377</v>
      </c>
      <c r="E33" s="284" t="str">
        <f>'BIO DATA'!E33</f>
        <v>Adhyastha Ainur Rizky</v>
      </c>
      <c r="F33" s="46" t="str">
        <f>'BIO DATA'!L33</f>
        <v>Laki-laki</v>
      </c>
      <c r="G33" s="9" t="str">
        <f>'BIO DATA'!M33</f>
        <v>Banyuwangi</v>
      </c>
      <c r="H33" s="48">
        <f>'BIO DATA'!O33</f>
        <v>41610</v>
      </c>
      <c r="I33" s="46" t="str">
        <f>'BIO DATA'!R33</f>
        <v>Islam</v>
      </c>
      <c r="J33" s="47">
        <f>'BIO DATA'!I33</f>
        <v>2</v>
      </c>
      <c r="K33" s="47">
        <f>'BIO DATA'!J33</f>
        <v>1</v>
      </c>
      <c r="L33" s="9" t="str">
        <f>'BIO DATA'!S33</f>
        <v>Jatirejo, rt. 5 rw. 1 Glagahagung, Purwoharjo, Banyuwangi 68483</v>
      </c>
      <c r="M33" s="9" t="str">
        <f>'BIO DATA'!U33</f>
        <v>Glagahagung</v>
      </c>
      <c r="N33" s="9" t="str">
        <f>'BIO DATA'!V33</f>
        <v>Purwoharjo</v>
      </c>
      <c r="O33" s="9" t="str">
        <f>'BIO DATA'!W33</f>
        <v>Banyuwangi</v>
      </c>
      <c r="P33" s="9" t="str">
        <f>'BIO DATA'!X33</f>
        <v>Jawa Timur</v>
      </c>
      <c r="Q33" s="9" t="str">
        <f>'BIO DATA'!Y33</f>
        <v>SD Muhammadiyah 12 Glagahagung Banyuwangi</v>
      </c>
      <c r="R33" s="9" t="str">
        <f>'BIO DATA'!Z33</f>
        <v>Jl. KH Marzuki no. 5 Jatiluhur, Glagahagung, Purwoharjo, Banyuwangi</v>
      </c>
      <c r="S33" s="9">
        <f>'BIO DATA'!AA33</f>
        <v>0</v>
      </c>
      <c r="T33" s="9" t="str">
        <f>'BIO DATA'!AB33</f>
        <v>Iwan Febrianto</v>
      </c>
      <c r="U33" s="9" t="str">
        <f>'BIO DATA'!AC33</f>
        <v>Islam</v>
      </c>
      <c r="V33" s="9" t="str">
        <f>'BIO DATA'!AD33</f>
        <v>S1</v>
      </c>
      <c r="W33" s="9" t="str">
        <f>'BIO DATA'!AE33</f>
        <v>Pegawai Swasta</v>
      </c>
      <c r="X33" s="9" t="str">
        <f>'BIO DATA'!AF33</f>
        <v>&gt;10jt</v>
      </c>
      <c r="Y33" s="144" t="str">
        <f>'BIO DATA'!AG33</f>
        <v>081336514635</v>
      </c>
      <c r="Z33" s="9">
        <f>'BIO DATA'!AH33</f>
        <v>0</v>
      </c>
      <c r="AA33" s="9" t="str">
        <f>'BIO DATA'!AI33</f>
        <v>Rahmi Nur Aini</v>
      </c>
      <c r="AB33" s="9" t="str">
        <f>'BIO DATA'!AJ33</f>
        <v>Islam</v>
      </c>
      <c r="AC33" s="9" t="str">
        <f>'BIO DATA'!AK33</f>
        <v>S2</v>
      </c>
      <c r="AD33" s="9" t="str">
        <f>'BIO DATA'!AL33</f>
        <v>Guru/Dosen</v>
      </c>
      <c r="AE33" s="9" t="str">
        <f>'BIO DATA'!AM33</f>
        <v>3jt-5jt</v>
      </c>
      <c r="AF33" s="49" t="str">
        <f>'BIO DATA'!AN33</f>
        <v>081235145960</v>
      </c>
      <c r="AG33" s="9">
        <f>'BIO DATA'!AO33</f>
        <v>0</v>
      </c>
      <c r="AH33" s="9">
        <f>'BIO DATA'!AY33</f>
        <v>0</v>
      </c>
      <c r="AI33" s="9">
        <f>'BIO DATA'!AZ33</f>
        <v>0</v>
      </c>
      <c r="AJ33" s="9">
        <f>'BIO DATA'!BA33</f>
        <v>0</v>
      </c>
      <c r="AK33" s="9">
        <f>'BIO DATA'!BB33</f>
        <v>0</v>
      </c>
      <c r="AL33" s="9">
        <f>'BIO DATA'!BC33</f>
        <v>0</v>
      </c>
      <c r="AM33" s="9">
        <f>'BIO DATA'!BD33</f>
        <v>0</v>
      </c>
      <c r="AN33" s="9">
        <f>'BIO DATA'!BE33</f>
        <v>0</v>
      </c>
      <c r="AO33" s="9">
        <f>'BIO DATA'!BF33</f>
        <v>0</v>
      </c>
      <c r="AP33" s="50" t="str">
        <f>'BIO DATA'!BG33</f>
        <v>Husnan Wadi, S.H.I., M.P.I.</v>
      </c>
    </row>
    <row r="34" spans="1:42" s="51" customFormat="1" ht="20.100000000000001" customHeight="1" thickBot="1">
      <c r="A34" s="20" t="s">
        <v>146</v>
      </c>
      <c r="B34">
        <v>27</v>
      </c>
      <c r="C34" s="283">
        <f>'BIO DATA'!C34</f>
        <v>12468</v>
      </c>
      <c r="D34" s="283" t="str">
        <f>'BIO DATA'!D34</f>
        <v>0135118007</v>
      </c>
      <c r="E34" s="284" t="str">
        <f>'BIO DATA'!E34</f>
        <v>Aditya Giri Reksa Nu’aimi</v>
      </c>
      <c r="F34" s="46" t="str">
        <f>'BIO DATA'!L34</f>
        <v>Laki-laki</v>
      </c>
      <c r="G34" s="9" t="str">
        <f>'BIO DATA'!M34</f>
        <v>Gresik</v>
      </c>
      <c r="H34" s="48">
        <f>'BIO DATA'!O34</f>
        <v>41512</v>
      </c>
      <c r="I34" s="46" t="str">
        <f>'BIO DATA'!R34</f>
        <v>Islam</v>
      </c>
      <c r="J34" s="47">
        <f>'BIO DATA'!I34</f>
        <v>1</v>
      </c>
      <c r="K34" s="47">
        <f>'BIO DATA'!J34</f>
        <v>2</v>
      </c>
      <c r="L34" s="9" t="str">
        <f>'BIO DATA'!S34</f>
        <v>Perum GKGA Blok S No. 30 Kedanyang, Kebomas, Gresik, Jawa Timur</v>
      </c>
      <c r="M34" s="9" t="str">
        <f>'BIO DATA'!U34</f>
        <v>Kedanyang</v>
      </c>
      <c r="N34" s="9" t="str">
        <f>'BIO DATA'!V34</f>
        <v>Kebomas</v>
      </c>
      <c r="O34" s="9" t="str">
        <f>'BIO DATA'!W34</f>
        <v>Gresik</v>
      </c>
      <c r="P34" s="9" t="str">
        <f>'BIO DATA'!X34</f>
        <v>Jawa Timur</v>
      </c>
      <c r="Q34" s="9" t="str">
        <f>'BIO DATA'!Y34</f>
        <v>SD Muhammadiyah Manyar Gresik</v>
      </c>
      <c r="R34" s="9" t="str">
        <f>'BIO DATA'!Z34</f>
        <v>Jl. Amuntai No 01 GKB Gresik</v>
      </c>
      <c r="S34" s="9">
        <f>'BIO DATA'!AA34</f>
        <v>0</v>
      </c>
      <c r="T34" s="9" t="str">
        <f>'BIO DATA'!AB34</f>
        <v>Syukron Nu'aimi, S.Kom.</v>
      </c>
      <c r="U34" s="9" t="str">
        <f>'BIO DATA'!AC34</f>
        <v>Islam</v>
      </c>
      <c r="V34" s="9" t="str">
        <f>'BIO DATA'!AD34</f>
        <v>S1</v>
      </c>
      <c r="W34" s="9" t="str">
        <f>'BIO DATA'!AE34</f>
        <v>Pegawai Swasta</v>
      </c>
      <c r="X34" s="9" t="str">
        <f>'BIO DATA'!AF34</f>
        <v>5jt-10jt</v>
      </c>
      <c r="Y34" s="144" t="str">
        <f>'BIO DATA'!AG34</f>
        <v>085648863552</v>
      </c>
      <c r="Z34" s="9">
        <f>'BIO DATA'!AH34</f>
        <v>0</v>
      </c>
      <c r="AA34" s="9" t="str">
        <f>'BIO DATA'!AI34</f>
        <v>Dwi Anggraeni Futurhesa, S.T., M.M.</v>
      </c>
      <c r="AB34" s="9" t="str">
        <f>'BIO DATA'!AJ34</f>
        <v>Islam</v>
      </c>
      <c r="AC34" s="9" t="str">
        <f>'BIO DATA'!AK34</f>
        <v>S2</v>
      </c>
      <c r="AD34" s="9" t="str">
        <f>'BIO DATA'!AL34</f>
        <v>Pegawai Swasta</v>
      </c>
      <c r="AE34" s="9" t="str">
        <f>'BIO DATA'!AM34</f>
        <v>5jt-10jt</v>
      </c>
      <c r="AF34" s="49" t="str">
        <f>'BIO DATA'!AN34</f>
        <v>08123187400</v>
      </c>
      <c r="AG34" s="9">
        <f>'BIO DATA'!AO34</f>
        <v>0</v>
      </c>
      <c r="AH34" s="9">
        <f>'BIO DATA'!AY34</f>
        <v>0</v>
      </c>
      <c r="AI34" s="9">
        <f>'BIO DATA'!AZ34</f>
        <v>0</v>
      </c>
      <c r="AJ34" s="9">
        <f>'BIO DATA'!BA34</f>
        <v>0</v>
      </c>
      <c r="AK34" s="9">
        <f>'BIO DATA'!BB34</f>
        <v>0</v>
      </c>
      <c r="AL34" s="9">
        <f>'BIO DATA'!BC34</f>
        <v>0</v>
      </c>
      <c r="AM34" s="9">
        <f>'BIO DATA'!BD34</f>
        <v>0</v>
      </c>
      <c r="AN34" s="9">
        <f>'BIO DATA'!BE34</f>
        <v>0</v>
      </c>
      <c r="AO34" s="9">
        <f>'BIO DATA'!BF34</f>
        <v>0</v>
      </c>
      <c r="AP34" s="50" t="str">
        <f>'BIO DATA'!BG34</f>
        <v>Husnan Wadi, S.H.I., M.P.I.</v>
      </c>
    </row>
    <row r="35" spans="1:42" s="51" customFormat="1" ht="20.100000000000001" customHeight="1" thickBot="1">
      <c r="A35" s="20" t="s">
        <v>146</v>
      </c>
      <c r="B35">
        <v>32</v>
      </c>
      <c r="C35" s="283">
        <f>'BIO DATA'!C35</f>
        <v>12484</v>
      </c>
      <c r="D35" s="283">
        <f>'BIO DATA'!D35</f>
        <v>3127552917</v>
      </c>
      <c r="E35" s="284" t="str">
        <f>'BIO DATA'!E35</f>
        <v>Alaika Syamil Al-Hadzik</v>
      </c>
      <c r="F35" s="46" t="str">
        <f>'BIO DATA'!L35</f>
        <v>Laki-laki</v>
      </c>
      <c r="G35" s="9" t="str">
        <f>'BIO DATA'!M35</f>
        <v>Pandeglang</v>
      </c>
      <c r="H35" s="48">
        <f>'BIO DATA'!O35</f>
        <v>41213</v>
      </c>
      <c r="I35" s="46" t="str">
        <f>'BIO DATA'!R35</f>
        <v>Islam</v>
      </c>
      <c r="J35" s="47">
        <f>'BIO DATA'!I35</f>
        <v>2</v>
      </c>
      <c r="K35" s="47">
        <f>'BIO DATA'!J35</f>
        <v>4</v>
      </c>
      <c r="L35" s="9" t="str">
        <f>'BIO DATA'!S35</f>
        <v>Kp. Pari Utara RT 004 RW 007 Pari Mandalawangi Pandeglang Jawa Barat</v>
      </c>
      <c r="M35" s="9" t="str">
        <f>'BIO DATA'!U35</f>
        <v>Pari</v>
      </c>
      <c r="N35" s="9" t="str">
        <f>'BIO DATA'!V35</f>
        <v>Mandalawangi</v>
      </c>
      <c r="O35" s="9" t="str">
        <f>'BIO DATA'!W35</f>
        <v>Pandeglang</v>
      </c>
      <c r="P35" s="9" t="str">
        <f>'BIO DATA'!X35</f>
        <v>Banten</v>
      </c>
      <c r="Q35" s="9" t="str">
        <f>'BIO DATA'!Y35</f>
        <v>MIS Perguruan Muallimat</v>
      </c>
      <c r="R35" s="9" t="str">
        <f>'BIO DATA'!Z35</f>
        <v>Cukir, diwek, jombang, jatim</v>
      </c>
      <c r="S35" s="9">
        <f>'BIO DATA'!AA35</f>
        <v>0</v>
      </c>
      <c r="T35" s="9" t="str">
        <f>'BIO DATA'!AB35</f>
        <v>Ahmad Taftajani</v>
      </c>
      <c r="U35" s="9" t="str">
        <f>'BIO DATA'!AC35</f>
        <v>Islam</v>
      </c>
      <c r="V35" s="9" t="str">
        <f>'BIO DATA'!AD35</f>
        <v>S2</v>
      </c>
      <c r="W35" s="9" t="str">
        <f>'BIO DATA'!AE35</f>
        <v>Pegawai Swasta</v>
      </c>
      <c r="X35" s="9" t="str">
        <f>'BIO DATA'!AF35</f>
        <v>5jt-10jt</v>
      </c>
      <c r="Y35" s="144" t="str">
        <f>'BIO DATA'!AG35</f>
        <v>08175110285</v>
      </c>
      <c r="Z35" s="9">
        <f>'BIO DATA'!AH35</f>
        <v>0</v>
      </c>
      <c r="AA35" s="9" t="str">
        <f>'BIO DATA'!AI35</f>
        <v>Fitriyani Nurfitroh</v>
      </c>
      <c r="AB35" s="9" t="str">
        <f>'BIO DATA'!AJ35</f>
        <v>Islam</v>
      </c>
      <c r="AC35" s="9" t="str">
        <f>'BIO DATA'!AK35</f>
        <v>S1</v>
      </c>
      <c r="AD35" s="9" t="str">
        <f>'BIO DATA'!AL35</f>
        <v>Pegawai Swasta</v>
      </c>
      <c r="AE35" s="9" t="str">
        <f>'BIO DATA'!AM35</f>
        <v>3jt-5jt</v>
      </c>
      <c r="AF35" s="49" t="str">
        <f>'BIO DATA'!AN35</f>
        <v>083874280713</v>
      </c>
      <c r="AG35" s="9">
        <f>'BIO DATA'!AO35</f>
        <v>0</v>
      </c>
      <c r="AH35" s="9">
        <f>'BIO DATA'!AY35</f>
        <v>0</v>
      </c>
      <c r="AI35" s="9">
        <f>'BIO DATA'!AZ35</f>
        <v>0</v>
      </c>
      <c r="AJ35" s="9">
        <f>'BIO DATA'!BA35</f>
        <v>0</v>
      </c>
      <c r="AK35" s="9">
        <f>'BIO DATA'!BB35</f>
        <v>0</v>
      </c>
      <c r="AL35" s="9">
        <f>'BIO DATA'!BC35</f>
        <v>0</v>
      </c>
      <c r="AM35" s="9">
        <f>'BIO DATA'!BD35</f>
        <v>0</v>
      </c>
      <c r="AN35" s="9">
        <f>'BIO DATA'!BE35</f>
        <v>0</v>
      </c>
      <c r="AO35" s="9">
        <f>'BIO DATA'!BF35</f>
        <v>0</v>
      </c>
      <c r="AP35" s="50" t="str">
        <f>'BIO DATA'!BG35</f>
        <v>Husnan Wadi, S.H.I., M.P.I.</v>
      </c>
    </row>
    <row r="36" spans="1:42" s="51" customFormat="1" ht="20.100000000000001" customHeight="1" thickBot="1">
      <c r="A36" s="20" t="s">
        <v>146</v>
      </c>
      <c r="B36">
        <v>34</v>
      </c>
      <c r="C36" s="283">
        <f>'BIO DATA'!C36</f>
        <v>12496</v>
      </c>
      <c r="D36" s="283" t="str">
        <f>'BIO DATA'!D36</f>
        <v>0148293199</v>
      </c>
      <c r="E36" s="284" t="str">
        <f>'BIO DATA'!E36</f>
        <v>Arjuna Satria Pradipta</v>
      </c>
      <c r="F36" s="46" t="str">
        <f>'BIO DATA'!L36</f>
        <v>Laki-laki</v>
      </c>
      <c r="G36" s="9" t="str">
        <f>'BIO DATA'!M36</f>
        <v>Magetan</v>
      </c>
      <c r="H36" s="48">
        <f>'BIO DATA'!O36</f>
        <v>41791</v>
      </c>
      <c r="I36" s="46" t="str">
        <f>'BIO DATA'!R36</f>
        <v>Islam</v>
      </c>
      <c r="J36" s="47">
        <f>'BIO DATA'!I36</f>
        <v>2</v>
      </c>
      <c r="K36" s="47">
        <f>'BIO DATA'!J36</f>
        <v>3</v>
      </c>
      <c r="L36" s="9" t="str">
        <f>'BIO DATA'!S36</f>
        <v>Dk Lumbungan RT 001 RW 001 Desa Bibis 01 /01 Sukomoro Magetan Jawa Timur</v>
      </c>
      <c r="M36" s="9" t="str">
        <f>'BIO DATA'!U36</f>
        <v>Bibis</v>
      </c>
      <c r="N36" s="9" t="str">
        <f>'BIO DATA'!V36</f>
        <v>Sukomoro</v>
      </c>
      <c r="O36" s="9" t="str">
        <f>'BIO DATA'!W36</f>
        <v>Magetan</v>
      </c>
      <c r="P36" s="9" t="str">
        <f>'BIO DATA'!X36</f>
        <v>Jawa Timur</v>
      </c>
      <c r="Q36" s="9" t="str">
        <f>'BIO DATA'!Y36</f>
        <v>SD Muhammadiyah 1 Magetan</v>
      </c>
      <c r="R36" s="9" t="str">
        <f>'BIO DATA'!Z36</f>
        <v>Jl. M.H. Thamrin No.18 Magetan Telp. (0351) 897384</v>
      </c>
      <c r="S36" s="9">
        <f>'BIO DATA'!AA36</f>
        <v>0</v>
      </c>
      <c r="T36" s="9" t="str">
        <f>'BIO DATA'!AB36</f>
        <v>Hendra Satria Pratama</v>
      </c>
      <c r="U36" s="9" t="str">
        <f>'BIO DATA'!AC36</f>
        <v>Islam</v>
      </c>
      <c r="V36" s="9" t="str">
        <f>'BIO DATA'!AD36</f>
        <v>S1</v>
      </c>
      <c r="W36" s="9" t="str">
        <f>'BIO DATA'!AE36</f>
        <v>TNI/Polri</v>
      </c>
      <c r="X36" s="9" t="str">
        <f>'BIO DATA'!AF36</f>
        <v>3jt-5jt</v>
      </c>
      <c r="Y36" s="144" t="str">
        <f>'BIO DATA'!AG36</f>
        <v>085784551253</v>
      </c>
      <c r="Z36" s="9">
        <f>'BIO DATA'!AH36</f>
        <v>0</v>
      </c>
      <c r="AA36" s="9" t="str">
        <f>'BIO DATA'!AI36</f>
        <v>Ika Puspitasari</v>
      </c>
      <c r="AB36" s="9" t="str">
        <f>'BIO DATA'!AJ36</f>
        <v>Islam</v>
      </c>
      <c r="AC36" s="9" t="str">
        <f>'BIO DATA'!AK36</f>
        <v>S1</v>
      </c>
      <c r="AD36" s="9" t="str">
        <f>'BIO DATA'!AL36</f>
        <v>PNS</v>
      </c>
      <c r="AE36" s="9" t="str">
        <f>'BIO DATA'!AM36</f>
        <v>3jt-5jt</v>
      </c>
      <c r="AF36" s="49" t="str">
        <f>'BIO DATA'!AN36</f>
        <v>083845690758</v>
      </c>
      <c r="AG36" s="9">
        <f>'BIO DATA'!AO36</f>
        <v>0</v>
      </c>
      <c r="AH36" s="9">
        <f>'BIO DATA'!AY36</f>
        <v>0</v>
      </c>
      <c r="AI36" s="9">
        <f>'BIO DATA'!AZ36</f>
        <v>0</v>
      </c>
      <c r="AJ36" s="9">
        <f>'BIO DATA'!BA36</f>
        <v>0</v>
      </c>
      <c r="AK36" s="9">
        <f>'BIO DATA'!BB36</f>
        <v>0</v>
      </c>
      <c r="AL36" s="9">
        <f>'BIO DATA'!BC36</f>
        <v>0</v>
      </c>
      <c r="AM36" s="9">
        <f>'BIO DATA'!BD36</f>
        <v>0</v>
      </c>
      <c r="AN36" s="9">
        <f>'BIO DATA'!BE36</f>
        <v>0</v>
      </c>
      <c r="AO36" s="9">
        <f>'BIO DATA'!BF36</f>
        <v>0</v>
      </c>
      <c r="AP36" s="50" t="str">
        <f>'BIO DATA'!BG36</f>
        <v>Husnan Wadi, S.H.I., M.P.I.</v>
      </c>
    </row>
    <row r="37" spans="1:42" s="51" customFormat="1" ht="20.100000000000001" customHeight="1" thickBot="1">
      <c r="A37" s="20" t="s">
        <v>146</v>
      </c>
      <c r="B37">
        <v>36</v>
      </c>
      <c r="C37" s="283">
        <f>'BIO DATA'!C37</f>
        <v>12500</v>
      </c>
      <c r="D37" s="283" t="str">
        <f>'BIO DATA'!D37</f>
        <v>0141529403</v>
      </c>
      <c r="E37" s="284" t="str">
        <f>'BIO DATA'!E37</f>
        <v>Aryatama Febrian Danendra</v>
      </c>
      <c r="F37" s="46" t="str">
        <f>'BIO DATA'!L37</f>
        <v>Laki-laki</v>
      </c>
      <c r="G37" s="9" t="str">
        <f>'BIO DATA'!M37</f>
        <v>Temanggung</v>
      </c>
      <c r="H37" s="48">
        <f>'BIO DATA'!O37</f>
        <v>41674</v>
      </c>
      <c r="I37" s="46" t="str">
        <f>'BIO DATA'!R37</f>
        <v>Islam</v>
      </c>
      <c r="J37" s="47">
        <f>'BIO DATA'!I37</f>
        <v>2</v>
      </c>
      <c r="K37" s="47">
        <f>'BIO DATA'!J37</f>
        <v>1</v>
      </c>
      <c r="L37" s="9" t="str">
        <f>'BIO DATA'!S37</f>
        <v>Sanggrahan 1/7 Mojotengah, Kedu, Temanggung Jawa Tengah</v>
      </c>
      <c r="M37" s="9" t="str">
        <f>'BIO DATA'!U37</f>
        <v>Mojotengah</v>
      </c>
      <c r="N37" s="9" t="str">
        <f>'BIO DATA'!V37</f>
        <v>Kedu</v>
      </c>
      <c r="O37" s="9" t="str">
        <f>'BIO DATA'!W37</f>
        <v>Temanggung</v>
      </c>
      <c r="P37" s="9" t="str">
        <f>'BIO DATA'!X37</f>
        <v>Jawa Tengah</v>
      </c>
      <c r="Q37" s="9" t="str">
        <f>'BIO DATA'!Y37</f>
        <v>SD Muhammadiyah Parakan</v>
      </c>
      <c r="R37" s="9" t="str">
        <f>'BIO DATA'!Z37</f>
        <v>Jl. Raya Kedu KM 2 Campursari, Bulu, Temanggung 56253</v>
      </c>
      <c r="S37" s="9">
        <f>'BIO DATA'!AA37</f>
        <v>0</v>
      </c>
      <c r="T37" s="9" t="str">
        <f>'BIO DATA'!AB37</f>
        <v>Puguh Bagus Narimo</v>
      </c>
      <c r="U37" s="9" t="str">
        <f>'BIO DATA'!AC37</f>
        <v>Islam</v>
      </c>
      <c r="V37" s="9" t="str">
        <f>'BIO DATA'!AD37</f>
        <v>DIPLOMA</v>
      </c>
      <c r="W37" s="9" t="str">
        <f>'BIO DATA'!AE37</f>
        <v>Pegawai Swasta</v>
      </c>
      <c r="X37" s="9" t="str">
        <f>'BIO DATA'!AF37</f>
        <v>5jt-10jt</v>
      </c>
      <c r="Y37" s="144" t="str">
        <f>'BIO DATA'!AG37</f>
        <v>08112541644</v>
      </c>
      <c r="Z37" s="9">
        <f>'BIO DATA'!AH37</f>
        <v>0</v>
      </c>
      <c r="AA37" s="9" t="str">
        <f>'BIO DATA'!AI37</f>
        <v>Sri Utami</v>
      </c>
      <c r="AB37" s="9" t="str">
        <f>'BIO DATA'!AJ37</f>
        <v>Islam</v>
      </c>
      <c r="AC37" s="9" t="str">
        <f>'BIO DATA'!AK37</f>
        <v>S1</v>
      </c>
      <c r="AD37" s="9" t="str">
        <f>'BIO DATA'!AL37</f>
        <v>Pegawai Swasta</v>
      </c>
      <c r="AE37" s="9" t="str">
        <f>'BIO DATA'!AM37</f>
        <v>3jt-5jt</v>
      </c>
      <c r="AF37" s="49" t="str">
        <f>'BIO DATA'!AN37</f>
        <v>082314901669</v>
      </c>
      <c r="AG37" s="9">
        <f>'BIO DATA'!AO37</f>
        <v>0</v>
      </c>
      <c r="AH37" s="9">
        <f>'BIO DATA'!AY37</f>
        <v>0</v>
      </c>
      <c r="AI37" s="9">
        <f>'BIO DATA'!AZ37</f>
        <v>0</v>
      </c>
      <c r="AJ37" s="9">
        <f>'BIO DATA'!BA37</f>
        <v>0</v>
      </c>
      <c r="AK37" s="9">
        <f>'BIO DATA'!BB37</f>
        <v>0</v>
      </c>
      <c r="AL37" s="9">
        <f>'BIO DATA'!BC37</f>
        <v>0</v>
      </c>
      <c r="AM37" s="9">
        <f>'BIO DATA'!BD37</f>
        <v>0</v>
      </c>
      <c r="AN37" s="9">
        <f>'BIO DATA'!BE37</f>
        <v>0</v>
      </c>
      <c r="AO37" s="9">
        <f>'BIO DATA'!BF37</f>
        <v>0</v>
      </c>
      <c r="AP37" s="50" t="str">
        <f>'BIO DATA'!BG37</f>
        <v>Husnan Wadi, S.H.I., M.P.I.</v>
      </c>
    </row>
    <row r="38" spans="1:42" s="51" customFormat="1" ht="20.100000000000001" customHeight="1" thickBot="1">
      <c r="A38" s="20" t="s">
        <v>146</v>
      </c>
      <c r="B38">
        <v>61</v>
      </c>
      <c r="C38" s="283">
        <f>'BIO DATA'!C38</f>
        <v>12541</v>
      </c>
      <c r="D38" s="283" t="str">
        <f>'BIO DATA'!D38</f>
        <v>0145534375</v>
      </c>
      <c r="E38" s="284" t="str">
        <f>'BIO DATA'!E38</f>
        <v>Faiz Fadhlurrahman</v>
      </c>
      <c r="F38" s="46" t="str">
        <f>'BIO DATA'!L38</f>
        <v>Laki-laki</v>
      </c>
      <c r="G38" s="9" t="str">
        <f>'BIO DATA'!M38</f>
        <v>Kendal</v>
      </c>
      <c r="H38" s="48">
        <f>'BIO DATA'!O38</f>
        <v>41706</v>
      </c>
      <c r="I38" s="46" t="str">
        <f>'BIO DATA'!R38</f>
        <v>Islam</v>
      </c>
      <c r="J38" s="47">
        <f>'BIO DATA'!I38</f>
        <v>2</v>
      </c>
      <c r="K38" s="47">
        <f>'BIO DATA'!J38</f>
        <v>2</v>
      </c>
      <c r="L38" s="9" t="str">
        <f>'BIO DATA'!S38</f>
        <v>Balun RT 04 RW 02 Ds. Kumpulrejo Kec. Kaliwungu Kab. Kendal Jawa Tengah 51372</v>
      </c>
      <c r="M38" s="9" t="str">
        <f>'BIO DATA'!U38</f>
        <v>Kumpulrejo</v>
      </c>
      <c r="N38" s="9" t="str">
        <f>'BIO DATA'!V38</f>
        <v>Kaliwungu</v>
      </c>
      <c r="O38" s="9" t="str">
        <f>'BIO DATA'!W38</f>
        <v>Kendal</v>
      </c>
      <c r="P38" s="9" t="str">
        <f>'BIO DATA'!X38</f>
        <v>Jawa Tengah</v>
      </c>
      <c r="Q38" s="9" t="str">
        <f>'BIO DATA'!Y38</f>
        <v>MI Muhammadiyah Sarirejo</v>
      </c>
      <c r="R38" s="9" t="str">
        <f>'BIO DATA'!Z38</f>
        <v>Jl. Sekopek No. 12 Desa Sarirejo Kecamatan Kaliwungu Kabupaten Kendal Propinsi Jawa Tengah</v>
      </c>
      <c r="S38" s="9">
        <f>'BIO DATA'!AA38</f>
        <v>0</v>
      </c>
      <c r="T38" s="9" t="str">
        <f>'BIO DATA'!AB38</f>
        <v>Khaerul Anwar</v>
      </c>
      <c r="U38" s="9" t="str">
        <f>'BIO DATA'!AC38</f>
        <v>Islam</v>
      </c>
      <c r="V38" s="9" t="str">
        <f>'BIO DATA'!AD38</f>
        <v>S2</v>
      </c>
      <c r="W38" s="9" t="str">
        <f>'BIO DATA'!AE38</f>
        <v>Pegawai Swasta</v>
      </c>
      <c r="X38" s="9" t="str">
        <f>'BIO DATA'!AF38</f>
        <v>3jt-5jt</v>
      </c>
      <c r="Y38" s="144" t="str">
        <f>'BIO DATA'!AG38</f>
        <v>081568446117</v>
      </c>
      <c r="Z38" s="9">
        <f>'BIO DATA'!AH38</f>
        <v>0</v>
      </c>
      <c r="AA38" s="9" t="str">
        <f>'BIO DATA'!AI38</f>
        <v>Darul Akhiroh</v>
      </c>
      <c r="AB38" s="9" t="str">
        <f>'BIO DATA'!AJ38</f>
        <v>Islam</v>
      </c>
      <c r="AC38" s="9" t="str">
        <f>'BIO DATA'!AK38</f>
        <v>S1</v>
      </c>
      <c r="AD38" s="9" t="str">
        <f>'BIO DATA'!AL38</f>
        <v>Wiraswasta</v>
      </c>
      <c r="AE38" s="9" t="str">
        <f>'BIO DATA'!AM38</f>
        <v>500-1jt</v>
      </c>
      <c r="AF38" s="49" t="str">
        <f>'BIO DATA'!AN38</f>
        <v>085640202990</v>
      </c>
      <c r="AG38" s="9">
        <f>'BIO DATA'!AO38</f>
        <v>0</v>
      </c>
      <c r="AH38" s="9">
        <f>'BIO DATA'!AY38</f>
        <v>0</v>
      </c>
      <c r="AI38" s="9">
        <f>'BIO DATA'!AZ38</f>
        <v>0</v>
      </c>
      <c r="AJ38" s="9">
        <f>'BIO DATA'!BA38</f>
        <v>0</v>
      </c>
      <c r="AK38" s="9">
        <f>'BIO DATA'!BB38</f>
        <v>0</v>
      </c>
      <c r="AL38" s="9">
        <f>'BIO DATA'!BC38</f>
        <v>0</v>
      </c>
      <c r="AM38" s="9">
        <f>'BIO DATA'!BD38</f>
        <v>0</v>
      </c>
      <c r="AN38" s="9">
        <f>'BIO DATA'!BE38</f>
        <v>0</v>
      </c>
      <c r="AO38" s="9">
        <f>'BIO DATA'!BF38</f>
        <v>0</v>
      </c>
      <c r="AP38" s="50" t="str">
        <f>'BIO DATA'!BG38</f>
        <v>Husnan Wadi, S.H.I., M.P.I.</v>
      </c>
    </row>
    <row r="39" spans="1:42" s="51" customFormat="1" ht="20.100000000000001" customHeight="1" thickBot="1">
      <c r="A39" s="20" t="s">
        <v>146</v>
      </c>
      <c r="B39">
        <v>62</v>
      </c>
      <c r="C39" s="283">
        <f>'BIO DATA'!C39</f>
        <v>12545</v>
      </c>
      <c r="D39" s="283" t="str">
        <f>'BIO DATA'!D39</f>
        <v>0131096085</v>
      </c>
      <c r="E39" s="284" t="str">
        <f>'BIO DATA'!E39</f>
        <v>Faqih Keyaanurasyid</v>
      </c>
      <c r="F39" s="46" t="str">
        <f>'BIO DATA'!L39</f>
        <v>Laki-laki</v>
      </c>
      <c r="G39" s="9" t="str">
        <f>'BIO DATA'!M39</f>
        <v>Pangkal Pinang</v>
      </c>
      <c r="H39" s="48">
        <f>'BIO DATA'!O39</f>
        <v>41637</v>
      </c>
      <c r="I39" s="46" t="str">
        <f>'BIO DATA'!R39</f>
        <v>Islam</v>
      </c>
      <c r="J39" s="47">
        <f>'BIO DATA'!I39</f>
        <v>2</v>
      </c>
      <c r="K39" s="47">
        <f>'BIO DATA'!J39</f>
        <v>2</v>
      </c>
      <c r="L39" s="9" t="str">
        <f>'BIO DATA'!S39</f>
        <v>Perumahan Pengadilan No 02 RT 5 Selindung Baru Gabek Pangkal Pinang Bangka Belitung</v>
      </c>
      <c r="M39" s="9" t="str">
        <f>'BIO DATA'!U39</f>
        <v>Selindung Baru</v>
      </c>
      <c r="N39" s="9" t="str">
        <f>'BIO DATA'!V39</f>
        <v>Gabek</v>
      </c>
      <c r="O39" s="9" t="str">
        <f>'BIO DATA'!W39</f>
        <v>Kota Pangkal Pinang</v>
      </c>
      <c r="P39" s="9" t="str">
        <f>'BIO DATA'!X39</f>
        <v>Kep. Bangka Belitung</v>
      </c>
      <c r="Q39" s="9" t="str">
        <f>'BIO DATA'!Y39</f>
        <v>SD IT Qurani Adh-Dhuhaa Pangkal Pinang</v>
      </c>
      <c r="R39" s="9" t="str">
        <f>'BIO DATA'!Z39</f>
        <v>Jl.Melati l no 257 Kel Taman bunga kec Gerunggang kota Pangkal Pinang</v>
      </c>
      <c r="S39" s="9">
        <f>'BIO DATA'!AA39</f>
        <v>0</v>
      </c>
      <c r="T39" s="9" t="str">
        <f>'BIO DATA'!AB39</f>
        <v>Dedek Agus Kurniawan</v>
      </c>
      <c r="U39" s="9" t="str">
        <f>'BIO DATA'!AC39</f>
        <v>Islam</v>
      </c>
      <c r="V39" s="9" t="str">
        <f>'BIO DATA'!AD39</f>
        <v>S2</v>
      </c>
      <c r="W39" s="9" t="str">
        <f>'BIO DATA'!AE39</f>
        <v>PNS</v>
      </c>
      <c r="X39" s="9" t="str">
        <f>'BIO DATA'!AF39</f>
        <v>5jt-10jt</v>
      </c>
      <c r="Y39" s="144" t="str">
        <f>'BIO DATA'!AG39</f>
        <v>082176450731</v>
      </c>
      <c r="Z39" s="9">
        <f>'BIO DATA'!AH39</f>
        <v>0</v>
      </c>
      <c r="AA39" s="9" t="str">
        <f>'BIO DATA'!AI39</f>
        <v>Nofa Yasibel FN</v>
      </c>
      <c r="AB39" s="9" t="str">
        <f>'BIO DATA'!AJ39</f>
        <v>Islam</v>
      </c>
      <c r="AC39" s="9" t="str">
        <f>'BIO DATA'!AK39</f>
        <v>S1</v>
      </c>
      <c r="AD39" s="9" t="str">
        <f>'BIO DATA'!AL39</f>
        <v>PNS</v>
      </c>
      <c r="AE39" s="9" t="str">
        <f>'BIO DATA'!AM39</f>
        <v>3jt-5jt</v>
      </c>
      <c r="AF39" s="49" t="str">
        <f>'BIO DATA'!AN39</f>
        <v>081279356726</v>
      </c>
      <c r="AG39" s="9">
        <f>'BIO DATA'!AO39</f>
        <v>0</v>
      </c>
      <c r="AH39" s="9">
        <f>'BIO DATA'!AY39</f>
        <v>0</v>
      </c>
      <c r="AI39" s="9">
        <f>'BIO DATA'!AZ39</f>
        <v>0</v>
      </c>
      <c r="AJ39" s="9">
        <f>'BIO DATA'!BA39</f>
        <v>0</v>
      </c>
      <c r="AK39" s="9">
        <f>'BIO DATA'!BB39</f>
        <v>0</v>
      </c>
      <c r="AL39" s="9">
        <f>'BIO DATA'!BC39</f>
        <v>0</v>
      </c>
      <c r="AM39" s="9">
        <f>'BIO DATA'!BD39</f>
        <v>0</v>
      </c>
      <c r="AN39" s="9">
        <f>'BIO DATA'!BE39</f>
        <v>0</v>
      </c>
      <c r="AO39" s="9">
        <f>'BIO DATA'!BF39</f>
        <v>0</v>
      </c>
      <c r="AP39" s="50" t="str">
        <f>'BIO DATA'!BG39</f>
        <v>Husnan Wadi, S.H.I., M.P.I.</v>
      </c>
    </row>
    <row r="40" spans="1:42" s="51" customFormat="1" ht="20.100000000000001" customHeight="1" thickBot="1">
      <c r="A40" s="20" t="s">
        <v>146</v>
      </c>
      <c r="B40">
        <v>70</v>
      </c>
      <c r="C40" s="283">
        <f>'BIO DATA'!C40</f>
        <v>12550</v>
      </c>
      <c r="D40" s="283">
        <f>'BIO DATA'!D40</f>
        <v>3140110625</v>
      </c>
      <c r="E40" s="284" t="str">
        <f>'BIO DATA'!E40</f>
        <v>Fauzan Nur Hidayat</v>
      </c>
      <c r="F40" s="46" t="str">
        <f>'BIO DATA'!L40</f>
        <v>Laki-laki</v>
      </c>
      <c r="G40" s="9" t="str">
        <f>'BIO DATA'!M40</f>
        <v>Mangupura</v>
      </c>
      <c r="H40" s="48">
        <f>'BIO DATA'!O40</f>
        <v>41685</v>
      </c>
      <c r="I40" s="46" t="str">
        <f>'BIO DATA'!R40</f>
        <v>Islam</v>
      </c>
      <c r="J40" s="47">
        <f>'BIO DATA'!I40</f>
        <v>3</v>
      </c>
      <c r="K40" s="47">
        <f>'BIO DATA'!J40</f>
        <v>3</v>
      </c>
      <c r="L40" s="9" t="str">
        <f>'BIO DATA'!S40</f>
        <v>Perum. Puri Kampial Benoa Kuta Selatan Badung Bali</v>
      </c>
      <c r="M40" s="9" t="str">
        <f>'BIO DATA'!U40</f>
        <v>Benoa</v>
      </c>
      <c r="N40" s="9" t="str">
        <f>'BIO DATA'!V40</f>
        <v>Kuta Selatan</v>
      </c>
      <c r="O40" s="9" t="str">
        <f>'BIO DATA'!W40</f>
        <v>Badung</v>
      </c>
      <c r="P40" s="9" t="str">
        <f>'BIO DATA'!X40</f>
        <v>Bali</v>
      </c>
      <c r="Q40" s="9" t="str">
        <f>'BIO DATA'!Y40</f>
        <v>SDI Mutiara</v>
      </c>
      <c r="R40" s="9" t="str">
        <f>'BIO DATA'!Z40</f>
        <v>Jl Lingkar timur udayana no 8 Jimbaran Kuta selatan Badung Bali</v>
      </c>
      <c r="S40" s="9">
        <f>'BIO DATA'!AA40</f>
        <v>0</v>
      </c>
      <c r="T40" s="9" t="str">
        <f>'BIO DATA'!AB40</f>
        <v>Wahyu Hidayat</v>
      </c>
      <c r="U40" s="9" t="str">
        <f>'BIO DATA'!AC40</f>
        <v>Islam</v>
      </c>
      <c r="V40" s="9" t="str">
        <f>'BIO DATA'!AD40</f>
        <v>SLTA</v>
      </c>
      <c r="W40" s="9" t="str">
        <f>'BIO DATA'!AE40</f>
        <v>Wiraswasta</v>
      </c>
      <c r="X40" s="9" t="str">
        <f>'BIO DATA'!AF40</f>
        <v>&gt;10jt</v>
      </c>
      <c r="Y40" s="144" t="str">
        <f>'BIO DATA'!AG40</f>
        <v>081933019764</v>
      </c>
      <c r="Z40" s="9">
        <f>'BIO DATA'!AH40</f>
        <v>0</v>
      </c>
      <c r="AA40" s="9" t="str">
        <f>'BIO DATA'!AI40</f>
        <v>Kristin Andriani</v>
      </c>
      <c r="AB40" s="9" t="str">
        <f>'BIO DATA'!AJ40</f>
        <v>Islam</v>
      </c>
      <c r="AC40" s="9" t="str">
        <f>'BIO DATA'!AK40</f>
        <v>S1</v>
      </c>
      <c r="AD40" s="9" t="str">
        <f>'BIO DATA'!AL40</f>
        <v>Tidak Bekerja</v>
      </c>
      <c r="AE40" s="9" t="str">
        <f>'BIO DATA'!AM40</f>
        <v>&lt; 500rb</v>
      </c>
      <c r="AF40" s="49" t="str">
        <f>'BIO DATA'!AN40</f>
        <v>081936292006</v>
      </c>
      <c r="AG40" s="9">
        <f>'BIO DATA'!AO40</f>
        <v>0</v>
      </c>
      <c r="AH40" s="9">
        <f>'BIO DATA'!AY40</f>
        <v>0</v>
      </c>
      <c r="AI40" s="9">
        <f>'BIO DATA'!AZ40</f>
        <v>0</v>
      </c>
      <c r="AJ40" s="9">
        <f>'BIO DATA'!BA40</f>
        <v>0</v>
      </c>
      <c r="AK40" s="9">
        <f>'BIO DATA'!BB40</f>
        <v>0</v>
      </c>
      <c r="AL40" s="9">
        <f>'BIO DATA'!BC40</f>
        <v>0</v>
      </c>
      <c r="AM40" s="9">
        <f>'BIO DATA'!BD40</f>
        <v>0</v>
      </c>
      <c r="AN40" s="9">
        <f>'BIO DATA'!BE40</f>
        <v>0</v>
      </c>
      <c r="AO40" s="9">
        <f>'BIO DATA'!BF40</f>
        <v>0</v>
      </c>
      <c r="AP40" s="50" t="str">
        <f>'BIO DATA'!BG40</f>
        <v>Husnan Wadi, S.H.I., M.P.I.</v>
      </c>
    </row>
    <row r="41" spans="1:42" s="51" customFormat="1" ht="20.100000000000001" customHeight="1" thickBot="1">
      <c r="A41" s="20" t="s">
        <v>146</v>
      </c>
      <c r="B41">
        <v>113</v>
      </c>
      <c r="C41" s="283">
        <f>'BIO DATA'!C41</f>
        <v>12552</v>
      </c>
      <c r="D41" s="283" t="str">
        <f>'BIO DATA'!D41</f>
        <v>0138664148</v>
      </c>
      <c r="E41" s="284" t="str">
        <f>'BIO DATA'!E41</f>
        <v>Fazila Akbar Ikhlas</v>
      </c>
      <c r="F41" s="46" t="str">
        <f>'BIO DATA'!L41</f>
        <v>Laki-laki</v>
      </c>
      <c r="G41" s="9" t="str">
        <f>'BIO DATA'!M41</f>
        <v>Tangerang</v>
      </c>
      <c r="H41" s="48">
        <f>'BIO DATA'!O41</f>
        <v>41511</v>
      </c>
      <c r="I41" s="46" t="str">
        <f>'BIO DATA'!R41</f>
        <v>Islam</v>
      </c>
      <c r="J41" s="47">
        <f>'BIO DATA'!I41</f>
        <v>2</v>
      </c>
      <c r="K41" s="47">
        <f>'BIO DATA'!J41</f>
        <v>2</v>
      </c>
      <c r="L41" s="9" t="str">
        <f>'BIO DATA'!S41</f>
        <v>Cluster MPR NO. 79 RT 01 RW 01, Kel. Cipondoh, Kec. Cipondoh, Kota Tangerang, Banten</v>
      </c>
      <c r="M41" s="9" t="str">
        <f>'BIO DATA'!U41</f>
        <v>Cipondoh</v>
      </c>
      <c r="N41" s="9" t="str">
        <f>'BIO DATA'!V41</f>
        <v>Cipondoh</v>
      </c>
      <c r="O41" s="9" t="str">
        <f>'BIO DATA'!W41</f>
        <v>Kota Tangerang</v>
      </c>
      <c r="P41" s="9" t="str">
        <f>'BIO DATA'!X41</f>
        <v>Banten</v>
      </c>
      <c r="Q41" s="9" t="str">
        <f>'BIO DATA'!Y41</f>
        <v>SD Muhammadiyah 30 Poris Jaya</v>
      </c>
      <c r="R41" s="9" t="str">
        <f>'BIO DATA'!Z41</f>
        <v>Jl. KH. Maulana Hasanudin No. 48, Kel. Poris Jaya, Kec. Batu Ceper, Kota Tangerang, Prov. Banten</v>
      </c>
      <c r="S41" s="9">
        <f>'BIO DATA'!AA41</f>
        <v>0</v>
      </c>
      <c r="T41" s="9" t="str">
        <f>'BIO DATA'!AB41</f>
        <v>Zaitul Ikhlas, S.T.</v>
      </c>
      <c r="U41" s="9" t="str">
        <f>'BIO DATA'!AC41</f>
        <v>Islam</v>
      </c>
      <c r="V41" s="9" t="str">
        <f>'BIO DATA'!AD41</f>
        <v>S1</v>
      </c>
      <c r="W41" s="9" t="str">
        <f>'BIO DATA'!AE41</f>
        <v>Wiraswasta</v>
      </c>
      <c r="X41" s="9" t="str">
        <f>'BIO DATA'!AF41</f>
        <v>&lt; 500rb</v>
      </c>
      <c r="Y41" s="144" t="str">
        <f>'BIO DATA'!AG41</f>
        <v>081323290948</v>
      </c>
      <c r="Z41" s="9">
        <f>'BIO DATA'!AH41</f>
        <v>0</v>
      </c>
      <c r="AA41" s="9" t="str">
        <f>'BIO DATA'!AI41</f>
        <v>Retno Harjanti, S.Pd.</v>
      </c>
      <c r="AB41" s="9" t="str">
        <f>'BIO DATA'!AJ41</f>
        <v>Islam</v>
      </c>
      <c r="AC41" s="9" t="str">
        <f>'BIO DATA'!AK41</f>
        <v>S1</v>
      </c>
      <c r="AD41" s="9" t="str">
        <f>'BIO DATA'!AL41</f>
        <v>PNS</v>
      </c>
      <c r="AE41" s="9" t="str">
        <f>'BIO DATA'!AM41</f>
        <v>5jt-10jt</v>
      </c>
      <c r="AF41" s="49" t="str">
        <f>'BIO DATA'!AN41</f>
        <v>085124400510</v>
      </c>
      <c r="AG41" s="9">
        <f>'BIO DATA'!AO41</f>
        <v>0</v>
      </c>
      <c r="AH41" s="9">
        <f>'BIO DATA'!AY41</f>
        <v>0</v>
      </c>
      <c r="AI41" s="9">
        <f>'BIO DATA'!AZ41</f>
        <v>0</v>
      </c>
      <c r="AJ41" s="9">
        <f>'BIO DATA'!BA41</f>
        <v>0</v>
      </c>
      <c r="AK41" s="9">
        <f>'BIO DATA'!BB41</f>
        <v>0</v>
      </c>
      <c r="AL41" s="9">
        <f>'BIO DATA'!BC41</f>
        <v>0</v>
      </c>
      <c r="AM41" s="9">
        <f>'BIO DATA'!BD41</f>
        <v>0</v>
      </c>
      <c r="AN41" s="9">
        <f>'BIO DATA'!BE41</f>
        <v>0</v>
      </c>
      <c r="AO41" s="9">
        <f>'BIO DATA'!BF41</f>
        <v>0</v>
      </c>
      <c r="AP41" s="50" t="str">
        <f>'BIO DATA'!BG41</f>
        <v>Husnan Wadi, S.H.I., M.P.I.</v>
      </c>
    </row>
    <row r="42" spans="1:42" s="51" customFormat="1" ht="20.100000000000001" customHeight="1" thickBot="1">
      <c r="A42" s="20" t="s">
        <v>146</v>
      </c>
      <c r="B42">
        <v>114</v>
      </c>
      <c r="C42" s="283">
        <f>'BIO DATA'!C42</f>
        <v>12554</v>
      </c>
      <c r="D42" s="283" t="str">
        <f>'BIO DATA'!D42</f>
        <v>0132988146</v>
      </c>
      <c r="E42" s="284" t="str">
        <f>'BIO DATA'!E42</f>
        <v>Firnas Alfariel</v>
      </c>
      <c r="F42" s="46" t="str">
        <f>'BIO DATA'!L42</f>
        <v>Laki-laki</v>
      </c>
      <c r="G42" s="9" t="str">
        <f>'BIO DATA'!M42</f>
        <v>Pekalongan</v>
      </c>
      <c r="H42" s="48">
        <f>'BIO DATA'!O42</f>
        <v>41616</v>
      </c>
      <c r="I42" s="46" t="str">
        <f>'BIO DATA'!R42</f>
        <v>Islam</v>
      </c>
      <c r="J42" s="47">
        <f>'BIO DATA'!I42</f>
        <v>1</v>
      </c>
      <c r="K42" s="47">
        <f>'BIO DATA'!J42</f>
        <v>1</v>
      </c>
      <c r="L42" s="9" t="str">
        <f>'BIO DATA'!S42</f>
        <v>Desa Legokkalong RT. 001/RW.004 Kecamatan Karanganyar (51182), Kabupaten Pekalongan, Jawa Tengah</v>
      </c>
      <c r="M42" s="9" t="str">
        <f>'BIO DATA'!U42</f>
        <v>Legokkalong</v>
      </c>
      <c r="N42" s="9" t="str">
        <f>'BIO DATA'!V42</f>
        <v>Karanganyar</v>
      </c>
      <c r="O42" s="9" t="str">
        <f>'BIO DATA'!W42</f>
        <v>Pekalongan</v>
      </c>
      <c r="P42" s="9" t="str">
        <f>'BIO DATA'!X42</f>
        <v>Jawa Tengah</v>
      </c>
      <c r="Q42" s="9" t="str">
        <f>'BIO DATA'!Y42</f>
        <v>SD Muhammadiyah Kajen Kab. Pekalongan</v>
      </c>
      <c r="R42" s="9" t="str">
        <f>'BIO DATA'!Z42</f>
        <v>Jalan Diponegoro - Sidokerti Kecamatan kajen, Kabupaten Pekalongan, Jawa Tengah</v>
      </c>
      <c r="S42" s="9">
        <f>'BIO DATA'!AA42</f>
        <v>0</v>
      </c>
      <c r="T42" s="9" t="str">
        <f>'BIO DATA'!AB42</f>
        <v>Andriva Vintri Asmoro</v>
      </c>
      <c r="U42" s="9" t="str">
        <f>'BIO DATA'!AC42</f>
        <v>Islam</v>
      </c>
      <c r="V42" s="9" t="str">
        <f>'BIO DATA'!AD42</f>
        <v>S1</v>
      </c>
      <c r="W42" s="9" t="str">
        <f>'BIO DATA'!AE42</f>
        <v>Guru</v>
      </c>
      <c r="X42" s="9" t="str">
        <f>'BIO DATA'!AF42</f>
        <v>3jt-5jt</v>
      </c>
      <c r="Y42" s="144" t="str">
        <f>'BIO DATA'!AG42</f>
        <v>08156916863</v>
      </c>
      <c r="Z42" s="9">
        <f>'BIO DATA'!AH42</f>
        <v>0</v>
      </c>
      <c r="AA42" s="9" t="str">
        <f>'BIO DATA'!AI42</f>
        <v>Syafa'atun</v>
      </c>
      <c r="AB42" s="9" t="str">
        <f>'BIO DATA'!AJ42</f>
        <v>Islam</v>
      </c>
      <c r="AC42" s="9" t="str">
        <f>'BIO DATA'!AK42</f>
        <v>S1</v>
      </c>
      <c r="AD42" s="9" t="str">
        <f>'BIO DATA'!AL42</f>
        <v>Guru</v>
      </c>
      <c r="AE42" s="9" t="str">
        <f>'BIO DATA'!AM42</f>
        <v>1jt-3jt</v>
      </c>
      <c r="AF42" s="49" t="str">
        <f>'BIO DATA'!AN42</f>
        <v>085842051572</v>
      </c>
      <c r="AG42" s="9">
        <f>'BIO DATA'!AO42</f>
        <v>0</v>
      </c>
      <c r="AH42" s="9">
        <f>'BIO DATA'!AY42</f>
        <v>0</v>
      </c>
      <c r="AI42" s="9">
        <f>'BIO DATA'!AZ42</f>
        <v>0</v>
      </c>
      <c r="AJ42" s="9">
        <f>'BIO DATA'!BA42</f>
        <v>0</v>
      </c>
      <c r="AK42" s="9">
        <f>'BIO DATA'!BB42</f>
        <v>0</v>
      </c>
      <c r="AL42" s="9">
        <f>'BIO DATA'!BC42</f>
        <v>0</v>
      </c>
      <c r="AM42" s="9">
        <f>'BIO DATA'!BD42</f>
        <v>0</v>
      </c>
      <c r="AN42" s="9">
        <f>'BIO DATA'!BE42</f>
        <v>0</v>
      </c>
      <c r="AO42" s="9">
        <f>'BIO DATA'!BF42</f>
        <v>0</v>
      </c>
      <c r="AP42" s="50" t="str">
        <f>'BIO DATA'!BG42</f>
        <v>Husnan Wadi, S.H.I., M.P.I.</v>
      </c>
    </row>
    <row r="43" spans="1:42" s="51" customFormat="1" ht="20.100000000000001" customHeight="1" thickBot="1">
      <c r="A43" s="20" t="s">
        <v>146</v>
      </c>
      <c r="B43">
        <v>115</v>
      </c>
      <c r="C43" s="283">
        <f>'BIO DATA'!C43</f>
        <v>12561</v>
      </c>
      <c r="D43" s="283" t="str">
        <f>'BIO DATA'!D43</f>
        <v>0131427276</v>
      </c>
      <c r="E43" s="284" t="str">
        <f>'BIO DATA'!E43</f>
        <v>Hafizh Nizar Prasetya</v>
      </c>
      <c r="F43" s="46" t="str">
        <f>'BIO DATA'!L43</f>
        <v>Laki-laki</v>
      </c>
      <c r="G43" s="9" t="str">
        <f>'BIO DATA'!M43</f>
        <v>Bantul</v>
      </c>
      <c r="H43" s="48">
        <f>'BIO DATA'!O43</f>
        <v>41341</v>
      </c>
      <c r="I43" s="46" t="str">
        <f>'BIO DATA'!R43</f>
        <v>Islam</v>
      </c>
      <c r="J43" s="47">
        <f>'BIO DATA'!I43</f>
        <v>1</v>
      </c>
      <c r="K43" s="47">
        <f>'BIO DATA'!J43</f>
        <v>0</v>
      </c>
      <c r="L43" s="9" t="str">
        <f>'BIO DATA'!S43</f>
        <v>Gg.Sembrani 2 No 370 Jaranan RT 10 RW 41 Banguntapan Bantul DIY</v>
      </c>
      <c r="M43" s="9" t="str">
        <f>'BIO DATA'!U43</f>
        <v>Banguntapan</v>
      </c>
      <c r="N43" s="9" t="str">
        <f>'BIO DATA'!V43</f>
        <v>Banguntapan</v>
      </c>
      <c r="O43" s="9" t="str">
        <f>'BIO DATA'!W43</f>
        <v>Bantul</v>
      </c>
      <c r="P43" s="9" t="str">
        <f>'BIO DATA'!X43</f>
        <v>DIY</v>
      </c>
      <c r="Q43" s="9" t="str">
        <f>'BIO DATA'!Y43</f>
        <v>SD Muhammadiyah Banguntapan</v>
      </c>
      <c r="R43" s="9" t="str">
        <f>'BIO DATA'!Z43</f>
        <v>Jl Wonosari km 5 Ketandan Banguntapan Bantul</v>
      </c>
      <c r="S43" s="9">
        <f>'BIO DATA'!AA43</f>
        <v>0</v>
      </c>
      <c r="T43" s="9" t="str">
        <f>'BIO DATA'!AB43</f>
        <v>Juni Sudarwanto</v>
      </c>
      <c r="U43" s="9" t="str">
        <f>'BIO DATA'!AC43</f>
        <v>Islam</v>
      </c>
      <c r="V43" s="9" t="str">
        <f>'BIO DATA'!AD43</f>
        <v>SLTA</v>
      </c>
      <c r="W43" s="9" t="str">
        <f>'BIO DATA'!AE43</f>
        <v>Wiraswasta</v>
      </c>
      <c r="X43" s="9" t="str">
        <f>'BIO DATA'!AF43</f>
        <v>3jt-5jt</v>
      </c>
      <c r="Y43" s="144" t="str">
        <f>'BIO DATA'!AG43</f>
        <v>087767637148</v>
      </c>
      <c r="Z43" s="9">
        <f>'BIO DATA'!AH43</f>
        <v>0</v>
      </c>
      <c r="AA43" s="9" t="str">
        <f>'BIO DATA'!AI43</f>
        <v>Annisa astriani</v>
      </c>
      <c r="AB43" s="9" t="str">
        <f>'BIO DATA'!AJ43</f>
        <v>Islam</v>
      </c>
      <c r="AC43" s="9" t="str">
        <f>'BIO DATA'!AK43</f>
        <v>SLTP</v>
      </c>
      <c r="AD43" s="9" t="str">
        <f>'BIO DATA'!AL43</f>
        <v>Ibu Rumah Tangga</v>
      </c>
      <c r="AE43" s="9" t="str">
        <f>'BIO DATA'!AM43</f>
        <v>500-1jt</v>
      </c>
      <c r="AF43" s="49" t="str">
        <f>'BIO DATA'!AN43</f>
        <v>085877334484</v>
      </c>
      <c r="AG43" s="9">
        <f>'BIO DATA'!AO43</f>
        <v>0</v>
      </c>
      <c r="AH43" s="9">
        <f>'BIO DATA'!AY43</f>
        <v>0</v>
      </c>
      <c r="AI43" s="9">
        <f>'BIO DATA'!AZ43</f>
        <v>0</v>
      </c>
      <c r="AJ43" s="9">
        <f>'BIO DATA'!BA43</f>
        <v>0</v>
      </c>
      <c r="AK43" s="9">
        <f>'BIO DATA'!BB43</f>
        <v>0</v>
      </c>
      <c r="AL43" s="9">
        <f>'BIO DATA'!BC43</f>
        <v>0</v>
      </c>
      <c r="AM43" s="9">
        <f>'BIO DATA'!BD43</f>
        <v>0</v>
      </c>
      <c r="AN43" s="9">
        <f>'BIO DATA'!BE43</f>
        <v>0</v>
      </c>
      <c r="AO43" s="9">
        <f>'BIO DATA'!BF43</f>
        <v>0</v>
      </c>
      <c r="AP43" s="50" t="str">
        <f>'BIO DATA'!BG43</f>
        <v>Husnan Wadi, S.H.I., M.P.I.</v>
      </c>
    </row>
    <row r="44" spans="1:42" s="51" customFormat="1" ht="20.100000000000001" customHeight="1" thickBot="1">
      <c r="A44" s="20" t="s">
        <v>146</v>
      </c>
      <c r="B44">
        <v>135</v>
      </c>
      <c r="C44" s="283">
        <f>'BIO DATA'!C44</f>
        <v>12572</v>
      </c>
      <c r="D44" s="283" t="str">
        <f>'BIO DATA'!D44</f>
        <v>0133460461</v>
      </c>
      <c r="E44" s="284" t="str">
        <f>'BIO DATA'!E44</f>
        <v>Ibrahim Al Azzam</v>
      </c>
      <c r="F44" s="46" t="str">
        <f>'BIO DATA'!L44</f>
        <v>Laki-laki</v>
      </c>
      <c r="G44" s="9" t="str">
        <f>'BIO DATA'!M44</f>
        <v>Boyolali</v>
      </c>
      <c r="H44" s="48">
        <f>'BIO DATA'!O44</f>
        <v>41598</v>
      </c>
      <c r="I44" s="46" t="str">
        <f>'BIO DATA'!R44</f>
        <v>Islam</v>
      </c>
      <c r="J44" s="47">
        <f>'BIO DATA'!I44</f>
        <v>1</v>
      </c>
      <c r="K44" s="47">
        <f>'BIO DATA'!J44</f>
        <v>1</v>
      </c>
      <c r="L44" s="9" t="str">
        <f>'BIO DATA'!S44</f>
        <v>Dukuh Prigen, RT/RW: 04/07, Kaligentong, Gladagsari, Boyolali, Jawa Tengah</v>
      </c>
      <c r="M44" s="9" t="str">
        <f>'BIO DATA'!U44</f>
        <v>Kaligentong</v>
      </c>
      <c r="N44" s="9" t="str">
        <f>'BIO DATA'!V44</f>
        <v>Gladagsari</v>
      </c>
      <c r="O44" s="9" t="str">
        <f>'BIO DATA'!W44</f>
        <v>Boyolali</v>
      </c>
      <c r="P44" s="9" t="str">
        <f>'BIO DATA'!X44</f>
        <v>Jawa Tengah</v>
      </c>
      <c r="Q44" s="9" t="str">
        <f>'BIO DATA'!Y44</f>
        <v>SD Muhammadiyah Program Khusus Ampel Boyolali</v>
      </c>
      <c r="R44" s="9" t="str">
        <f>'BIO DATA'!Z44</f>
        <v>Tegalsari,Urutsewu,Ampel,Boyolali</v>
      </c>
      <c r="S44" s="9">
        <f>'BIO DATA'!AA44</f>
        <v>0</v>
      </c>
      <c r="T44" s="9" t="str">
        <f>'BIO DATA'!AB44</f>
        <v>Sudarsono</v>
      </c>
      <c r="U44" s="9" t="str">
        <f>'BIO DATA'!AC44</f>
        <v>Islam</v>
      </c>
      <c r="V44" s="9" t="str">
        <f>'BIO DATA'!AD44</f>
        <v>SLTA</v>
      </c>
      <c r="W44" s="9" t="str">
        <f>'BIO DATA'!AE44</f>
        <v>Karyawan Swasta</v>
      </c>
      <c r="X44" s="9" t="str">
        <f>'BIO DATA'!AF44</f>
        <v>&gt;10jt</v>
      </c>
      <c r="Y44" s="144" t="str">
        <f>'BIO DATA'!AG44</f>
        <v>081329107966</v>
      </c>
      <c r="Z44" s="9">
        <f>'BIO DATA'!AH44</f>
        <v>0</v>
      </c>
      <c r="AA44" s="9" t="str">
        <f>'BIO DATA'!AI44</f>
        <v>Ratih Dwi Pamungkas</v>
      </c>
      <c r="AB44" s="9" t="str">
        <f>'BIO DATA'!AJ44</f>
        <v>Islam</v>
      </c>
      <c r="AC44" s="9" t="str">
        <f>'BIO DATA'!AK44</f>
        <v>SLTP</v>
      </c>
      <c r="AD44" s="9" t="str">
        <f>'BIO DATA'!AL44</f>
        <v>Ibu Rumah Tangga</v>
      </c>
      <c r="AE44" s="9" t="str">
        <f>'BIO DATA'!AM44</f>
        <v>3jt-5jt</v>
      </c>
      <c r="AF44" s="49" t="str">
        <f>'BIO DATA'!AN44</f>
        <v>081325333227</v>
      </c>
      <c r="AG44" s="9">
        <f>'BIO DATA'!AO44</f>
        <v>0</v>
      </c>
      <c r="AH44" s="9">
        <f>'BIO DATA'!AY44</f>
        <v>0</v>
      </c>
      <c r="AI44" s="9">
        <f>'BIO DATA'!AZ44</f>
        <v>0</v>
      </c>
      <c r="AJ44" s="9">
        <f>'BIO DATA'!BA44</f>
        <v>0</v>
      </c>
      <c r="AK44" s="9">
        <f>'BIO DATA'!BB44</f>
        <v>0</v>
      </c>
      <c r="AL44" s="9">
        <f>'BIO DATA'!BC44</f>
        <v>0</v>
      </c>
      <c r="AM44" s="9">
        <f>'BIO DATA'!BD44</f>
        <v>0</v>
      </c>
      <c r="AN44" s="9">
        <f>'BIO DATA'!BE44</f>
        <v>0</v>
      </c>
      <c r="AO44" s="9">
        <f>'BIO DATA'!BF44</f>
        <v>0</v>
      </c>
      <c r="AP44" s="50" t="str">
        <f>'BIO DATA'!BG44</f>
        <v>Husnan Wadi, S.H.I., M.P.I.</v>
      </c>
    </row>
    <row r="45" spans="1:42" s="51" customFormat="1" ht="20.100000000000001" customHeight="1" thickBot="1">
      <c r="A45" s="20" t="s">
        <v>146</v>
      </c>
      <c r="B45">
        <v>147</v>
      </c>
      <c r="C45" s="283">
        <f>'BIO DATA'!C45</f>
        <v>12577</v>
      </c>
      <c r="D45" s="283" t="str">
        <f>'BIO DATA'!D45</f>
        <v>0138375740</v>
      </c>
      <c r="E45" s="284" t="str">
        <f>'BIO DATA'!E45</f>
        <v>Ilian Badranaya El Qurafi</v>
      </c>
      <c r="F45" s="46" t="str">
        <f>'BIO DATA'!L45</f>
        <v>Laki-laki</v>
      </c>
      <c r="G45" s="9" t="str">
        <f>'BIO DATA'!M45</f>
        <v>Pekalongan</v>
      </c>
      <c r="H45" s="48">
        <f>'BIO DATA'!O45</f>
        <v>41537</v>
      </c>
      <c r="I45" s="46" t="str">
        <f>'BIO DATA'!R45</f>
        <v>Islam</v>
      </c>
      <c r="J45" s="47">
        <f>'BIO DATA'!I45</f>
        <v>2</v>
      </c>
      <c r="K45" s="47">
        <f>'BIO DATA'!J45</f>
        <v>2</v>
      </c>
      <c r="L45" s="9" t="str">
        <f>'BIO DATA'!S45</f>
        <v>Dk. Kelinggihan Perum GPI Tanjungsari Blok E2 No 1 Banjarejo Karanganyar Pekalongan Jawa Tengah</v>
      </c>
      <c r="M45" s="9" t="str">
        <f>'BIO DATA'!U45</f>
        <v>Banjarejo</v>
      </c>
      <c r="N45" s="9" t="str">
        <f>'BIO DATA'!V45</f>
        <v>Karanganyar</v>
      </c>
      <c r="O45" s="9" t="str">
        <f>'BIO DATA'!W45</f>
        <v>Pekalongan</v>
      </c>
      <c r="P45" s="9" t="str">
        <f>'BIO DATA'!X45</f>
        <v>Jawa Tengah</v>
      </c>
      <c r="Q45" s="9" t="str">
        <f>'BIO DATA'!Y45</f>
        <v>SD Mhammadiyah Kajen</v>
      </c>
      <c r="R45" s="9" t="str">
        <f>'BIO DATA'!Z45</f>
        <v>JL. Diponegoro No. 754 Kajen Kabupaten Pekalongan</v>
      </c>
      <c r="S45" s="9">
        <f>'BIO DATA'!AA45</f>
        <v>0</v>
      </c>
      <c r="T45" s="9" t="str">
        <f>'BIO DATA'!AB45</f>
        <v>Irwan Susanto</v>
      </c>
      <c r="U45" s="9" t="str">
        <f>'BIO DATA'!AC45</f>
        <v>Islam</v>
      </c>
      <c r="V45" s="9" t="str">
        <f>'BIO DATA'!AD45</f>
        <v>S2</v>
      </c>
      <c r="W45" s="9" t="str">
        <f>'BIO DATA'!AE45</f>
        <v>PNS</v>
      </c>
      <c r="X45" s="9" t="str">
        <f>'BIO DATA'!AF45</f>
        <v>3jt-5jt</v>
      </c>
      <c r="Y45" s="144" t="str">
        <f>'BIO DATA'!AG45</f>
        <v>081271612016</v>
      </c>
      <c r="Z45" s="9">
        <f>'BIO DATA'!AH45</f>
        <v>0</v>
      </c>
      <c r="AA45" s="9" t="str">
        <f>'BIO DATA'!AI45</f>
        <v>Dwi Yuliana</v>
      </c>
      <c r="AB45" s="9" t="str">
        <f>'BIO DATA'!AJ45</f>
        <v>Islam</v>
      </c>
      <c r="AC45" s="9" t="str">
        <f>'BIO DATA'!AK45</f>
        <v>S1</v>
      </c>
      <c r="AD45" s="9" t="str">
        <f>'BIO DATA'!AL45</f>
        <v>PNS</v>
      </c>
      <c r="AE45" s="9" t="str">
        <f>'BIO DATA'!AM45</f>
        <v>3jt-5jt</v>
      </c>
      <c r="AF45" s="49" t="str">
        <f>'BIO DATA'!AN45</f>
        <v>08157727540</v>
      </c>
      <c r="AG45" s="9">
        <f>'BIO DATA'!AO45</f>
        <v>0</v>
      </c>
      <c r="AH45" s="9">
        <f>'BIO DATA'!AY45</f>
        <v>0</v>
      </c>
      <c r="AI45" s="9">
        <f>'BIO DATA'!AZ45</f>
        <v>0</v>
      </c>
      <c r="AJ45" s="9">
        <f>'BIO DATA'!BA45</f>
        <v>0</v>
      </c>
      <c r="AK45" s="9">
        <f>'BIO DATA'!BB45</f>
        <v>0</v>
      </c>
      <c r="AL45" s="9">
        <f>'BIO DATA'!BC45</f>
        <v>0</v>
      </c>
      <c r="AM45" s="9">
        <f>'BIO DATA'!BD45</f>
        <v>0</v>
      </c>
      <c r="AN45" s="9">
        <f>'BIO DATA'!BE45</f>
        <v>0</v>
      </c>
      <c r="AO45" s="9">
        <f>'BIO DATA'!BF45</f>
        <v>0</v>
      </c>
      <c r="AP45" s="50" t="str">
        <f>'BIO DATA'!BG45</f>
        <v>Husnan Wadi, S.H.I., M.P.I.</v>
      </c>
    </row>
    <row r="46" spans="1:42" s="51" customFormat="1" ht="20.100000000000001" customHeight="1" thickBot="1">
      <c r="A46" s="20" t="s">
        <v>146</v>
      </c>
      <c r="B46">
        <v>163</v>
      </c>
      <c r="C46" s="283">
        <f>'BIO DATA'!C46</f>
        <v>12588</v>
      </c>
      <c r="D46" s="283" t="str">
        <f>'BIO DATA'!D46</f>
        <v>0143449422</v>
      </c>
      <c r="E46" s="284" t="str">
        <f>'BIO DATA'!E46</f>
        <v>Kenzo Zafran Al Abiyyu</v>
      </c>
      <c r="F46" s="46" t="str">
        <f>'BIO DATA'!L46</f>
        <v>Laki-laki</v>
      </c>
      <c r="G46" s="9" t="str">
        <f>'BIO DATA'!M46</f>
        <v>Wonosobo</v>
      </c>
      <c r="H46" s="48">
        <f>'BIO DATA'!O46</f>
        <v>41665</v>
      </c>
      <c r="I46" s="46" t="str">
        <f>'BIO DATA'!R46</f>
        <v>Islam</v>
      </c>
      <c r="J46" s="47">
        <f>'BIO DATA'!I46</f>
        <v>1</v>
      </c>
      <c r="K46" s="47">
        <f>'BIO DATA'!J46</f>
        <v>1</v>
      </c>
      <c r="L46" s="9" t="str">
        <f>'BIO DATA'!S46</f>
        <v>Jambusari RT002 RW007 Kertek, Kecamatan Kertek, Kabupten Wonosobo Jawa Tengah</v>
      </c>
      <c r="M46" s="9" t="str">
        <f>'BIO DATA'!U46</f>
        <v>Kertek</v>
      </c>
      <c r="N46" s="9" t="str">
        <f>'BIO DATA'!V46</f>
        <v>Kertek</v>
      </c>
      <c r="O46" s="9" t="str">
        <f>'BIO DATA'!W46</f>
        <v>Wonosobo</v>
      </c>
      <c r="P46" s="9" t="str">
        <f>'BIO DATA'!X46</f>
        <v>Jawa Tengah</v>
      </c>
      <c r="Q46" s="9" t="str">
        <f>'BIO DATA'!Y46</f>
        <v>SD Muhammadiyah Sudagaran Wonosobo</v>
      </c>
      <c r="R46" s="9" t="str">
        <f>'BIO DATA'!Z46</f>
        <v>Jl. Sidomulyo No.9 Wonosobo, Jawa Tengah</v>
      </c>
      <c r="S46" s="9">
        <f>'BIO DATA'!AA46</f>
        <v>0</v>
      </c>
      <c r="T46" s="9" t="str">
        <f>'BIO DATA'!AB46</f>
        <v>Didik Agus Setiawan, S.T.</v>
      </c>
      <c r="U46" s="9" t="str">
        <f>'BIO DATA'!AC46</f>
        <v>Islam</v>
      </c>
      <c r="V46" s="9" t="str">
        <f>'BIO DATA'!AD46</f>
        <v>S1</v>
      </c>
      <c r="W46" s="9" t="str">
        <f>'BIO DATA'!AE46</f>
        <v>Wiraswasta</v>
      </c>
      <c r="X46" s="9" t="str">
        <f>'BIO DATA'!AF46</f>
        <v>3jt-5jt</v>
      </c>
      <c r="Y46" s="144" t="str">
        <f>'BIO DATA'!AG46</f>
        <v>081326031773</v>
      </c>
      <c r="Z46" s="9">
        <f>'BIO DATA'!AH46</f>
        <v>0</v>
      </c>
      <c r="AA46" s="9" t="str">
        <f>'BIO DATA'!AI46</f>
        <v>Heni Ika Pratiwi, S.Pd</v>
      </c>
      <c r="AB46" s="9" t="str">
        <f>'BIO DATA'!AJ46</f>
        <v>Islam</v>
      </c>
      <c r="AC46" s="9" t="str">
        <f>'BIO DATA'!AK46</f>
        <v>S1</v>
      </c>
      <c r="AD46" s="9" t="str">
        <f>'BIO DATA'!AL46</f>
        <v>Guru</v>
      </c>
      <c r="AE46" s="9" t="str">
        <f>'BIO DATA'!AM46</f>
        <v>3jt-5jt</v>
      </c>
      <c r="AF46" s="49" t="str">
        <f>'BIO DATA'!AN46</f>
        <v>081283131455</v>
      </c>
      <c r="AG46" s="9">
        <f>'BIO DATA'!AO46</f>
        <v>0</v>
      </c>
      <c r="AH46" s="9">
        <f>'BIO DATA'!AY46</f>
        <v>0</v>
      </c>
      <c r="AI46" s="9">
        <f>'BIO DATA'!AZ46</f>
        <v>0</v>
      </c>
      <c r="AJ46" s="9">
        <f>'BIO DATA'!BA46</f>
        <v>0</v>
      </c>
      <c r="AK46" s="9">
        <f>'BIO DATA'!BB46</f>
        <v>0</v>
      </c>
      <c r="AL46" s="9">
        <f>'BIO DATA'!BC46</f>
        <v>0</v>
      </c>
      <c r="AM46" s="9">
        <f>'BIO DATA'!BD46</f>
        <v>0</v>
      </c>
      <c r="AN46" s="9">
        <f>'BIO DATA'!BE46</f>
        <v>0</v>
      </c>
      <c r="AO46" s="9">
        <f>'BIO DATA'!BF46</f>
        <v>0</v>
      </c>
      <c r="AP46" s="50" t="str">
        <f>'BIO DATA'!BG46</f>
        <v>Husnan Wadi, S.H.I., M.P.I.</v>
      </c>
    </row>
    <row r="47" spans="1:42" s="51" customFormat="1" ht="20.100000000000001" customHeight="1" thickBot="1">
      <c r="A47" s="20" t="s">
        <v>146</v>
      </c>
      <c r="B47">
        <v>164</v>
      </c>
      <c r="C47" s="283">
        <f>'BIO DATA'!C47</f>
        <v>12593</v>
      </c>
      <c r="D47" s="283" t="str">
        <f>'BIO DATA'!D47</f>
        <v>0148544577</v>
      </c>
      <c r="E47" s="284" t="str">
        <f>'BIO DATA'!E47</f>
        <v>Lintang Mahardika</v>
      </c>
      <c r="F47" s="46" t="str">
        <f>'BIO DATA'!L47</f>
        <v>Laki-laki</v>
      </c>
      <c r="G47" s="9" t="str">
        <f>'BIO DATA'!M47</f>
        <v>Jakarta</v>
      </c>
      <c r="H47" s="48">
        <f>'BIO DATA'!O47</f>
        <v>41807</v>
      </c>
      <c r="I47" s="46" t="str">
        <f>'BIO DATA'!R47</f>
        <v>Islam</v>
      </c>
      <c r="J47" s="47">
        <f>'BIO DATA'!I47</f>
        <v>2</v>
      </c>
      <c r="K47" s="47">
        <f>'BIO DATA'!J47</f>
        <v>2</v>
      </c>
      <c r="L47" s="9" t="str">
        <f>'BIO DATA'!S47</f>
        <v>The Orchid Regency No D5, Kukusan, Beji, Depok, Jawa Barat</v>
      </c>
      <c r="M47" s="9" t="str">
        <f>'BIO DATA'!U47</f>
        <v>Kukusan</v>
      </c>
      <c r="N47" s="9" t="str">
        <f>'BIO DATA'!V47</f>
        <v>Beji</v>
      </c>
      <c r="O47" s="9" t="str">
        <f>'BIO DATA'!W47</f>
        <v>Kota Depok</v>
      </c>
      <c r="P47" s="9" t="str">
        <f>'BIO DATA'!X47</f>
        <v>Jawa Barat</v>
      </c>
      <c r="Q47" s="9" t="str">
        <f>'BIO DATA'!Y47</f>
        <v>SDIT Ummu'l Quro Depok</v>
      </c>
      <c r="R47" s="9" t="str">
        <f>'BIO DATA'!Z47</f>
        <v>Jalan H. Sinda No 54 RT 09 RW 04, Beji, Depok, Jawa Barat 16421</v>
      </c>
      <c r="S47" s="9">
        <f>'BIO DATA'!AA47</f>
        <v>0</v>
      </c>
      <c r="T47" s="9" t="str">
        <f>'BIO DATA'!AB47</f>
        <v>Wahyu Wening Priyambodo</v>
      </c>
      <c r="U47" s="9" t="str">
        <f>'BIO DATA'!AC47</f>
        <v>Islam</v>
      </c>
      <c r="V47" s="9" t="str">
        <f>'BIO DATA'!AD47</f>
        <v>S1</v>
      </c>
      <c r="W47" s="9" t="str">
        <f>'BIO DATA'!AE47</f>
        <v>Karyawan Swasta</v>
      </c>
      <c r="X47" s="9" t="str">
        <f>'BIO DATA'!AF47</f>
        <v>5jt-10jt</v>
      </c>
      <c r="Y47" s="144" t="str">
        <f>'BIO DATA'!AG47</f>
        <v>08129556343</v>
      </c>
      <c r="Z47" s="9">
        <f>'BIO DATA'!AH47</f>
        <v>0</v>
      </c>
      <c r="AA47" s="9" t="str">
        <f>'BIO DATA'!AI47</f>
        <v>Lisa Maulida</v>
      </c>
      <c r="AB47" s="9" t="str">
        <f>'BIO DATA'!AJ47</f>
        <v>Islam</v>
      </c>
      <c r="AC47" s="9" t="str">
        <f>'BIO DATA'!AK47</f>
        <v>S2</v>
      </c>
      <c r="AD47" s="9" t="str">
        <f>'BIO DATA'!AL47</f>
        <v>Dokter</v>
      </c>
      <c r="AE47" s="9" t="str">
        <f>'BIO DATA'!AM47</f>
        <v>&gt;10jt</v>
      </c>
      <c r="AF47" s="49" t="str">
        <f>'BIO DATA'!AN47</f>
        <v>08128710035</v>
      </c>
      <c r="AG47" s="9">
        <f>'BIO DATA'!AO47</f>
        <v>0</v>
      </c>
      <c r="AH47" s="9">
        <f>'BIO DATA'!AY47</f>
        <v>0</v>
      </c>
      <c r="AI47" s="9">
        <f>'BIO DATA'!AZ47</f>
        <v>0</v>
      </c>
      <c r="AJ47" s="9">
        <f>'BIO DATA'!BA47</f>
        <v>0</v>
      </c>
      <c r="AK47" s="9">
        <f>'BIO DATA'!BB47</f>
        <v>0</v>
      </c>
      <c r="AL47" s="9">
        <f>'BIO DATA'!BC47</f>
        <v>0</v>
      </c>
      <c r="AM47" s="9">
        <f>'BIO DATA'!BD47</f>
        <v>0</v>
      </c>
      <c r="AN47" s="9">
        <f>'BIO DATA'!BE47</f>
        <v>0</v>
      </c>
      <c r="AO47" s="9">
        <f>'BIO DATA'!BF47</f>
        <v>0</v>
      </c>
      <c r="AP47" s="50" t="str">
        <f>'BIO DATA'!BG47</f>
        <v>Husnan Wadi, S.H.I., M.P.I.</v>
      </c>
    </row>
    <row r="48" spans="1:42" s="51" customFormat="1" ht="20.100000000000001" customHeight="1" thickBot="1">
      <c r="A48" s="20" t="s">
        <v>146</v>
      </c>
      <c r="B48">
        <v>193</v>
      </c>
      <c r="C48" s="283">
        <f>'BIO DATA'!C48</f>
        <v>12617</v>
      </c>
      <c r="D48" s="283" t="str">
        <f>'BIO DATA'!D48</f>
        <v>0145138271</v>
      </c>
      <c r="E48" s="284" t="str">
        <f>'BIO DATA'!E48</f>
        <v>Muhammad Alkhali Dzikri</v>
      </c>
      <c r="F48" s="46" t="str">
        <f>'BIO DATA'!L48</f>
        <v>Laki-laki</v>
      </c>
      <c r="G48" s="9" t="str">
        <f>'BIO DATA'!M48</f>
        <v>Denpasar</v>
      </c>
      <c r="H48" s="48">
        <f>'BIO DATA'!O48</f>
        <v>41660</v>
      </c>
      <c r="I48" s="46" t="str">
        <f>'BIO DATA'!R48</f>
        <v>Islam</v>
      </c>
      <c r="J48" s="47">
        <f>'BIO DATA'!I48</f>
        <v>1</v>
      </c>
      <c r="K48" s="47">
        <f>'BIO DATA'!J48</f>
        <v>1</v>
      </c>
      <c r="L48" s="9" t="str">
        <f>'BIO DATA'!S48</f>
        <v>Jl. Buana Raya Gg. Artha Buana No.3 Padangsambian Denpasar Barat Kota Denpasar Bali 80119</v>
      </c>
      <c r="M48" s="9" t="str">
        <f>'BIO DATA'!U48</f>
        <v>Padangsambian</v>
      </c>
      <c r="N48" s="9" t="str">
        <f>'BIO DATA'!V48</f>
        <v>Denpasar Barat</v>
      </c>
      <c r="O48" s="9" t="str">
        <f>'BIO DATA'!W48</f>
        <v>Kota Denpasar</v>
      </c>
      <c r="P48" s="9" t="str">
        <f>'BIO DATA'!X48</f>
        <v>Bali</v>
      </c>
      <c r="Q48" s="9" t="str">
        <f>'BIO DATA'!Y48</f>
        <v>SD Muhammadiyah 2 Denpasar</v>
      </c>
      <c r="R48" s="9" t="str">
        <f>'BIO DATA'!Z48</f>
        <v>Jl. HALMAHERA NO.24 DENPASAR</v>
      </c>
      <c r="S48" s="9">
        <f>'BIO DATA'!AA48</f>
        <v>0</v>
      </c>
      <c r="T48" s="9" t="str">
        <f>'BIO DATA'!AB48</f>
        <v>Hidayatu Taufiq</v>
      </c>
      <c r="U48" s="9" t="str">
        <f>'BIO DATA'!AC48</f>
        <v>Islam</v>
      </c>
      <c r="V48" s="9" t="str">
        <f>'BIO DATA'!AD48</f>
        <v>S1</v>
      </c>
      <c r="W48" s="9" t="str">
        <f>'BIO DATA'!AE48</f>
        <v>Wiraswasta</v>
      </c>
      <c r="X48" s="9" t="str">
        <f>'BIO DATA'!AF48</f>
        <v>5jt-10jt</v>
      </c>
      <c r="Y48" s="144" t="str">
        <f>'BIO DATA'!AG48</f>
        <v>081380310605</v>
      </c>
      <c r="Z48" s="9">
        <f>'BIO DATA'!AH48</f>
        <v>0</v>
      </c>
      <c r="AA48" s="9" t="str">
        <f>'BIO DATA'!AI48</f>
        <v>Iftitah Hanif Nur Iman</v>
      </c>
      <c r="AB48" s="9" t="str">
        <f>'BIO DATA'!AJ48</f>
        <v>Islam</v>
      </c>
      <c r="AC48" s="9" t="str">
        <f>'BIO DATA'!AK48</f>
        <v>S1</v>
      </c>
      <c r="AD48" s="9" t="str">
        <f>'BIO DATA'!AL48</f>
        <v>Guru</v>
      </c>
      <c r="AE48" s="9" t="str">
        <f>'BIO DATA'!AM48</f>
        <v>1jt-3jt</v>
      </c>
      <c r="AF48" s="49" t="str">
        <f>'BIO DATA'!AN48</f>
        <v>081353399606</v>
      </c>
      <c r="AG48" s="9">
        <f>'BIO DATA'!AO48</f>
        <v>0</v>
      </c>
      <c r="AH48" s="9">
        <f>'BIO DATA'!AY48</f>
        <v>0</v>
      </c>
      <c r="AI48" s="9">
        <f>'BIO DATA'!AZ48</f>
        <v>0</v>
      </c>
      <c r="AJ48" s="9">
        <f>'BIO DATA'!BA48</f>
        <v>0</v>
      </c>
      <c r="AK48" s="9">
        <f>'BIO DATA'!BB48</f>
        <v>0</v>
      </c>
      <c r="AL48" s="9">
        <f>'BIO DATA'!BC48</f>
        <v>0</v>
      </c>
      <c r="AM48" s="9">
        <f>'BIO DATA'!BD48</f>
        <v>0</v>
      </c>
      <c r="AN48" s="9">
        <f>'BIO DATA'!BE48</f>
        <v>0</v>
      </c>
      <c r="AO48" s="9">
        <f>'BIO DATA'!BF48</f>
        <v>0</v>
      </c>
      <c r="AP48" s="50" t="str">
        <f>'BIO DATA'!BG48</f>
        <v>Husnan Wadi, S.H.I., M.P.I.</v>
      </c>
    </row>
    <row r="49" spans="1:42" s="51" customFormat="1" ht="20.100000000000001" customHeight="1" thickBot="1">
      <c r="A49" s="20" t="s">
        <v>146</v>
      </c>
      <c r="B49">
        <v>204</v>
      </c>
      <c r="C49" s="283">
        <f>'BIO DATA'!C49</f>
        <v>12624</v>
      </c>
      <c r="D49" s="283" t="str">
        <f>'BIO DATA'!D49</f>
        <v>0149673486</v>
      </c>
      <c r="E49" s="284" t="str">
        <f>'BIO DATA'!E49</f>
        <v>Muhammad Azzam Al Fatih</v>
      </c>
      <c r="F49" s="46" t="str">
        <f>'BIO DATA'!L49</f>
        <v>Laki-laki</v>
      </c>
      <c r="G49" s="9" t="str">
        <f>'BIO DATA'!M49</f>
        <v>Palembang</v>
      </c>
      <c r="H49" s="48">
        <f>'BIO DATA'!O49</f>
        <v>41777</v>
      </c>
      <c r="I49" s="46" t="str">
        <f>'BIO DATA'!R49</f>
        <v>Islam</v>
      </c>
      <c r="J49" s="47">
        <f>'BIO DATA'!I49</f>
        <v>2</v>
      </c>
      <c r="K49" s="47">
        <f>'BIO DATA'!J49</f>
        <v>3</v>
      </c>
      <c r="L49" s="9" t="str">
        <f>'BIO DATA'!S49</f>
        <v>Jl.Mayor Zen lr.Abadi no 28a RT.03/RW.02  Sungaiselincah Kalidoni Kota Palembang Sumatera Selatan</v>
      </c>
      <c r="M49" s="9" t="str">
        <f>'BIO DATA'!U49</f>
        <v>Sungaiselincah</v>
      </c>
      <c r="N49" s="9" t="str">
        <f>'BIO DATA'!V49</f>
        <v>Kalidoni</v>
      </c>
      <c r="O49" s="9" t="str">
        <f>'BIO DATA'!W49</f>
        <v>Kota Palembang</v>
      </c>
      <c r="P49" s="9" t="str">
        <f>'BIO DATA'!X49</f>
        <v>Sumatera Selatan</v>
      </c>
      <c r="Q49" s="9" t="str">
        <f>'BIO DATA'!Y49</f>
        <v>SD PUSRI Palembang</v>
      </c>
      <c r="R49" s="9" t="str">
        <f>'BIO DATA'!Z49</f>
        <v>Jl mayor zen</v>
      </c>
      <c r="S49" s="9">
        <f>'BIO DATA'!AA49</f>
        <v>0</v>
      </c>
      <c r="T49" s="9" t="str">
        <f>'BIO DATA'!AB49</f>
        <v>Budi Yuliardi</v>
      </c>
      <c r="U49" s="9" t="str">
        <f>'BIO DATA'!AC49</f>
        <v>Islam</v>
      </c>
      <c r="V49" s="9" t="str">
        <f>'BIO DATA'!AD49</f>
        <v>S1</v>
      </c>
      <c r="W49" s="9" t="str">
        <f>'BIO DATA'!AE49</f>
        <v>Karyawan Swasta</v>
      </c>
      <c r="X49" s="9" t="str">
        <f>'BIO DATA'!AF49</f>
        <v>3jt-5jt</v>
      </c>
      <c r="Y49" s="144" t="str">
        <f>'BIO DATA'!AG49</f>
        <v>081271519478</v>
      </c>
      <c r="Z49" s="9">
        <f>'BIO DATA'!AH49</f>
        <v>0</v>
      </c>
      <c r="AA49" s="9" t="str">
        <f>'BIO DATA'!AI49</f>
        <v>Ninik Nurjanah</v>
      </c>
      <c r="AB49" s="9" t="str">
        <f>'BIO DATA'!AJ49</f>
        <v>Islam</v>
      </c>
      <c r="AC49" s="9" t="str">
        <f>'BIO DATA'!AK49</f>
        <v>Diploma</v>
      </c>
      <c r="AD49" s="9" t="str">
        <f>'BIO DATA'!AL49</f>
        <v>Karyawan BUMN</v>
      </c>
      <c r="AE49" s="9" t="str">
        <f>'BIO DATA'!AM49</f>
        <v>3jt-5jt</v>
      </c>
      <c r="AF49" s="49" t="str">
        <f>'BIO DATA'!AN49</f>
        <v>081374167197</v>
      </c>
      <c r="AG49" s="9">
        <f>'BIO DATA'!AO49</f>
        <v>0</v>
      </c>
      <c r="AH49" s="9">
        <f>'BIO DATA'!AY49</f>
        <v>0</v>
      </c>
      <c r="AI49" s="9">
        <f>'BIO DATA'!AZ49</f>
        <v>0</v>
      </c>
      <c r="AJ49" s="9">
        <f>'BIO DATA'!BA49</f>
        <v>0</v>
      </c>
      <c r="AK49" s="9">
        <f>'BIO DATA'!BB49</f>
        <v>0</v>
      </c>
      <c r="AL49" s="9">
        <f>'BIO DATA'!BC49</f>
        <v>0</v>
      </c>
      <c r="AM49" s="9">
        <f>'BIO DATA'!BD49</f>
        <v>0</v>
      </c>
      <c r="AN49" s="9">
        <f>'BIO DATA'!BE49</f>
        <v>0</v>
      </c>
      <c r="AO49" s="9">
        <f>'BIO DATA'!BF49</f>
        <v>0</v>
      </c>
      <c r="AP49" s="50" t="str">
        <f>'BIO DATA'!BG49</f>
        <v>Husnan Wadi, S.H.I., M.P.I.</v>
      </c>
    </row>
    <row r="50" spans="1:42" s="51" customFormat="1" ht="20.100000000000001" customHeight="1" thickBot="1">
      <c r="A50" s="20" t="s">
        <v>146</v>
      </c>
      <c r="B50">
        <v>214</v>
      </c>
      <c r="C50" s="283">
        <f>'BIO DATA'!C50</f>
        <v>12629</v>
      </c>
      <c r="D50" s="283" t="str">
        <f>'BIO DATA'!D50</f>
        <v>0138615660</v>
      </c>
      <c r="E50" s="284" t="str">
        <f>'BIO DATA'!E50</f>
        <v>Muhammad Elvin Ishahda</v>
      </c>
      <c r="F50" s="46" t="str">
        <f>'BIO DATA'!L50</f>
        <v>Laki-laki</v>
      </c>
      <c r="G50" s="9" t="str">
        <f>'BIO DATA'!M50</f>
        <v>Tenggarong</v>
      </c>
      <c r="H50" s="48">
        <f>'BIO DATA'!O50</f>
        <v>41399</v>
      </c>
      <c r="I50" s="46" t="str">
        <f>'BIO DATA'!R50</f>
        <v>Islam</v>
      </c>
      <c r="J50" s="47">
        <f>'BIO DATA'!I50</f>
        <v>1</v>
      </c>
      <c r="K50" s="47">
        <f>'BIO DATA'!J50</f>
        <v>1</v>
      </c>
      <c r="L50" s="9" t="str">
        <f>'BIO DATA'!S50</f>
        <v>Jl. Danau Aji No.24 RT.11 Kel. Melayu, Kec. Tenggarong, Kutai Kartanegara, Kalimantan Timur</v>
      </c>
      <c r="M50" s="9" t="str">
        <f>'BIO DATA'!U50</f>
        <v>Melayu</v>
      </c>
      <c r="N50" s="9" t="str">
        <f>'BIO DATA'!V50</f>
        <v>Tenggarong</v>
      </c>
      <c r="O50" s="9" t="str">
        <f>'BIO DATA'!W50</f>
        <v>Kutai Kartanegara</v>
      </c>
      <c r="P50" s="9" t="str">
        <f>'BIO DATA'!X50</f>
        <v>Kaliamntan Timur</v>
      </c>
      <c r="Q50" s="9" t="str">
        <f>'BIO DATA'!Y50</f>
        <v>SD Muhammadiyah 1 Tenggarong</v>
      </c>
      <c r="R50" s="9" t="str">
        <f>'BIO DATA'!Z50</f>
        <v>Jl. Danau Aji No.57 RT. 33 Kelurahan Melayu Kecamatan Tenggarong</v>
      </c>
      <c r="S50" s="9">
        <f>'BIO DATA'!AA50</f>
        <v>0</v>
      </c>
      <c r="T50" s="9" t="str">
        <f>'BIO DATA'!AB50</f>
        <v>Isnoviwan Tatar, A.Md.</v>
      </c>
      <c r="U50" s="9" t="str">
        <f>'BIO DATA'!AC50</f>
        <v>Islam</v>
      </c>
      <c r="V50" s="9" t="str">
        <f>'BIO DATA'!AD50</f>
        <v>DIPLOMA</v>
      </c>
      <c r="W50" s="9" t="str">
        <f>'BIO DATA'!AE50</f>
        <v>Karyawan Swasta</v>
      </c>
      <c r="X50" s="9" t="str">
        <f>'BIO DATA'!AF50</f>
        <v>5jt-10jt</v>
      </c>
      <c r="Y50" s="144" t="str">
        <f>'BIO DATA'!AG50</f>
        <v>081346657772</v>
      </c>
      <c r="Z50" s="9">
        <f>'BIO DATA'!AH50</f>
        <v>0</v>
      </c>
      <c r="AA50" s="9" t="str">
        <f>'BIO DATA'!AI50</f>
        <v>Ellya Tika Musdalifah, S.Pd.</v>
      </c>
      <c r="AB50" s="9" t="str">
        <f>'BIO DATA'!AJ50</f>
        <v>Islam</v>
      </c>
      <c r="AC50" s="9" t="str">
        <f>'BIO DATA'!AK50</f>
        <v>S1</v>
      </c>
      <c r="AD50" s="9" t="str">
        <f>'BIO DATA'!AL50</f>
        <v>Karyawan Swasta</v>
      </c>
      <c r="AE50" s="9" t="str">
        <f>'BIO DATA'!AM50</f>
        <v>3jt-5jt</v>
      </c>
      <c r="AF50" s="49" t="str">
        <f>'BIO DATA'!AN50</f>
        <v>085250001700</v>
      </c>
      <c r="AG50" s="9">
        <f>'BIO DATA'!AO50</f>
        <v>0</v>
      </c>
      <c r="AH50" s="9">
        <f>'BIO DATA'!AY50</f>
        <v>0</v>
      </c>
      <c r="AI50" s="9">
        <f>'BIO DATA'!AZ50</f>
        <v>0</v>
      </c>
      <c r="AJ50" s="9">
        <f>'BIO DATA'!BA50</f>
        <v>0</v>
      </c>
      <c r="AK50" s="9">
        <f>'BIO DATA'!BB50</f>
        <v>0</v>
      </c>
      <c r="AL50" s="9">
        <f>'BIO DATA'!BC50</f>
        <v>0</v>
      </c>
      <c r="AM50" s="9">
        <f>'BIO DATA'!BD50</f>
        <v>0</v>
      </c>
      <c r="AN50" s="9">
        <f>'BIO DATA'!BE50</f>
        <v>0</v>
      </c>
      <c r="AO50" s="9">
        <f>'BIO DATA'!BF50</f>
        <v>0</v>
      </c>
      <c r="AP50" s="50" t="str">
        <f>'BIO DATA'!BG50</f>
        <v>Husnan Wadi, S.H.I., M.P.I.</v>
      </c>
    </row>
    <row r="51" spans="1:42" s="51" customFormat="1" ht="20.100000000000001" customHeight="1" thickBot="1">
      <c r="A51" s="20" t="s">
        <v>146</v>
      </c>
      <c r="B51">
        <v>216</v>
      </c>
      <c r="C51" s="283">
        <f>'BIO DATA'!C51</f>
        <v>12633</v>
      </c>
      <c r="D51" s="283" t="str">
        <f>'BIO DATA'!D51</f>
        <v>0144272200</v>
      </c>
      <c r="E51" s="284" t="str">
        <f>'BIO DATA'!E51</f>
        <v>Muhammad Farrel Anhar</v>
      </c>
      <c r="F51" s="46" t="str">
        <f>'BIO DATA'!L51</f>
        <v>Laki-laki</v>
      </c>
      <c r="G51" s="9" t="str">
        <f>'BIO DATA'!M51</f>
        <v>Pekalongan</v>
      </c>
      <c r="H51" s="48">
        <f>'BIO DATA'!O51</f>
        <v>41812</v>
      </c>
      <c r="I51" s="46" t="str">
        <f>'BIO DATA'!R51</f>
        <v>Islam</v>
      </c>
      <c r="J51" s="47">
        <f>'BIO DATA'!I51</f>
        <v>3</v>
      </c>
      <c r="K51" s="47">
        <f>'BIO DATA'!J51</f>
        <v>3</v>
      </c>
      <c r="L51" s="9" t="str">
        <f>'BIO DATA'!S51</f>
        <v>Ds. Petukangan RT.3 RW.1 Wiradesa Pekalongan Jawa Tengah</v>
      </c>
      <c r="M51" s="9" t="str">
        <f>'BIO DATA'!U51</f>
        <v>Petukangan</v>
      </c>
      <c r="N51" s="9" t="str">
        <f>'BIO DATA'!V51</f>
        <v>Wiradesa</v>
      </c>
      <c r="O51" s="9" t="str">
        <f>'BIO DATA'!W51</f>
        <v>Pekalongan</v>
      </c>
      <c r="P51" s="9" t="str">
        <f>'BIO DATA'!X51</f>
        <v>Jawa Tengah</v>
      </c>
      <c r="Q51" s="9" t="str">
        <f>'BIO DATA'!Y51</f>
        <v>MIM Kauman Wiradesa Pekalongan</v>
      </c>
      <c r="R51" s="9" t="str">
        <f>'BIO DATA'!Z51</f>
        <v>Jl. Pendidikan II No.4 RT.9 RW.5 Kauman wiradesa pekalongan</v>
      </c>
      <c r="S51" s="9">
        <f>'BIO DATA'!AA51</f>
        <v>0</v>
      </c>
      <c r="T51" s="9" t="str">
        <f>'BIO DATA'!AB51</f>
        <v>M. Fatkhul Huda</v>
      </c>
      <c r="U51" s="9" t="str">
        <f>'BIO DATA'!AC51</f>
        <v>Islam</v>
      </c>
      <c r="V51" s="9" t="str">
        <f>'BIO DATA'!AD51</f>
        <v>SLTA</v>
      </c>
      <c r="W51" s="9" t="str">
        <f>'BIO DATA'!AE51</f>
        <v>Wiraswasta</v>
      </c>
      <c r="X51" s="9" t="str">
        <f>'BIO DATA'!AF51</f>
        <v>&gt;10jt</v>
      </c>
      <c r="Y51" s="144" t="str">
        <f>'BIO DATA'!AG51</f>
        <v>081225744693</v>
      </c>
      <c r="Z51" s="9">
        <f>'BIO DATA'!AH51</f>
        <v>0</v>
      </c>
      <c r="AA51" s="9" t="str">
        <f>'BIO DATA'!AI51</f>
        <v>Chumaeroh</v>
      </c>
      <c r="AB51" s="9" t="str">
        <f>'BIO DATA'!AJ51</f>
        <v>Islam</v>
      </c>
      <c r="AC51" s="9" t="str">
        <f>'BIO DATA'!AK51</f>
        <v>SLTA</v>
      </c>
      <c r="AD51" s="9" t="str">
        <f>'BIO DATA'!AL51</f>
        <v>Ibu Rumah Tangga</v>
      </c>
      <c r="AE51" s="9" t="str">
        <f>'BIO DATA'!AM51</f>
        <v>&gt;10jt</v>
      </c>
      <c r="AF51" s="49" t="str">
        <f>'BIO DATA'!AN51</f>
        <v>085848888981</v>
      </c>
      <c r="AG51" s="9">
        <f>'BIO DATA'!AO51</f>
        <v>0</v>
      </c>
      <c r="AH51" s="9">
        <f>'BIO DATA'!AY51</f>
        <v>0</v>
      </c>
      <c r="AI51" s="9">
        <f>'BIO DATA'!AZ51</f>
        <v>0</v>
      </c>
      <c r="AJ51" s="9">
        <f>'BIO DATA'!BA51</f>
        <v>0</v>
      </c>
      <c r="AK51" s="9">
        <f>'BIO DATA'!BB51</f>
        <v>0</v>
      </c>
      <c r="AL51" s="9">
        <f>'BIO DATA'!BC51</f>
        <v>0</v>
      </c>
      <c r="AM51" s="9">
        <f>'BIO DATA'!BD51</f>
        <v>0</v>
      </c>
      <c r="AN51" s="9">
        <f>'BIO DATA'!BE51</f>
        <v>0</v>
      </c>
      <c r="AO51" s="9">
        <f>'BIO DATA'!BF51</f>
        <v>0</v>
      </c>
      <c r="AP51" s="50" t="str">
        <f>'BIO DATA'!BG51</f>
        <v>Husnan Wadi, S.H.I., M.P.I.</v>
      </c>
    </row>
    <row r="52" spans="1:42" s="51" customFormat="1" ht="20.100000000000001" customHeight="1" thickBot="1">
      <c r="A52" s="20" t="s">
        <v>146</v>
      </c>
      <c r="B52">
        <v>224</v>
      </c>
      <c r="C52" s="283">
        <f>'BIO DATA'!C52</f>
        <v>12634</v>
      </c>
      <c r="D52" s="283" t="str">
        <f>'BIO DATA'!D52</f>
        <v>0139767742</v>
      </c>
      <c r="E52" s="284" t="str">
        <f>'BIO DATA'!E52</f>
        <v>Muhammad Fatih El Ezza</v>
      </c>
      <c r="F52" s="46" t="str">
        <f>'BIO DATA'!L52</f>
        <v>Laki-laki</v>
      </c>
      <c r="G52" s="9" t="str">
        <f>'BIO DATA'!M52</f>
        <v>Jakarta</v>
      </c>
      <c r="H52" s="48">
        <f>'BIO DATA'!O52</f>
        <v>41522</v>
      </c>
      <c r="I52" s="46" t="str">
        <f>'BIO DATA'!R52</f>
        <v>Islam</v>
      </c>
      <c r="J52" s="47">
        <f>'BIO DATA'!I52</f>
        <v>2</v>
      </c>
      <c r="K52" s="47">
        <f>'BIO DATA'!J52</f>
        <v>1</v>
      </c>
      <c r="L52" s="9" t="str">
        <f>'BIO DATA'!S52</f>
        <v>Bendungan Jago, No. 36 RT 005 RW 001, Kel Serdang, Kec Kemayoran, Jakarta Pusat DKI Jakarta 10650</v>
      </c>
      <c r="M52" s="9" t="str">
        <f>'BIO DATA'!U52</f>
        <v>Serdang</v>
      </c>
      <c r="N52" s="9" t="str">
        <f>'BIO DATA'!V52</f>
        <v>Kemayoran</v>
      </c>
      <c r="O52" s="9" t="str">
        <f>'BIO DATA'!W52</f>
        <v>Jakarta Pusat</v>
      </c>
      <c r="P52" s="9" t="str">
        <f>'BIO DATA'!X52</f>
        <v>DKI Jakarta</v>
      </c>
      <c r="Q52" s="9" t="str">
        <f>'BIO DATA'!Y52</f>
        <v>SDS Muhammadiyah 49 Jakarta</v>
      </c>
      <c r="R52" s="9" t="str">
        <f>'BIO DATA'!Z52</f>
        <v>Jalan H. Ung Dalam No.429 13, RT.13/RW.2, Utan Panjang, Kec. Kemayoran, Kota Jakarta Pusat, Daerah Khusus Ibukota Jakarta 10650</v>
      </c>
      <c r="S52" s="9">
        <f>'BIO DATA'!AA52</f>
        <v>0</v>
      </c>
      <c r="T52" s="9" t="str">
        <f>'BIO DATA'!AB52</f>
        <v>H. Akbar Kurniawan, Lc.</v>
      </c>
      <c r="U52" s="9" t="str">
        <f>'BIO DATA'!AC52</f>
        <v>Islam</v>
      </c>
      <c r="V52" s="9" t="str">
        <f>'BIO DATA'!AD52</f>
        <v>S1</v>
      </c>
      <c r="W52" s="9" t="str">
        <f>'BIO DATA'!AE52</f>
        <v>Karyawan Swasta</v>
      </c>
      <c r="X52" s="9" t="str">
        <f>'BIO DATA'!AF52</f>
        <v>5jt-10jt</v>
      </c>
      <c r="Y52" s="144" t="str">
        <f>'BIO DATA'!AG52</f>
        <v>087788104691</v>
      </c>
      <c r="Z52" s="9">
        <f>'BIO DATA'!AH52</f>
        <v>0</v>
      </c>
      <c r="AA52" s="9" t="str">
        <f>'BIO DATA'!AI52</f>
        <v>Fajar Khotimah</v>
      </c>
      <c r="AB52" s="9" t="str">
        <f>'BIO DATA'!AJ52</f>
        <v>Islam</v>
      </c>
      <c r="AC52" s="9" t="str">
        <f>'BIO DATA'!AK52</f>
        <v>S1</v>
      </c>
      <c r="AD52" s="9" t="str">
        <f>'BIO DATA'!AL52</f>
        <v>Guru/Dosen</v>
      </c>
      <c r="AE52" s="9" t="str">
        <f>'BIO DATA'!AM52</f>
        <v>5jt-10jt</v>
      </c>
      <c r="AF52" s="49" t="str">
        <f>'BIO DATA'!AN52</f>
        <v>087788842994</v>
      </c>
      <c r="AG52" s="9">
        <f>'BIO DATA'!AO52</f>
        <v>0</v>
      </c>
      <c r="AH52" s="9">
        <f>'BIO DATA'!AY52</f>
        <v>0</v>
      </c>
      <c r="AI52" s="9">
        <f>'BIO DATA'!AZ52</f>
        <v>0</v>
      </c>
      <c r="AJ52" s="9">
        <f>'BIO DATA'!BA52</f>
        <v>0</v>
      </c>
      <c r="AK52" s="9">
        <f>'BIO DATA'!BB52</f>
        <v>0</v>
      </c>
      <c r="AL52" s="9">
        <f>'BIO DATA'!BC52</f>
        <v>0</v>
      </c>
      <c r="AM52" s="9">
        <f>'BIO DATA'!BD52</f>
        <v>0</v>
      </c>
      <c r="AN52" s="9">
        <f>'BIO DATA'!BE52</f>
        <v>0</v>
      </c>
      <c r="AO52" s="9">
        <f>'BIO DATA'!BF52</f>
        <v>0</v>
      </c>
      <c r="AP52" s="50" t="str">
        <f>'BIO DATA'!BG52</f>
        <v>Husnan Wadi, S.H.I., M.P.I.</v>
      </c>
    </row>
    <row r="53" spans="1:42" s="51" customFormat="1" ht="20.100000000000001" customHeight="1" thickBot="1">
      <c r="A53" s="20" t="s">
        <v>146</v>
      </c>
      <c r="B53">
        <v>226</v>
      </c>
      <c r="C53" s="283">
        <f>'BIO DATA'!C53</f>
        <v>12635</v>
      </c>
      <c r="D53" s="283" t="str">
        <f>'BIO DATA'!D53</f>
        <v>0145570812</v>
      </c>
      <c r="E53" s="284" t="str">
        <f>'BIO DATA'!E53</f>
        <v>Muhammad Ghozi Al Faruqi</v>
      </c>
      <c r="F53" s="46" t="str">
        <f>'BIO DATA'!L53</f>
        <v>Laki-laki</v>
      </c>
      <c r="G53" s="9" t="str">
        <f>'BIO DATA'!M53</f>
        <v>Banjarnegara</v>
      </c>
      <c r="H53" s="48">
        <f>'BIO DATA'!O53</f>
        <v>41645</v>
      </c>
      <c r="I53" s="46" t="str">
        <f>'BIO DATA'!R53</f>
        <v>Islam</v>
      </c>
      <c r="J53" s="47">
        <f>'BIO DATA'!I53</f>
        <v>2</v>
      </c>
      <c r="K53" s="47">
        <f>'BIO DATA'!J53</f>
        <v>2</v>
      </c>
      <c r="L53" s="9" t="str">
        <f>'BIO DATA'!S53</f>
        <v>Wanayasa RT 1 RW 1 Wanayasa Banjarnegara Jawa Tengah</v>
      </c>
      <c r="M53" s="9" t="str">
        <f>'BIO DATA'!U53</f>
        <v>Wanayasa</v>
      </c>
      <c r="N53" s="9" t="str">
        <f>'BIO DATA'!V53</f>
        <v>Wanayasa</v>
      </c>
      <c r="O53" s="9" t="str">
        <f>'BIO DATA'!W53</f>
        <v>Banjarnegara</v>
      </c>
      <c r="P53" s="9" t="str">
        <f>'BIO DATA'!X53</f>
        <v>Jawa Tengah</v>
      </c>
      <c r="Q53" s="9" t="str">
        <f>'BIO DATA'!Y53</f>
        <v>MI Muhammadiyah</v>
      </c>
      <c r="R53" s="9" t="str">
        <f>'BIO DATA'!Z53</f>
        <v>MI MUHAMMADIYAH WANAYASA BANJARNEGARA JAWA TENGAH</v>
      </c>
      <c r="S53" s="9">
        <f>'BIO DATA'!AA53</f>
        <v>0</v>
      </c>
      <c r="T53" s="9" t="str">
        <f>'BIO DATA'!AB53</f>
        <v>Muhammad Irfan</v>
      </c>
      <c r="U53" s="9" t="str">
        <f>'BIO DATA'!AC53</f>
        <v>Islam</v>
      </c>
      <c r="V53" s="9" t="str">
        <f>'BIO DATA'!AD53</f>
        <v>SLTA</v>
      </c>
      <c r="W53" s="9" t="str">
        <f>'BIO DATA'!AE53</f>
        <v>Karyawan Swasta</v>
      </c>
      <c r="X53" s="9" t="str">
        <f>'BIO DATA'!AF53</f>
        <v>3jt-5jt</v>
      </c>
      <c r="Y53" s="144" t="str">
        <f>'BIO DATA'!AG53</f>
        <v>085227972611</v>
      </c>
      <c r="Z53" s="9">
        <f>'BIO DATA'!AH53</f>
        <v>0</v>
      </c>
      <c r="AA53" s="9" t="str">
        <f>'BIO DATA'!AI53</f>
        <v>Nurma Yunita</v>
      </c>
      <c r="AB53" s="9" t="str">
        <f>'BIO DATA'!AJ53</f>
        <v>Islam</v>
      </c>
      <c r="AC53" s="9" t="str">
        <f>'BIO DATA'!AK53</f>
        <v>SLTA</v>
      </c>
      <c r="AD53" s="9" t="str">
        <f>'BIO DATA'!AL53</f>
        <v>PNS</v>
      </c>
      <c r="AE53" s="9" t="str">
        <f>'BIO DATA'!AM53</f>
        <v>5jt-10jt</v>
      </c>
      <c r="AF53" s="49" t="str">
        <f>'BIO DATA'!AN53</f>
        <v>08112610461</v>
      </c>
      <c r="AG53" s="9">
        <f>'BIO DATA'!AO53</f>
        <v>0</v>
      </c>
      <c r="AH53" s="9">
        <f>'BIO DATA'!AY53</f>
        <v>0</v>
      </c>
      <c r="AI53" s="9">
        <f>'BIO DATA'!AZ53</f>
        <v>0</v>
      </c>
      <c r="AJ53" s="9">
        <f>'BIO DATA'!BA53</f>
        <v>0</v>
      </c>
      <c r="AK53" s="9">
        <f>'BIO DATA'!BB53</f>
        <v>0</v>
      </c>
      <c r="AL53" s="9">
        <f>'BIO DATA'!BC53</f>
        <v>0</v>
      </c>
      <c r="AM53" s="9">
        <f>'BIO DATA'!BD53</f>
        <v>0</v>
      </c>
      <c r="AN53" s="9">
        <f>'BIO DATA'!BE53</f>
        <v>0</v>
      </c>
      <c r="AO53" s="9">
        <f>'BIO DATA'!BF53</f>
        <v>0</v>
      </c>
      <c r="AP53" s="50" t="str">
        <f>'BIO DATA'!BG53</f>
        <v>Husnan Wadi, S.H.I., M.P.I.</v>
      </c>
    </row>
    <row r="54" spans="1:42" s="51" customFormat="1" ht="20.100000000000001" customHeight="1" thickBot="1">
      <c r="A54" s="20" t="s">
        <v>146</v>
      </c>
      <c r="B54">
        <v>232</v>
      </c>
      <c r="C54" s="283">
        <f>'BIO DATA'!C54</f>
        <v>12669</v>
      </c>
      <c r="D54" s="283" t="str">
        <f>'BIO DATA'!D54</f>
        <v>0132361160</v>
      </c>
      <c r="E54" s="284" t="str">
        <f>'BIO DATA'!E54</f>
        <v>Naufal Afkar</v>
      </c>
      <c r="F54" s="46" t="str">
        <f>'BIO DATA'!L54</f>
        <v>Laki-laki</v>
      </c>
      <c r="G54" s="9" t="str">
        <f>'BIO DATA'!M54</f>
        <v>Kendari</v>
      </c>
      <c r="H54" s="48">
        <f>'BIO DATA'!O54</f>
        <v>41593</v>
      </c>
      <c r="I54" s="46" t="str">
        <f>'BIO DATA'!R54</f>
        <v>Islam</v>
      </c>
      <c r="J54" s="47">
        <f>'BIO DATA'!I54</f>
        <v>1</v>
      </c>
      <c r="K54" s="47">
        <f>'BIO DATA'!J54</f>
        <v>2</v>
      </c>
      <c r="L54" s="9" t="str">
        <f>'BIO DATA'!S54</f>
        <v>BTN. Zarindah Kendari Blok E.3 RT 031 RW 010 Baruga Baruga Kota Kendari Sulawesi Tenggara 93116</v>
      </c>
      <c r="M54" s="9" t="str">
        <f>'BIO DATA'!U54</f>
        <v>Baruga</v>
      </c>
      <c r="N54" s="9" t="str">
        <f>'BIO DATA'!V54</f>
        <v>Baruga</v>
      </c>
      <c r="O54" s="9" t="str">
        <f>'BIO DATA'!W54</f>
        <v>Kota Kendari</v>
      </c>
      <c r="P54" s="9" t="str">
        <f>'BIO DATA'!X54</f>
        <v>Sulawesi Tenggara</v>
      </c>
      <c r="Q54" s="9" t="str">
        <f>'BIO DATA'!Y54</f>
        <v>SD Hidayatullah Kendari</v>
      </c>
      <c r="R54" s="9" t="str">
        <f>'BIO DATA'!Z54</f>
        <v>Jl. Jend. A.H. Nasution No. 8, Kecamatan Kambu, Kota Kendari</v>
      </c>
      <c r="S54" s="9">
        <f>'BIO DATA'!AA54</f>
        <v>0</v>
      </c>
      <c r="T54" s="9" t="str">
        <f>'BIO DATA'!AB54</f>
        <v>Abdul Hamid, S.Pd., MM</v>
      </c>
      <c r="U54" s="9" t="str">
        <f>'BIO DATA'!AC54</f>
        <v>Islam</v>
      </c>
      <c r="V54" s="9" t="str">
        <f>'BIO DATA'!AD54</f>
        <v>S2</v>
      </c>
      <c r="W54" s="9" t="str">
        <f>'BIO DATA'!AE54</f>
        <v>Wiraswasta</v>
      </c>
      <c r="X54" s="9" t="str">
        <f>'BIO DATA'!AF54</f>
        <v>5jt-10jt</v>
      </c>
      <c r="Y54" s="144" t="str">
        <f>'BIO DATA'!AG54</f>
        <v>085241564341</v>
      </c>
      <c r="Z54" s="9">
        <f>'BIO DATA'!AH54</f>
        <v>0</v>
      </c>
      <c r="AA54" s="9" t="str">
        <f>'BIO DATA'!AI54</f>
        <v>Mirnayasa Lanasu, S.Pd.</v>
      </c>
      <c r="AB54" s="9" t="str">
        <f>'BIO DATA'!AJ54</f>
        <v>Islam</v>
      </c>
      <c r="AC54" s="9" t="str">
        <f>'BIO DATA'!AK54</f>
        <v>S1</v>
      </c>
      <c r="AD54" s="9" t="str">
        <f>'BIO DATA'!AL54</f>
        <v>Wiraswasta</v>
      </c>
      <c r="AE54" s="9" t="str">
        <f>'BIO DATA'!AM54</f>
        <v>5jt-10jt</v>
      </c>
      <c r="AF54" s="49" t="str">
        <f>'BIO DATA'!AN54</f>
        <v>085241939488</v>
      </c>
      <c r="AG54" s="9">
        <f>'BIO DATA'!AO54</f>
        <v>0</v>
      </c>
      <c r="AH54" s="9">
        <f>'BIO DATA'!AY54</f>
        <v>0</v>
      </c>
      <c r="AI54" s="9">
        <f>'BIO DATA'!AZ54</f>
        <v>0</v>
      </c>
      <c r="AJ54" s="9">
        <f>'BIO DATA'!BA54</f>
        <v>0</v>
      </c>
      <c r="AK54" s="9">
        <f>'BIO DATA'!BB54</f>
        <v>0</v>
      </c>
      <c r="AL54" s="9">
        <f>'BIO DATA'!BC54</f>
        <v>0</v>
      </c>
      <c r="AM54" s="9">
        <f>'BIO DATA'!BD54</f>
        <v>0</v>
      </c>
      <c r="AN54" s="9">
        <f>'BIO DATA'!BE54</f>
        <v>0</v>
      </c>
      <c r="AO54" s="9">
        <f>'BIO DATA'!BF54</f>
        <v>0</v>
      </c>
      <c r="AP54" s="50" t="str">
        <f>'BIO DATA'!BG54</f>
        <v>Husnan Wadi, S.H.I., M.P.I.</v>
      </c>
    </row>
    <row r="55" spans="1:42" s="51" customFormat="1" ht="20.100000000000001" customHeight="1" thickBot="1">
      <c r="A55" s="20" t="s">
        <v>146</v>
      </c>
      <c r="B55">
        <v>235</v>
      </c>
      <c r="C55" s="283">
        <f>'BIO DATA'!C55</f>
        <v>12672</v>
      </c>
      <c r="D55" s="283">
        <f>'BIO DATA'!D55</f>
        <v>3130254387</v>
      </c>
      <c r="E55" s="284" t="str">
        <f>'BIO DATA'!E55</f>
        <v>Nirwaseta Putra Purnama</v>
      </c>
      <c r="F55" s="46" t="str">
        <f>'BIO DATA'!L55</f>
        <v>Laki-laki</v>
      </c>
      <c r="G55" s="9" t="str">
        <f>'BIO DATA'!M55</f>
        <v>Bantul</v>
      </c>
      <c r="H55" s="48">
        <f>'BIO DATA'!O55</f>
        <v>41559</v>
      </c>
      <c r="I55" s="46" t="str">
        <f>'BIO DATA'!R55</f>
        <v>Islam</v>
      </c>
      <c r="J55" s="47">
        <f>'BIO DATA'!I55</f>
        <v>2</v>
      </c>
      <c r="K55" s="47">
        <f>'BIO DATA'!J55</f>
        <v>1</v>
      </c>
      <c r="L55" s="9" t="str">
        <f>'BIO DATA'!S55</f>
        <v>Gejayan, RT 12, Girirejo, Imogiri, Bantul, DIY</v>
      </c>
      <c r="M55" s="9" t="str">
        <f>'BIO DATA'!U55</f>
        <v>Girirejo</v>
      </c>
      <c r="N55" s="9" t="str">
        <f>'BIO DATA'!V55</f>
        <v>Imogiri</v>
      </c>
      <c r="O55" s="9" t="str">
        <f>'BIO DATA'!W55</f>
        <v>Bantul</v>
      </c>
      <c r="P55" s="9" t="str">
        <f>'BIO DATA'!X55</f>
        <v>DIY</v>
      </c>
      <c r="Q55" s="9" t="str">
        <f>'BIO DATA'!Y55</f>
        <v>SDIT Arraihan</v>
      </c>
      <c r="R55" s="9" t="str">
        <f>'BIO DATA'!Z55</f>
        <v>Sumber Batikan, Bantul, DIY</v>
      </c>
      <c r="S55" s="9">
        <f>'BIO DATA'!AA55</f>
        <v>0</v>
      </c>
      <c r="T55" s="9" t="str">
        <f>'BIO DATA'!AB55</f>
        <v>Surya Purnama</v>
      </c>
      <c r="U55" s="9" t="str">
        <f>'BIO DATA'!AC55</f>
        <v>Islam</v>
      </c>
      <c r="V55" s="9" t="str">
        <f>'BIO DATA'!AD55</f>
        <v>S2</v>
      </c>
      <c r="W55" s="9" t="str">
        <f>'BIO DATA'!AE55</f>
        <v>Pegawai Swasta</v>
      </c>
      <c r="X55" s="9" t="str">
        <f>'BIO DATA'!AF55</f>
        <v>5jt-10jt</v>
      </c>
      <c r="Y55" s="144" t="str">
        <f>'BIO DATA'!AG55</f>
        <v>081256549002</v>
      </c>
      <c r="Z55" s="9">
        <f>'BIO DATA'!AH55</f>
        <v>0</v>
      </c>
      <c r="AA55" s="9" t="str">
        <f>'BIO DATA'!AI55</f>
        <v>Sri Hartini</v>
      </c>
      <c r="AB55" s="9" t="str">
        <f>'BIO DATA'!AJ55</f>
        <v>Islam</v>
      </c>
      <c r="AC55" s="9" t="str">
        <f>'BIO DATA'!AK55</f>
        <v>SMA/SMK/MA</v>
      </c>
      <c r="AD55" s="9" t="str">
        <f>'BIO DATA'!AL55</f>
        <v>Tidak Bekerja</v>
      </c>
      <c r="AE55" s="9" t="str">
        <f>'BIO DATA'!AM55</f>
        <v>&lt; 500rb</v>
      </c>
      <c r="AF55" s="49" t="str">
        <f>'BIO DATA'!AN55</f>
        <v>081327173611</v>
      </c>
      <c r="AG55" s="9">
        <f>'BIO DATA'!AO55</f>
        <v>0</v>
      </c>
      <c r="AH55" s="9">
        <f>'BIO DATA'!AY55</f>
        <v>0</v>
      </c>
      <c r="AI55" s="9">
        <f>'BIO DATA'!AZ55</f>
        <v>0</v>
      </c>
      <c r="AJ55" s="9">
        <f>'BIO DATA'!BA55</f>
        <v>0</v>
      </c>
      <c r="AK55" s="9">
        <f>'BIO DATA'!BB55</f>
        <v>0</v>
      </c>
      <c r="AL55" s="9">
        <f>'BIO DATA'!BC55</f>
        <v>0</v>
      </c>
      <c r="AM55" s="9">
        <f>'BIO DATA'!BD55</f>
        <v>0</v>
      </c>
      <c r="AN55" s="9">
        <f>'BIO DATA'!BE55</f>
        <v>0</v>
      </c>
      <c r="AO55" s="9">
        <f>'BIO DATA'!BF55</f>
        <v>0</v>
      </c>
      <c r="AP55" s="50" t="str">
        <f>'BIO DATA'!BG55</f>
        <v>Husnan Wadi, S.H.I., M.P.I.</v>
      </c>
    </row>
    <row r="56" spans="1:42" s="51" customFormat="1" ht="20.100000000000001" customHeight="1" thickBot="1">
      <c r="A56" s="20" t="s">
        <v>146</v>
      </c>
      <c r="B56">
        <v>241</v>
      </c>
      <c r="C56" s="283">
        <f>'BIO DATA'!C56</f>
        <v>12679</v>
      </c>
      <c r="D56" s="283" t="str">
        <f>'BIO DATA'!D56</f>
        <v>0132487752</v>
      </c>
      <c r="E56" s="284" t="str">
        <f>'BIO DATA'!E56</f>
        <v>Raditya Asyam Adz Dzaqi</v>
      </c>
      <c r="F56" s="46" t="str">
        <f>'BIO DATA'!L56</f>
        <v>Laki-laki</v>
      </c>
      <c r="G56" s="9" t="str">
        <f>'BIO DATA'!M56</f>
        <v>Jember</v>
      </c>
      <c r="H56" s="48">
        <f>'BIO DATA'!O56</f>
        <v>41572</v>
      </c>
      <c r="I56" s="46" t="str">
        <f>'BIO DATA'!R56</f>
        <v>Islam</v>
      </c>
      <c r="J56" s="47">
        <f>'BIO DATA'!I56</f>
        <v>1</v>
      </c>
      <c r="K56" s="47">
        <f>'BIO DATA'!J56</f>
        <v>1</v>
      </c>
      <c r="L56" s="9" t="str">
        <f>'BIO DATA'!S56</f>
        <v>Perum D'griya Satya B7, Jl. Hamid Rusdi RT 8/RW 2, Sumbersuko, Tajinan, Kabupaten Malang Jawa Timur</v>
      </c>
      <c r="M56" s="9" t="str">
        <f>'BIO DATA'!U56</f>
        <v>Sumbersuko</v>
      </c>
      <c r="N56" s="9" t="str">
        <f>'BIO DATA'!V56</f>
        <v>Tajinan</v>
      </c>
      <c r="O56" s="9" t="str">
        <f>'BIO DATA'!W56</f>
        <v>Kota Malang</v>
      </c>
      <c r="P56" s="9" t="str">
        <f>'BIO DATA'!X56</f>
        <v>Jawa Timur</v>
      </c>
      <c r="Q56" s="9" t="str">
        <f>'BIO DATA'!Y56</f>
        <v>SD Muhammadiyah 9 Panglima Sudirman Malang</v>
      </c>
      <c r="R56" s="9" t="str">
        <f>'BIO DATA'!Z56</f>
        <v>JL. R. TUMENGGUNG SURYO NO.5 MALANG</v>
      </c>
      <c r="S56" s="9">
        <f>'BIO DATA'!AA56</f>
        <v>0</v>
      </c>
      <c r="T56" s="9" t="str">
        <f>'BIO DATA'!AB56</f>
        <v>Moch. Wijianto</v>
      </c>
      <c r="U56" s="9" t="str">
        <f>'BIO DATA'!AC56</f>
        <v>Islam</v>
      </c>
      <c r="V56" s="9" t="str">
        <f>'BIO DATA'!AD56</f>
        <v>SMP/MTs</v>
      </c>
      <c r="W56" s="9" t="str">
        <f>'BIO DATA'!AE56</f>
        <v>Wiraswasta</v>
      </c>
      <c r="X56" s="9" t="str">
        <f>'BIO DATA'!AF56</f>
        <v>500-1jt</v>
      </c>
      <c r="Y56" s="144" t="str">
        <f>'BIO DATA'!AG56</f>
        <v>082302189982</v>
      </c>
      <c r="Z56" s="9">
        <f>'BIO DATA'!AH56</f>
        <v>0</v>
      </c>
      <c r="AA56" s="9" t="str">
        <f>'BIO DATA'!AI56</f>
        <v>Alif Nuril Azizah</v>
      </c>
      <c r="AB56" s="9" t="str">
        <f>'BIO DATA'!AJ56</f>
        <v>Islam</v>
      </c>
      <c r="AC56" s="9" t="str">
        <f>'BIO DATA'!AK56</f>
        <v>S1</v>
      </c>
      <c r="AD56" s="9" t="str">
        <f>'BIO DATA'!AL56</f>
        <v>PNS</v>
      </c>
      <c r="AE56" s="9" t="str">
        <f>'BIO DATA'!AM56</f>
        <v>3jt-5jt</v>
      </c>
      <c r="AF56" s="49" t="str">
        <f>'BIO DATA'!AN56</f>
        <v>085337286997</v>
      </c>
      <c r="AG56" s="9">
        <f>'BIO DATA'!AO56</f>
        <v>0</v>
      </c>
      <c r="AH56" s="9">
        <f>'BIO DATA'!AY56</f>
        <v>0</v>
      </c>
      <c r="AI56" s="9">
        <f>'BIO DATA'!AZ56</f>
        <v>0</v>
      </c>
      <c r="AJ56" s="9">
        <f>'BIO DATA'!BA56</f>
        <v>0</v>
      </c>
      <c r="AK56" s="9">
        <f>'BIO DATA'!BB56</f>
        <v>0</v>
      </c>
      <c r="AL56" s="9">
        <f>'BIO DATA'!BC56</f>
        <v>0</v>
      </c>
      <c r="AM56" s="9">
        <f>'BIO DATA'!BD56</f>
        <v>0</v>
      </c>
      <c r="AN56" s="9">
        <f>'BIO DATA'!BE56</f>
        <v>0</v>
      </c>
      <c r="AO56" s="9">
        <f>'BIO DATA'!BF56</f>
        <v>0</v>
      </c>
      <c r="AP56" s="50" t="str">
        <f>'BIO DATA'!BG56</f>
        <v>Husnan Wadi, S.H.I., M.P.I.</v>
      </c>
    </row>
    <row r="57" spans="1:42" s="51" customFormat="1" ht="20.100000000000001" customHeight="1" thickBot="1">
      <c r="A57" s="20" t="s">
        <v>146</v>
      </c>
      <c r="B57">
        <v>259</v>
      </c>
      <c r="C57" s="283">
        <f>'BIO DATA'!C57</f>
        <v>12686</v>
      </c>
      <c r="D57" s="283" t="str">
        <f>'BIO DATA'!D57</f>
        <v>0134002093</v>
      </c>
      <c r="E57" s="284" t="str">
        <f>'BIO DATA'!E57</f>
        <v>Rakha Naufal Alfarisi</v>
      </c>
      <c r="F57" s="46" t="str">
        <f>'BIO DATA'!L57</f>
        <v>Laki-laki</v>
      </c>
      <c r="G57" s="9" t="str">
        <f>'BIO DATA'!M57</f>
        <v>Jakarta</v>
      </c>
      <c r="H57" s="48">
        <f>'BIO DATA'!O57</f>
        <v>41553</v>
      </c>
      <c r="I57" s="46" t="str">
        <f>'BIO DATA'!R57</f>
        <v>Islam</v>
      </c>
      <c r="J57" s="47">
        <f>'BIO DATA'!I57</f>
        <v>1</v>
      </c>
      <c r="K57" s="47">
        <f>'BIO DATA'!J57</f>
        <v>0</v>
      </c>
      <c r="L57" s="9" t="str">
        <f>'BIO DATA'!S57</f>
        <v>Jl. Siroto Residence No.11 RT/RW 08/07 Pudak Payung, Banyumanik, Kota Semarang Jawa Tengah</v>
      </c>
      <c r="M57" s="9" t="str">
        <f>'BIO DATA'!U57</f>
        <v>Pudak payung</v>
      </c>
      <c r="N57" s="9" t="str">
        <f>'BIO DATA'!V57</f>
        <v>Banyumanik</v>
      </c>
      <c r="O57" s="9" t="str">
        <f>'BIO DATA'!W57</f>
        <v>Kota Semarang</v>
      </c>
      <c r="P57" s="9" t="str">
        <f>'BIO DATA'!X57</f>
        <v>Jawa Tengah</v>
      </c>
      <c r="Q57" s="9" t="str">
        <f>'BIO DATA'!Y57</f>
        <v>SD Islam Hidayatullah Semarang</v>
      </c>
      <c r="R57" s="9" t="str">
        <f>'BIO DATA'!Z57</f>
        <v>JL. Durian Selatan I No.6 Srondol Wetan, Kec. Banyumanik, Kota Semarang</v>
      </c>
      <c r="S57" s="9">
        <f>'BIO DATA'!AA57</f>
        <v>0</v>
      </c>
      <c r="T57" s="9" t="str">
        <f>'BIO DATA'!AB57</f>
        <v>Aang Anshorullah</v>
      </c>
      <c r="U57" s="9" t="str">
        <f>'BIO DATA'!AC57</f>
        <v>Islam</v>
      </c>
      <c r="V57" s="9" t="str">
        <f>'BIO DATA'!AD57</f>
        <v>S1</v>
      </c>
      <c r="W57" s="9" t="str">
        <f>'BIO DATA'!AE57</f>
        <v>Pegawai Swasta</v>
      </c>
      <c r="X57" s="9" t="str">
        <f>'BIO DATA'!AF57</f>
        <v>&gt;10jt</v>
      </c>
      <c r="Y57" s="144" t="str">
        <f>'BIO DATA'!AG57</f>
        <v>081327460480</v>
      </c>
      <c r="Z57" s="9">
        <f>'BIO DATA'!AH57</f>
        <v>0</v>
      </c>
      <c r="AA57" s="9" t="str">
        <f>'BIO DATA'!AI57</f>
        <v>Nur Eka Sukmawati</v>
      </c>
      <c r="AB57" s="9" t="str">
        <f>'BIO DATA'!AJ57</f>
        <v>Islam</v>
      </c>
      <c r="AC57" s="9" t="str">
        <f>'BIO DATA'!AK57</f>
        <v>S1</v>
      </c>
      <c r="AD57" s="9" t="str">
        <f>'BIO DATA'!AL57</f>
        <v>Tidak Bekerja</v>
      </c>
      <c r="AE57" s="9" t="str">
        <f>'BIO DATA'!AM57</f>
        <v>1jt-3jt</v>
      </c>
      <c r="AF57" s="49" t="str">
        <f>'BIO DATA'!AN57</f>
        <v>085694940700</v>
      </c>
      <c r="AG57" s="9">
        <f>'BIO DATA'!AO57</f>
        <v>0</v>
      </c>
      <c r="AH57" s="9">
        <f>'BIO DATA'!AY57</f>
        <v>0</v>
      </c>
      <c r="AI57" s="9">
        <f>'BIO DATA'!AZ57</f>
        <v>0</v>
      </c>
      <c r="AJ57" s="9">
        <f>'BIO DATA'!BA57</f>
        <v>0</v>
      </c>
      <c r="AK57" s="9">
        <f>'BIO DATA'!BB57</f>
        <v>0</v>
      </c>
      <c r="AL57" s="9">
        <f>'BIO DATA'!BC57</f>
        <v>0</v>
      </c>
      <c r="AM57" s="9">
        <f>'BIO DATA'!BD57</f>
        <v>0</v>
      </c>
      <c r="AN57" s="9">
        <f>'BIO DATA'!BE57</f>
        <v>0</v>
      </c>
      <c r="AO57" s="9">
        <f>'BIO DATA'!BF57</f>
        <v>0</v>
      </c>
      <c r="AP57" s="50" t="str">
        <f>'BIO DATA'!BG57</f>
        <v>Husnan Wadi, S.H.I., M.P.I.</v>
      </c>
    </row>
    <row r="58" spans="1:42" s="51" customFormat="1" ht="20.100000000000001" customHeight="1" thickBot="1">
      <c r="A58" s="20" t="s">
        <v>146</v>
      </c>
      <c r="B58">
        <v>270</v>
      </c>
      <c r="C58" s="283">
        <f>'BIO DATA'!C58</f>
        <v>12696</v>
      </c>
      <c r="D58" s="283" t="str">
        <f>'BIO DATA'!D58</f>
        <v>0138436582</v>
      </c>
      <c r="E58" s="284" t="str">
        <f>'BIO DATA'!E58</f>
        <v>Rifat Inet Firas</v>
      </c>
      <c r="F58" s="46" t="str">
        <f>'BIO DATA'!L58</f>
        <v>Laki-laki</v>
      </c>
      <c r="G58" s="9" t="str">
        <f>'BIO DATA'!M58</f>
        <v>Klaten</v>
      </c>
      <c r="H58" s="48">
        <f>'BIO DATA'!O58</f>
        <v>41560</v>
      </c>
      <c r="I58" s="46" t="str">
        <f>'BIO DATA'!R58</f>
        <v>Islam</v>
      </c>
      <c r="J58" s="47">
        <f>'BIO DATA'!I58</f>
        <v>1</v>
      </c>
      <c r="K58" s="47">
        <f>'BIO DATA'!J58</f>
        <v>3</v>
      </c>
      <c r="L58" s="9" t="str">
        <f>'BIO DATA'!S58</f>
        <v>Trunuh Jurugan 001/003 Klaten Selatan, Klaten Jawa Tengah</v>
      </c>
      <c r="M58" s="9" t="str">
        <f>'BIO DATA'!U58</f>
        <v>Jurugan</v>
      </c>
      <c r="N58" s="9" t="str">
        <f>'BIO DATA'!V58</f>
        <v>Klaten Selatan</v>
      </c>
      <c r="O58" s="9" t="str">
        <f>'BIO DATA'!W58</f>
        <v>Klaten</v>
      </c>
      <c r="P58" s="9" t="str">
        <f>'BIO DATA'!X58</f>
        <v>Jawa Tengah</v>
      </c>
      <c r="Q58" s="9" t="str">
        <f>'BIO DATA'!Y58</f>
        <v>SD Muhammadiyah Tonggalan Klaten</v>
      </c>
      <c r="R58" s="9" t="str">
        <f>'BIO DATA'!Z58</f>
        <v>jl. Tlapak doro no 19 Tonggalan</v>
      </c>
      <c r="S58" s="9">
        <f>'BIO DATA'!AA58</f>
        <v>0</v>
      </c>
      <c r="T58" s="9" t="str">
        <f>'BIO DATA'!AB58</f>
        <v>Sarip Nuruchman</v>
      </c>
      <c r="U58" s="9" t="str">
        <f>'BIO DATA'!AC58</f>
        <v>Islam</v>
      </c>
      <c r="V58" s="9" t="str">
        <f>'BIO DATA'!AD58</f>
        <v>S1</v>
      </c>
      <c r="W58" s="9" t="str">
        <f>'BIO DATA'!AE58</f>
        <v>Wiraswasta</v>
      </c>
      <c r="X58" s="9" t="str">
        <f>'BIO DATA'!AF58</f>
        <v>1jt-3jt</v>
      </c>
      <c r="Y58" s="144" t="str">
        <f>'BIO DATA'!AG58</f>
        <v>083846111111</v>
      </c>
      <c r="Z58" s="9">
        <f>'BIO DATA'!AH58</f>
        <v>0</v>
      </c>
      <c r="AA58" s="9" t="str">
        <f>'BIO DATA'!AI58</f>
        <v>Wiwin Susilawati</v>
      </c>
      <c r="AB58" s="9" t="str">
        <f>'BIO DATA'!AJ58</f>
        <v>Islam</v>
      </c>
      <c r="AC58" s="9" t="str">
        <f>'BIO DATA'!AK58</f>
        <v>SMA/SMK/MA</v>
      </c>
      <c r="AD58" s="9" t="str">
        <f>'BIO DATA'!AL58</f>
        <v>Tidak Bekerja</v>
      </c>
      <c r="AE58" s="9" t="str">
        <f>'BIO DATA'!AM58</f>
        <v>500-1jt</v>
      </c>
      <c r="AF58" s="49" t="str">
        <f>'BIO DATA'!AN58</f>
        <v>088210581111</v>
      </c>
      <c r="AG58" s="9">
        <f>'BIO DATA'!AO58</f>
        <v>0</v>
      </c>
      <c r="AH58" s="9">
        <f>'BIO DATA'!AY58</f>
        <v>0</v>
      </c>
      <c r="AI58" s="9">
        <f>'BIO DATA'!AZ58</f>
        <v>0</v>
      </c>
      <c r="AJ58" s="9">
        <f>'BIO DATA'!BA58</f>
        <v>0</v>
      </c>
      <c r="AK58" s="9">
        <f>'BIO DATA'!BB58</f>
        <v>0</v>
      </c>
      <c r="AL58" s="9">
        <f>'BIO DATA'!BC58</f>
        <v>0</v>
      </c>
      <c r="AM58" s="9">
        <f>'BIO DATA'!BD58</f>
        <v>0</v>
      </c>
      <c r="AN58" s="9">
        <f>'BIO DATA'!BE58</f>
        <v>0</v>
      </c>
      <c r="AO58" s="9">
        <f>'BIO DATA'!BF58</f>
        <v>0</v>
      </c>
      <c r="AP58" s="50" t="str">
        <f>'BIO DATA'!BG58</f>
        <v>Husnan Wadi, S.H.I., M.P.I.</v>
      </c>
    </row>
    <row r="59" spans="1:42" s="51" customFormat="1" ht="20.100000000000001" customHeight="1" thickBot="1">
      <c r="A59" s="20" t="s">
        <v>146</v>
      </c>
      <c r="B59">
        <v>283</v>
      </c>
      <c r="C59" s="283">
        <f>'BIO DATA'!C59</f>
        <v>12702</v>
      </c>
      <c r="D59" s="283" t="str">
        <f>'BIO DATA'!D59</f>
        <v>0133579034</v>
      </c>
      <c r="E59" s="284" t="str">
        <f>'BIO DATA'!E59</f>
        <v>Sayeed Muhammad 'Alauddin Fakhri</v>
      </c>
      <c r="F59" s="46" t="str">
        <f>'BIO DATA'!L59</f>
        <v>Laki-laki</v>
      </c>
      <c r="G59" s="9" t="str">
        <f>'BIO DATA'!M59</f>
        <v>Surabaya</v>
      </c>
      <c r="H59" s="48">
        <f>'BIO DATA'!O59</f>
        <v>41502</v>
      </c>
      <c r="I59" s="46" t="str">
        <f>'BIO DATA'!R59</f>
        <v>Islam</v>
      </c>
      <c r="J59" s="47">
        <f>'BIO DATA'!I59</f>
        <v>2</v>
      </c>
      <c r="K59" s="47">
        <f>'BIO DATA'!J59</f>
        <v>2</v>
      </c>
      <c r="L59" s="9" t="str">
        <f>'BIO DATA'!S59</f>
        <v>JL. Kaliudan No. 104 SBY RT 004 RW 002 Kalijudan Mulyorejo Kota Surabaya Jawa Timur 60114</v>
      </c>
      <c r="M59" s="9" t="str">
        <f>'BIO DATA'!U59</f>
        <v>Kalijudan</v>
      </c>
      <c r="N59" s="9" t="str">
        <f>'BIO DATA'!V59</f>
        <v>Mulyorejo</v>
      </c>
      <c r="O59" s="9" t="str">
        <f>'BIO DATA'!W59</f>
        <v>Kota Surabaya</v>
      </c>
      <c r="P59" s="9" t="str">
        <f>'BIO DATA'!X59</f>
        <v>Jawa Timur</v>
      </c>
      <c r="Q59" s="9" t="str">
        <f>'BIO DATA'!Y59</f>
        <v>SD Muhammadiyah 4 Surabaya</v>
      </c>
      <c r="R59" s="9" t="str">
        <f>'BIO DATA'!Z59</f>
        <v>JL. PUCANG ANOM NO. 93 SURABAYA</v>
      </c>
      <c r="S59" s="9">
        <f>'BIO DATA'!AA59</f>
        <v>0</v>
      </c>
      <c r="T59" s="9" t="str">
        <f>'BIO DATA'!AB59</f>
        <v>Rahmad Dzulkarnain, SHI</v>
      </c>
      <c r="U59" s="9" t="str">
        <f>'BIO DATA'!AC59</f>
        <v>Islam</v>
      </c>
      <c r="V59" s="9" t="str">
        <f>'BIO DATA'!AD59</f>
        <v>S2</v>
      </c>
      <c r="W59" s="9" t="str">
        <f>'BIO DATA'!AE59</f>
        <v>Guru/Dosen</v>
      </c>
      <c r="X59" s="9" t="str">
        <f>'BIO DATA'!AF59</f>
        <v>3jt-5jt</v>
      </c>
      <c r="Y59" s="144" t="str">
        <f>'BIO DATA'!AG59</f>
        <v>081553841766</v>
      </c>
      <c r="Z59" s="9">
        <f>'BIO DATA'!AH59</f>
        <v>0</v>
      </c>
      <c r="AA59" s="9" t="str">
        <f>'BIO DATA'!AI59</f>
        <v>Hikmatul Uyun</v>
      </c>
      <c r="AB59" s="9" t="str">
        <f>'BIO DATA'!AJ59</f>
        <v>Islam</v>
      </c>
      <c r="AC59" s="9" t="str">
        <f>'BIO DATA'!AK59</f>
        <v>S1</v>
      </c>
      <c r="AD59" s="9" t="str">
        <f>'BIO DATA'!AL59</f>
        <v>Pegawai Swasta</v>
      </c>
      <c r="AE59" s="9" t="str">
        <f>'BIO DATA'!AM59</f>
        <v>1jt-3jt</v>
      </c>
      <c r="AF59" s="49" t="str">
        <f>'BIO DATA'!AN59</f>
        <v>08563455039</v>
      </c>
      <c r="AG59" s="9">
        <f>'BIO DATA'!AO59</f>
        <v>0</v>
      </c>
      <c r="AH59" s="9">
        <f>'BIO DATA'!AY59</f>
        <v>0</v>
      </c>
      <c r="AI59" s="9">
        <f>'BIO DATA'!AZ59</f>
        <v>0</v>
      </c>
      <c r="AJ59" s="9">
        <f>'BIO DATA'!BA59</f>
        <v>0</v>
      </c>
      <c r="AK59" s="9">
        <f>'BIO DATA'!BB59</f>
        <v>0</v>
      </c>
      <c r="AL59" s="9">
        <f>'BIO DATA'!BC59</f>
        <v>0</v>
      </c>
      <c r="AM59" s="9">
        <f>'BIO DATA'!BD59</f>
        <v>0</v>
      </c>
      <c r="AN59" s="9">
        <f>'BIO DATA'!BE59</f>
        <v>0</v>
      </c>
      <c r="AO59" s="9">
        <f>'BIO DATA'!BF59</f>
        <v>0</v>
      </c>
      <c r="AP59" s="50" t="str">
        <f>'BIO DATA'!BG59</f>
        <v>Husnan Wadi, S.H.I., M.P.I.</v>
      </c>
    </row>
    <row r="60" spans="1:42" s="51" customFormat="1" ht="20.100000000000001" customHeight="1" thickBot="1">
      <c r="A60" s="20" t="s">
        <v>146</v>
      </c>
      <c r="B60">
        <v>290</v>
      </c>
      <c r="C60" s="283">
        <f>'BIO DATA'!C60</f>
        <v>12714</v>
      </c>
      <c r="D60" s="283">
        <f>'BIO DATA'!D60</f>
        <v>3134865480</v>
      </c>
      <c r="E60" s="284" t="str">
        <f>'BIO DATA'!E60</f>
        <v>Wildan Hawwari</v>
      </c>
      <c r="F60" s="46" t="str">
        <f>'BIO DATA'!L60</f>
        <v>Laki-laki</v>
      </c>
      <c r="G60" s="9" t="str">
        <f>'BIO DATA'!M60</f>
        <v>Kulon Progo</v>
      </c>
      <c r="H60" s="48">
        <f>'BIO DATA'!O60</f>
        <v>41331</v>
      </c>
      <c r="I60" s="46" t="str">
        <f>'BIO DATA'!R60</f>
        <v>Islam</v>
      </c>
      <c r="J60" s="47">
        <f>'BIO DATA'!I60</f>
        <v>2</v>
      </c>
      <c r="K60" s="47">
        <f>'BIO DATA'!J60</f>
        <v>1</v>
      </c>
      <c r="L60" s="9" t="str">
        <f>'BIO DATA'!S60</f>
        <v>Dondong Rt 48 Rw 21, Bendungan, Wates, Kulon Progo, DIY, 55651</v>
      </c>
      <c r="M60" s="9" t="str">
        <f>'BIO DATA'!U60</f>
        <v>Bendungan</v>
      </c>
      <c r="N60" s="9" t="str">
        <f>'BIO DATA'!V60</f>
        <v>Wates</v>
      </c>
      <c r="O60" s="9" t="str">
        <f>'BIO DATA'!W60</f>
        <v>Kulon Progo</v>
      </c>
      <c r="P60" s="9" t="str">
        <f>'BIO DATA'!X60</f>
        <v>DIY</v>
      </c>
      <c r="Q60" s="9" t="str">
        <f>'BIO DATA'!Y60</f>
        <v>MI Maarif Garongan</v>
      </c>
      <c r="R60" s="9" t="str">
        <f>'BIO DATA'!Z60</f>
        <v>Ngentak Kidul, Garongan, Panjatan, Kulon Progo, 55655</v>
      </c>
      <c r="S60" s="9">
        <f>'BIO DATA'!AA60</f>
        <v>0</v>
      </c>
      <c r="T60" s="9" t="str">
        <f>'BIO DATA'!AB60</f>
        <v>R. Agung Kisworo</v>
      </c>
      <c r="U60" s="9" t="str">
        <f>'BIO DATA'!AC60</f>
        <v>Islam</v>
      </c>
      <c r="V60" s="9" t="str">
        <f>'BIO DATA'!AD60</f>
        <v>DIPLOMA</v>
      </c>
      <c r="W60" s="9" t="str">
        <f>'BIO DATA'!AE60</f>
        <v>Wiraswasta</v>
      </c>
      <c r="X60" s="9" t="str">
        <f>'BIO DATA'!AF60</f>
        <v>5jt-10jt</v>
      </c>
      <c r="Y60" s="144" t="str">
        <f>'BIO DATA'!AG60</f>
        <v>081328302399</v>
      </c>
      <c r="Z60" s="9">
        <f>'BIO DATA'!AH60</f>
        <v>0</v>
      </c>
      <c r="AA60" s="9" t="str">
        <f>'BIO DATA'!AI60</f>
        <v>Pertiwi Endah Pamungkas</v>
      </c>
      <c r="AB60" s="9" t="str">
        <f>'BIO DATA'!AJ60</f>
        <v>Islam</v>
      </c>
      <c r="AC60" s="9" t="str">
        <f>'BIO DATA'!AK60</f>
        <v>S1</v>
      </c>
      <c r="AD60" s="9" t="str">
        <f>'BIO DATA'!AL60</f>
        <v>Guru/Dosen</v>
      </c>
      <c r="AE60" s="9" t="str">
        <f>'BIO DATA'!AM60</f>
        <v>3jt-5jt</v>
      </c>
      <c r="AF60" s="49" t="str">
        <f>'BIO DATA'!AN60</f>
        <v>081328700750</v>
      </c>
      <c r="AG60" s="9">
        <f>'BIO DATA'!AO60</f>
        <v>0</v>
      </c>
      <c r="AH60" s="9">
        <f>'BIO DATA'!AY60</f>
        <v>0</v>
      </c>
      <c r="AI60" s="9">
        <f>'BIO DATA'!AZ60</f>
        <v>0</v>
      </c>
      <c r="AJ60" s="9">
        <f>'BIO DATA'!BA60</f>
        <v>0</v>
      </c>
      <c r="AK60" s="9">
        <f>'BIO DATA'!BB60</f>
        <v>0</v>
      </c>
      <c r="AL60" s="9">
        <f>'BIO DATA'!BC60</f>
        <v>0</v>
      </c>
      <c r="AM60" s="9">
        <f>'BIO DATA'!BD60</f>
        <v>0</v>
      </c>
      <c r="AN60" s="9">
        <f>'BIO DATA'!BE60</f>
        <v>0</v>
      </c>
      <c r="AO60" s="9">
        <f>'BIO DATA'!BF60</f>
        <v>0</v>
      </c>
      <c r="AP60" s="50" t="str">
        <f>'BIO DATA'!BG60</f>
        <v>Husnan Wadi, S.H.I., M.P.I.</v>
      </c>
    </row>
    <row r="61" spans="1:42" s="51" customFormat="1" ht="20.100000000000001" customHeight="1" thickBot="1">
      <c r="A61" s="20" t="s">
        <v>146</v>
      </c>
      <c r="B61">
        <v>291</v>
      </c>
      <c r="C61" s="283">
        <f>'BIO DATA'!C61</f>
        <v>12719</v>
      </c>
      <c r="D61" s="283" t="str">
        <f>'BIO DATA'!D61</f>
        <v>0145272080</v>
      </c>
      <c r="E61" s="284" t="str">
        <f>'BIO DATA'!E61</f>
        <v>Zafran Ilham Sujati</v>
      </c>
      <c r="F61" s="46" t="str">
        <f>'BIO DATA'!L61</f>
        <v>Laki-laki</v>
      </c>
      <c r="G61" s="9" t="str">
        <f>'BIO DATA'!M61</f>
        <v>Kulon Progo</v>
      </c>
      <c r="H61" s="48">
        <f>'BIO DATA'!O61</f>
        <v>41689</v>
      </c>
      <c r="I61" s="46" t="str">
        <f>'BIO DATA'!R61</f>
        <v>Islam</v>
      </c>
      <c r="J61" s="47">
        <f>'BIO DATA'!I61</f>
        <v>1</v>
      </c>
      <c r="K61" s="47">
        <f>'BIO DATA'!J61</f>
        <v>0</v>
      </c>
      <c r="L61" s="9" t="str">
        <f>'BIO DATA'!S61</f>
        <v>Tambak Rt.13 Rw 06 Triharjo, Wates Kulon Progo, DIY 55651</v>
      </c>
      <c r="M61" s="9" t="str">
        <f>'BIO DATA'!U61</f>
        <v>Triharjo</v>
      </c>
      <c r="N61" s="9" t="str">
        <f>'BIO DATA'!V61</f>
        <v>Wates</v>
      </c>
      <c r="O61" s="9" t="str">
        <f>'BIO DATA'!W61</f>
        <v>Kulon Progo</v>
      </c>
      <c r="P61" s="9" t="str">
        <f>'BIO DATA'!X61</f>
        <v>DIY</v>
      </c>
      <c r="Q61" s="9" t="str">
        <f>'BIO DATA'!Y61</f>
        <v>SD Muhammadiyah Mutihan Wates</v>
      </c>
      <c r="R61" s="9" t="str">
        <f>'BIO DATA'!Z61</f>
        <v>Wonosidi Lor, Wates, Kulon Progo</v>
      </c>
      <c r="S61" s="9">
        <f>'BIO DATA'!AA61</f>
        <v>0</v>
      </c>
      <c r="T61" s="9" t="str">
        <f>'BIO DATA'!AB61</f>
        <v>Rachmat Sujati</v>
      </c>
      <c r="U61" s="9" t="str">
        <f>'BIO DATA'!AC61</f>
        <v>Islam</v>
      </c>
      <c r="V61" s="9" t="str">
        <f>'BIO DATA'!AD61</f>
        <v>S1</v>
      </c>
      <c r="W61" s="9" t="str">
        <f>'BIO DATA'!AE61</f>
        <v>Pegawai Swasta</v>
      </c>
      <c r="X61" s="9" t="str">
        <f>'BIO DATA'!AF61</f>
        <v>3jt-5jt</v>
      </c>
      <c r="Y61" s="144" t="str">
        <f>'BIO DATA'!AG61</f>
        <v>085726495266</v>
      </c>
      <c r="Z61" s="9">
        <f>'BIO DATA'!AH61</f>
        <v>0</v>
      </c>
      <c r="AA61" s="9" t="str">
        <f>'BIO DATA'!AI61</f>
        <v>Yulia Khoirunnisa</v>
      </c>
      <c r="AB61" s="9" t="str">
        <f>'BIO DATA'!AJ61</f>
        <v>Islam</v>
      </c>
      <c r="AC61" s="9" t="str">
        <f>'BIO DATA'!AK61</f>
        <v>S1</v>
      </c>
      <c r="AD61" s="9" t="str">
        <f>'BIO DATA'!AL61</f>
        <v>Lain-lain</v>
      </c>
      <c r="AE61" s="9" t="str">
        <f>'BIO DATA'!AM61</f>
        <v>5jt-10jt</v>
      </c>
      <c r="AF61" s="49" t="str">
        <f>'BIO DATA'!AN61</f>
        <v>085712253930</v>
      </c>
      <c r="AG61" s="9">
        <f>'BIO DATA'!AO61</f>
        <v>0</v>
      </c>
      <c r="AH61" s="9">
        <f>'BIO DATA'!AY61</f>
        <v>0</v>
      </c>
      <c r="AI61" s="9">
        <f>'BIO DATA'!AZ61</f>
        <v>0</v>
      </c>
      <c r="AJ61" s="9">
        <f>'BIO DATA'!BA61</f>
        <v>0</v>
      </c>
      <c r="AK61" s="9">
        <f>'BIO DATA'!BB61</f>
        <v>0</v>
      </c>
      <c r="AL61" s="9">
        <f>'BIO DATA'!BC61</f>
        <v>0</v>
      </c>
      <c r="AM61" s="9">
        <f>'BIO DATA'!BD61</f>
        <v>0</v>
      </c>
      <c r="AN61" s="9">
        <f>'BIO DATA'!BE61</f>
        <v>0</v>
      </c>
      <c r="AO61" s="9">
        <f>'BIO DATA'!BF61</f>
        <v>0</v>
      </c>
      <c r="AP61" s="50" t="str">
        <f>'BIO DATA'!BG61</f>
        <v>Husnan Wadi, S.H.I., M.P.I.</v>
      </c>
    </row>
    <row r="62" spans="1:42" s="51" customFormat="1" ht="20.100000000000001" customHeight="1" thickBot="1">
      <c r="A62" s="20" t="s">
        <v>146</v>
      </c>
      <c r="B62">
        <v>299</v>
      </c>
      <c r="C62" s="283">
        <f>'BIO DATA'!C62</f>
        <v>12721</v>
      </c>
      <c r="D62" s="283">
        <f>'BIO DATA'!D62</f>
        <v>3135215000</v>
      </c>
      <c r="E62" s="284" t="str">
        <f>'BIO DATA'!E62</f>
        <v>Zaky Fakhry Yanto</v>
      </c>
      <c r="F62" s="46" t="str">
        <f>'BIO DATA'!L62</f>
        <v>Laki-laki</v>
      </c>
      <c r="G62" s="9" t="str">
        <f>'BIO DATA'!M62</f>
        <v>Temanggung</v>
      </c>
      <c r="H62" s="48">
        <f>'BIO DATA'!O62</f>
        <v>41575</v>
      </c>
      <c r="I62" s="46" t="str">
        <f>'BIO DATA'!R62</f>
        <v>Islam</v>
      </c>
      <c r="J62" s="47">
        <f>'BIO DATA'!I62</f>
        <v>3</v>
      </c>
      <c r="K62" s="47">
        <f>'BIO DATA'!J62</f>
        <v>2</v>
      </c>
      <c r="L62" s="9" t="str">
        <f>'BIO DATA'!S62</f>
        <v>Gabugan RT. 004 RW. 010 Tegalsari Kedu Temanggung Jawa Tengah</v>
      </c>
      <c r="M62" s="9" t="str">
        <f>'BIO DATA'!U62</f>
        <v>Tegalsari</v>
      </c>
      <c r="N62" s="9" t="str">
        <f>'BIO DATA'!V62</f>
        <v>Kedu</v>
      </c>
      <c r="O62" s="9" t="str">
        <f>'BIO DATA'!W62</f>
        <v>Temanggung</v>
      </c>
      <c r="P62" s="9" t="str">
        <f>'BIO DATA'!X62</f>
        <v>Jawa Tengah</v>
      </c>
      <c r="Q62" s="9" t="str">
        <f>'BIO DATA'!Y62</f>
        <v>SD Muhammadiyah Parakan</v>
      </c>
      <c r="R62" s="9" t="str">
        <f>'BIO DATA'!Z62</f>
        <v>Jl. Raya Kedu Km.2 Campursari, Bulu, Temanggung</v>
      </c>
      <c r="S62" s="9">
        <f>'BIO DATA'!AA62</f>
        <v>0</v>
      </c>
      <c r="T62" s="9" t="str">
        <f>'BIO DATA'!AB62</f>
        <v>Yanto</v>
      </c>
      <c r="U62" s="9" t="str">
        <f>'BIO DATA'!AC62</f>
        <v>Islam</v>
      </c>
      <c r="V62" s="9" t="str">
        <f>'BIO DATA'!AD62</f>
        <v>S1</v>
      </c>
      <c r="W62" s="9" t="str">
        <f>'BIO DATA'!AE62</f>
        <v>Wiraswasta</v>
      </c>
      <c r="X62" s="9" t="str">
        <f>'BIO DATA'!AF62</f>
        <v>&lt; 500rb</v>
      </c>
      <c r="Y62" s="144" t="str">
        <f>'BIO DATA'!AG62</f>
        <v>081328864579</v>
      </c>
      <c r="Z62" s="9">
        <f>'BIO DATA'!AH62</f>
        <v>0</v>
      </c>
      <c r="AA62" s="9" t="str">
        <f>'BIO DATA'!AI62</f>
        <v>Giyatun</v>
      </c>
      <c r="AB62" s="9" t="str">
        <f>'BIO DATA'!AJ62</f>
        <v>Islam</v>
      </c>
      <c r="AC62" s="9" t="str">
        <f>'BIO DATA'!AK62</f>
        <v>DIPLOMA</v>
      </c>
      <c r="AD62" s="9" t="str">
        <f>'BIO DATA'!AL62</f>
        <v>PNS</v>
      </c>
      <c r="AE62" s="9" t="str">
        <f>'BIO DATA'!AM62</f>
        <v>3jt-5jt</v>
      </c>
      <c r="AF62" s="49" t="str">
        <f>'BIO DATA'!AN62</f>
        <v>081229919229</v>
      </c>
      <c r="AG62" s="9">
        <f>'BIO DATA'!AO62</f>
        <v>0</v>
      </c>
      <c r="AH62" s="9">
        <f>'BIO DATA'!AY62</f>
        <v>0</v>
      </c>
      <c r="AI62" s="9">
        <f>'BIO DATA'!AZ62</f>
        <v>0</v>
      </c>
      <c r="AJ62" s="9">
        <f>'BIO DATA'!BA62</f>
        <v>0</v>
      </c>
      <c r="AK62" s="9">
        <f>'BIO DATA'!BB62</f>
        <v>0</v>
      </c>
      <c r="AL62" s="9">
        <f>'BIO DATA'!BC62</f>
        <v>0</v>
      </c>
      <c r="AM62" s="9">
        <f>'BIO DATA'!BD62</f>
        <v>0</v>
      </c>
      <c r="AN62" s="9">
        <f>'BIO DATA'!BE62</f>
        <v>0</v>
      </c>
      <c r="AO62" s="9">
        <f>'BIO DATA'!BF62</f>
        <v>0</v>
      </c>
      <c r="AP62" s="50" t="str">
        <f>'BIO DATA'!BG62</f>
        <v>Husnan Wadi, S.H.I., M.P.I.</v>
      </c>
    </row>
    <row r="63" spans="1:42" s="51" customFormat="1" ht="20.100000000000001" customHeight="1" thickBot="1">
      <c r="A63" s="17" t="s">
        <v>145</v>
      </c>
      <c r="B63">
        <v>21</v>
      </c>
      <c r="C63" s="285">
        <f>'BIO DATA'!C63</f>
        <v>12460</v>
      </c>
      <c r="D63" s="285" t="str">
        <f>'BIO DATA'!D63</f>
        <v>0137554038</v>
      </c>
      <c r="E63" s="286" t="str">
        <f>'BIO DATA'!E63</f>
        <v>Abdullah Alfaqih</v>
      </c>
      <c r="F63" s="46" t="str">
        <f>'BIO DATA'!L63</f>
        <v>Laki-laki</v>
      </c>
      <c r="G63" s="9" t="str">
        <f>'BIO DATA'!M63</f>
        <v>Sleman</v>
      </c>
      <c r="H63" s="48">
        <f>'BIO DATA'!O63</f>
        <v>41511</v>
      </c>
      <c r="I63" s="46" t="str">
        <f>'BIO DATA'!R63</f>
        <v>Islam</v>
      </c>
      <c r="J63" s="47">
        <f>'BIO DATA'!I63</f>
        <v>2</v>
      </c>
      <c r="K63" s="47">
        <f>'BIO DATA'!J63</f>
        <v>2</v>
      </c>
      <c r="L63" s="9" t="str">
        <f>'BIO DATA'!S63</f>
        <v>Ngijon, RT. 01. /RW. 15, Sendangarun, Minggir, Sleman, DIY</v>
      </c>
      <c r="M63" s="9" t="str">
        <f>'BIO DATA'!U63</f>
        <v>Sendangarum</v>
      </c>
      <c r="N63" s="9" t="str">
        <f>'BIO DATA'!V63</f>
        <v>Minggir</v>
      </c>
      <c r="O63" s="9" t="str">
        <f>'BIO DATA'!W63</f>
        <v>Sleman</v>
      </c>
      <c r="P63" s="9" t="str">
        <f>'BIO DATA'!X63</f>
        <v>DIY</v>
      </c>
      <c r="Q63" s="9" t="str">
        <f>'BIO DATA'!Y63</f>
        <v>MI Bina Umat</v>
      </c>
      <c r="R63" s="9" t="str">
        <f>'BIO DATA'!Z63</f>
        <v>Jitar Dukuh, Sumberarum, Moyudan, Sleman, DIY</v>
      </c>
      <c r="S63" s="9">
        <f>'BIO DATA'!AA63</f>
        <v>0</v>
      </c>
      <c r="T63" s="9" t="str">
        <f>'BIO DATA'!AB63</f>
        <v>Barid Setiawan</v>
      </c>
      <c r="U63" s="9" t="str">
        <f>'BIO DATA'!AC63</f>
        <v>Islam</v>
      </c>
      <c r="V63" s="9" t="str">
        <f>'BIO DATA'!AD63</f>
        <v>S2</v>
      </c>
      <c r="W63" s="9" t="str">
        <f>'BIO DATA'!AE63</f>
        <v>PNS</v>
      </c>
      <c r="X63" s="9" t="str">
        <f>'BIO DATA'!AF63</f>
        <v>3jt-5jt</v>
      </c>
      <c r="Y63" s="144" t="str">
        <f>'BIO DATA'!AG63</f>
        <v>081578545789</v>
      </c>
      <c r="Z63" s="9">
        <f>'BIO DATA'!AH63</f>
        <v>0</v>
      </c>
      <c r="AA63" s="9" t="str">
        <f>'BIO DATA'!AI63</f>
        <v>Laila Saidah</v>
      </c>
      <c r="AB63" s="9" t="str">
        <f>'BIO DATA'!AJ63</f>
        <v>Islam</v>
      </c>
      <c r="AC63" s="9" t="str">
        <f>'BIO DATA'!AK63</f>
        <v>S1</v>
      </c>
      <c r="AD63" s="9" t="str">
        <f>'BIO DATA'!AL63</f>
        <v>PNS</v>
      </c>
      <c r="AE63" s="9" t="str">
        <f>'BIO DATA'!AM63</f>
        <v>1jt-3jt</v>
      </c>
      <c r="AF63" s="49" t="str">
        <f>'BIO DATA'!AN63</f>
        <v>085877674820</v>
      </c>
      <c r="AG63" s="9">
        <f>'BIO DATA'!AO63</f>
        <v>0</v>
      </c>
      <c r="AH63" s="9">
        <f>'BIO DATA'!AY63</f>
        <v>0</v>
      </c>
      <c r="AI63" s="9">
        <f>'BIO DATA'!AZ63</f>
        <v>0</v>
      </c>
      <c r="AJ63" s="9">
        <f>'BIO DATA'!BA63</f>
        <v>0</v>
      </c>
      <c r="AK63" s="9">
        <f>'BIO DATA'!BB63</f>
        <v>0</v>
      </c>
      <c r="AL63" s="9">
        <f>'BIO DATA'!BC63</f>
        <v>0</v>
      </c>
      <c r="AM63" s="9">
        <f>'BIO DATA'!BD63</f>
        <v>0</v>
      </c>
      <c r="AN63" s="9">
        <f>'BIO DATA'!BE63</f>
        <v>0</v>
      </c>
      <c r="AO63" s="9">
        <f>'BIO DATA'!BF63</f>
        <v>0</v>
      </c>
      <c r="AP63" s="50" t="str">
        <f>'BIO DATA'!BG63</f>
        <v>Fajar Nurahman, S.Pd.</v>
      </c>
    </row>
    <row r="64" spans="1:42" s="51" customFormat="1" ht="20.100000000000001" customHeight="1" thickBot="1">
      <c r="A64" s="17" t="s">
        <v>145</v>
      </c>
      <c r="B64">
        <v>28</v>
      </c>
      <c r="C64" s="285">
        <f>'BIO DATA'!C64</f>
        <v>12473</v>
      </c>
      <c r="D64" s="285" t="str">
        <f>'BIO DATA'!D64</f>
        <v>0133710880</v>
      </c>
      <c r="E64" s="286" t="str">
        <f>'BIO DATA'!E64</f>
        <v>Ahlam Zulfadli Firdaus</v>
      </c>
      <c r="F64" s="46" t="str">
        <f>'BIO DATA'!L64</f>
        <v>Laki-laki</v>
      </c>
      <c r="G64" s="9" t="str">
        <f>'BIO DATA'!M64</f>
        <v>Muaro Jambi</v>
      </c>
      <c r="H64" s="48">
        <f>'BIO DATA'!O64</f>
        <v>41621</v>
      </c>
      <c r="I64" s="46" t="str">
        <f>'BIO DATA'!R64</f>
        <v>Islam</v>
      </c>
      <c r="J64" s="47">
        <f>'BIO DATA'!I64</f>
        <v>2</v>
      </c>
      <c r="K64" s="47">
        <f>'BIO DATA'!J64</f>
        <v>2</v>
      </c>
      <c r="L64" s="9" t="str">
        <f>'BIO DATA'!S64</f>
        <v>Jalur 3 A RT 06, Desa Suka Makmur, Kecamatan Sungai Bahar, Kabupaten Muaro Jambi, JAMBI</v>
      </c>
      <c r="M64" s="9" t="str">
        <f>'BIO DATA'!U64</f>
        <v>Suka Makmur</v>
      </c>
      <c r="N64" s="9" t="str">
        <f>'BIO DATA'!V64</f>
        <v>Sungai Bahar</v>
      </c>
      <c r="O64" s="9" t="str">
        <f>'BIO DATA'!W64</f>
        <v>Muaro Jambi</v>
      </c>
      <c r="P64" s="9" t="str">
        <f>'BIO DATA'!X64</f>
        <v>Jambi</v>
      </c>
      <c r="Q64" s="9" t="str">
        <f>'BIO DATA'!Y64</f>
        <v>SD IT Al Irsyad Serambi Makkah</v>
      </c>
      <c r="R64" s="9" t="str">
        <f>'BIO DATA'!Z64</f>
        <v>Desa Bakti Mulya Kecamatan Sungai Bahar Kabupaten Muaro Jambi</v>
      </c>
      <c r="S64" s="9">
        <f>'BIO DATA'!AA64</f>
        <v>0</v>
      </c>
      <c r="T64" s="9" t="str">
        <f>'BIO DATA'!AB64</f>
        <v>Sumanto</v>
      </c>
      <c r="U64" s="9" t="str">
        <f>'BIO DATA'!AC64</f>
        <v>Islam</v>
      </c>
      <c r="V64" s="9" t="str">
        <f>'BIO DATA'!AD64</f>
        <v>SMP/MTs</v>
      </c>
      <c r="W64" s="9" t="str">
        <f>'BIO DATA'!AE64</f>
        <v>Wiraswasta</v>
      </c>
      <c r="X64" s="9" t="str">
        <f>'BIO DATA'!AF64</f>
        <v>&gt;10jt</v>
      </c>
      <c r="Y64" s="144" t="str">
        <f>'BIO DATA'!AG64</f>
        <v>082371572244</v>
      </c>
      <c r="Z64" s="9">
        <f>'BIO DATA'!AH64</f>
        <v>0</v>
      </c>
      <c r="AA64" s="9" t="str">
        <f>'BIO DATA'!AI64</f>
        <v>Husnul Haqoh</v>
      </c>
      <c r="AB64" s="9" t="str">
        <f>'BIO DATA'!AJ64</f>
        <v>Islam</v>
      </c>
      <c r="AC64" s="9" t="str">
        <f>'BIO DATA'!AK64</f>
        <v>S1</v>
      </c>
      <c r="AD64" s="9" t="str">
        <f>'BIO DATA'!AL64</f>
        <v>Guru/Dosen</v>
      </c>
      <c r="AE64" s="9" t="str">
        <f>'BIO DATA'!AM64</f>
        <v>500-1jt</v>
      </c>
      <c r="AF64" s="49" t="str">
        <f>'BIO DATA'!AN64</f>
        <v>081392254960</v>
      </c>
      <c r="AG64" s="9">
        <f>'BIO DATA'!AO64</f>
        <v>0</v>
      </c>
      <c r="AH64" s="9">
        <f>'BIO DATA'!AY64</f>
        <v>0</v>
      </c>
      <c r="AI64" s="9">
        <f>'BIO DATA'!AZ64</f>
        <v>0</v>
      </c>
      <c r="AJ64" s="9">
        <f>'BIO DATA'!BA64</f>
        <v>0</v>
      </c>
      <c r="AK64" s="9">
        <f>'BIO DATA'!BB64</f>
        <v>0</v>
      </c>
      <c r="AL64" s="9">
        <f>'BIO DATA'!BC64</f>
        <v>0</v>
      </c>
      <c r="AM64" s="9">
        <f>'BIO DATA'!BD64</f>
        <v>0</v>
      </c>
      <c r="AN64" s="9">
        <f>'BIO DATA'!BE64</f>
        <v>0</v>
      </c>
      <c r="AO64" s="9">
        <f>'BIO DATA'!BF64</f>
        <v>0</v>
      </c>
      <c r="AP64" s="50" t="str">
        <f>'BIO DATA'!BG64</f>
        <v>Fajar Nurahman, S.Pd.</v>
      </c>
    </row>
    <row r="65" spans="1:42" s="51" customFormat="1" ht="20.100000000000001" customHeight="1" thickBot="1">
      <c r="A65" s="17" t="s">
        <v>145</v>
      </c>
      <c r="B65">
        <v>41</v>
      </c>
      <c r="C65" s="285">
        <f>'BIO DATA'!C65</f>
        <v>12477</v>
      </c>
      <c r="D65" s="285" t="str">
        <f>'BIO DATA'!D65</f>
        <v>0133068278</v>
      </c>
      <c r="E65" s="286" t="str">
        <f>'BIO DATA'!E65</f>
        <v>Ahmad Mumtaz Dhiya El Haq</v>
      </c>
      <c r="F65" s="46" t="str">
        <f>'BIO DATA'!L65</f>
        <v>Laki-laki</v>
      </c>
      <c r="G65" s="9" t="str">
        <f>'BIO DATA'!M65</f>
        <v>Yogyakarta</v>
      </c>
      <c r="H65" s="48">
        <f>'BIO DATA'!O65</f>
        <v>41463</v>
      </c>
      <c r="I65" s="46" t="str">
        <f>'BIO DATA'!R65</f>
        <v>Islam</v>
      </c>
      <c r="J65" s="47">
        <f>'BIO DATA'!I65</f>
        <v>2</v>
      </c>
      <c r="K65" s="47">
        <f>'BIO DATA'!J65</f>
        <v>1</v>
      </c>
      <c r="L65" s="9" t="str">
        <f>'BIO DATA'!S65</f>
        <v>Perum SBI, Blok M/228, RT 10, Ngestiharjo, Kasihan, Bantul, DIY</v>
      </c>
      <c r="M65" s="9" t="str">
        <f>'BIO DATA'!U65</f>
        <v>Ngestiharjo</v>
      </c>
      <c r="N65" s="9" t="str">
        <f>'BIO DATA'!V65</f>
        <v>Kasihan</v>
      </c>
      <c r="O65" s="9" t="str">
        <f>'BIO DATA'!W65</f>
        <v>Bantul</v>
      </c>
      <c r="P65" s="9" t="str">
        <f>'BIO DATA'!X65</f>
        <v>DIY</v>
      </c>
      <c r="Q65" s="9" t="str">
        <f>'BIO DATA'!Y65</f>
        <v>SDIT Luqman Al Hakim 2 Yogyakarta</v>
      </c>
      <c r="R65" s="9">
        <f>'BIO DATA'!Z65</f>
        <v>0</v>
      </c>
      <c r="S65" s="9">
        <f>'BIO DATA'!AA65</f>
        <v>0</v>
      </c>
      <c r="T65" s="9" t="str">
        <f>'BIO DATA'!AB65</f>
        <v>Bachtiar Dwi Kurniawan</v>
      </c>
      <c r="U65" s="9" t="str">
        <f>'BIO DATA'!AC65</f>
        <v>Islam</v>
      </c>
      <c r="V65" s="9" t="str">
        <f>'BIO DATA'!AD65</f>
        <v>S2</v>
      </c>
      <c r="W65" s="9" t="str">
        <f>'BIO DATA'!AE65</f>
        <v>Dosen</v>
      </c>
      <c r="X65" s="9">
        <f>'BIO DATA'!AF65</f>
        <v>0</v>
      </c>
      <c r="Y65" s="144" t="str">
        <f>'BIO DATA'!AG65</f>
        <v>08157940860</v>
      </c>
      <c r="Z65" s="9">
        <f>'BIO DATA'!AH65</f>
        <v>0</v>
      </c>
      <c r="AA65" s="9" t="str">
        <f>'BIO DATA'!AI65</f>
        <v>Mamik Fatayatur Rohmah</v>
      </c>
      <c r="AB65" s="9" t="str">
        <f>'BIO DATA'!AJ65</f>
        <v>Islam</v>
      </c>
      <c r="AC65" s="9" t="str">
        <f>'BIO DATA'!AK65</f>
        <v>S1</v>
      </c>
      <c r="AD65" s="9" t="str">
        <f>'BIO DATA'!AL65</f>
        <v>Guru</v>
      </c>
      <c r="AE65" s="9">
        <f>'BIO DATA'!AM65</f>
        <v>0</v>
      </c>
      <c r="AF65" s="49" t="str">
        <f>'BIO DATA'!AN65</f>
        <v>085642306368</v>
      </c>
      <c r="AG65" s="9">
        <f>'BIO DATA'!AO65</f>
        <v>0</v>
      </c>
      <c r="AH65" s="9">
        <f>'BIO DATA'!AY65</f>
        <v>0</v>
      </c>
      <c r="AI65" s="9">
        <f>'BIO DATA'!AZ65</f>
        <v>0</v>
      </c>
      <c r="AJ65" s="9">
        <f>'BIO DATA'!BA65</f>
        <v>0</v>
      </c>
      <c r="AK65" s="9">
        <f>'BIO DATA'!BB65</f>
        <v>0</v>
      </c>
      <c r="AL65" s="9">
        <f>'BIO DATA'!BC65</f>
        <v>0</v>
      </c>
      <c r="AM65" s="9">
        <f>'BIO DATA'!BD65</f>
        <v>0</v>
      </c>
      <c r="AN65" s="9">
        <f>'BIO DATA'!BE65</f>
        <v>0</v>
      </c>
      <c r="AO65" s="9">
        <f>'BIO DATA'!BF65</f>
        <v>0</v>
      </c>
      <c r="AP65" s="50" t="str">
        <f>'BIO DATA'!BG65</f>
        <v>Fajar Nurahman, S.Pd.</v>
      </c>
    </row>
    <row r="66" spans="1:42" s="51" customFormat="1" ht="20.100000000000001" customHeight="1" thickBot="1">
      <c r="A66" s="17" t="s">
        <v>145</v>
      </c>
      <c r="B66">
        <v>44</v>
      </c>
      <c r="C66" s="285">
        <f>'BIO DATA'!C66</f>
        <v>12478</v>
      </c>
      <c r="D66" s="285" t="str">
        <f>'BIO DATA'!D66</f>
        <v>0141719637</v>
      </c>
      <c r="E66" s="286" t="str">
        <f>'BIO DATA'!E66</f>
        <v>Ahmad Zufar Syamaidzar</v>
      </c>
      <c r="F66" s="46" t="str">
        <f>'BIO DATA'!L66</f>
        <v>Laki-laki</v>
      </c>
      <c r="G66" s="9" t="str">
        <f>'BIO DATA'!M66</f>
        <v>Sleman</v>
      </c>
      <c r="H66" s="48">
        <f>'BIO DATA'!O66</f>
        <v>41796</v>
      </c>
      <c r="I66" s="46" t="str">
        <f>'BIO DATA'!R66</f>
        <v>Islam</v>
      </c>
      <c r="J66" s="47">
        <f>'BIO DATA'!I66</f>
        <v>2</v>
      </c>
      <c r="K66" s="47">
        <f>'BIO DATA'!J66</f>
        <v>1</v>
      </c>
      <c r="L66" s="9" t="str">
        <f>'BIO DATA'!S66</f>
        <v>Kemutug Rt01, Tamanan, Banguntapan,Bantul DIY</v>
      </c>
      <c r="M66" s="9" t="str">
        <f>'BIO DATA'!U66</f>
        <v>Tamanan</v>
      </c>
      <c r="N66" s="9" t="str">
        <f>'BIO DATA'!V66</f>
        <v>Banguntapan</v>
      </c>
      <c r="O66" s="9" t="str">
        <f>'BIO DATA'!W66</f>
        <v>Bantul</v>
      </c>
      <c r="P66" s="9" t="str">
        <f>'BIO DATA'!X66</f>
        <v>DIY</v>
      </c>
      <c r="Q66" s="9" t="str">
        <f>'BIO DATA'!Y66</f>
        <v>SD Muhammadiyah Nitikan Yk</v>
      </c>
      <c r="R66" s="9" t="str">
        <f>'BIO DATA'!Z66</f>
        <v>Kranon, Nitikan, Umbulharjo, Yogyakarta</v>
      </c>
      <c r="S66" s="9">
        <f>'BIO DATA'!AA66</f>
        <v>0</v>
      </c>
      <c r="T66" s="9" t="str">
        <f>'BIO DATA'!AB66</f>
        <v>Eko Heri Setiyanto</v>
      </c>
      <c r="U66" s="9" t="str">
        <f>'BIO DATA'!AC66</f>
        <v>Islam</v>
      </c>
      <c r="V66" s="9" t="str">
        <f>'BIO DATA'!AD66</f>
        <v>SMA/SMK/MA</v>
      </c>
      <c r="W66" s="9" t="str">
        <f>'BIO DATA'!AE66</f>
        <v>PNS</v>
      </c>
      <c r="X66" s="9" t="str">
        <f>'BIO DATA'!AF66</f>
        <v>3jt-5jt</v>
      </c>
      <c r="Y66" s="144" t="str">
        <f>'BIO DATA'!AG66</f>
        <v>085228077752</v>
      </c>
      <c r="Z66" s="9">
        <f>'BIO DATA'!AH66</f>
        <v>0</v>
      </c>
      <c r="AA66" s="9" t="str">
        <f>'BIO DATA'!AI66</f>
        <v>Kusmiyati</v>
      </c>
      <c r="AB66" s="9" t="str">
        <f>'BIO DATA'!AJ66</f>
        <v>Islam</v>
      </c>
      <c r="AC66" s="9" t="str">
        <f>'BIO DATA'!AK66</f>
        <v>SMA/SMK/MA</v>
      </c>
      <c r="AD66" s="9" t="str">
        <f>'BIO DATA'!AL66</f>
        <v>Tidak Bekerja</v>
      </c>
      <c r="AE66" s="9" t="str">
        <f>'BIO DATA'!AM66</f>
        <v>&lt; 500rb</v>
      </c>
      <c r="AF66" s="49" t="str">
        <f>'BIO DATA'!AN66</f>
        <v>085228807012</v>
      </c>
      <c r="AG66" s="9">
        <f>'BIO DATA'!AO66</f>
        <v>0</v>
      </c>
      <c r="AH66" s="9">
        <f>'BIO DATA'!AY66</f>
        <v>0</v>
      </c>
      <c r="AI66" s="9">
        <f>'BIO DATA'!AZ66</f>
        <v>0</v>
      </c>
      <c r="AJ66" s="9">
        <f>'BIO DATA'!BA66</f>
        <v>0</v>
      </c>
      <c r="AK66" s="9">
        <f>'BIO DATA'!BB66</f>
        <v>0</v>
      </c>
      <c r="AL66" s="9">
        <f>'BIO DATA'!BC66</f>
        <v>0</v>
      </c>
      <c r="AM66" s="9">
        <f>'BIO DATA'!BD66</f>
        <v>0</v>
      </c>
      <c r="AN66" s="9">
        <f>'BIO DATA'!BE66</f>
        <v>0</v>
      </c>
      <c r="AO66" s="9">
        <f>'BIO DATA'!BF66</f>
        <v>0</v>
      </c>
      <c r="AP66" s="50" t="str">
        <f>'BIO DATA'!BG66</f>
        <v>Fajar Nurahman, S.Pd.</v>
      </c>
    </row>
    <row r="67" spans="1:42" s="51" customFormat="1" ht="20.100000000000001" customHeight="1" thickBot="1">
      <c r="A67" s="17" t="s">
        <v>145</v>
      </c>
      <c r="B67">
        <v>48</v>
      </c>
      <c r="C67" s="285">
        <f>'BIO DATA'!C67</f>
        <v>12479</v>
      </c>
      <c r="D67" s="285">
        <f>'BIO DATA'!D67</f>
        <v>3140264060</v>
      </c>
      <c r="E67" s="286" t="str">
        <f>'BIO DATA'!E67</f>
        <v>Ahsan Abdullah Nasution</v>
      </c>
      <c r="F67" s="46" t="str">
        <f>'BIO DATA'!L67</f>
        <v>Laki-laki</v>
      </c>
      <c r="G67" s="9" t="str">
        <f>'BIO DATA'!M67</f>
        <v>Sleman</v>
      </c>
      <c r="H67" s="48">
        <f>'BIO DATA'!O67</f>
        <v>41694</v>
      </c>
      <c r="I67" s="46" t="str">
        <f>'BIO DATA'!R67</f>
        <v>Islam</v>
      </c>
      <c r="J67" s="47">
        <f>'BIO DATA'!I67</f>
        <v>2</v>
      </c>
      <c r="K67" s="47">
        <f>'BIO DATA'!J67</f>
        <v>2</v>
      </c>
      <c r="L67" s="9" t="str">
        <f>'BIO DATA'!S67</f>
        <v>Perum Griya Taman Asri Blok B 704 Jl Griya Taman Asri Pandowohardjo Sleman DIY</v>
      </c>
      <c r="M67" s="9" t="str">
        <f>'BIO DATA'!U67</f>
        <v>Pandowoharjo</v>
      </c>
      <c r="N67" s="9" t="str">
        <f>'BIO DATA'!V67</f>
        <v>Sleman</v>
      </c>
      <c r="O67" s="9" t="str">
        <f>'BIO DATA'!W67</f>
        <v>Sleman</v>
      </c>
      <c r="P67" s="9" t="str">
        <f>'BIO DATA'!X67</f>
        <v>DIY</v>
      </c>
      <c r="Q67" s="9" t="str">
        <f>'BIO DATA'!Y67</f>
        <v>SDIT Luqman Al Hakim Sleman</v>
      </c>
      <c r="R67" s="9" t="str">
        <f>'BIO DATA'!Z67</f>
        <v>Jl. Palagan Tentara Pelajar No.52, Sedan, Sariharjo, Kec. Ngaglik, Kabupaten Sleman, Daerah Istimewa Yogyakarta 55165</v>
      </c>
      <c r="S67" s="9">
        <f>'BIO DATA'!AA67</f>
        <v>0</v>
      </c>
      <c r="T67" s="9" t="str">
        <f>'BIO DATA'!AB67</f>
        <v>Alfin Dimas Nasution</v>
      </c>
      <c r="U67" s="9" t="str">
        <f>'BIO DATA'!AC67</f>
        <v>Islam</v>
      </c>
      <c r="V67" s="9" t="str">
        <f>'BIO DATA'!AD67</f>
        <v>DIPLOMA</v>
      </c>
      <c r="W67" s="9" t="str">
        <f>'BIO DATA'!AE67</f>
        <v>Wiraswasta</v>
      </c>
      <c r="X67" s="9" t="str">
        <f>'BIO DATA'!AF67</f>
        <v>&gt;10jt</v>
      </c>
      <c r="Y67" s="144" t="str">
        <f>'BIO DATA'!AG67</f>
        <v>081215895307</v>
      </c>
      <c r="Z67" s="9">
        <f>'BIO DATA'!AH67</f>
        <v>0</v>
      </c>
      <c r="AA67" s="9" t="str">
        <f>'BIO DATA'!AI67</f>
        <v>Ratih Andini</v>
      </c>
      <c r="AB67" s="9" t="str">
        <f>'BIO DATA'!AJ67</f>
        <v>Islam</v>
      </c>
      <c r="AC67" s="9" t="str">
        <f>'BIO DATA'!AK67</f>
        <v>S2</v>
      </c>
      <c r="AD67" s="9" t="str">
        <f>'BIO DATA'!AL67</f>
        <v>Dokter/Bidan/Perawat</v>
      </c>
      <c r="AE67" s="9" t="str">
        <f>'BIO DATA'!AM67</f>
        <v>&gt;10jt</v>
      </c>
      <c r="AF67" s="49" t="str">
        <f>'BIO DATA'!AN67</f>
        <v>081388588507</v>
      </c>
      <c r="AG67" s="9">
        <f>'BIO DATA'!AO67</f>
        <v>0</v>
      </c>
      <c r="AH67" s="9">
        <f>'BIO DATA'!AY67</f>
        <v>0</v>
      </c>
      <c r="AI67" s="9">
        <f>'BIO DATA'!AZ67</f>
        <v>0</v>
      </c>
      <c r="AJ67" s="9">
        <f>'BIO DATA'!BA67</f>
        <v>0</v>
      </c>
      <c r="AK67" s="9">
        <f>'BIO DATA'!BB67</f>
        <v>0</v>
      </c>
      <c r="AL67" s="9">
        <f>'BIO DATA'!BC67</f>
        <v>0</v>
      </c>
      <c r="AM67" s="9">
        <f>'BIO DATA'!BD67</f>
        <v>0</v>
      </c>
      <c r="AN67" s="9">
        <f>'BIO DATA'!BE67</f>
        <v>0</v>
      </c>
      <c r="AO67" s="9">
        <f>'BIO DATA'!BF67</f>
        <v>0</v>
      </c>
      <c r="AP67" s="50" t="str">
        <f>'BIO DATA'!BG67</f>
        <v>Fajar Nurahman, S.Pd.</v>
      </c>
    </row>
    <row r="68" spans="1:42" s="51" customFormat="1" ht="20.100000000000001" customHeight="1" thickBot="1">
      <c r="A68" s="17" t="s">
        <v>145</v>
      </c>
      <c r="B68">
        <v>71</v>
      </c>
      <c r="C68" s="285">
        <f>'BIO DATA'!C68</f>
        <v>12481</v>
      </c>
      <c r="D68" s="285" t="str">
        <f>'BIO DATA'!D68</f>
        <v>0144333421</v>
      </c>
      <c r="E68" s="286" t="str">
        <f>'BIO DATA'!E68</f>
        <v>Ahsan Rafif Aditya</v>
      </c>
      <c r="F68" s="46" t="str">
        <f>'BIO DATA'!L68</f>
        <v>Laki-laki</v>
      </c>
      <c r="G68" s="9" t="str">
        <f>'BIO DATA'!M68</f>
        <v>Sleman</v>
      </c>
      <c r="H68" s="48">
        <f>'BIO DATA'!O68</f>
        <v>41711</v>
      </c>
      <c r="I68" s="46" t="str">
        <f>'BIO DATA'!R68</f>
        <v>Islam</v>
      </c>
      <c r="J68" s="47">
        <f>'BIO DATA'!I68</f>
        <v>2</v>
      </c>
      <c r="K68" s="47">
        <f>'BIO DATA'!J68</f>
        <v>2</v>
      </c>
      <c r="L68" s="9" t="str">
        <f>'BIO DATA'!S68</f>
        <v>Jalan Manis Raya, Perumahan Green Garden Asri Blok A no.8, RT 70 RW 16, Nambangan Lor, Manguharjo, Kota Madiun Jawa Timur</v>
      </c>
      <c r="M68" s="9" t="str">
        <f>'BIO DATA'!U68</f>
        <v>Nambangan Lor</v>
      </c>
      <c r="N68" s="9" t="str">
        <f>'BIO DATA'!V68</f>
        <v>Mangunharjo</v>
      </c>
      <c r="O68" s="9" t="str">
        <f>'BIO DATA'!W68</f>
        <v>Kota Madiun</v>
      </c>
      <c r="P68" s="9" t="str">
        <f>'BIO DATA'!X68</f>
        <v>Jawa Timur</v>
      </c>
      <c r="Q68" s="9" t="str">
        <f>'BIO DATA'!Y68</f>
        <v>MI Islamiyah 03 Kota Madiun</v>
      </c>
      <c r="R68" s="9" t="str">
        <f>'BIO DATA'!Z68</f>
        <v>Jl. Podang No. 27A, Nambangan Kidul, Kec. Manguharjo, Kota Madiun Prov. Jawa Timur</v>
      </c>
      <c r="S68" s="9">
        <f>'BIO DATA'!AA68</f>
        <v>0</v>
      </c>
      <c r="T68" s="9" t="str">
        <f>'BIO DATA'!AB68</f>
        <v>Aditya wahyu Erlangga</v>
      </c>
      <c r="U68" s="9" t="str">
        <f>'BIO DATA'!AC68</f>
        <v>Islam</v>
      </c>
      <c r="V68" s="9" t="str">
        <f>'BIO DATA'!AD68</f>
        <v>S3</v>
      </c>
      <c r="W68" s="9" t="str">
        <f>'BIO DATA'!AE68</f>
        <v>PNS</v>
      </c>
      <c r="X68" s="9" t="str">
        <f>'BIO DATA'!AF68</f>
        <v>&gt;10jt</v>
      </c>
      <c r="Y68" s="144" t="str">
        <f>'BIO DATA'!AG68</f>
        <v>081328720050</v>
      </c>
      <c r="Z68" s="9">
        <f>'BIO DATA'!AH68</f>
        <v>0</v>
      </c>
      <c r="AA68" s="9" t="str">
        <f>'BIO DATA'!AI68</f>
        <v>Fani Mardina Cahyani</v>
      </c>
      <c r="AB68" s="9" t="str">
        <f>'BIO DATA'!AJ68</f>
        <v>Islam</v>
      </c>
      <c r="AC68" s="9" t="str">
        <f>'BIO DATA'!AK68</f>
        <v>S2</v>
      </c>
      <c r="AD68" s="9" t="str">
        <f>'BIO DATA'!AL68</f>
        <v>Guru/Dosen</v>
      </c>
      <c r="AE68" s="9" t="str">
        <f>'BIO DATA'!AM68</f>
        <v>1jt-3jt</v>
      </c>
      <c r="AF68" s="49" t="str">
        <f>'BIO DATA'!AN68</f>
        <v>081904084530</v>
      </c>
      <c r="AG68" s="9">
        <f>'BIO DATA'!AO68</f>
        <v>0</v>
      </c>
      <c r="AH68" s="9">
        <f>'BIO DATA'!AY68</f>
        <v>0</v>
      </c>
      <c r="AI68" s="9">
        <f>'BIO DATA'!AZ68</f>
        <v>0</v>
      </c>
      <c r="AJ68" s="9">
        <f>'BIO DATA'!BA68</f>
        <v>0</v>
      </c>
      <c r="AK68" s="9">
        <f>'BIO DATA'!BB68</f>
        <v>0</v>
      </c>
      <c r="AL68" s="9">
        <f>'BIO DATA'!BC68</f>
        <v>0</v>
      </c>
      <c r="AM68" s="9">
        <f>'BIO DATA'!BD68</f>
        <v>0</v>
      </c>
      <c r="AN68" s="9">
        <f>'BIO DATA'!BE68</f>
        <v>0</v>
      </c>
      <c r="AO68" s="9">
        <f>'BIO DATA'!BF68</f>
        <v>0</v>
      </c>
      <c r="AP68" s="50" t="str">
        <f>'BIO DATA'!BG68</f>
        <v>Fajar Nurahman, S.Pd.</v>
      </c>
    </row>
    <row r="69" spans="1:42" s="51" customFormat="1" ht="20.100000000000001" customHeight="1" thickBot="1">
      <c r="A69" s="17" t="s">
        <v>145</v>
      </c>
      <c r="B69">
        <v>78</v>
      </c>
      <c r="C69" s="285">
        <f>'BIO DATA'!C69</f>
        <v>12497</v>
      </c>
      <c r="D69" s="285" t="str">
        <f>'BIO DATA'!D69</f>
        <v>0135174627</v>
      </c>
      <c r="E69" s="286" t="str">
        <f>'BIO DATA'!E69</f>
        <v>Arsyad Farkhi Ismail</v>
      </c>
      <c r="F69" s="46" t="str">
        <f>'BIO DATA'!L69</f>
        <v>Laki-laki</v>
      </c>
      <c r="G69" s="9" t="str">
        <f>'BIO DATA'!M69</f>
        <v>Tegal</v>
      </c>
      <c r="H69" s="48">
        <f>'BIO DATA'!O69</f>
        <v>41568</v>
      </c>
      <c r="I69" s="46" t="str">
        <f>'BIO DATA'!R69</f>
        <v>Islam</v>
      </c>
      <c r="J69" s="47">
        <f>'BIO DATA'!I69</f>
        <v>1</v>
      </c>
      <c r="K69" s="47">
        <f>'BIO DATA'!J69</f>
        <v>1</v>
      </c>
      <c r="L69" s="9" t="str">
        <f>'BIO DATA'!S69</f>
        <v>Tembok Luwung RT 007 RW 002 Tembok Luwung Adiwerna Tegal Jawa Tengah 52194</v>
      </c>
      <c r="M69" s="9" t="str">
        <f>'BIO DATA'!U69</f>
        <v>Tembok Luwung</v>
      </c>
      <c r="N69" s="9" t="str">
        <f>'BIO DATA'!V69</f>
        <v>Adiwerna</v>
      </c>
      <c r="O69" s="9" t="str">
        <f>'BIO DATA'!W69</f>
        <v>Tegal</v>
      </c>
      <c r="P69" s="9" t="str">
        <f>'BIO DATA'!X69</f>
        <v>Jawa Tengah</v>
      </c>
      <c r="Q69" s="9" t="str">
        <f>'BIO DATA'!Y69</f>
        <v>SD Budi Mulia Muhammadiyah Adiwerna</v>
      </c>
      <c r="R69" s="9">
        <f>'BIO DATA'!Z69</f>
        <v>0</v>
      </c>
      <c r="S69" s="9">
        <f>'BIO DATA'!AA69</f>
        <v>0</v>
      </c>
      <c r="T69" s="9" t="str">
        <f>'BIO DATA'!AB69</f>
        <v>Abddul Ghofar Ismail MM</v>
      </c>
      <c r="U69" s="9" t="str">
        <f>'BIO DATA'!AC69</f>
        <v>Islam</v>
      </c>
      <c r="V69" s="9" t="str">
        <f>'BIO DATA'!AD69</f>
        <v>S2</v>
      </c>
      <c r="W69" s="9" t="str">
        <f>'BIO DATA'!AE69</f>
        <v>Karyawan Swasta</v>
      </c>
      <c r="X69" s="9">
        <f>'BIO DATA'!AF69</f>
        <v>0</v>
      </c>
      <c r="Y69" s="144" t="str">
        <f>'BIO DATA'!AG69</f>
        <v>085865251503</v>
      </c>
      <c r="Z69" s="9">
        <f>'BIO DATA'!AH69</f>
        <v>0</v>
      </c>
      <c r="AA69" s="9" t="str">
        <f>'BIO DATA'!AI69</f>
        <v>Netty Amanati S.Pd.</v>
      </c>
      <c r="AB69" s="9" t="str">
        <f>'BIO DATA'!AJ69</f>
        <v>Islam</v>
      </c>
      <c r="AC69" s="9" t="str">
        <f>'BIO DATA'!AK69</f>
        <v>S1</v>
      </c>
      <c r="AD69" s="9" t="str">
        <f>'BIO DATA'!AL69</f>
        <v>Guru</v>
      </c>
      <c r="AE69" s="9">
        <f>'BIO DATA'!AM69</f>
        <v>0</v>
      </c>
      <c r="AF69" s="49" t="str">
        <f>'BIO DATA'!AN69</f>
        <v>085842279111</v>
      </c>
      <c r="AG69" s="9">
        <f>'BIO DATA'!AO69</f>
        <v>0</v>
      </c>
      <c r="AH69" s="9">
        <f>'BIO DATA'!AY69</f>
        <v>0</v>
      </c>
      <c r="AI69" s="9">
        <f>'BIO DATA'!AZ69</f>
        <v>0</v>
      </c>
      <c r="AJ69" s="9">
        <f>'BIO DATA'!BA69</f>
        <v>0</v>
      </c>
      <c r="AK69" s="9">
        <f>'BIO DATA'!BB69</f>
        <v>0</v>
      </c>
      <c r="AL69" s="9">
        <f>'BIO DATA'!BC69</f>
        <v>0</v>
      </c>
      <c r="AM69" s="9">
        <f>'BIO DATA'!BD69</f>
        <v>0</v>
      </c>
      <c r="AN69" s="9">
        <f>'BIO DATA'!BE69</f>
        <v>0</v>
      </c>
      <c r="AO69" s="9">
        <f>'BIO DATA'!BF69</f>
        <v>0</v>
      </c>
      <c r="AP69" s="50" t="str">
        <f>'BIO DATA'!BG69</f>
        <v>Fajar Nurahman, S.Pd.</v>
      </c>
    </row>
    <row r="70" spans="1:42" s="51" customFormat="1" ht="20.100000000000001" customHeight="1" thickBot="1">
      <c r="A70" s="17" t="s">
        <v>145</v>
      </c>
      <c r="B70">
        <v>102</v>
      </c>
      <c r="C70" s="285">
        <f>'BIO DATA'!C70</f>
        <v>12508</v>
      </c>
      <c r="D70" s="285" t="str">
        <f>'BIO DATA'!D70</f>
        <v>0131468905</v>
      </c>
      <c r="E70" s="286" t="str">
        <f>'BIO DATA'!E70</f>
        <v>Azfar Rayyan Al Farisi</v>
      </c>
      <c r="F70" s="46" t="str">
        <f>'BIO DATA'!L70</f>
        <v>Laki-laki</v>
      </c>
      <c r="G70" s="9" t="str">
        <f>'BIO DATA'!M70</f>
        <v>Daya Asri</v>
      </c>
      <c r="H70" s="48">
        <f>'BIO DATA'!O70</f>
        <v>41358</v>
      </c>
      <c r="I70" s="46" t="str">
        <f>'BIO DATA'!R70</f>
        <v>Islam</v>
      </c>
      <c r="J70" s="47">
        <f>'BIO DATA'!I70</f>
        <v>1</v>
      </c>
      <c r="K70" s="47">
        <f>'BIO DATA'!J70</f>
        <v>0</v>
      </c>
      <c r="L70" s="9" t="str">
        <f>'BIO DATA'!S70</f>
        <v>Carikan RT 001 RW 002, Bumirejo, Lendah, Kulon Progo DIY</v>
      </c>
      <c r="M70" s="9" t="str">
        <f>'BIO DATA'!U70</f>
        <v>Bumirejo</v>
      </c>
      <c r="N70" s="9" t="str">
        <f>'BIO DATA'!V70</f>
        <v>Lendah</v>
      </c>
      <c r="O70" s="9" t="str">
        <f>'BIO DATA'!W70</f>
        <v>Kulon Progo</v>
      </c>
      <c r="P70" s="9" t="str">
        <f>'BIO DATA'!X70</f>
        <v>DIY</v>
      </c>
      <c r="Q70" s="9" t="str">
        <f>'BIO DATA'!Y70</f>
        <v>SDIT Mutiara Insani</v>
      </c>
      <c r="R70" s="9" t="str">
        <f>'BIO DATA'!Z70</f>
        <v>Jeronan X, Bulak Lor Pandowan, Brosot, Galur, Kulon Progo, Yogyakarta</v>
      </c>
      <c r="S70" s="9">
        <f>'BIO DATA'!AA70</f>
        <v>0</v>
      </c>
      <c r="T70" s="9" t="str">
        <f>'BIO DATA'!AB70</f>
        <v>M. Maulana Rizqy</v>
      </c>
      <c r="U70" s="9" t="str">
        <f>'BIO DATA'!AC70</f>
        <v>Islam</v>
      </c>
      <c r="V70" s="9" t="str">
        <f>'BIO DATA'!AD70</f>
        <v>DIPLOMA</v>
      </c>
      <c r="W70" s="9" t="str">
        <f>'BIO DATA'!AE70</f>
        <v>Wiraswasta</v>
      </c>
      <c r="X70" s="9" t="str">
        <f>'BIO DATA'!AF70</f>
        <v>&gt;10jt</v>
      </c>
      <c r="Y70" s="144" t="str">
        <f>'BIO DATA'!AG70</f>
        <v>081328372297</v>
      </c>
      <c r="Z70" s="9">
        <f>'BIO DATA'!AH70</f>
        <v>0</v>
      </c>
      <c r="AA70" s="9" t="str">
        <f>'BIO DATA'!AI70</f>
        <v>Al Fadillah Rhoziana</v>
      </c>
      <c r="AB70" s="9" t="str">
        <f>'BIO DATA'!AJ70</f>
        <v>Islam</v>
      </c>
      <c r="AC70" s="9" t="str">
        <f>'BIO DATA'!AK70</f>
        <v>S1</v>
      </c>
      <c r="AD70" s="9" t="str">
        <f>'BIO DATA'!AL70</f>
        <v>PNS</v>
      </c>
      <c r="AE70" s="9" t="str">
        <f>'BIO DATA'!AM70</f>
        <v>5jt-10jt</v>
      </c>
      <c r="AF70" s="49" t="str">
        <f>'BIO DATA'!AN70</f>
        <v>082137119859</v>
      </c>
      <c r="AG70" s="9">
        <f>'BIO DATA'!AO70</f>
        <v>0</v>
      </c>
      <c r="AH70" s="9">
        <f>'BIO DATA'!AY70</f>
        <v>0</v>
      </c>
      <c r="AI70" s="9">
        <f>'BIO DATA'!AZ70</f>
        <v>0</v>
      </c>
      <c r="AJ70" s="9">
        <f>'BIO DATA'!BA70</f>
        <v>0</v>
      </c>
      <c r="AK70" s="9">
        <f>'BIO DATA'!BB70</f>
        <v>0</v>
      </c>
      <c r="AL70" s="9">
        <f>'BIO DATA'!BC70</f>
        <v>0</v>
      </c>
      <c r="AM70" s="9">
        <f>'BIO DATA'!BD70</f>
        <v>0</v>
      </c>
      <c r="AN70" s="9">
        <f>'BIO DATA'!BE70</f>
        <v>0</v>
      </c>
      <c r="AO70" s="9">
        <f>'BIO DATA'!BF70</f>
        <v>0</v>
      </c>
      <c r="AP70" s="50" t="str">
        <f>'BIO DATA'!BG70</f>
        <v>Fajar Nurahman, S.Pd.</v>
      </c>
    </row>
    <row r="71" spans="1:42" s="51" customFormat="1" ht="20.100000000000001" customHeight="1" thickBot="1">
      <c r="A71" s="17" t="s">
        <v>145</v>
      </c>
      <c r="B71">
        <v>120</v>
      </c>
      <c r="C71" s="285">
        <f>'BIO DATA'!C71</f>
        <v>12537</v>
      </c>
      <c r="D71" s="285" t="str">
        <f>'BIO DATA'!D71</f>
        <v>0138865646</v>
      </c>
      <c r="E71" s="286" t="str">
        <f>'BIO DATA'!E71</f>
        <v>Fadlliy Dzaka Triyono</v>
      </c>
      <c r="F71" s="46" t="str">
        <f>'BIO DATA'!L71</f>
        <v>Laki-laki</v>
      </c>
      <c r="G71" s="9" t="str">
        <f>'BIO DATA'!M71</f>
        <v>Wonosobo</v>
      </c>
      <c r="H71" s="48">
        <f>'BIO DATA'!O71</f>
        <v>41479</v>
      </c>
      <c r="I71" s="46" t="str">
        <f>'BIO DATA'!R71</f>
        <v>Islam</v>
      </c>
      <c r="J71" s="47">
        <f>'BIO DATA'!I71</f>
        <v>3</v>
      </c>
      <c r="K71" s="47">
        <f>'BIO DATA'!J71</f>
        <v>2</v>
      </c>
      <c r="L71" s="9" t="str">
        <f>'BIO DATA'!S71</f>
        <v>Jlegong RT 004 RW 006 Pagerkukuh Wonosobo Wonosobo Jawa Tengah 56314</v>
      </c>
      <c r="M71" s="9" t="str">
        <f>'BIO DATA'!U71</f>
        <v>Pagerkukuh</v>
      </c>
      <c r="N71" s="9" t="str">
        <f>'BIO DATA'!V71</f>
        <v>Wonosobo</v>
      </c>
      <c r="O71" s="9" t="str">
        <f>'BIO DATA'!W71</f>
        <v>Wonosobo</v>
      </c>
      <c r="P71" s="9" t="str">
        <f>'BIO DATA'!X71</f>
        <v>Jawa Tengah</v>
      </c>
      <c r="Q71" s="9" t="str">
        <f>'BIO DATA'!Y71</f>
        <v>SD MBF Al Adzkiya</v>
      </c>
      <c r="R71" s="9" t="str">
        <f>'BIO DATA'!Z71</f>
        <v>Wonosobo</v>
      </c>
      <c r="S71" s="9">
        <f>'BIO DATA'!AA71</f>
        <v>0</v>
      </c>
      <c r="T71" s="9" t="str">
        <f>'BIO DATA'!AB71</f>
        <v>Yuli Triyono</v>
      </c>
      <c r="U71" s="9" t="str">
        <f>'BIO DATA'!AC71</f>
        <v>Islam</v>
      </c>
      <c r="V71" s="9" t="str">
        <f>'BIO DATA'!AD71</f>
        <v>S2</v>
      </c>
      <c r="W71" s="9" t="str">
        <f>'BIO DATA'!AE71</f>
        <v>Pegawai Swasta</v>
      </c>
      <c r="X71" s="9" t="str">
        <f>'BIO DATA'!AF71</f>
        <v>&gt;10jt</v>
      </c>
      <c r="Y71" s="144" t="str">
        <f>'BIO DATA'!AG71</f>
        <v>081226805706</v>
      </c>
      <c r="Z71" s="9">
        <f>'BIO DATA'!AH71</f>
        <v>0</v>
      </c>
      <c r="AA71" s="9" t="str">
        <f>'BIO DATA'!AI71</f>
        <v>Meri aprida</v>
      </c>
      <c r="AB71" s="9" t="str">
        <f>'BIO DATA'!AJ71</f>
        <v>Islam</v>
      </c>
      <c r="AC71" s="9" t="str">
        <f>'BIO DATA'!AK71</f>
        <v>DIPLOMA</v>
      </c>
      <c r="AD71" s="9" t="str">
        <f>'BIO DATA'!AL71</f>
        <v>Wiraswasta</v>
      </c>
      <c r="AE71" s="9" t="str">
        <f>'BIO DATA'!AM71</f>
        <v>3jt-5jt</v>
      </c>
      <c r="AF71" s="49" t="str">
        <f>'BIO DATA'!AN71</f>
        <v>081226805706</v>
      </c>
      <c r="AG71" s="9">
        <f>'BIO DATA'!AO71</f>
        <v>0</v>
      </c>
      <c r="AH71" s="9">
        <f>'BIO DATA'!AY71</f>
        <v>0</v>
      </c>
      <c r="AI71" s="9">
        <f>'BIO DATA'!AZ71</f>
        <v>0</v>
      </c>
      <c r="AJ71" s="9">
        <f>'BIO DATA'!BA71</f>
        <v>0</v>
      </c>
      <c r="AK71" s="9">
        <f>'BIO DATA'!BB71</f>
        <v>0</v>
      </c>
      <c r="AL71" s="9">
        <f>'BIO DATA'!BC71</f>
        <v>0</v>
      </c>
      <c r="AM71" s="9">
        <f>'BIO DATA'!BD71</f>
        <v>0</v>
      </c>
      <c r="AN71" s="9">
        <f>'BIO DATA'!BE71</f>
        <v>0</v>
      </c>
      <c r="AO71" s="9">
        <f>'BIO DATA'!BF71</f>
        <v>0</v>
      </c>
      <c r="AP71" s="50" t="str">
        <f>'BIO DATA'!BG71</f>
        <v>Fajar Nurahman, S.Pd.</v>
      </c>
    </row>
    <row r="72" spans="1:42" s="51" customFormat="1" ht="20.100000000000001" customHeight="1" thickBot="1">
      <c r="A72" s="17" t="s">
        <v>145</v>
      </c>
      <c r="B72">
        <v>125</v>
      </c>
      <c r="C72" s="285">
        <f>'BIO DATA'!C72</f>
        <v>12557</v>
      </c>
      <c r="D72" s="285" t="str">
        <f>'BIO DATA'!D72</f>
        <v>0134333794</v>
      </c>
      <c r="E72" s="286" t="str">
        <f>'BIO DATA'!E72</f>
        <v>Habibie Musthofa Reenosady</v>
      </c>
      <c r="F72" s="46" t="str">
        <f>'BIO DATA'!L72</f>
        <v>Laki-laki</v>
      </c>
      <c r="G72" s="9" t="str">
        <f>'BIO DATA'!M72</f>
        <v>Kulon Progo</v>
      </c>
      <c r="H72" s="48">
        <f>'BIO DATA'!O72</f>
        <v>41551</v>
      </c>
      <c r="I72" s="46" t="str">
        <f>'BIO DATA'!R72</f>
        <v>Islam</v>
      </c>
      <c r="J72" s="47">
        <f>'BIO DATA'!I72</f>
        <v>2</v>
      </c>
      <c r="K72" s="47">
        <f>'BIO DATA'!J72</f>
        <v>3</v>
      </c>
      <c r="L72" s="9" t="str">
        <f>'BIO DATA'!S72</f>
        <v>Karang Tengah Lor RT 12 RW 06 Margosari Pengasih Kulon Progo Yogyakarta</v>
      </c>
      <c r="M72" s="9" t="str">
        <f>'BIO DATA'!U72</f>
        <v>Margosari</v>
      </c>
      <c r="N72" s="9" t="str">
        <f>'BIO DATA'!V72</f>
        <v>Pengasih</v>
      </c>
      <c r="O72" s="9" t="str">
        <f>'BIO DATA'!W72</f>
        <v>Kulon Progo</v>
      </c>
      <c r="P72" s="9" t="str">
        <f>'BIO DATA'!X72</f>
        <v>DIY</v>
      </c>
      <c r="Q72" s="9" t="str">
        <f>'BIO DATA'!Y72</f>
        <v>SD Muhammadiyah Mutihan</v>
      </c>
      <c r="R72" s="9" t="str">
        <f>'BIO DATA'!Z72</f>
        <v>Wonosidi Lor, Wates, Kulon Progo, Yogyakarta</v>
      </c>
      <c r="S72" s="9">
        <f>'BIO DATA'!AA72</f>
        <v>0</v>
      </c>
      <c r="T72" s="9" t="str">
        <f>'BIO DATA'!AB72</f>
        <v>Untung Rosadi</v>
      </c>
      <c r="U72" s="9" t="str">
        <f>'BIO DATA'!AC72</f>
        <v>Islam</v>
      </c>
      <c r="V72" s="9" t="str">
        <f>'BIO DATA'!AD72</f>
        <v>DIPLOMA</v>
      </c>
      <c r="W72" s="9" t="str">
        <f>'BIO DATA'!AE72</f>
        <v>Lain-lain</v>
      </c>
      <c r="X72" s="9" t="str">
        <f>'BIO DATA'!AF72</f>
        <v>5jt-10jt</v>
      </c>
      <c r="Y72" s="144" t="str">
        <f>'BIO DATA'!AG72</f>
        <v>081325691645</v>
      </c>
      <c r="Z72" s="9">
        <f>'BIO DATA'!AH72</f>
        <v>0</v>
      </c>
      <c r="AA72" s="9" t="str">
        <f>'BIO DATA'!AI72</f>
        <v>Dwi Astuti Rini</v>
      </c>
      <c r="AB72" s="9" t="str">
        <f>'BIO DATA'!AJ72</f>
        <v>Islam</v>
      </c>
      <c r="AC72" s="9" t="str">
        <f>'BIO DATA'!AK72</f>
        <v>S1</v>
      </c>
      <c r="AD72" s="9" t="str">
        <f>'BIO DATA'!AL72</f>
        <v>Tidak Bekerja</v>
      </c>
      <c r="AE72" s="9" t="str">
        <f>'BIO DATA'!AM72</f>
        <v>&lt; 500rb</v>
      </c>
      <c r="AF72" s="49" t="str">
        <f>'BIO DATA'!AN72</f>
        <v>082220355854</v>
      </c>
      <c r="AG72" s="9">
        <f>'BIO DATA'!AO72</f>
        <v>0</v>
      </c>
      <c r="AH72" s="9">
        <f>'BIO DATA'!AY72</f>
        <v>0</v>
      </c>
      <c r="AI72" s="9">
        <f>'BIO DATA'!AZ72</f>
        <v>0</v>
      </c>
      <c r="AJ72" s="9">
        <f>'BIO DATA'!BA72</f>
        <v>0</v>
      </c>
      <c r="AK72" s="9">
        <f>'BIO DATA'!BB72</f>
        <v>0</v>
      </c>
      <c r="AL72" s="9">
        <f>'BIO DATA'!BC72</f>
        <v>0</v>
      </c>
      <c r="AM72" s="9">
        <f>'BIO DATA'!BD72</f>
        <v>0</v>
      </c>
      <c r="AN72" s="9">
        <f>'BIO DATA'!BE72</f>
        <v>0</v>
      </c>
      <c r="AO72" s="9">
        <f>'BIO DATA'!BF72</f>
        <v>0</v>
      </c>
      <c r="AP72" s="50" t="str">
        <f>'BIO DATA'!BG72</f>
        <v>Fajar Nurahman, S.Pd.</v>
      </c>
    </row>
    <row r="73" spans="1:42" s="51" customFormat="1" ht="20.100000000000001" customHeight="1" thickBot="1">
      <c r="A73" s="17" t="s">
        <v>145</v>
      </c>
      <c r="B73">
        <v>133</v>
      </c>
      <c r="C73" s="285">
        <f>'BIO DATA'!C73</f>
        <v>12568</v>
      </c>
      <c r="D73" s="285">
        <f>'BIO DATA'!D73</f>
        <v>3149122128</v>
      </c>
      <c r="E73" s="286" t="str">
        <f>'BIO DATA'!E73</f>
        <v>Hayatamam Al Abra</v>
      </c>
      <c r="F73" s="46" t="str">
        <f>'BIO DATA'!L73</f>
        <v>Laki-laki</v>
      </c>
      <c r="G73" s="9" t="str">
        <f>'BIO DATA'!M73</f>
        <v>Temanggung</v>
      </c>
      <c r="H73" s="48">
        <f>'BIO DATA'!O73</f>
        <v>41826</v>
      </c>
      <c r="I73" s="46" t="str">
        <f>'BIO DATA'!R73</f>
        <v>Islam</v>
      </c>
      <c r="J73" s="47">
        <f>'BIO DATA'!I73</f>
        <v>2</v>
      </c>
      <c r="K73" s="47">
        <f>'BIO DATA'!J73</f>
        <v>1</v>
      </c>
      <c r="L73" s="9" t="str">
        <f>'BIO DATA'!S73</f>
        <v>Tlodas RT.01 / RW.02, Botoputih, Tembarak, Temanggung</v>
      </c>
      <c r="M73" s="9" t="str">
        <f>'BIO DATA'!U73</f>
        <v>Botoputih</v>
      </c>
      <c r="N73" s="9" t="str">
        <f>'BIO DATA'!V73</f>
        <v>Tembarak</v>
      </c>
      <c r="O73" s="9" t="str">
        <f>'BIO DATA'!W73</f>
        <v>Temanggung</v>
      </c>
      <c r="P73" s="9" t="str">
        <f>'BIO DATA'!X73</f>
        <v>Jawa Tengah</v>
      </c>
      <c r="Q73" s="9" t="str">
        <f>'BIO DATA'!Y73</f>
        <v>MI Muhammadiyah Purwodadi, Tembarak, Temanggung.</v>
      </c>
      <c r="R73" s="9">
        <f>'BIO DATA'!Z73</f>
        <v>0</v>
      </c>
      <c r="S73" s="9">
        <f>'BIO DATA'!AA73</f>
        <v>0</v>
      </c>
      <c r="T73" s="9" t="str">
        <f>'BIO DATA'!AB73</f>
        <v>Erwin Susetyo</v>
      </c>
      <c r="U73" s="9" t="str">
        <f>'BIO DATA'!AC73</f>
        <v>Islam</v>
      </c>
      <c r="V73" s="9">
        <f>'BIO DATA'!AD73</f>
        <v>0</v>
      </c>
      <c r="W73" s="9">
        <f>'BIO DATA'!AE73</f>
        <v>0</v>
      </c>
      <c r="X73" s="9">
        <f>'BIO DATA'!AF73</f>
        <v>0</v>
      </c>
      <c r="Y73" s="144" t="str">
        <f>'BIO DATA'!AG73</f>
        <v>085642642311</v>
      </c>
      <c r="Z73" s="9">
        <f>'BIO DATA'!AH73</f>
        <v>0</v>
      </c>
      <c r="AA73" s="9" t="str">
        <f>'BIO DATA'!AI73</f>
        <v>Uun Rismawati</v>
      </c>
      <c r="AB73" s="9" t="str">
        <f>'BIO DATA'!AJ73</f>
        <v>Islam</v>
      </c>
      <c r="AC73" s="9">
        <f>'BIO DATA'!AK73</f>
        <v>0</v>
      </c>
      <c r="AD73" s="9">
        <f>'BIO DATA'!AL73</f>
        <v>0</v>
      </c>
      <c r="AE73" s="9">
        <f>'BIO DATA'!AM73</f>
        <v>0</v>
      </c>
      <c r="AF73" s="49" t="str">
        <f>'BIO DATA'!AN73</f>
        <v>085806112715</v>
      </c>
      <c r="AG73" s="9">
        <f>'BIO DATA'!AO73</f>
        <v>0</v>
      </c>
      <c r="AH73" s="9">
        <f>'BIO DATA'!AY73</f>
        <v>0</v>
      </c>
      <c r="AI73" s="9">
        <f>'BIO DATA'!AZ73</f>
        <v>0</v>
      </c>
      <c r="AJ73" s="9">
        <f>'BIO DATA'!BA73</f>
        <v>0</v>
      </c>
      <c r="AK73" s="9">
        <f>'BIO DATA'!BB73</f>
        <v>0</v>
      </c>
      <c r="AL73" s="9">
        <f>'BIO DATA'!BC73</f>
        <v>0</v>
      </c>
      <c r="AM73" s="9">
        <f>'BIO DATA'!BD73</f>
        <v>0</v>
      </c>
      <c r="AN73" s="9">
        <f>'BIO DATA'!BE73</f>
        <v>0</v>
      </c>
      <c r="AO73" s="9">
        <f>'BIO DATA'!BF73</f>
        <v>0</v>
      </c>
      <c r="AP73" s="50" t="str">
        <f>'BIO DATA'!BG73</f>
        <v>Fajar Nurahman, S.Pd.</v>
      </c>
    </row>
    <row r="74" spans="1:42" s="51" customFormat="1" ht="20.100000000000001" customHeight="1" thickBot="1">
      <c r="A74" s="17" t="s">
        <v>145</v>
      </c>
      <c r="B74">
        <v>142</v>
      </c>
      <c r="C74" s="285">
        <f>'BIO DATA'!C74</f>
        <v>12574</v>
      </c>
      <c r="D74" s="285" t="str">
        <f>'BIO DATA'!D74</f>
        <v>0129631772</v>
      </c>
      <c r="E74" s="286" t="str">
        <f>'BIO DATA'!E74</f>
        <v>Ibrahim Rizqy Nugroho</v>
      </c>
      <c r="F74" s="46" t="str">
        <f>'BIO DATA'!L74</f>
        <v>Laki-laki</v>
      </c>
      <c r="G74" s="9" t="str">
        <f>'BIO DATA'!M74</f>
        <v>Sleman</v>
      </c>
      <c r="H74" s="48">
        <f>'BIO DATA'!O74</f>
        <v>41324</v>
      </c>
      <c r="I74" s="46" t="str">
        <f>'BIO DATA'!R74</f>
        <v>Islam</v>
      </c>
      <c r="J74" s="47">
        <f>'BIO DATA'!I74</f>
        <v>0</v>
      </c>
      <c r="K74" s="47">
        <f>'BIO DATA'!J74</f>
        <v>0</v>
      </c>
      <c r="L74" s="9" t="str">
        <f>'BIO DATA'!S74</f>
        <v>JL. Margo Arum No 6A, Krapyak, Sidoarum. Godean, Sleman, DIY</v>
      </c>
      <c r="M74" s="9" t="str">
        <f>'BIO DATA'!U74</f>
        <v>Sidoarum</v>
      </c>
      <c r="N74" s="9" t="str">
        <f>'BIO DATA'!V74</f>
        <v>Godean</v>
      </c>
      <c r="O74" s="9" t="str">
        <f>'BIO DATA'!W74</f>
        <v>Sleman</v>
      </c>
      <c r="P74" s="9" t="str">
        <f>'BIO DATA'!X74</f>
        <v>DIY</v>
      </c>
      <c r="Q74" s="9" t="str">
        <f>'BIO DATA'!Y74</f>
        <v>SDIT JABAL NUR</v>
      </c>
      <c r="R74" s="9" t="str">
        <f>'BIO DATA'!Z74</f>
        <v>GAMPING LOR, AMBARKETAWANG, KEC. GAMPING, SLEMAN, YOGYAKARTA 55294</v>
      </c>
      <c r="S74" s="9">
        <f>'BIO DATA'!AA74</f>
        <v>0</v>
      </c>
      <c r="T74" s="9" t="str">
        <f>'BIO DATA'!AB74</f>
        <v>Hartady Nugroho</v>
      </c>
      <c r="U74" s="9" t="str">
        <f>'BIO DATA'!AC74</f>
        <v>Islam</v>
      </c>
      <c r="V74" s="9" t="str">
        <f>'BIO DATA'!AD74</f>
        <v>S1</v>
      </c>
      <c r="W74" s="9" t="str">
        <f>'BIO DATA'!AE74</f>
        <v>Pegawai Swasta</v>
      </c>
      <c r="X74" s="9" t="str">
        <f>'BIO DATA'!AF74</f>
        <v>3jt-5jt</v>
      </c>
      <c r="Y74" s="144" t="str">
        <f>'BIO DATA'!AG74</f>
        <v>08121550917</v>
      </c>
      <c r="Z74" s="9">
        <f>'BIO DATA'!AH74</f>
        <v>0</v>
      </c>
      <c r="AA74" s="9" t="str">
        <f>'BIO DATA'!AI74</f>
        <v>Intan Delima Nur Bashirah</v>
      </c>
      <c r="AB74" s="9" t="str">
        <f>'BIO DATA'!AJ74</f>
        <v>Islam</v>
      </c>
      <c r="AC74" s="9" t="str">
        <f>'BIO DATA'!AK74</f>
        <v>S1</v>
      </c>
      <c r="AD74" s="9" t="str">
        <f>'BIO DATA'!AL74</f>
        <v>PNS</v>
      </c>
      <c r="AE74" s="9" t="str">
        <f>'BIO DATA'!AM74</f>
        <v>3jt-5jt</v>
      </c>
      <c r="AF74" s="49" t="str">
        <f>'BIO DATA'!AN74</f>
        <v>087723394965</v>
      </c>
      <c r="AG74" s="9">
        <f>'BIO DATA'!AO74</f>
        <v>0</v>
      </c>
      <c r="AH74" s="9">
        <f>'BIO DATA'!AY74</f>
        <v>0</v>
      </c>
      <c r="AI74" s="9">
        <f>'BIO DATA'!AZ74</f>
        <v>0</v>
      </c>
      <c r="AJ74" s="9">
        <f>'BIO DATA'!BA74</f>
        <v>0</v>
      </c>
      <c r="AK74" s="9">
        <f>'BIO DATA'!BB74</f>
        <v>0</v>
      </c>
      <c r="AL74" s="9">
        <f>'BIO DATA'!BC74</f>
        <v>0</v>
      </c>
      <c r="AM74" s="9">
        <f>'BIO DATA'!BD74</f>
        <v>0</v>
      </c>
      <c r="AN74" s="9">
        <f>'BIO DATA'!BE74</f>
        <v>0</v>
      </c>
      <c r="AO74" s="9">
        <f>'BIO DATA'!BF74</f>
        <v>0</v>
      </c>
      <c r="AP74" s="50" t="str">
        <f>'BIO DATA'!BG74</f>
        <v>Fajar Nurahman, S.Pd.</v>
      </c>
    </row>
    <row r="75" spans="1:42" s="51" customFormat="1" ht="20.100000000000001" customHeight="1" thickBot="1">
      <c r="A75" s="17" t="s">
        <v>145</v>
      </c>
      <c r="B75">
        <v>153</v>
      </c>
      <c r="C75" s="285">
        <f>'BIO DATA'!C75</f>
        <v>12587</v>
      </c>
      <c r="D75" s="285" t="str">
        <f>'BIO DATA'!D75</f>
        <v>0133082547</v>
      </c>
      <c r="E75" s="286" t="str">
        <f>'BIO DATA'!E75</f>
        <v>Kenzie Abdurahman Haziq</v>
      </c>
      <c r="F75" s="46" t="str">
        <f>'BIO DATA'!L75</f>
        <v>Laki-laki</v>
      </c>
      <c r="G75" s="9" t="str">
        <f>'BIO DATA'!M75</f>
        <v>Padang</v>
      </c>
      <c r="H75" s="48">
        <f>'BIO DATA'!O75</f>
        <v>41454</v>
      </c>
      <c r="I75" s="46" t="str">
        <f>'BIO DATA'!R75</f>
        <v>Islam</v>
      </c>
      <c r="J75" s="47">
        <f>'BIO DATA'!I75</f>
        <v>1</v>
      </c>
      <c r="K75" s="47">
        <f>'BIO DATA'!J75</f>
        <v>2</v>
      </c>
      <c r="L75" s="9" t="str">
        <f>'BIO DATA'!S75</f>
        <v>Perum Graha Raya 2 No 570 Rt 007/011, Sarirejo, Kaliwungu, Kendal, Jawa Tengah</v>
      </c>
      <c r="M75" s="9" t="str">
        <f>'BIO DATA'!U75</f>
        <v>Sarirejo</v>
      </c>
      <c r="N75" s="9" t="str">
        <f>'BIO DATA'!V75</f>
        <v>Kaliwungu</v>
      </c>
      <c r="O75" s="9" t="str">
        <f>'BIO DATA'!W75</f>
        <v>Kendal</v>
      </c>
      <c r="P75" s="9" t="str">
        <f>'BIO DATA'!X75</f>
        <v>Jawa Tengah</v>
      </c>
      <c r="Q75" s="9" t="str">
        <f>'BIO DATA'!Y75</f>
        <v>SD Muhammadiyah Purin</v>
      </c>
      <c r="R75" s="9" t="str">
        <f>'BIO DATA'!Z75</f>
        <v>Jl Tentara Pelajar Purin, Patebon Kendal</v>
      </c>
      <c r="S75" s="9">
        <f>'BIO DATA'!AA75</f>
        <v>0</v>
      </c>
      <c r="T75" s="9" t="str">
        <f>'BIO DATA'!AB75</f>
        <v>Ardianto</v>
      </c>
      <c r="U75" s="9" t="str">
        <f>'BIO DATA'!AC75</f>
        <v>Islam</v>
      </c>
      <c r="V75" s="9" t="str">
        <f>'BIO DATA'!AD75</f>
        <v>SMA/SMK/MA</v>
      </c>
      <c r="W75" s="9" t="str">
        <f>'BIO DATA'!AE75</f>
        <v>Wiraswasta</v>
      </c>
      <c r="X75" s="9" t="str">
        <f>'BIO DATA'!AF75</f>
        <v>500-1jt</v>
      </c>
      <c r="Y75" s="144" t="str">
        <f>'BIO DATA'!AG75</f>
        <v>081227906381</v>
      </c>
      <c r="Z75" s="9">
        <f>'BIO DATA'!AH75</f>
        <v>0</v>
      </c>
      <c r="AA75" s="9" t="str">
        <f>'BIO DATA'!AI75</f>
        <v>Peni Shoffiyati</v>
      </c>
      <c r="AB75" s="9" t="str">
        <f>'BIO DATA'!AJ75</f>
        <v>Islam</v>
      </c>
      <c r="AC75" s="9" t="str">
        <f>'BIO DATA'!AK75</f>
        <v>S3</v>
      </c>
      <c r="AD75" s="9" t="str">
        <f>'BIO DATA'!AL75</f>
        <v>PNS</v>
      </c>
      <c r="AE75" s="9" t="str">
        <f>'BIO DATA'!AM75</f>
        <v>&gt;10jt</v>
      </c>
      <c r="AF75" s="49" t="str">
        <f>'BIO DATA'!AN75</f>
        <v>085274556988</v>
      </c>
      <c r="AG75" s="9">
        <f>'BIO DATA'!AO75</f>
        <v>0</v>
      </c>
      <c r="AH75" s="9">
        <f>'BIO DATA'!AY75</f>
        <v>0</v>
      </c>
      <c r="AI75" s="9">
        <f>'BIO DATA'!AZ75</f>
        <v>0</v>
      </c>
      <c r="AJ75" s="9">
        <f>'BIO DATA'!BA75</f>
        <v>0</v>
      </c>
      <c r="AK75" s="9">
        <f>'BIO DATA'!BB75</f>
        <v>0</v>
      </c>
      <c r="AL75" s="9">
        <f>'BIO DATA'!BC75</f>
        <v>0</v>
      </c>
      <c r="AM75" s="9">
        <f>'BIO DATA'!BD75</f>
        <v>0</v>
      </c>
      <c r="AN75" s="9">
        <f>'BIO DATA'!BE75</f>
        <v>0</v>
      </c>
      <c r="AO75" s="9">
        <f>'BIO DATA'!BF75</f>
        <v>0</v>
      </c>
      <c r="AP75" s="50" t="str">
        <f>'BIO DATA'!BG75</f>
        <v>Fajar Nurahman, S.Pd.</v>
      </c>
    </row>
    <row r="76" spans="1:42" s="51" customFormat="1" ht="20.100000000000001" customHeight="1" thickBot="1">
      <c r="A76" s="17" t="s">
        <v>145</v>
      </c>
      <c r="B76">
        <v>156</v>
      </c>
      <c r="C76" s="285">
        <f>'BIO DATA'!C76</f>
        <v>12589</v>
      </c>
      <c r="D76" s="285" t="str">
        <f>'BIO DATA'!D76</f>
        <v>0141028916</v>
      </c>
      <c r="E76" s="286" t="str">
        <f>'BIO DATA'!E76</f>
        <v>Khadafi Atha Al Barra</v>
      </c>
      <c r="F76" s="46" t="str">
        <f>'BIO DATA'!L76</f>
        <v>Laki-laki</v>
      </c>
      <c r="G76" s="9" t="str">
        <f>'BIO DATA'!M76</f>
        <v>Pringsewu</v>
      </c>
      <c r="H76" s="48">
        <f>'BIO DATA'!O76</f>
        <v>41719</v>
      </c>
      <c r="I76" s="46" t="str">
        <f>'BIO DATA'!R76</f>
        <v>Islam</v>
      </c>
      <c r="J76" s="47">
        <f>'BIO DATA'!I76</f>
        <v>1</v>
      </c>
      <c r="K76" s="47">
        <f>'BIO DATA'!J76</f>
        <v>2</v>
      </c>
      <c r="L76" s="9" t="str">
        <f>'BIO DATA'!S76</f>
        <v>Jalan Tani Pringsewu Barat kec. Pringsewu Kab. Pringsewu Lampung</v>
      </c>
      <c r="M76" s="9" t="str">
        <f>'BIO DATA'!U76</f>
        <v>Pringsewu Barat</v>
      </c>
      <c r="N76" s="9" t="str">
        <f>'BIO DATA'!V76</f>
        <v>Pringsewu</v>
      </c>
      <c r="O76" s="9" t="str">
        <f>'BIO DATA'!W76</f>
        <v>Pringsewu</v>
      </c>
      <c r="P76" s="9" t="str">
        <f>'BIO DATA'!X76</f>
        <v>Lampung</v>
      </c>
      <c r="Q76" s="9" t="str">
        <f>'BIO DATA'!Y76</f>
        <v>SDIT Cahaya Madani Pringsewu Lampung</v>
      </c>
      <c r="R76" s="9" t="str">
        <f>'BIO DATA'!Z76</f>
        <v>JL. Imam Bonjol Gg. Kauman No. 1 Faaresuk Timur Kecamatan Pringsewu</v>
      </c>
      <c r="S76" s="9">
        <f>'BIO DATA'!AA76</f>
        <v>0</v>
      </c>
      <c r="T76" s="9" t="str">
        <f>'BIO DATA'!AB76</f>
        <v>Rangga Apriandika</v>
      </c>
      <c r="U76" s="9" t="str">
        <f>'BIO DATA'!AC76</f>
        <v>Islam</v>
      </c>
      <c r="V76" s="9" t="str">
        <f>'BIO DATA'!AD76</f>
        <v>S1</v>
      </c>
      <c r="W76" s="9" t="str">
        <f>'BIO DATA'!AE76</f>
        <v>Wiraswasta</v>
      </c>
      <c r="X76" s="9" t="str">
        <f>'BIO DATA'!AF76</f>
        <v>3jt-5jt</v>
      </c>
      <c r="Y76" s="144" t="str">
        <f>'BIO DATA'!AG76</f>
        <v>081279635086</v>
      </c>
      <c r="Z76" s="9">
        <f>'BIO DATA'!AH76</f>
        <v>0</v>
      </c>
      <c r="AA76" s="9" t="str">
        <f>'BIO DATA'!AI76</f>
        <v>Eka Aprilia</v>
      </c>
      <c r="AB76" s="9" t="str">
        <f>'BIO DATA'!AJ76</f>
        <v>Islam</v>
      </c>
      <c r="AC76" s="9" t="str">
        <f>'BIO DATA'!AK76</f>
        <v>S2</v>
      </c>
      <c r="AD76" s="9" t="str">
        <f>'BIO DATA'!AL76</f>
        <v>Pegawai Swasta</v>
      </c>
      <c r="AE76" s="9" t="str">
        <f>'BIO DATA'!AM76</f>
        <v>5jt-10jt</v>
      </c>
      <c r="AF76" s="49" t="str">
        <f>'BIO DATA'!AN76</f>
        <v>081328224220</v>
      </c>
      <c r="AG76" s="9">
        <f>'BIO DATA'!AO76</f>
        <v>0</v>
      </c>
      <c r="AH76" s="9">
        <f>'BIO DATA'!AY76</f>
        <v>0</v>
      </c>
      <c r="AI76" s="9">
        <f>'BIO DATA'!AZ76</f>
        <v>0</v>
      </c>
      <c r="AJ76" s="9">
        <f>'BIO DATA'!BA76</f>
        <v>0</v>
      </c>
      <c r="AK76" s="9">
        <f>'BIO DATA'!BB76</f>
        <v>0</v>
      </c>
      <c r="AL76" s="9">
        <f>'BIO DATA'!BC76</f>
        <v>0</v>
      </c>
      <c r="AM76" s="9">
        <f>'BIO DATA'!BD76</f>
        <v>0</v>
      </c>
      <c r="AN76" s="9">
        <f>'BIO DATA'!BE76</f>
        <v>0</v>
      </c>
      <c r="AO76" s="9">
        <f>'BIO DATA'!BF76</f>
        <v>0</v>
      </c>
      <c r="AP76" s="50" t="str">
        <f>'BIO DATA'!BG76</f>
        <v>Fajar Nurahman, S.Pd.</v>
      </c>
    </row>
    <row r="77" spans="1:42" s="51" customFormat="1" ht="20.100000000000001" customHeight="1" thickBot="1">
      <c r="A77" s="17" t="s">
        <v>145</v>
      </c>
      <c r="B77">
        <v>165</v>
      </c>
      <c r="C77" s="285">
        <f>'BIO DATA'!C77</f>
        <v>12596</v>
      </c>
      <c r="D77" s="285" t="str">
        <f>'BIO DATA'!D77</f>
        <v>0142020609</v>
      </c>
      <c r="E77" s="286" t="str">
        <f>'BIO DATA'!E77</f>
        <v>Luqman Hakim</v>
      </c>
      <c r="F77" s="46" t="str">
        <f>'BIO DATA'!L77</f>
        <v>Laki-laki</v>
      </c>
      <c r="G77" s="9" t="str">
        <f>'BIO DATA'!M77</f>
        <v>Magelang</v>
      </c>
      <c r="H77" s="48">
        <f>'BIO DATA'!O77</f>
        <v>41730</v>
      </c>
      <c r="I77" s="46" t="str">
        <f>'BIO DATA'!R77</f>
        <v>Islam</v>
      </c>
      <c r="J77" s="47">
        <f>'BIO DATA'!I77</f>
        <v>1</v>
      </c>
      <c r="K77" s="47">
        <f>'BIO DATA'!J77</f>
        <v>1</v>
      </c>
      <c r="L77" s="9" t="str">
        <f>'BIO DATA'!S77</f>
        <v>Gondang Ngisor RT 9 RW 2 Kel. Manggong Kec. Ngadirejo Kab. Temanggung Jawa Tengah</v>
      </c>
      <c r="M77" s="9" t="str">
        <f>'BIO DATA'!U77</f>
        <v>Manggong</v>
      </c>
      <c r="N77" s="9" t="str">
        <f>'BIO DATA'!V77</f>
        <v>Ngadirejo</v>
      </c>
      <c r="O77" s="9" t="str">
        <f>'BIO DATA'!W77</f>
        <v>Temanggung</v>
      </c>
      <c r="P77" s="9" t="str">
        <f>'BIO DATA'!X77</f>
        <v>Jawa Tengah</v>
      </c>
      <c r="Q77" s="9" t="str">
        <f>'BIO DATA'!Y77</f>
        <v>SD Muhammadiyah Parakan</v>
      </c>
      <c r="R77" s="9" t="str">
        <f>'BIO DATA'!Z77</f>
        <v>Jl. Raya Kedu Km.2 Campursari Kecamatan Bulu Kabupaten Temanggung</v>
      </c>
      <c r="S77" s="9">
        <f>'BIO DATA'!AA77</f>
        <v>0</v>
      </c>
      <c r="T77" s="9" t="str">
        <f>'BIO DATA'!AB77</f>
        <v>Aldino Prajanto</v>
      </c>
      <c r="U77" s="9" t="str">
        <f>'BIO DATA'!AC77</f>
        <v>Islam</v>
      </c>
      <c r="V77" s="9" t="str">
        <f>'BIO DATA'!AD77</f>
        <v>S1</v>
      </c>
      <c r="W77" s="9" t="str">
        <f>'BIO DATA'!AE77</f>
        <v>Wiraswasta</v>
      </c>
      <c r="X77" s="9" t="str">
        <f>'BIO DATA'!AF77</f>
        <v>5jt-10jt</v>
      </c>
      <c r="Y77" s="144" t="str">
        <f>'BIO DATA'!AG77</f>
        <v>089507640988</v>
      </c>
      <c r="Z77" s="9">
        <f>'BIO DATA'!AH77</f>
        <v>0</v>
      </c>
      <c r="AA77" s="9" t="str">
        <f>'BIO DATA'!AI77</f>
        <v>Nur Rahma Yuliani</v>
      </c>
      <c r="AB77" s="9" t="str">
        <f>'BIO DATA'!AJ77</f>
        <v>Islam</v>
      </c>
      <c r="AC77" s="9" t="str">
        <f>'BIO DATA'!AK77</f>
        <v>S1</v>
      </c>
      <c r="AD77" s="9" t="str">
        <f>'BIO DATA'!AL77</f>
        <v>PNS</v>
      </c>
      <c r="AE77" s="9" t="str">
        <f>'BIO DATA'!AM77</f>
        <v>5jt-10jt</v>
      </c>
      <c r="AF77" s="49" t="str">
        <f>'BIO DATA'!AN77</f>
        <v>08122770057</v>
      </c>
      <c r="AG77" s="9">
        <f>'BIO DATA'!AO77</f>
        <v>0</v>
      </c>
      <c r="AH77" s="9">
        <f>'BIO DATA'!AY77</f>
        <v>0</v>
      </c>
      <c r="AI77" s="9">
        <f>'BIO DATA'!AZ77</f>
        <v>0</v>
      </c>
      <c r="AJ77" s="9">
        <f>'BIO DATA'!BA77</f>
        <v>0</v>
      </c>
      <c r="AK77" s="9">
        <f>'BIO DATA'!BB77</f>
        <v>0</v>
      </c>
      <c r="AL77" s="9">
        <f>'BIO DATA'!BC77</f>
        <v>0</v>
      </c>
      <c r="AM77" s="9">
        <f>'BIO DATA'!BD77</f>
        <v>0</v>
      </c>
      <c r="AN77" s="9">
        <f>'BIO DATA'!BE77</f>
        <v>0</v>
      </c>
      <c r="AO77" s="9">
        <f>'BIO DATA'!BF77</f>
        <v>0</v>
      </c>
      <c r="AP77" s="50" t="str">
        <f>'BIO DATA'!BG77</f>
        <v>Fajar Nurahman, S.Pd.</v>
      </c>
    </row>
    <row r="78" spans="1:42" s="51" customFormat="1" ht="20.100000000000001" customHeight="1" thickBot="1">
      <c r="A78" s="17" t="s">
        <v>145</v>
      </c>
      <c r="B78">
        <v>176</v>
      </c>
      <c r="C78" s="285">
        <f>'BIO DATA'!C78</f>
        <v>12601</v>
      </c>
      <c r="D78" s="285" t="str">
        <f>'BIO DATA'!D78</f>
        <v>0132556509</v>
      </c>
      <c r="E78" s="286" t="str">
        <f>'BIO DATA'!E78</f>
        <v>Maulana Dzaki Husnayain</v>
      </c>
      <c r="F78" s="46" t="str">
        <f>'BIO DATA'!L78</f>
        <v>Laki-laki</v>
      </c>
      <c r="G78" s="9" t="str">
        <f>'BIO DATA'!M78</f>
        <v>Temanggung</v>
      </c>
      <c r="H78" s="48">
        <f>'BIO DATA'!O78</f>
        <v>41503</v>
      </c>
      <c r="I78" s="46" t="str">
        <f>'BIO DATA'!R78</f>
        <v>Islam</v>
      </c>
      <c r="J78" s="47">
        <f>'BIO DATA'!I78</f>
        <v>2</v>
      </c>
      <c r="K78" s="47">
        <f>'BIO DATA'!J78</f>
        <v>2</v>
      </c>
      <c r="L78" s="9" t="str">
        <f>'BIO DATA'!S78</f>
        <v>Perum Kowangan Utama blok A No. 7 RT 003/005 Kowangan Temanggung Jawa Tengah</v>
      </c>
      <c r="M78" s="9" t="str">
        <f>'BIO DATA'!U78</f>
        <v>Kowangan</v>
      </c>
      <c r="N78" s="9" t="str">
        <f>'BIO DATA'!V78</f>
        <v>Temanggung</v>
      </c>
      <c r="O78" s="9" t="str">
        <f>'BIO DATA'!W78</f>
        <v>Temanggung</v>
      </c>
      <c r="P78" s="9" t="str">
        <f>'BIO DATA'!X78</f>
        <v>Jawa Tengah</v>
      </c>
      <c r="Q78" s="9" t="str">
        <f>'BIO DATA'!Y78</f>
        <v>SD IT Cahaya Insani Temanggung</v>
      </c>
      <c r="R78" s="9" t="str">
        <f>'BIO DATA'!Z78</f>
        <v>Jl. Dewi Sartika No. 5C Kowangan Temanggung</v>
      </c>
      <c r="S78" s="9">
        <f>'BIO DATA'!AA78</f>
        <v>0</v>
      </c>
      <c r="T78" s="9" t="str">
        <f>'BIO DATA'!AB78</f>
        <v>Jianto</v>
      </c>
      <c r="U78" s="9" t="str">
        <f>'BIO DATA'!AC78</f>
        <v>Islam</v>
      </c>
      <c r="V78" s="9" t="str">
        <f>'BIO DATA'!AD78</f>
        <v>SMA/SMK/MA</v>
      </c>
      <c r="W78" s="9" t="str">
        <f>'BIO DATA'!AE78</f>
        <v>TNI/Polri</v>
      </c>
      <c r="X78" s="9" t="str">
        <f>'BIO DATA'!AF78</f>
        <v>5jt-10jt</v>
      </c>
      <c r="Y78" s="144" t="str">
        <f>'BIO DATA'!AG78</f>
        <v>081911308206</v>
      </c>
      <c r="Z78" s="9">
        <f>'BIO DATA'!AH78</f>
        <v>0</v>
      </c>
      <c r="AA78" s="9" t="str">
        <f>'BIO DATA'!AI78</f>
        <v>Deby Widia Anggrainy</v>
      </c>
      <c r="AB78" s="9" t="str">
        <f>'BIO DATA'!AJ78</f>
        <v>Islam</v>
      </c>
      <c r="AC78" s="9" t="str">
        <f>'BIO DATA'!AK78</f>
        <v>S1</v>
      </c>
      <c r="AD78" s="9" t="str">
        <f>'BIO DATA'!AL78</f>
        <v>Pegawai Swasta</v>
      </c>
      <c r="AE78" s="9" t="str">
        <f>'BIO DATA'!AM78</f>
        <v>3jt-5jt</v>
      </c>
      <c r="AF78" s="49" t="str">
        <f>'BIO DATA'!AN78</f>
        <v>085228000821</v>
      </c>
      <c r="AG78" s="9">
        <f>'BIO DATA'!AO78</f>
        <v>0</v>
      </c>
      <c r="AH78" s="9">
        <f>'BIO DATA'!AY78</f>
        <v>0</v>
      </c>
      <c r="AI78" s="9">
        <f>'BIO DATA'!AZ78</f>
        <v>0</v>
      </c>
      <c r="AJ78" s="9">
        <f>'BIO DATA'!BA78</f>
        <v>0</v>
      </c>
      <c r="AK78" s="9">
        <f>'BIO DATA'!BB78</f>
        <v>0</v>
      </c>
      <c r="AL78" s="9">
        <f>'BIO DATA'!BC78</f>
        <v>0</v>
      </c>
      <c r="AM78" s="9">
        <f>'BIO DATA'!BD78</f>
        <v>0</v>
      </c>
      <c r="AN78" s="9">
        <f>'BIO DATA'!BE78</f>
        <v>0</v>
      </c>
      <c r="AO78" s="9">
        <f>'BIO DATA'!BF78</f>
        <v>0</v>
      </c>
      <c r="AP78" s="50" t="str">
        <f>'BIO DATA'!BG78</f>
        <v>Fajar Nurahman, S.Pd.</v>
      </c>
    </row>
    <row r="79" spans="1:42" s="51" customFormat="1" ht="20.100000000000001" customHeight="1" thickBot="1">
      <c r="A79" s="17" t="s">
        <v>145</v>
      </c>
      <c r="B79">
        <v>185</v>
      </c>
      <c r="C79" s="285">
        <f>'BIO DATA'!C79</f>
        <v>12622</v>
      </c>
      <c r="D79" s="285" t="str">
        <f>'BIO DATA'!D79</f>
        <v>0138346222</v>
      </c>
      <c r="E79" s="286" t="str">
        <f>'BIO DATA'!E79</f>
        <v>Muhammad Azhar Nazhifurrahman</v>
      </c>
      <c r="F79" s="46" t="str">
        <f>'BIO DATA'!L79</f>
        <v>Laki-laki</v>
      </c>
      <c r="G79" s="9" t="str">
        <f>'BIO DATA'!M79</f>
        <v>Balikpapan</v>
      </c>
      <c r="H79" s="48">
        <f>'BIO DATA'!O79</f>
        <v>41615</v>
      </c>
      <c r="I79" s="46" t="str">
        <f>'BIO DATA'!R79</f>
        <v>Islam</v>
      </c>
      <c r="J79" s="47">
        <f>'BIO DATA'!I79</f>
        <v>2</v>
      </c>
      <c r="K79" s="47">
        <f>'BIO DATA'!J79</f>
        <v>1</v>
      </c>
      <c r="L79" s="9" t="str">
        <f>'BIO DATA'!S79</f>
        <v>Gunung Pasir No.80 RT 005 Kampung Lama Samboja Kutai Kartanegara Kalimantan Timur</v>
      </c>
      <c r="M79" s="9" t="str">
        <f>'BIO DATA'!U79</f>
        <v>Kampung Lama</v>
      </c>
      <c r="N79" s="9" t="str">
        <f>'BIO DATA'!V79</f>
        <v>Samboja</v>
      </c>
      <c r="O79" s="9" t="str">
        <f>'BIO DATA'!W79</f>
        <v>Kutai Kartanegara</v>
      </c>
      <c r="P79" s="9" t="str">
        <f>'BIO DATA'!X79</f>
        <v>Kalimantan Timur</v>
      </c>
      <c r="Q79" s="9" t="str">
        <f>'BIO DATA'!Y79</f>
        <v>MI Muhammadiyah samboja</v>
      </c>
      <c r="R79" s="9" t="str">
        <f>'BIO DATA'!Z79</f>
        <v>RT. 1 Kel. Sungai Seluang Kec. Samboja</v>
      </c>
      <c r="S79" s="9">
        <f>'BIO DATA'!AA79</f>
        <v>0</v>
      </c>
      <c r="T79" s="9" t="str">
        <f>'BIO DATA'!AB79</f>
        <v>Sulistyo</v>
      </c>
      <c r="U79" s="9" t="str">
        <f>'BIO DATA'!AC79</f>
        <v>Islam</v>
      </c>
      <c r="V79" s="9" t="str">
        <f>'BIO DATA'!AD79</f>
        <v>S2</v>
      </c>
      <c r="W79" s="9" t="str">
        <f>'BIO DATA'!AE79</f>
        <v>PNS</v>
      </c>
      <c r="X79" s="9" t="str">
        <f>'BIO DATA'!AF79</f>
        <v>5jt-10jt</v>
      </c>
      <c r="Y79" s="144" t="str">
        <f>'BIO DATA'!AG79</f>
        <v>081349508890</v>
      </c>
      <c r="Z79" s="9">
        <f>'BIO DATA'!AH79</f>
        <v>0</v>
      </c>
      <c r="AA79" s="9" t="str">
        <f>'BIO DATA'!AI79</f>
        <v>Desi Nor Hidayah</v>
      </c>
      <c r="AB79" s="9" t="str">
        <f>'BIO DATA'!AJ79</f>
        <v>Islam</v>
      </c>
      <c r="AC79" s="9" t="str">
        <f>'BIO DATA'!AK79</f>
        <v>S1</v>
      </c>
      <c r="AD79" s="9" t="str">
        <f>'BIO DATA'!AL79</f>
        <v>PNS</v>
      </c>
      <c r="AE79" s="9" t="str">
        <f>'BIO DATA'!AM79</f>
        <v>5jt-10jt</v>
      </c>
      <c r="AF79" s="49" t="str">
        <f>'BIO DATA'!AN79</f>
        <v>081350249392</v>
      </c>
      <c r="AG79" s="9">
        <f>'BIO DATA'!AO79</f>
        <v>0</v>
      </c>
      <c r="AH79" s="9">
        <f>'BIO DATA'!AY79</f>
        <v>0</v>
      </c>
      <c r="AI79" s="9">
        <f>'BIO DATA'!AZ79</f>
        <v>0</v>
      </c>
      <c r="AJ79" s="9">
        <f>'BIO DATA'!BA79</f>
        <v>0</v>
      </c>
      <c r="AK79" s="9">
        <f>'BIO DATA'!BB79</f>
        <v>0</v>
      </c>
      <c r="AL79" s="9">
        <f>'BIO DATA'!BC79</f>
        <v>0</v>
      </c>
      <c r="AM79" s="9">
        <f>'BIO DATA'!BD79</f>
        <v>0</v>
      </c>
      <c r="AN79" s="9">
        <f>'BIO DATA'!BE79</f>
        <v>0</v>
      </c>
      <c r="AO79" s="9">
        <f>'BIO DATA'!BF79</f>
        <v>0</v>
      </c>
      <c r="AP79" s="50" t="str">
        <f>'BIO DATA'!BG79</f>
        <v>Fajar Nurahman, S.Pd.</v>
      </c>
    </row>
    <row r="80" spans="1:42" s="51" customFormat="1" ht="20.100000000000001" customHeight="1" thickBot="1">
      <c r="A80" s="17" t="s">
        <v>145</v>
      </c>
      <c r="B80">
        <v>199</v>
      </c>
      <c r="C80" s="285">
        <f>'BIO DATA'!C80</f>
        <v>12626</v>
      </c>
      <c r="D80" s="285" t="str">
        <f>'BIO DATA'!D80</f>
        <v>0143211215</v>
      </c>
      <c r="E80" s="286" t="str">
        <f>'BIO DATA'!E80</f>
        <v>Muhammad Bilal Najmu Tsaqib</v>
      </c>
      <c r="F80" s="46" t="str">
        <f>'BIO DATA'!L80</f>
        <v>Laki-laki</v>
      </c>
      <c r="G80" s="9" t="str">
        <f>'BIO DATA'!M80</f>
        <v>Jakarta</v>
      </c>
      <c r="H80" s="48">
        <f>'BIO DATA'!O80</f>
        <v>41774</v>
      </c>
      <c r="I80" s="46" t="str">
        <f>'BIO DATA'!R80</f>
        <v>Islam</v>
      </c>
      <c r="J80" s="47">
        <f>'BIO DATA'!I80</f>
        <v>3</v>
      </c>
      <c r="K80" s="47">
        <f>'BIO DATA'!J80</f>
        <v>2</v>
      </c>
      <c r="L80" s="9" t="str">
        <f>'BIO DATA'!S80</f>
        <v>Blok Rambutan No.99 RT.01 RW.04 Cipayung Depok Jawa Barat</v>
      </c>
      <c r="M80" s="9" t="str">
        <f>'BIO DATA'!U80</f>
        <v>Cipayung</v>
      </c>
      <c r="N80" s="9" t="str">
        <f>'BIO DATA'!V80</f>
        <v>Cipayung</v>
      </c>
      <c r="O80" s="9" t="str">
        <f>'BIO DATA'!W80</f>
        <v>Kota Depok</v>
      </c>
      <c r="P80" s="9" t="str">
        <f>'BIO DATA'!X80</f>
        <v>Jawa Barat</v>
      </c>
      <c r="Q80" s="9" t="str">
        <f>'BIO DATA'!Y80</f>
        <v>SDIT Al Hikmah Cipayung Depok Jabar</v>
      </c>
      <c r="R80" s="9" t="str">
        <f>'BIO DATA'!Z80</f>
        <v>Jl.H Muhidin No.114 Rt.01/02 Cipayung Jaya Depok Jabar</v>
      </c>
      <c r="S80" s="9">
        <f>'BIO DATA'!AA80</f>
        <v>0</v>
      </c>
      <c r="T80" s="9" t="str">
        <f>'BIO DATA'!AB80</f>
        <v>Abdul Somad</v>
      </c>
      <c r="U80" s="9" t="str">
        <f>'BIO DATA'!AC80</f>
        <v>Islam</v>
      </c>
      <c r="V80" s="9" t="str">
        <f>'BIO DATA'!AD80</f>
        <v>S1</v>
      </c>
      <c r="W80" s="9" t="str">
        <f>'BIO DATA'!AE80</f>
        <v>PNS</v>
      </c>
      <c r="X80" s="9" t="str">
        <f>'BIO DATA'!AF80</f>
        <v>3jt-5jt</v>
      </c>
      <c r="Y80" s="144" t="str">
        <f>'BIO DATA'!AG80</f>
        <v>081285665132</v>
      </c>
      <c r="Z80" s="9">
        <f>'BIO DATA'!AH80</f>
        <v>0</v>
      </c>
      <c r="AA80" s="9" t="str">
        <f>'BIO DATA'!AI80</f>
        <v>Siti Hamdanah</v>
      </c>
      <c r="AB80" s="9" t="str">
        <f>'BIO DATA'!AJ80</f>
        <v>Islam</v>
      </c>
      <c r="AC80" s="9" t="str">
        <f>'BIO DATA'!AK80</f>
        <v>S1</v>
      </c>
      <c r="AD80" s="9" t="str">
        <f>'BIO DATA'!AL80</f>
        <v>Pegawai Swasta</v>
      </c>
      <c r="AE80" s="9" t="str">
        <f>'BIO DATA'!AM80</f>
        <v>3jt-5jt</v>
      </c>
      <c r="AF80" s="49" t="str">
        <f>'BIO DATA'!AN80</f>
        <v>081311095194</v>
      </c>
      <c r="AG80" s="9">
        <f>'BIO DATA'!AO80</f>
        <v>0</v>
      </c>
      <c r="AH80" s="9">
        <f>'BIO DATA'!AY80</f>
        <v>0</v>
      </c>
      <c r="AI80" s="9">
        <f>'BIO DATA'!AZ80</f>
        <v>0</v>
      </c>
      <c r="AJ80" s="9">
        <f>'BIO DATA'!BA80</f>
        <v>0</v>
      </c>
      <c r="AK80" s="9">
        <f>'BIO DATA'!BB80</f>
        <v>0</v>
      </c>
      <c r="AL80" s="9">
        <f>'BIO DATA'!BC80</f>
        <v>0</v>
      </c>
      <c r="AM80" s="9">
        <f>'BIO DATA'!BD80</f>
        <v>0</v>
      </c>
      <c r="AN80" s="9">
        <f>'BIO DATA'!BE80</f>
        <v>0</v>
      </c>
      <c r="AO80" s="9">
        <f>'BIO DATA'!BF80</f>
        <v>0</v>
      </c>
      <c r="AP80" s="50" t="str">
        <f>'BIO DATA'!BG80</f>
        <v>Fajar Nurahman, S.Pd.</v>
      </c>
    </row>
    <row r="81" spans="1:42" s="51" customFormat="1" ht="20.100000000000001" customHeight="1" thickBot="1">
      <c r="A81" s="17" t="s">
        <v>145</v>
      </c>
      <c r="B81">
        <v>233</v>
      </c>
      <c r="C81" s="285">
        <f>'BIO DATA'!C81</f>
        <v>12628</v>
      </c>
      <c r="D81" s="285">
        <f>'BIO DATA'!D81</f>
        <v>3136838220</v>
      </c>
      <c r="E81" s="286" t="str">
        <f>'BIO DATA'!E81</f>
        <v>Muhammad Dhiaa El Haq</v>
      </c>
      <c r="F81" s="46" t="str">
        <f>'BIO DATA'!L81</f>
        <v>Laki-laki</v>
      </c>
      <c r="G81" s="9" t="str">
        <f>'BIO DATA'!M81</f>
        <v>Cilegon</v>
      </c>
      <c r="H81" s="48">
        <f>'BIO DATA'!O81</f>
        <v>41561</v>
      </c>
      <c r="I81" s="46" t="str">
        <f>'BIO DATA'!R81</f>
        <v>Islam</v>
      </c>
      <c r="J81" s="47">
        <f>'BIO DATA'!I81</f>
        <v>3</v>
      </c>
      <c r="K81" s="47">
        <f>'BIO DATA'!J81</f>
        <v>2</v>
      </c>
      <c r="L81" s="9" t="str">
        <f>'BIO DATA'!S81</f>
        <v>Link. Sukamaju RT 001 RW 006 Mekasrsari Pulomerak Kota Cilegon Bamten</v>
      </c>
      <c r="M81" s="9" t="str">
        <f>'BIO DATA'!U81</f>
        <v>Mekarsari</v>
      </c>
      <c r="N81" s="9" t="str">
        <f>'BIO DATA'!V81</f>
        <v>Pulomerak</v>
      </c>
      <c r="O81" s="9" t="str">
        <f>'BIO DATA'!W81</f>
        <v>Kota Cilegon</v>
      </c>
      <c r="P81" s="9" t="str">
        <f>'BIO DATA'!X81</f>
        <v>Banten</v>
      </c>
      <c r="Q81" s="9" t="str">
        <f>'BIO DATA'!Y81</f>
        <v>MIN 1 Kota Cilegon</v>
      </c>
      <c r="R81" s="9" t="str">
        <f>'BIO DATA'!Z81</f>
        <v>Jl. Langon No. 5, RT.RW. 05/01, Mekarsari, Pulomerak, Kota Cilegon</v>
      </c>
      <c r="S81" s="9">
        <f>'BIO DATA'!AA81</f>
        <v>0</v>
      </c>
      <c r="T81" s="9" t="str">
        <f>'BIO DATA'!AB81</f>
        <v>Oman Fathurrohman</v>
      </c>
      <c r="U81" s="9" t="str">
        <f>'BIO DATA'!AC81</f>
        <v>Islam</v>
      </c>
      <c r="V81" s="9" t="str">
        <f>'BIO DATA'!AD81</f>
        <v>S1</v>
      </c>
      <c r="W81" s="9" t="str">
        <f>'BIO DATA'!AE81</f>
        <v>PNS</v>
      </c>
      <c r="X81" s="9" t="str">
        <f>'BIO DATA'!AF81</f>
        <v>3jt-5jt</v>
      </c>
      <c r="Y81" s="144" t="str">
        <f>'BIO DATA'!AG81</f>
        <v>085920036832</v>
      </c>
      <c r="Z81" s="9">
        <f>'BIO DATA'!AH81</f>
        <v>0</v>
      </c>
      <c r="AA81" s="9" t="str">
        <f>'BIO DATA'!AI81</f>
        <v>Inna Mutmainnah</v>
      </c>
      <c r="AB81" s="9" t="str">
        <f>'BIO DATA'!AJ81</f>
        <v>Islam</v>
      </c>
      <c r="AC81" s="9" t="str">
        <f>'BIO DATA'!AK81</f>
        <v>DIPLOMA</v>
      </c>
      <c r="AD81" s="9" t="str">
        <f>'BIO DATA'!AL81</f>
        <v>Pegawai Swasta</v>
      </c>
      <c r="AE81" s="9" t="str">
        <f>'BIO DATA'!AM81</f>
        <v>3jt-5jt</v>
      </c>
      <c r="AF81" s="49" t="str">
        <f>'BIO DATA'!AN81</f>
        <v>082112471307</v>
      </c>
      <c r="AG81" s="9">
        <f>'BIO DATA'!AO81</f>
        <v>0</v>
      </c>
      <c r="AH81" s="9">
        <f>'BIO DATA'!AY81</f>
        <v>0</v>
      </c>
      <c r="AI81" s="9">
        <f>'BIO DATA'!AZ81</f>
        <v>0</v>
      </c>
      <c r="AJ81" s="9">
        <f>'BIO DATA'!BA81</f>
        <v>0</v>
      </c>
      <c r="AK81" s="9">
        <f>'BIO DATA'!BB81</f>
        <v>0</v>
      </c>
      <c r="AL81" s="9">
        <f>'BIO DATA'!BC81</f>
        <v>0</v>
      </c>
      <c r="AM81" s="9">
        <f>'BIO DATA'!BD81</f>
        <v>0</v>
      </c>
      <c r="AN81" s="9">
        <f>'BIO DATA'!BE81</f>
        <v>0</v>
      </c>
      <c r="AO81" s="9">
        <f>'BIO DATA'!BF81</f>
        <v>0</v>
      </c>
      <c r="AP81" s="50" t="str">
        <f>'BIO DATA'!BG81</f>
        <v>Fajar Nurahman, S.Pd.</v>
      </c>
    </row>
    <row r="82" spans="1:42" s="51" customFormat="1" ht="20.100000000000001" customHeight="1" thickBot="1">
      <c r="A82" s="17" t="s">
        <v>145</v>
      </c>
      <c r="B82">
        <v>237</v>
      </c>
      <c r="C82" s="285">
        <f>'BIO DATA'!C82</f>
        <v>12639</v>
      </c>
      <c r="D82" s="285">
        <f>'BIO DATA'!D82</f>
        <v>3136599897</v>
      </c>
      <c r="E82" s="286" t="str">
        <f>'BIO DATA'!E82</f>
        <v>Muhammad Hanif Adhinugraha</v>
      </c>
      <c r="F82" s="46" t="str">
        <f>'BIO DATA'!L82</f>
        <v>Laki-laki</v>
      </c>
      <c r="G82" s="9" t="str">
        <f>'BIO DATA'!M82</f>
        <v>Yogyakarta</v>
      </c>
      <c r="H82" s="48">
        <f>'BIO DATA'!O82</f>
        <v>41591</v>
      </c>
      <c r="I82" s="46" t="str">
        <f>'BIO DATA'!R82</f>
        <v>Islam</v>
      </c>
      <c r="J82" s="47">
        <f>'BIO DATA'!I82</f>
        <v>3</v>
      </c>
      <c r="K82" s="47">
        <f>'BIO DATA'!J82</f>
        <v>2</v>
      </c>
      <c r="L82" s="9" t="str">
        <f>'BIO DATA'!S82</f>
        <v>Jalan Mutiara No.62 kelurahan Demangan kecamatan Gondokusuman 55221</v>
      </c>
      <c r="M82" s="9" t="str">
        <f>'BIO DATA'!U82</f>
        <v>Demangan</v>
      </c>
      <c r="N82" s="9" t="str">
        <f>'BIO DATA'!V82</f>
        <v>Gondokusuman</v>
      </c>
      <c r="O82" s="9" t="str">
        <f>'BIO DATA'!W82</f>
        <v>Kota Yogyakarta</v>
      </c>
      <c r="P82" s="9" t="str">
        <f>'BIO DATA'!X82</f>
        <v>DIY</v>
      </c>
      <c r="Q82" s="9" t="str">
        <f>'BIO DATA'!Y82</f>
        <v>SDIT Luqman Hakim Jogjakarta</v>
      </c>
      <c r="R82" s="9" t="str">
        <f>'BIO DATA'!Z82</f>
        <v>Gg. Delima No.2, Muja Muju, Kec. Umbulharjo, Kota Yogyakarta, Daerah Istimewa Yogyakarta 55165</v>
      </c>
      <c r="S82" s="9">
        <f>'BIO DATA'!AA82</f>
        <v>0</v>
      </c>
      <c r="T82" s="9" t="str">
        <f>'BIO DATA'!AB82</f>
        <v>R. Teguh Adhi Nugraha, S. P</v>
      </c>
      <c r="U82" s="9" t="str">
        <f>'BIO DATA'!AC82</f>
        <v>Islam</v>
      </c>
      <c r="V82" s="9" t="str">
        <f>'BIO DATA'!AD82</f>
        <v>S1</v>
      </c>
      <c r="W82" s="9" t="str">
        <f>'BIO DATA'!AE82</f>
        <v>Pegawai Swasta</v>
      </c>
      <c r="X82" s="9" t="str">
        <f>'BIO DATA'!AF82</f>
        <v>5jt-10jt</v>
      </c>
      <c r="Y82" s="144" t="str">
        <f>'BIO DATA'!AG82</f>
        <v>081327992798</v>
      </c>
      <c r="Z82" s="9">
        <f>'BIO DATA'!AH82</f>
        <v>0</v>
      </c>
      <c r="AA82" s="9" t="str">
        <f>'BIO DATA'!AI82</f>
        <v>Mila Emiliawati</v>
      </c>
      <c r="AB82" s="9" t="str">
        <f>'BIO DATA'!AJ82</f>
        <v>Islam</v>
      </c>
      <c r="AC82" s="9" t="str">
        <f>'BIO DATA'!AK82</f>
        <v>SMA/SMK/MA</v>
      </c>
      <c r="AD82" s="9" t="str">
        <f>'BIO DATA'!AL82</f>
        <v>Lain-lain</v>
      </c>
      <c r="AE82" s="9" t="str">
        <f>'BIO DATA'!AM82</f>
        <v>500-1jt</v>
      </c>
      <c r="AF82" s="49" t="str">
        <f>'BIO DATA'!AN82</f>
        <v>081390354336</v>
      </c>
      <c r="AG82" s="9">
        <f>'BIO DATA'!AO82</f>
        <v>0</v>
      </c>
      <c r="AH82" s="9">
        <f>'BIO DATA'!AY82</f>
        <v>0</v>
      </c>
      <c r="AI82" s="9">
        <f>'BIO DATA'!AZ82</f>
        <v>0</v>
      </c>
      <c r="AJ82" s="9">
        <f>'BIO DATA'!BA82</f>
        <v>0</v>
      </c>
      <c r="AK82" s="9">
        <f>'BIO DATA'!BB82</f>
        <v>0</v>
      </c>
      <c r="AL82" s="9">
        <f>'BIO DATA'!BC82</f>
        <v>0</v>
      </c>
      <c r="AM82" s="9">
        <f>'BIO DATA'!BD82</f>
        <v>0</v>
      </c>
      <c r="AN82" s="9">
        <f>'BIO DATA'!BE82</f>
        <v>0</v>
      </c>
      <c r="AO82" s="9">
        <f>'BIO DATA'!BF82</f>
        <v>0</v>
      </c>
      <c r="AP82" s="50" t="str">
        <f>'BIO DATA'!BG82</f>
        <v>Fajar Nurahman, S.Pd.</v>
      </c>
    </row>
    <row r="83" spans="1:42" s="51" customFormat="1" ht="20.100000000000001" customHeight="1" thickBot="1">
      <c r="A83" s="17" t="s">
        <v>145</v>
      </c>
      <c r="B83">
        <v>245</v>
      </c>
      <c r="C83" s="285">
        <f>'BIO DATA'!C83</f>
        <v>12640</v>
      </c>
      <c r="D83" s="285" t="str">
        <f>'BIO DATA'!D83</f>
        <v>0135310873</v>
      </c>
      <c r="E83" s="286" t="str">
        <f>'BIO DATA'!E83</f>
        <v>Muhammad Ikhsan Fadhilah</v>
      </c>
      <c r="F83" s="46" t="str">
        <f>'BIO DATA'!L83</f>
        <v>Laki-laki</v>
      </c>
      <c r="G83" s="9" t="str">
        <f>'BIO DATA'!M83</f>
        <v>Surakarta</v>
      </c>
      <c r="H83" s="48">
        <f>'BIO DATA'!O83</f>
        <v>41421</v>
      </c>
      <c r="I83" s="46" t="str">
        <f>'BIO DATA'!R83</f>
        <v>Islam</v>
      </c>
      <c r="J83" s="47">
        <f>'BIO DATA'!I83</f>
        <v>1</v>
      </c>
      <c r="K83" s="47">
        <f>'BIO DATA'!J83</f>
        <v>2</v>
      </c>
      <c r="L83" s="9" t="str">
        <f>'BIO DATA'!S83</f>
        <v>Jl.beton rt01 rw07 , Sewu, Jebres, Surakarta,Jawa Tengah, 57123</v>
      </c>
      <c r="M83" s="9" t="str">
        <f>'BIO DATA'!U83</f>
        <v>Sewu</v>
      </c>
      <c r="N83" s="9" t="str">
        <f>'BIO DATA'!V83</f>
        <v>Jebres</v>
      </c>
      <c r="O83" s="9" t="str">
        <f>'BIO DATA'!W83</f>
        <v>Kota Surakarta</v>
      </c>
      <c r="P83" s="9" t="str">
        <f>'BIO DATA'!X83</f>
        <v>Jawa Tengah</v>
      </c>
      <c r="Q83" s="9" t="str">
        <f>'BIO DATA'!Y83</f>
        <v>SD Muhammadiyah1 ketelan Surakarta</v>
      </c>
      <c r="R83" s="9" t="str">
        <f>'BIO DATA'!Z83</f>
        <v>Jl. Kartini No.1, RT.01/RW.09, Ketelan, Kec. Banjarsari, Kota Surakarta, Jawa Tengah 57132</v>
      </c>
      <c r="S83" s="9">
        <f>'BIO DATA'!AA83</f>
        <v>0</v>
      </c>
      <c r="T83" s="9" t="str">
        <f>'BIO DATA'!AB83</f>
        <v>Muhammad Sarqoni</v>
      </c>
      <c r="U83" s="9" t="str">
        <f>'BIO DATA'!AC83</f>
        <v>Islam</v>
      </c>
      <c r="V83" s="9" t="str">
        <f>'BIO DATA'!AD83</f>
        <v>SMA/SMK/MA</v>
      </c>
      <c r="W83" s="9" t="str">
        <f>'BIO DATA'!AE83</f>
        <v>Wiraswasta</v>
      </c>
      <c r="X83" s="9" t="str">
        <f>'BIO DATA'!AF83</f>
        <v>&gt;10jt</v>
      </c>
      <c r="Y83" s="144" t="str">
        <f>'BIO DATA'!AG83</f>
        <v>081225888877</v>
      </c>
      <c r="Z83" s="9">
        <f>'BIO DATA'!AH83</f>
        <v>0</v>
      </c>
      <c r="AA83" s="9" t="str">
        <f>'BIO DATA'!AI83</f>
        <v>Ayu Diana Sartika</v>
      </c>
      <c r="AB83" s="9" t="str">
        <f>'BIO DATA'!AJ83</f>
        <v>Islam</v>
      </c>
      <c r="AC83" s="9" t="str">
        <f>'BIO DATA'!AK83</f>
        <v>SMA/SMK/MA</v>
      </c>
      <c r="AD83" s="9" t="str">
        <f>'BIO DATA'!AL83</f>
        <v>Tidak Bekerja</v>
      </c>
      <c r="AE83" s="9" t="str">
        <f>'BIO DATA'!AM83</f>
        <v>1jt-3jt</v>
      </c>
      <c r="AF83" s="49" t="str">
        <f>'BIO DATA'!AN83</f>
        <v>082286754848</v>
      </c>
      <c r="AG83" s="9">
        <f>'BIO DATA'!AO83</f>
        <v>0</v>
      </c>
      <c r="AH83" s="9">
        <f>'BIO DATA'!AY83</f>
        <v>0</v>
      </c>
      <c r="AI83" s="9">
        <f>'BIO DATA'!AZ83</f>
        <v>0</v>
      </c>
      <c r="AJ83" s="9">
        <f>'BIO DATA'!BA83</f>
        <v>0</v>
      </c>
      <c r="AK83" s="9">
        <f>'BIO DATA'!BB83</f>
        <v>0</v>
      </c>
      <c r="AL83" s="9">
        <f>'BIO DATA'!BC83</f>
        <v>0</v>
      </c>
      <c r="AM83" s="9">
        <f>'BIO DATA'!BD83</f>
        <v>0</v>
      </c>
      <c r="AN83" s="9">
        <f>'BIO DATA'!BE83</f>
        <v>0</v>
      </c>
      <c r="AO83" s="9">
        <f>'BIO DATA'!BF83</f>
        <v>0</v>
      </c>
      <c r="AP83" s="50" t="str">
        <f>'BIO DATA'!BG83</f>
        <v>Fajar Nurahman, S.Pd.</v>
      </c>
    </row>
    <row r="84" spans="1:42" s="51" customFormat="1" ht="20.100000000000001" customHeight="1" thickBot="1">
      <c r="A84" s="17" t="s">
        <v>145</v>
      </c>
      <c r="B84">
        <v>249</v>
      </c>
      <c r="C84" s="285">
        <f>'BIO DATA'!C84</f>
        <v>12641</v>
      </c>
      <c r="D84" s="285" t="str">
        <f>'BIO DATA'!D84</f>
        <v>0138313709</v>
      </c>
      <c r="E84" s="286" t="str">
        <f>'BIO DATA'!E84</f>
        <v>Muhammad Irsyad Wijaya</v>
      </c>
      <c r="F84" s="46" t="str">
        <f>'BIO DATA'!L84</f>
        <v>Laki-laki</v>
      </c>
      <c r="G84" s="9" t="str">
        <f>'BIO DATA'!M84</f>
        <v>Yogyakarta</v>
      </c>
      <c r="H84" s="48">
        <f>'BIO DATA'!O84</f>
        <v>41375</v>
      </c>
      <c r="I84" s="46" t="str">
        <f>'BIO DATA'!R84</f>
        <v>Islam</v>
      </c>
      <c r="J84" s="47">
        <f>'BIO DATA'!I84</f>
        <v>2</v>
      </c>
      <c r="K84" s="47">
        <f>'BIO DATA'!J84</f>
        <v>3</v>
      </c>
      <c r="L84" s="9" t="str">
        <f>'BIO DATA'!S84</f>
        <v>Gunungrejo RT 07 RW 07 Bulurejo, kecamatan Gondangrejo, Karanganyar Jawa Tengah 57188</v>
      </c>
      <c r="M84" s="9" t="str">
        <f>'BIO DATA'!U84</f>
        <v>Bulurejo</v>
      </c>
      <c r="N84" s="9" t="str">
        <f>'BIO DATA'!V84</f>
        <v>Gondangrejo</v>
      </c>
      <c r="O84" s="9" t="str">
        <f>'BIO DATA'!W84</f>
        <v>Karanganyar</v>
      </c>
      <c r="P84" s="9" t="str">
        <f>'BIO DATA'!X84</f>
        <v>Jawa Tengah</v>
      </c>
      <c r="Q84" s="9" t="str">
        <f>'BIO DATA'!Y84</f>
        <v>MIN 2 Karanganyar</v>
      </c>
      <c r="R84" s="9" t="str">
        <f>'BIO DATA'!Z84</f>
        <v>Kragan RT 02 RW 04, Kel. Kragan, Kec. Gondangrejo, Karanganyar, Jawa Tengah</v>
      </c>
      <c r="S84" s="9">
        <f>'BIO DATA'!AA84</f>
        <v>0</v>
      </c>
      <c r="T84" s="9" t="str">
        <f>'BIO DATA'!AB84</f>
        <v>Agus Supriyanto</v>
      </c>
      <c r="U84" s="9" t="str">
        <f>'BIO DATA'!AC84</f>
        <v>Islam</v>
      </c>
      <c r="V84" s="9" t="str">
        <f>'BIO DATA'!AD84</f>
        <v>S1</v>
      </c>
      <c r="W84" s="9" t="str">
        <f>'BIO DATA'!AE84</f>
        <v>Wiraswasta</v>
      </c>
      <c r="X84" s="9" t="str">
        <f>'BIO DATA'!AF84</f>
        <v>1jt-3jt</v>
      </c>
      <c r="Y84" s="144" t="str">
        <f>'BIO DATA'!AG84</f>
        <v>081292922299</v>
      </c>
      <c r="Z84" s="9">
        <f>'BIO DATA'!AH84</f>
        <v>0</v>
      </c>
      <c r="AA84" s="9" t="str">
        <f>'BIO DATA'!AI84</f>
        <v>Siska Wijayanti</v>
      </c>
      <c r="AB84" s="9" t="str">
        <f>'BIO DATA'!AJ84</f>
        <v>Islam</v>
      </c>
      <c r="AC84" s="9" t="str">
        <f>'BIO DATA'!AK84</f>
        <v>S1</v>
      </c>
      <c r="AD84" s="9" t="str">
        <f>'BIO DATA'!AL84</f>
        <v>Tidak Bekerja</v>
      </c>
      <c r="AE84" s="9" t="str">
        <f>'BIO DATA'!AM84</f>
        <v>&lt; 500rb</v>
      </c>
      <c r="AF84" s="49" t="str">
        <f>'BIO DATA'!AN84</f>
        <v>0812962521</v>
      </c>
      <c r="AG84" s="9">
        <f>'BIO DATA'!AO84</f>
        <v>0</v>
      </c>
      <c r="AH84" s="9">
        <f>'BIO DATA'!AY84</f>
        <v>0</v>
      </c>
      <c r="AI84" s="9">
        <f>'BIO DATA'!AZ84</f>
        <v>0</v>
      </c>
      <c r="AJ84" s="9">
        <f>'BIO DATA'!BA84</f>
        <v>0</v>
      </c>
      <c r="AK84" s="9">
        <f>'BIO DATA'!BB84</f>
        <v>0</v>
      </c>
      <c r="AL84" s="9">
        <f>'BIO DATA'!BC84</f>
        <v>0</v>
      </c>
      <c r="AM84" s="9">
        <f>'BIO DATA'!BD84</f>
        <v>0</v>
      </c>
      <c r="AN84" s="9">
        <f>'BIO DATA'!BE84</f>
        <v>0</v>
      </c>
      <c r="AO84" s="9">
        <f>'BIO DATA'!BF84</f>
        <v>0</v>
      </c>
      <c r="AP84" s="50" t="str">
        <f>'BIO DATA'!BG84</f>
        <v>Fajar Nurahman, S.Pd.</v>
      </c>
    </row>
    <row r="85" spans="1:42" s="51" customFormat="1" ht="20.100000000000001" customHeight="1" thickBot="1">
      <c r="A85" s="17" t="s">
        <v>145</v>
      </c>
      <c r="B85">
        <v>253</v>
      </c>
      <c r="C85" s="285">
        <f>'BIO DATA'!C85</f>
        <v>12642</v>
      </c>
      <c r="D85" s="285" t="str">
        <f>'BIO DATA'!D85</f>
        <v>0133893858</v>
      </c>
      <c r="E85" s="286" t="str">
        <f>'BIO DATA'!E85</f>
        <v>Muhammad Jibril Assyafi Syaifullah</v>
      </c>
      <c r="F85" s="46" t="str">
        <f>'BIO DATA'!L85</f>
        <v>Laki-laki</v>
      </c>
      <c r="G85" s="9" t="str">
        <f>'BIO DATA'!M85</f>
        <v>Bantul</v>
      </c>
      <c r="H85" s="48">
        <f>'BIO DATA'!O85</f>
        <v>41414</v>
      </c>
      <c r="I85" s="46" t="str">
        <f>'BIO DATA'!R85</f>
        <v>Islam</v>
      </c>
      <c r="J85" s="47">
        <f>'BIO DATA'!I85</f>
        <v>2</v>
      </c>
      <c r="K85" s="47">
        <f>'BIO DATA'!J85</f>
        <v>1</v>
      </c>
      <c r="L85" s="9" t="str">
        <f>'BIO DATA'!S85</f>
        <v>Krapyak Wetan RT 11 Panggung harjo Sewon Bantul</v>
      </c>
      <c r="M85" s="9" t="str">
        <f>'BIO DATA'!U85</f>
        <v>Panggungharjo</v>
      </c>
      <c r="N85" s="9" t="str">
        <f>'BIO DATA'!V85</f>
        <v>Sewon</v>
      </c>
      <c r="O85" s="9" t="str">
        <f>'BIO DATA'!W85</f>
        <v>Bantul</v>
      </c>
      <c r="P85" s="9" t="str">
        <f>'BIO DATA'!X85</f>
        <v>DIY</v>
      </c>
      <c r="Q85" s="9" t="str">
        <f>'BIO DATA'!Y85</f>
        <v>SD Muhammadiyah Jogokariyan</v>
      </c>
      <c r="R85" s="9" t="str">
        <f>'BIO DATA'!Z85</f>
        <v>Jln. Jogokariyan No. 77A Mantrijeron Yogyakarta, D. I. Yogyakarta</v>
      </c>
      <c r="S85" s="9">
        <f>'BIO DATA'!AA85</f>
        <v>0</v>
      </c>
      <c r="T85" s="9" t="str">
        <f>'BIO DATA'!AB85</f>
        <v>Miftah Syaiful Huda, S. PdI (Alm)</v>
      </c>
      <c r="U85" s="9" t="str">
        <f>'BIO DATA'!AC85</f>
        <v>Islam</v>
      </c>
      <c r="V85" s="9" t="str">
        <f>'BIO DATA'!AD85</f>
        <v>S1</v>
      </c>
      <c r="W85" s="9" t="str">
        <f>'BIO DATA'!AE85</f>
        <v>Tidak Bekerja</v>
      </c>
      <c r="X85" s="9" t="str">
        <f>'BIO DATA'!AF85</f>
        <v>&lt; 500rb</v>
      </c>
      <c r="Y85" s="144">
        <f>'BIO DATA'!AG85</f>
        <v>0</v>
      </c>
      <c r="Z85" s="9">
        <f>'BIO DATA'!AH85</f>
        <v>0</v>
      </c>
      <c r="AA85" s="9" t="str">
        <f>'BIO DATA'!AI85</f>
        <v>Fitri Rachmawati, S. Pd.</v>
      </c>
      <c r="AB85" s="9" t="str">
        <f>'BIO DATA'!AJ85</f>
        <v>Islam</v>
      </c>
      <c r="AC85" s="9" t="str">
        <f>'BIO DATA'!AK85</f>
        <v>S1</v>
      </c>
      <c r="AD85" s="9" t="str">
        <f>'BIO DATA'!AL85</f>
        <v>Guru/Dosen</v>
      </c>
      <c r="AE85" s="9" t="str">
        <f>'BIO DATA'!AM85</f>
        <v>&lt; 500rb</v>
      </c>
      <c r="AF85" s="49" t="str">
        <f>'BIO DATA'!AN85</f>
        <v>085643060551</v>
      </c>
      <c r="AG85" s="9">
        <f>'BIO DATA'!AO85</f>
        <v>0</v>
      </c>
      <c r="AH85" s="9">
        <f>'BIO DATA'!AY85</f>
        <v>0</v>
      </c>
      <c r="AI85" s="9">
        <f>'BIO DATA'!AZ85</f>
        <v>0</v>
      </c>
      <c r="AJ85" s="9">
        <f>'BIO DATA'!BA85</f>
        <v>0</v>
      </c>
      <c r="AK85" s="9">
        <f>'BIO DATA'!BB85</f>
        <v>0</v>
      </c>
      <c r="AL85" s="9">
        <f>'BIO DATA'!BC85</f>
        <v>0</v>
      </c>
      <c r="AM85" s="9">
        <f>'BIO DATA'!BD85</f>
        <v>0</v>
      </c>
      <c r="AN85" s="9">
        <f>'BIO DATA'!BE85</f>
        <v>0</v>
      </c>
      <c r="AO85" s="9">
        <f>'BIO DATA'!BF85</f>
        <v>0</v>
      </c>
      <c r="AP85" s="50" t="str">
        <f>'BIO DATA'!BG85</f>
        <v>Fajar Nurahman, S.Pd.</v>
      </c>
    </row>
    <row r="86" spans="1:42" s="51" customFormat="1" ht="20.100000000000001" customHeight="1" thickBot="1">
      <c r="A86" s="17" t="s">
        <v>145</v>
      </c>
      <c r="B86">
        <v>255</v>
      </c>
      <c r="C86" s="285">
        <f>'BIO DATA'!C86</f>
        <v>12652</v>
      </c>
      <c r="D86" s="285" t="str">
        <f>'BIO DATA'!D86</f>
        <v>0146052377</v>
      </c>
      <c r="E86" s="286" t="str">
        <f>'BIO DATA'!E86</f>
        <v>Muhammad Rayhan Ar Rayyan Wijaya</v>
      </c>
      <c r="F86" s="46" t="str">
        <f>'BIO DATA'!L86</f>
        <v>Laki-laki</v>
      </c>
      <c r="G86" s="9" t="str">
        <f>'BIO DATA'!M86</f>
        <v>Malang</v>
      </c>
      <c r="H86" s="48">
        <f>'BIO DATA'!O86</f>
        <v>41706</v>
      </c>
      <c r="I86" s="46" t="str">
        <f>'BIO DATA'!R86</f>
        <v>Islam</v>
      </c>
      <c r="J86" s="47">
        <f>'BIO DATA'!I86</f>
        <v>2</v>
      </c>
      <c r="K86" s="47">
        <f>'BIO DATA'!J86</f>
        <v>3</v>
      </c>
      <c r="L86" s="9" t="str">
        <f>'BIO DATA'!S86</f>
        <v>Jln Topaz XI no 1 pondok permata suci gresik</v>
      </c>
      <c r="M86" s="9" t="str">
        <f>'BIO DATA'!U86</f>
        <v>Suci</v>
      </c>
      <c r="N86" s="9" t="str">
        <f>'BIO DATA'!V86</f>
        <v>Manyar</v>
      </c>
      <c r="O86" s="9" t="str">
        <f>'BIO DATA'!W86</f>
        <v>Gresik</v>
      </c>
      <c r="P86" s="9" t="str">
        <f>'BIO DATA'!X86</f>
        <v>Jawa Timur</v>
      </c>
      <c r="Q86" s="9" t="str">
        <f>'BIO DATA'!Y86</f>
        <v>SD Muhammadiyah GKB 2 Gresik</v>
      </c>
      <c r="R86" s="9">
        <f>'BIO DATA'!Z86</f>
        <v>0</v>
      </c>
      <c r="S86" s="9">
        <f>'BIO DATA'!AA86</f>
        <v>0</v>
      </c>
      <c r="T86" s="9" t="str">
        <f>'BIO DATA'!AB86</f>
        <v>Adhi Wahyu Wijaya, SE</v>
      </c>
      <c r="U86" s="9" t="str">
        <f>'BIO DATA'!AC86</f>
        <v>Islam</v>
      </c>
      <c r="V86" s="9" t="str">
        <f>'BIO DATA'!AD86</f>
        <v>S1</v>
      </c>
      <c r="W86" s="9" t="str">
        <f>'BIO DATA'!AE86</f>
        <v>Karyawan Swasta</v>
      </c>
      <c r="X86" s="9">
        <f>'BIO DATA'!AF86</f>
        <v>0</v>
      </c>
      <c r="Y86" s="144" t="str">
        <f>'BIO DATA'!AG86</f>
        <v>081333003001</v>
      </c>
      <c r="Z86" s="9">
        <f>'BIO DATA'!AH86</f>
        <v>0</v>
      </c>
      <c r="AA86" s="9" t="str">
        <f>'BIO DATA'!AI86</f>
        <v>Ricky Destanty Santoso</v>
      </c>
      <c r="AB86" s="9" t="str">
        <f>'BIO DATA'!AJ86</f>
        <v>Islam</v>
      </c>
      <c r="AC86" s="9" t="str">
        <f>'BIO DATA'!AK86</f>
        <v>Diploma</v>
      </c>
      <c r="AD86" s="9" t="str">
        <f>'BIO DATA'!AL86</f>
        <v>PNS</v>
      </c>
      <c r="AE86" s="9">
        <f>'BIO DATA'!AM86</f>
        <v>0</v>
      </c>
      <c r="AF86" s="49" t="str">
        <f>'BIO DATA'!AN86</f>
        <v>082230669911</v>
      </c>
      <c r="AG86" s="9">
        <f>'BIO DATA'!AO86</f>
        <v>0</v>
      </c>
      <c r="AH86" s="9">
        <f>'BIO DATA'!AY86</f>
        <v>0</v>
      </c>
      <c r="AI86" s="9">
        <f>'BIO DATA'!AZ86</f>
        <v>0</v>
      </c>
      <c r="AJ86" s="9">
        <f>'BIO DATA'!BA86</f>
        <v>0</v>
      </c>
      <c r="AK86" s="9">
        <f>'BIO DATA'!BB86</f>
        <v>0</v>
      </c>
      <c r="AL86" s="9">
        <f>'BIO DATA'!BC86</f>
        <v>0</v>
      </c>
      <c r="AM86" s="9">
        <f>'BIO DATA'!BD86</f>
        <v>0</v>
      </c>
      <c r="AN86" s="9">
        <f>'BIO DATA'!BE86</f>
        <v>0</v>
      </c>
      <c r="AO86" s="9">
        <f>'BIO DATA'!BF86</f>
        <v>0</v>
      </c>
      <c r="AP86" s="50" t="str">
        <f>'BIO DATA'!BG86</f>
        <v>Fajar Nurahman, S.Pd.</v>
      </c>
    </row>
    <row r="87" spans="1:42" s="51" customFormat="1" ht="20.100000000000001" customHeight="1" thickBot="1">
      <c r="A87" s="17" t="s">
        <v>145</v>
      </c>
      <c r="B87">
        <v>266</v>
      </c>
      <c r="C87" s="285">
        <f>'BIO DATA'!C87</f>
        <v>12663</v>
      </c>
      <c r="D87" s="285">
        <f>'BIO DATA'!D87</f>
        <v>3144833203</v>
      </c>
      <c r="E87" s="286" t="str">
        <f>'BIO DATA'!E87</f>
        <v>Nabiyulloh Ibnu Huda</v>
      </c>
      <c r="F87" s="46" t="str">
        <f>'BIO DATA'!L87</f>
        <v>Laki-laki</v>
      </c>
      <c r="G87" s="9" t="str">
        <f>'BIO DATA'!M87</f>
        <v>Tenggarong</v>
      </c>
      <c r="H87" s="48">
        <f>'BIO DATA'!O87</f>
        <v>41955</v>
      </c>
      <c r="I87" s="46" t="str">
        <f>'BIO DATA'!R87</f>
        <v>Islam</v>
      </c>
      <c r="J87" s="47">
        <f>'BIO DATA'!I87</f>
        <v>1</v>
      </c>
      <c r="K87" s="47">
        <f>'BIO DATA'!J87</f>
        <v>1</v>
      </c>
      <c r="L87" s="9" t="str">
        <f>'BIO DATA'!S87</f>
        <v>Jl. Flamboyan No. 49 RT.13 Sukarame Tenggarong Kutai Kartanegara Kalimantan Timur</v>
      </c>
      <c r="M87" s="9" t="str">
        <f>'BIO DATA'!U87</f>
        <v>Sukarame</v>
      </c>
      <c r="N87" s="9" t="str">
        <f>'BIO DATA'!V87</f>
        <v>Tenggarong</v>
      </c>
      <c r="O87" s="9" t="str">
        <f>'BIO DATA'!W87</f>
        <v>Kutai Kartanegara</v>
      </c>
      <c r="P87" s="9" t="str">
        <f>'BIO DATA'!X87</f>
        <v>Kalimantan Timur</v>
      </c>
      <c r="Q87" s="9" t="str">
        <f>'BIO DATA'!Y87</f>
        <v>SD Integral Luqman Al-Hakim Samarinda</v>
      </c>
      <c r="R87" s="9" t="str">
        <f>'BIO DATA'!Z87</f>
        <v>JLN PERJUANGAN 09 NO.22 RT.01 KEL. SEMPAJA SELATAN, KEC. SAMARINDA UTARA, KOTA SAMARINDA, KALTIM</v>
      </c>
      <c r="S87" s="9">
        <f>'BIO DATA'!AA87</f>
        <v>0</v>
      </c>
      <c r="T87" s="9" t="str">
        <f>'BIO DATA'!AB87</f>
        <v>Baqi Pradana</v>
      </c>
      <c r="U87" s="9" t="str">
        <f>'BIO DATA'!AC87</f>
        <v>Islam</v>
      </c>
      <c r="V87" s="9" t="str">
        <f>'BIO DATA'!AD87</f>
        <v>S1</v>
      </c>
      <c r="W87" s="9" t="str">
        <f>'BIO DATA'!AE87</f>
        <v>Wiraswasta</v>
      </c>
      <c r="X87" s="9" t="str">
        <f>'BIO DATA'!AF87</f>
        <v>3jt-5jt</v>
      </c>
      <c r="Y87" s="144" t="str">
        <f>'BIO DATA'!AG87</f>
        <v>085250677550</v>
      </c>
      <c r="Z87" s="9">
        <f>'BIO DATA'!AH87</f>
        <v>0</v>
      </c>
      <c r="AA87" s="9" t="str">
        <f>'BIO DATA'!AI87</f>
        <v>Nur Husna Hakim</v>
      </c>
      <c r="AB87" s="9" t="str">
        <f>'BIO DATA'!AJ87</f>
        <v>Islam</v>
      </c>
      <c r="AC87" s="9" t="str">
        <f>'BIO DATA'!AK87</f>
        <v>S1</v>
      </c>
      <c r="AD87" s="9" t="str">
        <f>'BIO DATA'!AL87</f>
        <v>Lain-lain</v>
      </c>
      <c r="AE87" s="9" t="str">
        <f>'BIO DATA'!AM87</f>
        <v>1jt-3jt</v>
      </c>
      <c r="AF87" s="49" t="str">
        <f>'BIO DATA'!AN87</f>
        <v>085285634056</v>
      </c>
      <c r="AG87" s="9">
        <f>'BIO DATA'!AO87</f>
        <v>0</v>
      </c>
      <c r="AH87" s="9">
        <f>'BIO DATA'!AY87</f>
        <v>0</v>
      </c>
      <c r="AI87" s="9">
        <f>'BIO DATA'!AZ87</f>
        <v>0</v>
      </c>
      <c r="AJ87" s="9">
        <f>'BIO DATA'!BA87</f>
        <v>0</v>
      </c>
      <c r="AK87" s="9">
        <f>'BIO DATA'!BB87</f>
        <v>0</v>
      </c>
      <c r="AL87" s="9">
        <f>'BIO DATA'!BC87</f>
        <v>0</v>
      </c>
      <c r="AM87" s="9">
        <f>'BIO DATA'!BD87</f>
        <v>0</v>
      </c>
      <c r="AN87" s="9">
        <f>'BIO DATA'!BE87</f>
        <v>0</v>
      </c>
      <c r="AO87" s="9">
        <f>'BIO DATA'!BF87</f>
        <v>0</v>
      </c>
      <c r="AP87" s="50" t="str">
        <f>'BIO DATA'!BG87</f>
        <v>Fajar Nurahman, S.Pd.</v>
      </c>
    </row>
    <row r="88" spans="1:42" s="51" customFormat="1" ht="20.100000000000001" customHeight="1" thickBot="1">
      <c r="A88" s="17" t="s">
        <v>145</v>
      </c>
      <c r="B88">
        <v>277</v>
      </c>
      <c r="C88" s="285">
        <f>'BIO DATA'!C88</f>
        <v>12683</v>
      </c>
      <c r="D88" s="285" t="str">
        <f>'BIO DATA'!D88</f>
        <v>0141918615</v>
      </c>
      <c r="E88" s="286" t="str">
        <f>'BIO DATA'!E88</f>
        <v>Rafiandra Yusuf Al-Ghifari</v>
      </c>
      <c r="F88" s="46" t="str">
        <f>'BIO DATA'!L88</f>
        <v>Laki-laki</v>
      </c>
      <c r="G88" s="9" t="str">
        <f>'BIO DATA'!M88</f>
        <v>Sleman</v>
      </c>
      <c r="H88" s="48">
        <f>'BIO DATA'!O88</f>
        <v>41657</v>
      </c>
      <c r="I88" s="46" t="str">
        <f>'BIO DATA'!R88</f>
        <v>Islam</v>
      </c>
      <c r="J88" s="47">
        <f>'BIO DATA'!I88</f>
        <v>1</v>
      </c>
      <c r="K88" s="47">
        <f>'BIO DATA'!J88</f>
        <v>2</v>
      </c>
      <c r="L88" s="9" t="str">
        <f>'BIO DATA'!S88</f>
        <v>Sucen Triharjo Sleman</v>
      </c>
      <c r="M88" s="9" t="str">
        <f>'BIO DATA'!U88</f>
        <v>Triharjo</v>
      </c>
      <c r="N88" s="9" t="str">
        <f>'BIO DATA'!V88</f>
        <v>Sleman</v>
      </c>
      <c r="O88" s="9" t="str">
        <f>'BIO DATA'!W88</f>
        <v>Sleman</v>
      </c>
      <c r="P88" s="9" t="str">
        <f>'BIO DATA'!X88</f>
        <v>DIY</v>
      </c>
      <c r="Q88" s="9" t="str">
        <f>'BIO DATA'!Y88</f>
        <v>SD Islam Terpadu Bakti Insani</v>
      </c>
      <c r="R88" s="9" t="str">
        <f>'BIO DATA'!Z88</f>
        <v>Srimulyo,Triharjo,Sleman,Yogyakarta</v>
      </c>
      <c r="S88" s="9">
        <f>'BIO DATA'!AA88</f>
        <v>0</v>
      </c>
      <c r="T88" s="9" t="str">
        <f>'BIO DATA'!AB88</f>
        <v>Jemikun</v>
      </c>
      <c r="U88" s="9" t="str">
        <f>'BIO DATA'!AC88</f>
        <v>Islam</v>
      </c>
      <c r="V88" s="9" t="str">
        <f>'BIO DATA'!AD88</f>
        <v>SMP/MTs</v>
      </c>
      <c r="W88" s="9" t="str">
        <f>'BIO DATA'!AE88</f>
        <v>Wiraswasta</v>
      </c>
      <c r="X88" s="9" t="str">
        <f>'BIO DATA'!AF88</f>
        <v>1jt-3jt</v>
      </c>
      <c r="Y88" s="144" t="str">
        <f>'BIO DATA'!AG88</f>
        <v>081392001667</v>
      </c>
      <c r="Z88" s="9">
        <f>'BIO DATA'!AH88</f>
        <v>0</v>
      </c>
      <c r="AA88" s="9" t="str">
        <f>'BIO DATA'!AI88</f>
        <v>Khairun Nisak</v>
      </c>
      <c r="AB88" s="9" t="str">
        <f>'BIO DATA'!AJ88</f>
        <v>Islam</v>
      </c>
      <c r="AC88" s="9" t="str">
        <f>'BIO DATA'!AK88</f>
        <v>S1</v>
      </c>
      <c r="AD88" s="9" t="str">
        <f>'BIO DATA'!AL88</f>
        <v>Pegawai Swasta</v>
      </c>
      <c r="AE88" s="9" t="str">
        <f>'BIO DATA'!AM88</f>
        <v>1jt-3jt</v>
      </c>
      <c r="AF88" s="49" t="str">
        <f>'BIO DATA'!AN88</f>
        <v>08562936886</v>
      </c>
      <c r="AG88" s="9">
        <f>'BIO DATA'!AO88</f>
        <v>0</v>
      </c>
      <c r="AH88" s="9">
        <f>'BIO DATA'!AY88</f>
        <v>0</v>
      </c>
      <c r="AI88" s="9">
        <f>'BIO DATA'!AZ88</f>
        <v>0</v>
      </c>
      <c r="AJ88" s="9">
        <f>'BIO DATA'!BA88</f>
        <v>0</v>
      </c>
      <c r="AK88" s="9">
        <f>'BIO DATA'!BB88</f>
        <v>0</v>
      </c>
      <c r="AL88" s="9">
        <f>'BIO DATA'!BC88</f>
        <v>0</v>
      </c>
      <c r="AM88" s="9">
        <f>'BIO DATA'!BD88</f>
        <v>0</v>
      </c>
      <c r="AN88" s="9">
        <f>'BIO DATA'!BE88</f>
        <v>0</v>
      </c>
      <c r="AO88" s="9">
        <f>'BIO DATA'!BF88</f>
        <v>0</v>
      </c>
      <c r="AP88" s="50" t="str">
        <f>'BIO DATA'!BG88</f>
        <v>Fajar Nurahman, S.Pd.</v>
      </c>
    </row>
    <row r="89" spans="1:42" s="51" customFormat="1" ht="20.100000000000001" customHeight="1" thickBot="1">
      <c r="A89" s="17" t="s">
        <v>145</v>
      </c>
      <c r="B89">
        <v>282</v>
      </c>
      <c r="C89" s="285">
        <f>'BIO DATA'!C89</f>
        <v>12684</v>
      </c>
      <c r="D89" s="285" t="str">
        <f>'BIO DATA'!D89</f>
        <v>0132626534</v>
      </c>
      <c r="E89" s="286" t="str">
        <f>'BIO DATA'!E89</f>
        <v>Raihan Nizar Daniswara</v>
      </c>
      <c r="F89" s="46" t="str">
        <f>'BIO DATA'!L89</f>
        <v>Laki-laki</v>
      </c>
      <c r="G89" s="9" t="str">
        <f>'BIO DATA'!M89</f>
        <v>Sidoarjo</v>
      </c>
      <c r="H89" s="48">
        <f>'BIO DATA'!O89</f>
        <v>41447</v>
      </c>
      <c r="I89" s="46" t="str">
        <f>'BIO DATA'!R89</f>
        <v>Islam</v>
      </c>
      <c r="J89" s="47">
        <f>'BIO DATA'!I89</f>
        <v>2</v>
      </c>
      <c r="K89" s="47">
        <f>'BIO DATA'!J89</f>
        <v>1</v>
      </c>
      <c r="L89" s="9" t="str">
        <f>'BIO DATA'!S89</f>
        <v>Desa Wonokarang RT.01 RW. 01 Balongbendo Bendo Sidoarjo Jawa Timur</v>
      </c>
      <c r="M89" s="9" t="str">
        <f>'BIO DATA'!U89</f>
        <v>Balongbendo</v>
      </c>
      <c r="N89" s="9" t="str">
        <f>'BIO DATA'!V89</f>
        <v>Bendo</v>
      </c>
      <c r="O89" s="9" t="str">
        <f>'BIO DATA'!W89</f>
        <v>Sidoarjo</v>
      </c>
      <c r="P89" s="9" t="str">
        <f>'BIO DATA'!X89</f>
        <v>Jawa Timur</v>
      </c>
      <c r="Q89" s="9" t="str">
        <f>'BIO DATA'!Y89</f>
        <v>SD Muhammadiyah 10 Balongbendo Sidoarjo</v>
      </c>
      <c r="R89" s="9" t="str">
        <f>'BIO DATA'!Z89</f>
        <v>BAKUNGTEMENGGUNGAN BALONGBENDO SIDOARJO JAWA TIMUR</v>
      </c>
      <c r="S89" s="9">
        <f>'BIO DATA'!AA89</f>
        <v>0</v>
      </c>
      <c r="T89" s="9" t="str">
        <f>'BIO DATA'!AB89</f>
        <v>Dinar Daniswara</v>
      </c>
      <c r="U89" s="9" t="str">
        <f>'BIO DATA'!AC89</f>
        <v>Islam</v>
      </c>
      <c r="V89" s="9" t="str">
        <f>'BIO DATA'!AD89</f>
        <v>S1</v>
      </c>
      <c r="W89" s="9" t="str">
        <f>'BIO DATA'!AE89</f>
        <v>Pegawai Swasta</v>
      </c>
      <c r="X89" s="9" t="str">
        <f>'BIO DATA'!AF89</f>
        <v>3jt-5jt</v>
      </c>
      <c r="Y89" s="144" t="str">
        <f>'BIO DATA'!AG89</f>
        <v>081938456345</v>
      </c>
      <c r="Z89" s="9">
        <f>'BIO DATA'!AH89</f>
        <v>0</v>
      </c>
      <c r="AA89" s="9" t="str">
        <f>'BIO DATA'!AI89</f>
        <v>Meirintasari</v>
      </c>
      <c r="AB89" s="9" t="str">
        <f>'BIO DATA'!AJ89</f>
        <v>Islam</v>
      </c>
      <c r="AC89" s="9" t="str">
        <f>'BIO DATA'!AK89</f>
        <v>DIPLOMA</v>
      </c>
      <c r="AD89" s="9" t="str">
        <f>'BIO DATA'!AL89</f>
        <v>Pegawai Swasta</v>
      </c>
      <c r="AE89" s="9" t="str">
        <f>'BIO DATA'!AM89</f>
        <v>5jt-10jt</v>
      </c>
      <c r="AF89" s="49" t="str">
        <f>'BIO DATA'!AN89</f>
        <v>08121637275</v>
      </c>
      <c r="AG89" s="9">
        <f>'BIO DATA'!AO89</f>
        <v>0</v>
      </c>
      <c r="AH89" s="9">
        <f>'BIO DATA'!AY89</f>
        <v>0</v>
      </c>
      <c r="AI89" s="9">
        <f>'BIO DATA'!AZ89</f>
        <v>0</v>
      </c>
      <c r="AJ89" s="9">
        <f>'BIO DATA'!BA89</f>
        <v>0</v>
      </c>
      <c r="AK89" s="9">
        <f>'BIO DATA'!BB89</f>
        <v>0</v>
      </c>
      <c r="AL89" s="9">
        <f>'BIO DATA'!BC89</f>
        <v>0</v>
      </c>
      <c r="AM89" s="9">
        <f>'BIO DATA'!BD89</f>
        <v>0</v>
      </c>
      <c r="AN89" s="9">
        <f>'BIO DATA'!BE89</f>
        <v>0</v>
      </c>
      <c r="AO89" s="9">
        <f>'BIO DATA'!BF89</f>
        <v>0</v>
      </c>
      <c r="AP89" s="50" t="str">
        <f>'BIO DATA'!BG89</f>
        <v>Fajar Nurahman, S.Pd.</v>
      </c>
    </row>
    <row r="90" spans="1:42" s="51" customFormat="1" ht="20.100000000000001" customHeight="1" thickBot="1">
      <c r="A90" s="17" t="s">
        <v>145</v>
      </c>
      <c r="B90">
        <v>287</v>
      </c>
      <c r="C90" s="285">
        <f>'BIO DATA'!C90</f>
        <v>12695</v>
      </c>
      <c r="D90" s="285" t="str">
        <f>'BIO DATA'!D90</f>
        <v>0138273662</v>
      </c>
      <c r="E90" s="286" t="str">
        <f>'BIO DATA'!E90</f>
        <v>Reffa Al-Azhar Subagiyo</v>
      </c>
      <c r="F90" s="46" t="str">
        <f>'BIO DATA'!L90</f>
        <v>Laki-laki</v>
      </c>
      <c r="G90" s="9" t="str">
        <f>'BIO DATA'!M90</f>
        <v>Wonosobo</v>
      </c>
      <c r="H90" s="48">
        <f>'BIO DATA'!O90</f>
        <v>41418</v>
      </c>
      <c r="I90" s="46" t="str">
        <f>'BIO DATA'!R90</f>
        <v>Islam</v>
      </c>
      <c r="J90" s="47">
        <f>'BIO DATA'!I90</f>
        <v>1</v>
      </c>
      <c r="K90" s="47">
        <f>'BIO DATA'!J90</f>
        <v>2</v>
      </c>
      <c r="L90" s="9" t="str">
        <f>'BIO DATA'!S90</f>
        <v>Kalicecep RT 15 RW 03 bejiarum kertek Wonosobo</v>
      </c>
      <c r="M90" s="9" t="str">
        <f>'BIO DATA'!U90</f>
        <v>Bejiarum</v>
      </c>
      <c r="N90" s="9" t="str">
        <f>'BIO DATA'!V90</f>
        <v>Kertek</v>
      </c>
      <c r="O90" s="9" t="str">
        <f>'BIO DATA'!W90</f>
        <v>Wonosobo</v>
      </c>
      <c r="P90" s="9" t="str">
        <f>'BIO DATA'!X90</f>
        <v>Jawa Tengah</v>
      </c>
      <c r="Q90" s="9" t="str">
        <f>'BIO DATA'!Y90</f>
        <v>MIM Kertek Wonosobo</v>
      </c>
      <c r="R90" s="9" t="str">
        <f>'BIO DATA'!Z90</f>
        <v>KOMPLEK MASJID AL-HIKMAH CAMPURSARI KERTEK WONOSOBO</v>
      </c>
      <c r="S90" s="9">
        <f>'BIO DATA'!AA90</f>
        <v>0</v>
      </c>
      <c r="T90" s="9" t="str">
        <f>'BIO DATA'!AB90</f>
        <v>Subagiyo</v>
      </c>
      <c r="U90" s="9" t="str">
        <f>'BIO DATA'!AC90</f>
        <v>Islam</v>
      </c>
      <c r="V90" s="9" t="str">
        <f>'BIO DATA'!AD90</f>
        <v>SMP/MTs</v>
      </c>
      <c r="W90" s="9" t="str">
        <f>'BIO DATA'!AE90</f>
        <v>Wiraswasta</v>
      </c>
      <c r="X90" s="9" t="str">
        <f>'BIO DATA'!AF90</f>
        <v>5jt-10jt</v>
      </c>
      <c r="Y90" s="144" t="str">
        <f>'BIO DATA'!AG90</f>
        <v>085291146676</v>
      </c>
      <c r="Z90" s="9">
        <f>'BIO DATA'!AH90</f>
        <v>0</v>
      </c>
      <c r="AA90" s="9" t="str">
        <f>'BIO DATA'!AI90</f>
        <v>Rusiyam</v>
      </c>
      <c r="AB90" s="9" t="str">
        <f>'BIO DATA'!AJ90</f>
        <v>Islam</v>
      </c>
      <c r="AC90" s="9" t="str">
        <f>'BIO DATA'!AK90</f>
        <v>SMA/SMK/MA</v>
      </c>
      <c r="AD90" s="9" t="str">
        <f>'BIO DATA'!AL90</f>
        <v>Tidak Bekerja</v>
      </c>
      <c r="AE90" s="9" t="str">
        <f>'BIO DATA'!AM90</f>
        <v>500-1jt</v>
      </c>
      <c r="AF90" s="49" t="str">
        <f>'BIO DATA'!AN90</f>
        <v>0882006219425</v>
      </c>
      <c r="AG90" s="9">
        <f>'BIO DATA'!AO90</f>
        <v>0</v>
      </c>
      <c r="AH90" s="9">
        <f>'BIO DATA'!AY90</f>
        <v>0</v>
      </c>
      <c r="AI90" s="9">
        <f>'BIO DATA'!AZ90</f>
        <v>0</v>
      </c>
      <c r="AJ90" s="9">
        <f>'BIO DATA'!BA90</f>
        <v>0</v>
      </c>
      <c r="AK90" s="9">
        <f>'BIO DATA'!BB90</f>
        <v>0</v>
      </c>
      <c r="AL90" s="9">
        <f>'BIO DATA'!BC90</f>
        <v>0</v>
      </c>
      <c r="AM90" s="9">
        <f>'BIO DATA'!BD90</f>
        <v>0</v>
      </c>
      <c r="AN90" s="9">
        <f>'BIO DATA'!BE90</f>
        <v>0</v>
      </c>
      <c r="AO90" s="9">
        <f>'BIO DATA'!BF90</f>
        <v>0</v>
      </c>
      <c r="AP90" s="50" t="str">
        <f>'BIO DATA'!BG90</f>
        <v>Fajar Nurahman, S.Pd.</v>
      </c>
    </row>
    <row r="91" spans="1:42" s="51" customFormat="1" ht="20.100000000000001" customHeight="1" thickBot="1">
      <c r="A91" s="17" t="s">
        <v>145</v>
      </c>
      <c r="B91">
        <v>300</v>
      </c>
      <c r="C91" s="285">
        <f>'BIO DATA'!C91</f>
        <v>12713</v>
      </c>
      <c r="D91" s="285">
        <f>'BIO DATA'!D91</f>
        <v>3133366713</v>
      </c>
      <c r="E91" s="286" t="str">
        <f>'BIO DATA'!E91</f>
        <v>Wenang Eglo Arto</v>
      </c>
      <c r="F91" s="46" t="str">
        <f>'BIO DATA'!L91</f>
        <v>Laki-laki</v>
      </c>
      <c r="G91" s="9" t="str">
        <f>'BIO DATA'!M91</f>
        <v>Kebumen</v>
      </c>
      <c r="H91" s="48">
        <f>'BIO DATA'!O91</f>
        <v>41587</v>
      </c>
      <c r="I91" s="46" t="str">
        <f>'BIO DATA'!R91</f>
        <v>Islam</v>
      </c>
      <c r="J91" s="47">
        <f>'BIO DATA'!I91</f>
        <v>1</v>
      </c>
      <c r="K91" s="47">
        <f>'BIO DATA'!J91</f>
        <v>0</v>
      </c>
      <c r="L91" s="9" t="str">
        <f>'BIO DATA'!S91</f>
        <v>Dusun Kauman RT 004 RW 002 Wergonayan Mirit Kebumen Jawa Tengah 54395</v>
      </c>
      <c r="M91" s="9" t="str">
        <f>'BIO DATA'!U91</f>
        <v>Wergonayan</v>
      </c>
      <c r="N91" s="9" t="str">
        <f>'BIO DATA'!V91</f>
        <v>Mirit</v>
      </c>
      <c r="O91" s="9" t="str">
        <f>'BIO DATA'!W91</f>
        <v>Kebumen</v>
      </c>
      <c r="P91" s="9" t="str">
        <f>'BIO DATA'!X91</f>
        <v>Jawa Tengah</v>
      </c>
      <c r="Q91" s="9" t="str">
        <f>'BIO DATA'!Y91</f>
        <v>Sekolah Dasar Islam Al Furqan</v>
      </c>
      <c r="R91" s="9" t="str">
        <f>'BIO DATA'!Z91</f>
        <v>Jalan Raya kambalan Kode Pos 54392, Telp 0287661220</v>
      </c>
      <c r="S91" s="9">
        <f>'BIO DATA'!AA91</f>
        <v>0</v>
      </c>
      <c r="T91" s="9" t="str">
        <f>'BIO DATA'!AB91</f>
        <v>Ani Musagil</v>
      </c>
      <c r="U91" s="9" t="str">
        <f>'BIO DATA'!AC91</f>
        <v>Islam</v>
      </c>
      <c r="V91" s="9" t="str">
        <f>'BIO DATA'!AD91</f>
        <v>SMA/SMK/MA</v>
      </c>
      <c r="W91" s="9" t="str">
        <f>'BIO DATA'!AE91</f>
        <v>Pegawai Swasta</v>
      </c>
      <c r="X91" s="9" t="str">
        <f>'BIO DATA'!AF91</f>
        <v>3jt-5jt</v>
      </c>
      <c r="Y91" s="144" t="str">
        <f>'BIO DATA'!AG91</f>
        <v>085728562026</v>
      </c>
      <c r="Z91" s="9">
        <f>'BIO DATA'!AH91</f>
        <v>0</v>
      </c>
      <c r="AA91" s="9" t="str">
        <f>'BIO DATA'!AI91</f>
        <v>Endarsih</v>
      </c>
      <c r="AB91" s="9" t="str">
        <f>'BIO DATA'!AJ91</f>
        <v>Islam</v>
      </c>
      <c r="AC91" s="9" t="str">
        <f>'BIO DATA'!AK91</f>
        <v>DIPLOMA</v>
      </c>
      <c r="AD91" s="9" t="str">
        <f>'BIO DATA'!AL91</f>
        <v>Pegawai Swasta</v>
      </c>
      <c r="AE91" s="9" t="str">
        <f>'BIO DATA'!AM91</f>
        <v>1jt-3jt</v>
      </c>
      <c r="AF91" s="49" t="str">
        <f>'BIO DATA'!AN91</f>
        <v>081391737179</v>
      </c>
      <c r="AG91" s="9">
        <f>'BIO DATA'!AO91</f>
        <v>0</v>
      </c>
      <c r="AH91" s="9">
        <f>'BIO DATA'!AY91</f>
        <v>0</v>
      </c>
      <c r="AI91" s="9">
        <f>'BIO DATA'!AZ91</f>
        <v>0</v>
      </c>
      <c r="AJ91" s="9">
        <f>'BIO DATA'!BA91</f>
        <v>0</v>
      </c>
      <c r="AK91" s="9">
        <f>'BIO DATA'!BB91</f>
        <v>0</v>
      </c>
      <c r="AL91" s="9">
        <f>'BIO DATA'!BC91</f>
        <v>0</v>
      </c>
      <c r="AM91" s="9">
        <f>'BIO DATA'!BD91</f>
        <v>0</v>
      </c>
      <c r="AN91" s="9">
        <f>'BIO DATA'!BE91</f>
        <v>0</v>
      </c>
      <c r="AO91" s="9">
        <f>'BIO DATA'!BF91</f>
        <v>0</v>
      </c>
      <c r="AP91" s="50" t="str">
        <f>'BIO DATA'!BG91</f>
        <v>Fajar Nurahman, S.Pd.</v>
      </c>
    </row>
    <row r="92" spans="1:42" s="51" customFormat="1" ht="20.100000000000001" customHeight="1" thickBot="1">
      <c r="A92" s="17" t="s">
        <v>145</v>
      </c>
      <c r="B92">
        <v>304</v>
      </c>
      <c r="C92" s="285">
        <f>'BIO DATA'!C92</f>
        <v>12722</v>
      </c>
      <c r="D92" s="285" t="str">
        <f>'BIO DATA'!D92</f>
        <v>0139369736</v>
      </c>
      <c r="E92" s="286" t="str">
        <f>'BIO DATA'!E92</f>
        <v>Zhafran Ramadhan</v>
      </c>
      <c r="F92" s="46" t="str">
        <f>'BIO DATA'!L92</f>
        <v>Laki-laki</v>
      </c>
      <c r="G92" s="9" t="str">
        <f>'BIO DATA'!M92</f>
        <v>Tarakan</v>
      </c>
      <c r="H92" s="48">
        <f>'BIO DATA'!O92</f>
        <v>41490</v>
      </c>
      <c r="I92" s="46" t="str">
        <f>'BIO DATA'!R92</f>
        <v>Islam</v>
      </c>
      <c r="J92" s="47">
        <f>'BIO DATA'!I92</f>
        <v>2</v>
      </c>
      <c r="K92" s="47">
        <f>'BIO DATA'!J92</f>
        <v>2</v>
      </c>
      <c r="L92" s="9" t="str">
        <f>'BIO DATA'!S92</f>
        <v>, JL. KH. Dewantara Rt.12  Kelurahan Karang balik, Tarakan, Tarakan Barat, Kalimantan Utara</v>
      </c>
      <c r="M92" s="9" t="str">
        <f>'BIO DATA'!U92</f>
        <v>Karang Balik</v>
      </c>
      <c r="N92" s="9" t="str">
        <f>'BIO DATA'!V92</f>
        <v>Tarakan Barat</v>
      </c>
      <c r="O92" s="9" t="str">
        <f>'BIO DATA'!W92</f>
        <v>Kota Tarakan</v>
      </c>
      <c r="P92" s="9" t="str">
        <f>'BIO DATA'!X92</f>
        <v>Kalimantan Utara</v>
      </c>
      <c r="Q92" s="9" t="str">
        <f>'BIO DATA'!Y92</f>
        <v>SDIT Al Mustaqim Tarakan</v>
      </c>
      <c r="R92" s="9" t="str">
        <f>'BIO DATA'!Z92</f>
        <v>Jalan Pulau Irian, Kampung Satu SKIP, Kecamatan Tarakan Tengah, Kota Tarakan, Provinsi Kalimantan Utara. </v>
      </c>
      <c r="S92" s="9">
        <f>'BIO DATA'!AA92</f>
        <v>0</v>
      </c>
      <c r="T92" s="9" t="str">
        <f>'BIO DATA'!AB92</f>
        <v>Rahmat</v>
      </c>
      <c r="U92" s="9" t="str">
        <f>'BIO DATA'!AC92</f>
        <v>Islam</v>
      </c>
      <c r="V92" s="9" t="str">
        <f>'BIO DATA'!AD92</f>
        <v>SMP/MTs</v>
      </c>
      <c r="W92" s="9" t="str">
        <f>'BIO DATA'!AE92</f>
        <v>Wiraswasta</v>
      </c>
      <c r="X92" s="9" t="str">
        <f>'BIO DATA'!AF92</f>
        <v>3jt-5jt</v>
      </c>
      <c r="Y92" s="144" t="str">
        <f>'BIO DATA'!AG92</f>
        <v>081257218455</v>
      </c>
      <c r="Z92" s="9">
        <f>'BIO DATA'!AH92</f>
        <v>0</v>
      </c>
      <c r="AA92" s="9" t="str">
        <f>'BIO DATA'!AI92</f>
        <v>Kasna</v>
      </c>
      <c r="AB92" s="9" t="str">
        <f>'BIO DATA'!AJ92</f>
        <v>Islam</v>
      </c>
      <c r="AC92" s="9" t="str">
        <f>'BIO DATA'!AK92</f>
        <v>SMA/SMK/MA</v>
      </c>
      <c r="AD92" s="9" t="str">
        <f>'BIO DATA'!AL92</f>
        <v>Tidak Bekerja</v>
      </c>
      <c r="AE92" s="9" t="str">
        <f>'BIO DATA'!AM92</f>
        <v>&lt; 500rb</v>
      </c>
      <c r="AF92" s="49" t="str">
        <f>'BIO DATA'!AN92</f>
        <v>081314683232</v>
      </c>
      <c r="AG92" s="9">
        <f>'BIO DATA'!AO92</f>
        <v>0</v>
      </c>
      <c r="AH92" s="9">
        <f>'BIO DATA'!AY92</f>
        <v>0</v>
      </c>
      <c r="AI92" s="9">
        <f>'BIO DATA'!AZ92</f>
        <v>0</v>
      </c>
      <c r="AJ92" s="9">
        <f>'BIO DATA'!BA92</f>
        <v>0</v>
      </c>
      <c r="AK92" s="9">
        <f>'BIO DATA'!BB92</f>
        <v>0</v>
      </c>
      <c r="AL92" s="9">
        <f>'BIO DATA'!BC92</f>
        <v>0</v>
      </c>
      <c r="AM92" s="9">
        <f>'BIO DATA'!BD92</f>
        <v>0</v>
      </c>
      <c r="AN92" s="9">
        <f>'BIO DATA'!BE92</f>
        <v>0</v>
      </c>
      <c r="AO92" s="9">
        <f>'BIO DATA'!BF92</f>
        <v>0</v>
      </c>
      <c r="AP92" s="50" t="str">
        <f>'BIO DATA'!BG92</f>
        <v>Fajar Nurahman, S.Pd.</v>
      </c>
    </row>
    <row r="93" spans="1:42" s="51" customFormat="1" ht="20.100000000000001" customHeight="1" thickBot="1">
      <c r="A93" s="16" t="s">
        <v>85</v>
      </c>
      <c r="B93">
        <v>314</v>
      </c>
      <c r="C93" s="287">
        <f>'BIO DATA'!C93</f>
        <v>12474</v>
      </c>
      <c r="D93" s="287">
        <f>'BIO DATA'!D93</f>
        <v>3145232805</v>
      </c>
      <c r="E93" s="288" t="str">
        <f>'BIO DATA'!E93</f>
        <v>Ahmad Amirul A'zam</v>
      </c>
      <c r="F93" s="46" t="str">
        <f>'BIO DATA'!L93</f>
        <v>Laki-laki</v>
      </c>
      <c r="G93" s="9" t="str">
        <f>'BIO DATA'!M93</f>
        <v>Tegal</v>
      </c>
      <c r="H93" s="48">
        <f>'BIO DATA'!O93</f>
        <v>41653</v>
      </c>
      <c r="I93" s="46" t="str">
        <f>'BIO DATA'!R93</f>
        <v>Islam</v>
      </c>
      <c r="J93" s="47">
        <f>'BIO DATA'!I93</f>
        <v>2</v>
      </c>
      <c r="K93" s="47">
        <f>'BIO DATA'!J93</f>
        <v>3</v>
      </c>
      <c r="L93" s="9" t="str">
        <f>'BIO DATA'!S93</f>
        <v>Jl.Kaligung no.01. RT 004 RW 004 Panggung Tegal Timur Kota Tegal Jawa Tengah</v>
      </c>
      <c r="M93" s="9" t="str">
        <f>'BIO DATA'!U93</f>
        <v>Panggung</v>
      </c>
      <c r="N93" s="9" t="str">
        <f>'BIO DATA'!V93</f>
        <v>Tegal Timur</v>
      </c>
      <c r="O93" s="9" t="str">
        <f>'BIO DATA'!W93</f>
        <v>Kota Tegal</v>
      </c>
      <c r="P93" s="9" t="str">
        <f>'BIO DATA'!X93</f>
        <v>Jawa Tengah</v>
      </c>
      <c r="Q93" s="9" t="str">
        <f>'BIO DATA'!Y93</f>
        <v>SDIT Usamah Kota Tegal</v>
      </c>
      <c r="R93" s="9" t="str">
        <f>'BIO DATA'!Z93</f>
        <v>Jl.surabayan kota Tegal</v>
      </c>
      <c r="S93" s="9">
        <f>'BIO DATA'!AA93</f>
        <v>0</v>
      </c>
      <c r="T93" s="9" t="str">
        <f>'BIO DATA'!AB93</f>
        <v>Ahmad Arif fadlil</v>
      </c>
      <c r="U93" s="9" t="str">
        <f>'BIO DATA'!AC93</f>
        <v>Islam</v>
      </c>
      <c r="V93" s="9" t="str">
        <f>'BIO DATA'!AD93</f>
        <v>DIPLOMA</v>
      </c>
      <c r="W93" s="9" t="str">
        <f>'BIO DATA'!AE93</f>
        <v>Wiraswasta</v>
      </c>
      <c r="X93" s="9" t="str">
        <f>'BIO DATA'!AF93</f>
        <v>&gt;10jt</v>
      </c>
      <c r="Y93" s="144" t="str">
        <f>'BIO DATA'!AG93</f>
        <v>081803976391</v>
      </c>
      <c r="Z93" s="9">
        <f>'BIO DATA'!AH93</f>
        <v>0</v>
      </c>
      <c r="AA93" s="9" t="str">
        <f>'BIO DATA'!AI93</f>
        <v>Nur Hikmah</v>
      </c>
      <c r="AB93" s="9" t="str">
        <f>'BIO DATA'!AJ93</f>
        <v>Islam</v>
      </c>
      <c r="AC93" s="9" t="str">
        <f>'BIO DATA'!AK93</f>
        <v>DIPLOMA</v>
      </c>
      <c r="AD93" s="9" t="str">
        <f>'BIO DATA'!AL93</f>
        <v>Wiraswasta</v>
      </c>
      <c r="AE93" s="9" t="str">
        <f>'BIO DATA'!AM93</f>
        <v>&gt;10jt</v>
      </c>
      <c r="AF93" s="49" t="e">
        <f>'BIO DATA'!#REF!</f>
        <v>#REF!</v>
      </c>
      <c r="AG93" s="9">
        <f>'BIO DATA'!AO93</f>
        <v>0</v>
      </c>
      <c r="AH93" s="9">
        <f>'BIO DATA'!AY93</f>
        <v>0</v>
      </c>
      <c r="AI93" s="9">
        <f>'BIO DATA'!AZ93</f>
        <v>0</v>
      </c>
      <c r="AJ93" s="9">
        <f>'BIO DATA'!BA93</f>
        <v>0</v>
      </c>
      <c r="AK93" s="9">
        <f>'BIO DATA'!BB93</f>
        <v>0</v>
      </c>
      <c r="AL93" s="9">
        <f>'BIO DATA'!BC93</f>
        <v>0</v>
      </c>
      <c r="AM93" s="9">
        <f>'BIO DATA'!BD93</f>
        <v>0</v>
      </c>
      <c r="AN93" s="9">
        <f>'BIO DATA'!BE93</f>
        <v>0</v>
      </c>
      <c r="AO93" s="9">
        <f>'BIO DATA'!BF93</f>
        <v>0</v>
      </c>
      <c r="AP93" s="50" t="str">
        <f>'BIO DATA'!BG93</f>
        <v>Muhammad Rifki Hidayat, S.Ag.</v>
      </c>
    </row>
    <row r="94" spans="1:42" s="51" customFormat="1" ht="20.100000000000001" customHeight="1" thickBot="1">
      <c r="A94" s="16" t="s">
        <v>85</v>
      </c>
      <c r="B94">
        <v>316</v>
      </c>
      <c r="C94" s="287">
        <f>'BIO DATA'!C94</f>
        <v>12486</v>
      </c>
      <c r="D94" s="287" t="str">
        <f>'BIO DATA'!D94</f>
        <v>0132374625</v>
      </c>
      <c r="E94" s="288" t="str">
        <f>'BIO DATA'!E94</f>
        <v>Allardo Sultan Altansyah</v>
      </c>
      <c r="F94" s="46" t="str">
        <f>'BIO DATA'!L94</f>
        <v>Laki-laki</v>
      </c>
      <c r="G94" s="9" t="str">
        <f>'BIO DATA'!M94</f>
        <v>Denpasar</v>
      </c>
      <c r="H94" s="48">
        <f>'BIO DATA'!O94</f>
        <v>41558</v>
      </c>
      <c r="I94" s="46" t="str">
        <f>'BIO DATA'!R94</f>
        <v>Islam</v>
      </c>
      <c r="J94" s="47">
        <f>'BIO DATA'!I94</f>
        <v>2</v>
      </c>
      <c r="K94" s="47">
        <f>'BIO DATA'!J94</f>
        <v>2</v>
      </c>
      <c r="L94" s="9" t="str">
        <f>'BIO DATA'!S94</f>
        <v>Jl. Gunung Mas IIA/3 DPS. BRI/Link. Dukuh Sari Padang Sambian Kaja Denpasar Barat Kota Denpasar Bali</v>
      </c>
      <c r="M94" s="9" t="str">
        <f>'BIO DATA'!U94</f>
        <v>Padang Sambian Kaja</v>
      </c>
      <c r="N94" s="9" t="str">
        <f>'BIO DATA'!V94</f>
        <v>Denpasar Barat</v>
      </c>
      <c r="O94" s="9" t="str">
        <f>'BIO DATA'!W94</f>
        <v>Kota Denpasar</v>
      </c>
      <c r="P94" s="9" t="str">
        <f>'BIO DATA'!X94</f>
        <v>Bali</v>
      </c>
      <c r="Q94" s="9" t="str">
        <f>'BIO DATA'!Y94</f>
        <v>Muhamadiyah 4 denpasar</v>
      </c>
      <c r="R94" s="9">
        <f>'BIO DATA'!Z94</f>
        <v>0</v>
      </c>
      <c r="S94" s="9">
        <f>'BIO DATA'!AA94</f>
        <v>0</v>
      </c>
      <c r="T94" s="9" t="str">
        <f>'BIO DATA'!AB94</f>
        <v>Antoni Alexander</v>
      </c>
      <c r="U94" s="9" t="str">
        <f>'BIO DATA'!AC94</f>
        <v>Islam</v>
      </c>
      <c r="V94" s="9">
        <f>'BIO DATA'!AD94</f>
        <v>0</v>
      </c>
      <c r="W94" s="9">
        <f>'BIO DATA'!AE94</f>
        <v>0</v>
      </c>
      <c r="X94" s="9">
        <f>'BIO DATA'!AF94</f>
        <v>0</v>
      </c>
      <c r="Y94" s="144" t="str">
        <f>'BIO DATA'!AG94</f>
        <v>082145373113</v>
      </c>
      <c r="Z94" s="9">
        <f>'BIO DATA'!AH94</f>
        <v>0</v>
      </c>
      <c r="AA94" s="9" t="str">
        <f>'BIO DATA'!AI94</f>
        <v>Rt. Tanti Marlina Listiowati</v>
      </c>
      <c r="AB94" s="9" t="str">
        <f>'BIO DATA'!AJ94</f>
        <v>Islam</v>
      </c>
      <c r="AC94" s="9">
        <f>'BIO DATA'!AK94</f>
        <v>0</v>
      </c>
      <c r="AD94" s="9">
        <f>'BIO DATA'!AL94</f>
        <v>0</v>
      </c>
      <c r="AE94" s="9">
        <f>'BIO DATA'!AM94</f>
        <v>0</v>
      </c>
      <c r="AF94" s="49" t="e">
        <f>'BIO DATA'!#REF!</f>
        <v>#REF!</v>
      </c>
      <c r="AG94" s="9">
        <f>'BIO DATA'!AO94</f>
        <v>0</v>
      </c>
      <c r="AH94" s="9">
        <f>'BIO DATA'!AY94</f>
        <v>0</v>
      </c>
      <c r="AI94" s="9">
        <f>'BIO DATA'!AZ94</f>
        <v>0</v>
      </c>
      <c r="AJ94" s="9">
        <f>'BIO DATA'!BA94</f>
        <v>0</v>
      </c>
      <c r="AK94" s="9">
        <f>'BIO DATA'!BB94</f>
        <v>0</v>
      </c>
      <c r="AL94" s="9">
        <f>'BIO DATA'!BC94</f>
        <v>0</v>
      </c>
      <c r="AM94" s="9">
        <f>'BIO DATA'!BD94</f>
        <v>0</v>
      </c>
      <c r="AN94" s="9">
        <f>'BIO DATA'!BE94</f>
        <v>0</v>
      </c>
      <c r="AO94" s="9">
        <f>'BIO DATA'!BF94</f>
        <v>0</v>
      </c>
      <c r="AP94" s="50" t="str">
        <f>'BIO DATA'!BG94</f>
        <v>Muhammad Rifki Hidayat, S.Ag.</v>
      </c>
    </row>
    <row r="95" spans="1:42" s="51" customFormat="1" ht="20.100000000000001" customHeight="1" thickBot="1">
      <c r="A95" s="16" t="s">
        <v>85</v>
      </c>
      <c r="B95">
        <v>2</v>
      </c>
      <c r="C95" s="287">
        <f>'BIO DATA'!C95</f>
        <v>12492</v>
      </c>
      <c r="D95" s="287">
        <f>'BIO DATA'!D95</f>
        <v>3139423854</v>
      </c>
      <c r="E95" s="288" t="str">
        <f>'BIO DATA'!E95</f>
        <v>Anindya Mughni Kalingga</v>
      </c>
      <c r="F95" s="46" t="str">
        <f>'BIO DATA'!L95</f>
        <v>Laki-laki</v>
      </c>
      <c r="G95" s="9" t="str">
        <f>'BIO DATA'!M95</f>
        <v>Tangerang</v>
      </c>
      <c r="H95" s="48">
        <f>'BIO DATA'!O95</f>
        <v>41535</v>
      </c>
      <c r="I95" s="46" t="str">
        <f>'BIO DATA'!R95</f>
        <v>Islam</v>
      </c>
      <c r="J95" s="47">
        <f>'BIO DATA'!I95</f>
        <v>2</v>
      </c>
      <c r="K95" s="47">
        <f>'BIO DATA'!J95</f>
        <v>1</v>
      </c>
      <c r="L95" s="9" t="str">
        <f>'BIO DATA'!S95</f>
        <v>Jl. Shello Blok L No.11 RT 009 RW 08 Cipondoh, Kota Tangerang, Banten</v>
      </c>
      <c r="M95" s="9" t="str">
        <f>'BIO DATA'!U95</f>
        <v>Cipondoh</v>
      </c>
      <c r="N95" s="9" t="str">
        <f>'BIO DATA'!V95</f>
        <v>Cipondoh</v>
      </c>
      <c r="O95" s="9" t="str">
        <f>'BIO DATA'!W95</f>
        <v>Kota Tangerang</v>
      </c>
      <c r="P95" s="9" t="str">
        <f>'BIO DATA'!X95</f>
        <v>Banten</v>
      </c>
      <c r="Q95" s="9" t="str">
        <f>'BIO DATA'!Y95</f>
        <v>SD Muhammadiyah 30 Poris Jaya</v>
      </c>
      <c r="R95" s="9" t="str">
        <f>'BIO DATA'!Z95</f>
        <v>Jl. Maulana Hasabuddin No.65 Poris Jaya, Kota Tangerang, Banten</v>
      </c>
      <c r="S95" s="9">
        <f>'BIO DATA'!AA95</f>
        <v>0</v>
      </c>
      <c r="T95" s="9" t="str">
        <f>'BIO DATA'!AB95</f>
        <v>Cholillul Rohman</v>
      </c>
      <c r="U95" s="9" t="str">
        <f>'BIO DATA'!AC95</f>
        <v>Islam</v>
      </c>
      <c r="V95" s="9" t="str">
        <f>'BIO DATA'!AD95</f>
        <v>S1</v>
      </c>
      <c r="W95" s="9" t="str">
        <f>'BIO DATA'!AE95</f>
        <v>Pegawai Swasta</v>
      </c>
      <c r="X95" s="9" t="str">
        <f>'BIO DATA'!AF95</f>
        <v>5jt-10jt</v>
      </c>
      <c r="Y95" s="144" t="str">
        <f>'BIO DATA'!AG95</f>
        <v>085814857474</v>
      </c>
      <c r="Z95" s="9">
        <f>'BIO DATA'!AH95</f>
        <v>0</v>
      </c>
      <c r="AA95" s="9" t="str">
        <f>'BIO DATA'!AI95</f>
        <v>Ellyn Caresza</v>
      </c>
      <c r="AB95" s="9" t="str">
        <f>'BIO DATA'!AJ95</f>
        <v>Islam</v>
      </c>
      <c r="AC95" s="9" t="str">
        <f>'BIO DATA'!AK95</f>
        <v>DIPLOMA</v>
      </c>
      <c r="AD95" s="9" t="str">
        <f>'BIO DATA'!AL95</f>
        <v>Pegawai Swasta</v>
      </c>
      <c r="AE95" s="9" t="str">
        <f>'BIO DATA'!AM95</f>
        <v>3jt-5jt</v>
      </c>
      <c r="AF95" s="49" t="e">
        <f>'BIO DATA'!#REF!</f>
        <v>#REF!</v>
      </c>
      <c r="AG95" s="9">
        <f>'BIO DATA'!AO95</f>
        <v>0</v>
      </c>
      <c r="AH95" s="9">
        <f>'BIO DATA'!AY95</f>
        <v>0</v>
      </c>
      <c r="AI95" s="9">
        <f>'BIO DATA'!AZ95</f>
        <v>0</v>
      </c>
      <c r="AJ95" s="9">
        <f>'BIO DATA'!BA95</f>
        <v>0</v>
      </c>
      <c r="AK95" s="9">
        <f>'BIO DATA'!BB95</f>
        <v>0</v>
      </c>
      <c r="AL95" s="9">
        <f>'BIO DATA'!BC95</f>
        <v>0</v>
      </c>
      <c r="AM95" s="9">
        <f>'BIO DATA'!BD95</f>
        <v>0</v>
      </c>
      <c r="AN95" s="9">
        <f>'BIO DATA'!BE95</f>
        <v>0</v>
      </c>
      <c r="AO95" s="9">
        <f>'BIO DATA'!BF95</f>
        <v>0</v>
      </c>
      <c r="AP95" s="50" t="str">
        <f>'BIO DATA'!BG95</f>
        <v>Muhammad Rifki Hidayat, S.Ag.</v>
      </c>
    </row>
    <row r="96" spans="1:42" s="51" customFormat="1" ht="20.100000000000001" customHeight="1" thickBot="1">
      <c r="A96" s="16" t="s">
        <v>85</v>
      </c>
      <c r="B96">
        <v>6</v>
      </c>
      <c r="C96" s="287">
        <f>'BIO DATA'!C96</f>
        <v>12495</v>
      </c>
      <c r="D96" s="287" t="str">
        <f>'BIO DATA'!D96</f>
        <v>0131342010</v>
      </c>
      <c r="E96" s="288" t="str">
        <f>'BIO DATA'!E96</f>
        <v>Arfa Narendra Nugroho</v>
      </c>
      <c r="F96" s="46" t="str">
        <f>'BIO DATA'!L96</f>
        <v>Laki-laki</v>
      </c>
      <c r="G96" s="9" t="str">
        <f>'BIO DATA'!M96</f>
        <v>Yogyakarta</v>
      </c>
      <c r="H96" s="48">
        <f>'BIO DATA'!O96</f>
        <v>41597</v>
      </c>
      <c r="I96" s="46" t="str">
        <f>'BIO DATA'!R96</f>
        <v>Islam</v>
      </c>
      <c r="J96" s="47">
        <f>'BIO DATA'!I96</f>
        <v>2</v>
      </c>
      <c r="K96" s="47">
        <f>'BIO DATA'!J96</f>
        <v>1</v>
      </c>
      <c r="L96" s="9" t="str">
        <f>'BIO DATA'!S96</f>
        <v>Jl. Arjuno no 20B RT 010 RW 004 Wirobrajan Wirobrajan Kota Yogyakarta DIY</v>
      </c>
      <c r="M96" s="9" t="str">
        <f>'BIO DATA'!U96</f>
        <v>Wirobrajan</v>
      </c>
      <c r="N96" s="9" t="str">
        <f>'BIO DATA'!V96</f>
        <v>Wirobrajan</v>
      </c>
      <c r="O96" s="9" t="str">
        <f>'BIO DATA'!W96</f>
        <v>Kota Yogyakarta</v>
      </c>
      <c r="P96" s="9" t="str">
        <f>'BIO DATA'!X96</f>
        <v>DIY</v>
      </c>
      <c r="Q96" s="9" t="str">
        <f>'BIO DATA'!Y96</f>
        <v>SD Muhammadiyah Wirobrajan 3 Yogyakarta</v>
      </c>
      <c r="R96" s="9" t="str">
        <f>'BIO DATA'!Z96</f>
        <v>Wirobrajan</v>
      </c>
      <c r="S96" s="9">
        <f>'BIO DATA'!AA96</f>
        <v>0</v>
      </c>
      <c r="T96" s="9" t="str">
        <f>'BIO DATA'!AB96</f>
        <v>Ferdian Adi Nugroho</v>
      </c>
      <c r="U96" s="9" t="str">
        <f>'BIO DATA'!AC96</f>
        <v>Islam</v>
      </c>
      <c r="V96" s="9" t="str">
        <f>'BIO DATA'!AD96</f>
        <v>S2</v>
      </c>
      <c r="W96" s="9" t="str">
        <f>'BIO DATA'!AE96</f>
        <v>PNS</v>
      </c>
      <c r="X96" s="9" t="str">
        <f>'BIO DATA'!AF96</f>
        <v>&gt;10jt</v>
      </c>
      <c r="Y96" s="144" t="str">
        <f>'BIO DATA'!AG96</f>
        <v>081351939042</v>
      </c>
      <c r="Z96" s="9">
        <f>'BIO DATA'!AH96</f>
        <v>0</v>
      </c>
      <c r="AA96" s="9" t="str">
        <f>'BIO DATA'!AI96</f>
        <v>Arnis Perwita</v>
      </c>
      <c r="AB96" s="9" t="str">
        <f>'BIO DATA'!AJ96</f>
        <v>Islam</v>
      </c>
      <c r="AC96" s="9" t="str">
        <f>'BIO DATA'!AK96</f>
        <v>S1</v>
      </c>
      <c r="AD96" s="9" t="str">
        <f>'BIO DATA'!AL96</f>
        <v>Lain-lain</v>
      </c>
      <c r="AE96" s="9" t="str">
        <f>'BIO DATA'!AM96</f>
        <v>5jt-10jt</v>
      </c>
      <c r="AF96" s="49" t="e">
        <f>'BIO DATA'!#REF!</f>
        <v>#REF!</v>
      </c>
      <c r="AG96" s="9">
        <f>'BIO DATA'!AO96</f>
        <v>0</v>
      </c>
      <c r="AH96" s="9">
        <f>'BIO DATA'!AY96</f>
        <v>0</v>
      </c>
      <c r="AI96" s="9">
        <f>'BIO DATA'!AZ96</f>
        <v>0</v>
      </c>
      <c r="AJ96" s="9">
        <f>'BIO DATA'!BA96</f>
        <v>0</v>
      </c>
      <c r="AK96" s="9">
        <f>'BIO DATA'!BB96</f>
        <v>0</v>
      </c>
      <c r="AL96" s="9">
        <f>'BIO DATA'!BC96</f>
        <v>0</v>
      </c>
      <c r="AM96" s="9">
        <f>'BIO DATA'!BD96</f>
        <v>0</v>
      </c>
      <c r="AN96" s="9">
        <f>'BIO DATA'!BE96</f>
        <v>0</v>
      </c>
      <c r="AO96" s="9">
        <f>'BIO DATA'!BF96</f>
        <v>0</v>
      </c>
      <c r="AP96" s="50" t="str">
        <f>'BIO DATA'!BG96</f>
        <v>Muhammad Rifki Hidayat, S.Ag.</v>
      </c>
    </row>
    <row r="97" spans="1:42" s="51" customFormat="1" ht="20.100000000000001" customHeight="1" thickBot="1">
      <c r="A97" s="16" t="s">
        <v>85</v>
      </c>
      <c r="B97">
        <v>15</v>
      </c>
      <c r="C97" s="287">
        <f>'BIO DATA'!C97</f>
        <v>12502</v>
      </c>
      <c r="D97" s="287">
        <f>'BIO DATA'!D97</f>
        <v>3134998663</v>
      </c>
      <c r="E97" s="288" t="str">
        <f>'BIO DATA'!E97</f>
        <v>Athariz Zidane Ferdiansyah</v>
      </c>
      <c r="F97" s="46" t="str">
        <f>'BIO DATA'!L97</f>
        <v>Laki-laki</v>
      </c>
      <c r="G97" s="9" t="str">
        <f>'BIO DATA'!M97</f>
        <v>Madiun</v>
      </c>
      <c r="H97" s="48">
        <f>'BIO DATA'!O97</f>
        <v>41460</v>
      </c>
      <c r="I97" s="46" t="str">
        <f>'BIO DATA'!R97</f>
        <v>Islam</v>
      </c>
      <c r="J97" s="47">
        <f>'BIO DATA'!I97</f>
        <v>1</v>
      </c>
      <c r="K97" s="47">
        <f>'BIO DATA'!J97</f>
        <v>1</v>
      </c>
      <c r="L97" s="9" t="str">
        <f>'BIO DATA'!S97</f>
        <v>Grojogan Rt 2 Wirokerten Banguntapan Bantul</v>
      </c>
      <c r="M97" s="9" t="str">
        <f>'BIO DATA'!U97</f>
        <v>Wirokerten</v>
      </c>
      <c r="N97" s="9" t="str">
        <f>'BIO DATA'!V97</f>
        <v>Banguntapan</v>
      </c>
      <c r="O97" s="9" t="str">
        <f>'BIO DATA'!W97</f>
        <v>Bantul</v>
      </c>
      <c r="P97" s="9" t="str">
        <f>'BIO DATA'!X97</f>
        <v>DIY</v>
      </c>
      <c r="Q97" s="9" t="str">
        <f>'BIO DATA'!Y97</f>
        <v>SD Muhammadiyah Bodon</v>
      </c>
      <c r="R97" s="9" t="str">
        <f>'BIO DATA'!Z97</f>
        <v>Jl. Mondorakan, Bodon, Jagalan, Kec Banguntapan Kab. Bantul 55192</v>
      </c>
      <c r="S97" s="9">
        <f>'BIO DATA'!AA97</f>
        <v>0</v>
      </c>
      <c r="T97" s="9" t="str">
        <f>'BIO DATA'!AB97</f>
        <v>Pramudhita F</v>
      </c>
      <c r="U97" s="9" t="str">
        <f>'BIO DATA'!AC97</f>
        <v>Islam</v>
      </c>
      <c r="V97" s="9" t="str">
        <f>'BIO DATA'!AD97</f>
        <v>S2</v>
      </c>
      <c r="W97" s="9" t="str">
        <f>'BIO DATA'!AE97</f>
        <v>Guru/Dosen</v>
      </c>
      <c r="X97" s="9" t="str">
        <f>'BIO DATA'!AF97</f>
        <v>3jt-5jt</v>
      </c>
      <c r="Y97" s="144" t="str">
        <f>'BIO DATA'!AG97</f>
        <v>082323055916</v>
      </c>
      <c r="Z97" s="9">
        <f>'BIO DATA'!AH97</f>
        <v>0</v>
      </c>
      <c r="AA97" s="9" t="str">
        <f>'BIO DATA'!AI97</f>
        <v>Risty K</v>
      </c>
      <c r="AB97" s="9" t="str">
        <f>'BIO DATA'!AJ97</f>
        <v>Islam</v>
      </c>
      <c r="AC97" s="9" t="str">
        <f>'BIO DATA'!AK97</f>
        <v>S1</v>
      </c>
      <c r="AD97" s="9" t="str">
        <f>'BIO DATA'!AL97</f>
        <v>Pegawai Swasta</v>
      </c>
      <c r="AE97" s="9" t="str">
        <f>'BIO DATA'!AM97</f>
        <v>1jt-3jt</v>
      </c>
      <c r="AF97" s="49" t="e">
        <f>'BIO DATA'!#REF!</f>
        <v>#REF!</v>
      </c>
      <c r="AG97" s="9">
        <f>'BIO DATA'!AO97</f>
        <v>0</v>
      </c>
      <c r="AH97" s="9">
        <f>'BIO DATA'!AY97</f>
        <v>0</v>
      </c>
      <c r="AI97" s="9">
        <f>'BIO DATA'!AZ97</f>
        <v>0</v>
      </c>
      <c r="AJ97" s="9">
        <f>'BIO DATA'!BA97</f>
        <v>0</v>
      </c>
      <c r="AK97" s="9">
        <f>'BIO DATA'!BB97</f>
        <v>0</v>
      </c>
      <c r="AL97" s="9">
        <f>'BIO DATA'!BC97</f>
        <v>0</v>
      </c>
      <c r="AM97" s="9">
        <f>'BIO DATA'!BD97</f>
        <v>0</v>
      </c>
      <c r="AN97" s="9">
        <f>'BIO DATA'!BE97</f>
        <v>0</v>
      </c>
      <c r="AO97" s="9">
        <f>'BIO DATA'!BF97</f>
        <v>0</v>
      </c>
      <c r="AP97" s="50" t="str">
        <f>'BIO DATA'!BG97</f>
        <v>Muhammad Rifki Hidayat, S.Ag.</v>
      </c>
    </row>
    <row r="98" spans="1:42" s="51" customFormat="1" ht="20.100000000000001" customHeight="1" thickBot="1">
      <c r="A98" s="16" t="s">
        <v>85</v>
      </c>
      <c r="B98">
        <v>16</v>
      </c>
      <c r="C98" s="287">
        <f>'BIO DATA'!C98</f>
        <v>12503</v>
      </c>
      <c r="D98" s="287" t="str">
        <f>'BIO DATA'!D98</f>
        <v>0141639352</v>
      </c>
      <c r="E98" s="288" t="str">
        <f>'BIO DATA'!E98</f>
        <v>Atharizz Andistyo Ghiffari</v>
      </c>
      <c r="F98" s="46" t="str">
        <f>'BIO DATA'!L98</f>
        <v>Laki-laki</v>
      </c>
      <c r="G98" s="9" t="str">
        <f>'BIO DATA'!M98</f>
        <v>Mataram</v>
      </c>
      <c r="H98" s="48">
        <f>'BIO DATA'!O98</f>
        <v>41784</v>
      </c>
      <c r="I98" s="46" t="str">
        <f>'BIO DATA'!R98</f>
        <v>Islam</v>
      </c>
      <c r="J98" s="47">
        <f>'BIO DATA'!I98</f>
        <v>3</v>
      </c>
      <c r="K98" s="47">
        <f>'BIO DATA'!J98</f>
        <v>2</v>
      </c>
      <c r="L98" s="9" t="str">
        <f>'BIO DATA'!S98</f>
        <v>Warungboto, Umbulharjo, Kota Yogyakarta DIY</v>
      </c>
      <c r="M98" s="9" t="str">
        <f>'BIO DATA'!U98</f>
        <v>Warungboto</v>
      </c>
      <c r="N98" s="9" t="str">
        <f>'BIO DATA'!V98</f>
        <v>Umbulharjo</v>
      </c>
      <c r="O98" s="9" t="str">
        <f>'BIO DATA'!W98</f>
        <v>Kota Yogyakarta</v>
      </c>
      <c r="P98" s="9" t="str">
        <f>'BIO DATA'!X98</f>
        <v>DIY</v>
      </c>
      <c r="Q98" s="9" t="str">
        <f>'BIO DATA'!Y98</f>
        <v>SDIT Al-Khairaat</v>
      </c>
      <c r="R98" s="9" t="str">
        <f>'BIO DATA'!Z98</f>
        <v>Gg. Rajiman UH V Blok UH V No.627, Pandeyan, Kec. Umbulharjo, Kota Yogyakarta</v>
      </c>
      <c r="S98" s="9">
        <f>'BIO DATA'!AA98</f>
        <v>0</v>
      </c>
      <c r="T98" s="9" t="str">
        <f>'BIO DATA'!AB98</f>
        <v>Sulistiyono</v>
      </c>
      <c r="U98" s="9" t="str">
        <f>'BIO DATA'!AC98</f>
        <v>Islam</v>
      </c>
      <c r="V98" s="9" t="str">
        <f>'BIO DATA'!AD98</f>
        <v>DIPLOMA</v>
      </c>
      <c r="W98" s="9" t="str">
        <f>'BIO DATA'!AE98</f>
        <v>PNS</v>
      </c>
      <c r="X98" s="9" t="str">
        <f>'BIO DATA'!AF98</f>
        <v>&gt;10jt</v>
      </c>
      <c r="Y98" s="144" t="str">
        <f>'BIO DATA'!AG98</f>
        <v>087886738383</v>
      </c>
      <c r="Z98" s="9">
        <f>'BIO DATA'!AH98</f>
        <v>0</v>
      </c>
      <c r="AA98" s="9" t="str">
        <f>'BIO DATA'!AI98</f>
        <v>B Ika Apriandini</v>
      </c>
      <c r="AB98" s="9" t="str">
        <f>'BIO DATA'!AJ98</f>
        <v>Islam</v>
      </c>
      <c r="AC98" s="9" t="str">
        <f>'BIO DATA'!AK98</f>
        <v>DIPLOMA</v>
      </c>
      <c r="AD98" s="9" t="str">
        <f>'BIO DATA'!AL98</f>
        <v>PNS</v>
      </c>
      <c r="AE98" s="9" t="str">
        <f>'BIO DATA'!AM98</f>
        <v>5jt-10jt</v>
      </c>
      <c r="AF98" s="49" t="e">
        <f>'BIO DATA'!#REF!</f>
        <v>#REF!</v>
      </c>
      <c r="AG98" s="9">
        <f>'BIO DATA'!AO98</f>
        <v>0</v>
      </c>
      <c r="AH98" s="9">
        <f>'BIO DATA'!AY98</f>
        <v>0</v>
      </c>
      <c r="AI98" s="9">
        <f>'BIO DATA'!AZ98</f>
        <v>0</v>
      </c>
      <c r="AJ98" s="9">
        <f>'BIO DATA'!BA98</f>
        <v>0</v>
      </c>
      <c r="AK98" s="9">
        <f>'BIO DATA'!BB98</f>
        <v>0</v>
      </c>
      <c r="AL98" s="9">
        <f>'BIO DATA'!BC98</f>
        <v>0</v>
      </c>
      <c r="AM98" s="9">
        <f>'BIO DATA'!BD98</f>
        <v>0</v>
      </c>
      <c r="AN98" s="9">
        <f>'BIO DATA'!BE98</f>
        <v>0</v>
      </c>
      <c r="AO98" s="9">
        <f>'BIO DATA'!BF98</f>
        <v>0</v>
      </c>
      <c r="AP98" s="50" t="str">
        <f>'BIO DATA'!BG98</f>
        <v>Muhammad Rifki Hidayat, S.Ag.</v>
      </c>
    </row>
    <row r="99" spans="1:42" s="51" customFormat="1" ht="20.100000000000001" customHeight="1" thickBot="1">
      <c r="A99" s="16" t="s">
        <v>85</v>
      </c>
      <c r="B99">
        <v>47</v>
      </c>
      <c r="C99" s="287">
        <f>'BIO DATA'!C99</f>
        <v>12505</v>
      </c>
      <c r="D99" s="287" t="str">
        <f>'BIO DATA'!D99</f>
        <v>0124769254</v>
      </c>
      <c r="E99" s="288" t="str">
        <f>'BIO DATA'!E99</f>
        <v>Atillah Azfar Rasyid</v>
      </c>
      <c r="F99" s="46" t="str">
        <f>'BIO DATA'!L99</f>
        <v>Laki-laki</v>
      </c>
      <c r="G99" s="9" t="str">
        <f>'BIO DATA'!M99</f>
        <v>Yogyakarta</v>
      </c>
      <c r="H99" s="48">
        <f>'BIO DATA'!O99</f>
        <v>41621</v>
      </c>
      <c r="I99" s="46" t="str">
        <f>'BIO DATA'!R99</f>
        <v>Islam</v>
      </c>
      <c r="J99" s="47">
        <f>'BIO DATA'!I99</f>
        <v>3</v>
      </c>
      <c r="K99" s="47">
        <f>'BIO DATA'!J99</f>
        <v>2</v>
      </c>
      <c r="L99" s="9" t="str">
        <f>'BIO DATA'!S99</f>
        <v>Tinalan 510 Prenggan Kotagede Kota Yogyakarta DIY</v>
      </c>
      <c r="M99" s="9" t="str">
        <f>'BIO DATA'!U99</f>
        <v>Prenggan</v>
      </c>
      <c r="N99" s="9" t="str">
        <f>'BIO DATA'!V99</f>
        <v>Kotagede</v>
      </c>
      <c r="O99" s="9" t="str">
        <f>'BIO DATA'!W99</f>
        <v>Kota Yogyakarta</v>
      </c>
      <c r="P99" s="9" t="str">
        <f>'BIO DATA'!X99</f>
        <v>DIY</v>
      </c>
      <c r="Q99" s="9" t="str">
        <f>'BIO DATA'!Y99</f>
        <v>SD Muhammadiyah Sokonandi 1</v>
      </c>
      <c r="R99" s="9" t="str">
        <f>'BIO DATA'!Z99</f>
        <v>Jalan Notowinatan Gunungketur Pakualaman Yogykarta</v>
      </c>
      <c r="S99" s="9">
        <f>'BIO DATA'!AA99</f>
        <v>0</v>
      </c>
      <c r="T99" s="9" t="str">
        <f>'BIO DATA'!AB99</f>
        <v>Kardhafi Ramli</v>
      </c>
      <c r="U99" s="9" t="str">
        <f>'BIO DATA'!AC99</f>
        <v>Islam</v>
      </c>
      <c r="V99" s="9" t="str">
        <f>'BIO DATA'!AD99</f>
        <v>S1</v>
      </c>
      <c r="W99" s="9" t="str">
        <f>'BIO DATA'!AE99</f>
        <v>Wiraswasta</v>
      </c>
      <c r="X99" s="9" t="str">
        <f>'BIO DATA'!AF99</f>
        <v>3jt-5jt</v>
      </c>
      <c r="Y99" s="144" t="str">
        <f>'BIO DATA'!AG99</f>
        <v>081804038091</v>
      </c>
      <c r="Z99" s="9">
        <f>'BIO DATA'!AH99</f>
        <v>0</v>
      </c>
      <c r="AA99" s="9" t="str">
        <f>'BIO DATA'!AI99</f>
        <v>Fitri Maulidah Rahmawati</v>
      </c>
      <c r="AB99" s="9" t="str">
        <f>'BIO DATA'!AJ99</f>
        <v>Islam</v>
      </c>
      <c r="AC99" s="9" t="str">
        <f>'BIO DATA'!AK99</f>
        <v>S2</v>
      </c>
      <c r="AD99" s="9" t="str">
        <f>'BIO DATA'!AL99</f>
        <v>Guru/Dosen</v>
      </c>
      <c r="AE99" s="9" t="str">
        <f>'BIO DATA'!AM99</f>
        <v>3jt-5jt</v>
      </c>
      <c r="AF99" s="49" t="e">
        <f>'BIO DATA'!#REF!</f>
        <v>#REF!</v>
      </c>
      <c r="AG99" s="9">
        <f>'BIO DATA'!AO99</f>
        <v>0</v>
      </c>
      <c r="AH99" s="9">
        <f>'BIO DATA'!AY99</f>
        <v>0</v>
      </c>
      <c r="AI99" s="9">
        <f>'BIO DATA'!AZ99</f>
        <v>0</v>
      </c>
      <c r="AJ99" s="9">
        <f>'BIO DATA'!BA99</f>
        <v>0</v>
      </c>
      <c r="AK99" s="9">
        <f>'BIO DATA'!BB99</f>
        <v>0</v>
      </c>
      <c r="AL99" s="9">
        <f>'BIO DATA'!BC99</f>
        <v>0</v>
      </c>
      <c r="AM99" s="9">
        <f>'BIO DATA'!BD99</f>
        <v>0</v>
      </c>
      <c r="AN99" s="9">
        <f>'BIO DATA'!BE99</f>
        <v>0</v>
      </c>
      <c r="AO99" s="9">
        <f>'BIO DATA'!BF99</f>
        <v>0</v>
      </c>
      <c r="AP99" s="50" t="str">
        <f>'BIO DATA'!BG99</f>
        <v>Muhammad Rifki Hidayat, S.Ag.</v>
      </c>
    </row>
    <row r="100" spans="1:42" s="51" customFormat="1" ht="20.100000000000001" customHeight="1" thickBot="1">
      <c r="A100" s="16" t="s">
        <v>85</v>
      </c>
      <c r="B100">
        <v>54</v>
      </c>
      <c r="C100" s="287">
        <f>'BIO DATA'!C100</f>
        <v>12510</v>
      </c>
      <c r="D100" s="287" t="str">
        <f>'BIO DATA'!D100</f>
        <v>0132631942</v>
      </c>
      <c r="E100" s="288" t="str">
        <f>'BIO DATA'!E100</f>
        <v>Azmi Hail</v>
      </c>
      <c r="F100" s="46" t="str">
        <f>'BIO DATA'!L100</f>
        <v>Laki-laki</v>
      </c>
      <c r="G100" s="9" t="str">
        <f>'BIO DATA'!M100</f>
        <v>Depok</v>
      </c>
      <c r="H100" s="48">
        <f>'BIO DATA'!O100</f>
        <v>41443</v>
      </c>
      <c r="I100" s="46" t="str">
        <f>'BIO DATA'!R100</f>
        <v>Islam</v>
      </c>
      <c r="J100" s="47">
        <f>'BIO DATA'!I100</f>
        <v>1</v>
      </c>
      <c r="K100" s="47">
        <f>'BIO DATA'!J100</f>
        <v>2</v>
      </c>
      <c r="L100" s="9" t="str">
        <f>'BIO DATA'!S100</f>
        <v>Desa Tanjung Rt.03 Rw.01 No.02, kec. Ngombol, Kab. Purworejo Jawa Tengah</v>
      </c>
      <c r="M100" s="9" t="str">
        <f>'BIO DATA'!U100</f>
        <v>Tanjung</v>
      </c>
      <c r="N100" s="9" t="str">
        <f>'BIO DATA'!V100</f>
        <v>Ngombol</v>
      </c>
      <c r="O100" s="9" t="str">
        <f>'BIO DATA'!W100</f>
        <v>Purworejo</v>
      </c>
      <c r="P100" s="9" t="str">
        <f>'BIO DATA'!X100</f>
        <v>Jawa Tengah</v>
      </c>
      <c r="Q100" s="9" t="str">
        <f>'BIO DATA'!Y100</f>
        <v>SD Muhammadiyah Bayan</v>
      </c>
      <c r="R100" s="9" t="str">
        <f>'BIO DATA'!Z100</f>
        <v>Jln. Baselo Km. 01 Desa Jono Kec. Bayan Kab.Purworejo</v>
      </c>
      <c r="S100" s="9">
        <f>'BIO DATA'!AA100</f>
        <v>0</v>
      </c>
      <c r="T100" s="9" t="str">
        <f>'BIO DATA'!AB100</f>
        <v>Faisal Anis</v>
      </c>
      <c r="U100" s="9" t="str">
        <f>'BIO DATA'!AC100</f>
        <v>Islam</v>
      </c>
      <c r="V100" s="9" t="str">
        <f>'BIO DATA'!AD100</f>
        <v>S1</v>
      </c>
      <c r="W100" s="9" t="str">
        <f>'BIO DATA'!AE100</f>
        <v>Wiraswasta</v>
      </c>
      <c r="X100" s="9" t="str">
        <f>'BIO DATA'!AF100</f>
        <v>&gt;10jt</v>
      </c>
      <c r="Y100" s="144" t="str">
        <f>'BIO DATA'!AG100</f>
        <v>08111800809</v>
      </c>
      <c r="Z100" s="9">
        <f>'BIO DATA'!AH100</f>
        <v>0</v>
      </c>
      <c r="AA100" s="9" t="str">
        <f>'BIO DATA'!AI100</f>
        <v>Hanipah</v>
      </c>
      <c r="AB100" s="9" t="str">
        <f>'BIO DATA'!AJ100</f>
        <v>Islam</v>
      </c>
      <c r="AC100" s="9" t="str">
        <f>'BIO DATA'!AK100</f>
        <v>SMA/SMK/MA</v>
      </c>
      <c r="AD100" s="9" t="str">
        <f>'BIO DATA'!AL100</f>
        <v>Tidak Bekerja</v>
      </c>
      <c r="AE100" s="9" t="str">
        <f>'BIO DATA'!AM100</f>
        <v>&lt; 500rb</v>
      </c>
      <c r="AF100" s="49" t="e">
        <f>'BIO DATA'!#REF!</f>
        <v>#REF!</v>
      </c>
      <c r="AG100" s="9">
        <f>'BIO DATA'!AO100</f>
        <v>0</v>
      </c>
      <c r="AH100" s="9">
        <f>'BIO DATA'!AY100</f>
        <v>0</v>
      </c>
      <c r="AI100" s="9">
        <f>'BIO DATA'!AZ100</f>
        <v>0</v>
      </c>
      <c r="AJ100" s="9">
        <f>'BIO DATA'!BA100</f>
        <v>0</v>
      </c>
      <c r="AK100" s="9">
        <f>'BIO DATA'!BB100</f>
        <v>0</v>
      </c>
      <c r="AL100" s="9">
        <f>'BIO DATA'!BC100</f>
        <v>0</v>
      </c>
      <c r="AM100" s="9">
        <f>'BIO DATA'!BD100</f>
        <v>0</v>
      </c>
      <c r="AN100" s="9">
        <f>'BIO DATA'!BE100</f>
        <v>0</v>
      </c>
      <c r="AO100" s="9">
        <f>'BIO DATA'!BF100</f>
        <v>0</v>
      </c>
      <c r="AP100" s="50" t="str">
        <f>'BIO DATA'!BG100</f>
        <v>Muhammad Rifki Hidayat, S.Ag.</v>
      </c>
    </row>
    <row r="101" spans="1:42" s="51" customFormat="1" ht="20.100000000000001" customHeight="1" thickBot="1">
      <c r="A101" s="16" t="s">
        <v>85</v>
      </c>
      <c r="B101">
        <v>58</v>
      </c>
      <c r="C101" s="287">
        <f>'BIO DATA'!C101</f>
        <v>12511</v>
      </c>
      <c r="D101" s="287" t="str">
        <f>'BIO DATA'!D101</f>
        <v>0133386408</v>
      </c>
      <c r="E101" s="288" t="str">
        <f>'BIO DATA'!E101</f>
        <v>Azzam Fahrezzi Shaquille</v>
      </c>
      <c r="F101" s="46" t="str">
        <f>'BIO DATA'!L101</f>
        <v>Laki-laki</v>
      </c>
      <c r="G101" s="9" t="str">
        <f>'BIO DATA'!M101</f>
        <v>Sleman</v>
      </c>
      <c r="H101" s="48">
        <f>'BIO DATA'!O101</f>
        <v>41500</v>
      </c>
      <c r="I101" s="46" t="str">
        <f>'BIO DATA'!R101</f>
        <v>Islam</v>
      </c>
      <c r="J101" s="47">
        <f>'BIO DATA'!I101</f>
        <v>1</v>
      </c>
      <c r="K101" s="47">
        <f>'BIO DATA'!J101</f>
        <v>1</v>
      </c>
      <c r="L101" s="9" t="str">
        <f>'BIO DATA'!S101</f>
        <v>Sidomulyo rt 03 rw 27, Trimulyo, Sleman, Yogyakarta</v>
      </c>
      <c r="M101" s="9" t="str">
        <f>'BIO DATA'!U101</f>
        <v>Trimulyo</v>
      </c>
      <c r="N101" s="9" t="str">
        <f>'BIO DATA'!V101</f>
        <v>Sleman</v>
      </c>
      <c r="O101" s="9" t="str">
        <f>'BIO DATA'!W101</f>
        <v>Sleman</v>
      </c>
      <c r="P101" s="9" t="str">
        <f>'BIO DATA'!X101</f>
        <v>DIY</v>
      </c>
      <c r="Q101" s="9" t="str">
        <f>'BIO DATA'!Y101</f>
        <v>SD Muhammadiyah Mantaran</v>
      </c>
      <c r="R101" s="9" t="str">
        <f>'BIO DATA'!Z101</f>
        <v>Mantaran, Trimulyo, Sleman, Sleman, Yogyakarta</v>
      </c>
      <c r="S101" s="9">
        <f>'BIO DATA'!AA101</f>
        <v>0</v>
      </c>
      <c r="T101" s="9" t="str">
        <f>'BIO DATA'!AB101</f>
        <v>Fauzan Rifqi</v>
      </c>
      <c r="U101" s="9" t="str">
        <f>'BIO DATA'!AC101</f>
        <v>Islam</v>
      </c>
      <c r="V101" s="9" t="str">
        <f>'BIO DATA'!AD101</f>
        <v>S1</v>
      </c>
      <c r="W101" s="9" t="str">
        <f>'BIO DATA'!AE101</f>
        <v>Pegawai Swasta</v>
      </c>
      <c r="X101" s="9" t="str">
        <f>'BIO DATA'!AF101</f>
        <v>5jt-10jt</v>
      </c>
      <c r="Y101" s="144" t="str">
        <f>'BIO DATA'!AG101</f>
        <v>087839156875</v>
      </c>
      <c r="Z101" s="9">
        <f>'BIO DATA'!AH101</f>
        <v>0</v>
      </c>
      <c r="AA101" s="9" t="str">
        <f>'BIO DATA'!AI101</f>
        <v>Arum Huda Nurjanatun</v>
      </c>
      <c r="AB101" s="9" t="str">
        <f>'BIO DATA'!AJ101</f>
        <v>Islam</v>
      </c>
      <c r="AC101" s="9" t="str">
        <f>'BIO DATA'!AK101</f>
        <v>S1</v>
      </c>
      <c r="AD101" s="9" t="str">
        <f>'BIO DATA'!AL101</f>
        <v>Pegawai Swasta</v>
      </c>
      <c r="AE101" s="9" t="str">
        <f>'BIO DATA'!AM101</f>
        <v>3jt-5jt</v>
      </c>
      <c r="AF101" s="49" t="e">
        <f>'BIO DATA'!#REF!</f>
        <v>#REF!</v>
      </c>
      <c r="AG101" s="9">
        <f>'BIO DATA'!AO101</f>
        <v>0</v>
      </c>
      <c r="AH101" s="9">
        <f>'BIO DATA'!AY101</f>
        <v>0</v>
      </c>
      <c r="AI101" s="9">
        <f>'BIO DATA'!AZ101</f>
        <v>0</v>
      </c>
      <c r="AJ101" s="9">
        <f>'BIO DATA'!BA101</f>
        <v>0</v>
      </c>
      <c r="AK101" s="9">
        <f>'BIO DATA'!BB101</f>
        <v>0</v>
      </c>
      <c r="AL101" s="9">
        <f>'BIO DATA'!BC101</f>
        <v>0</v>
      </c>
      <c r="AM101" s="9">
        <f>'BIO DATA'!BD101</f>
        <v>0</v>
      </c>
      <c r="AN101" s="9">
        <f>'BIO DATA'!BE101</f>
        <v>0</v>
      </c>
      <c r="AO101" s="9">
        <f>'BIO DATA'!BF101</f>
        <v>0</v>
      </c>
      <c r="AP101" s="50" t="str">
        <f>'BIO DATA'!BG101</f>
        <v>Muhammad Rifki Hidayat, S.Ag.</v>
      </c>
    </row>
    <row r="102" spans="1:42" s="51" customFormat="1" ht="20.100000000000001" customHeight="1" thickBot="1">
      <c r="A102" s="16" t="s">
        <v>85</v>
      </c>
      <c r="B102">
        <v>76</v>
      </c>
      <c r="C102" s="287">
        <f>'BIO DATA'!C102</f>
        <v>12519</v>
      </c>
      <c r="D102" s="287" t="str">
        <f>'BIO DATA'!D102</f>
        <v>0135542274</v>
      </c>
      <c r="E102" s="288" t="str">
        <f>'BIO DATA'!E102</f>
        <v>Cemal Rizqy Hibatullah Al - Azzam</v>
      </c>
      <c r="F102" s="46" t="str">
        <f>'BIO DATA'!L102</f>
        <v>Laki-laki</v>
      </c>
      <c r="G102" s="9" t="str">
        <f>'BIO DATA'!M102</f>
        <v>Surabaya</v>
      </c>
      <c r="H102" s="48">
        <f>'BIO DATA'!O102</f>
        <v>41619</v>
      </c>
      <c r="I102" s="46" t="str">
        <f>'BIO DATA'!R102</f>
        <v>Islam</v>
      </c>
      <c r="J102" s="47">
        <f>'BIO DATA'!I102</f>
        <v>3</v>
      </c>
      <c r="K102" s="47">
        <f>'BIO DATA'!J102</f>
        <v>2</v>
      </c>
      <c r="L102" s="9" t="str">
        <f>'BIO DATA'!S102</f>
        <v>Bulak Banteng Wetan 14 no 9 RT 003 RW 008 Sidotopo Wetan Kenjeran Kota Surabaya Jawa Timur</v>
      </c>
      <c r="M102" s="9" t="str">
        <f>'BIO DATA'!U102</f>
        <v>Sidotopo Wetan</v>
      </c>
      <c r="N102" s="9" t="str">
        <f>'BIO DATA'!V102</f>
        <v>Kenjeran</v>
      </c>
      <c r="O102" s="9" t="str">
        <f>'BIO DATA'!W102</f>
        <v>Kota Surabaya</v>
      </c>
      <c r="P102" s="9" t="str">
        <f>'BIO DATA'!X102</f>
        <v>Jawa Timur</v>
      </c>
      <c r="Q102" s="9" t="str">
        <f>'BIO DATA'!Y102</f>
        <v>SD Muhammadiyah 10 Surabaya</v>
      </c>
      <c r="R102" s="9" t="str">
        <f>'BIO DATA'!Z102</f>
        <v>Jl. Sidoyoso IX / 14 - 16</v>
      </c>
      <c r="S102" s="9">
        <f>'BIO DATA'!AA102</f>
        <v>0</v>
      </c>
      <c r="T102" s="9" t="str">
        <f>'BIO DATA'!AB102</f>
        <v>Amang Muazam, M. Pd. I</v>
      </c>
      <c r="U102" s="9" t="str">
        <f>'BIO DATA'!AC102</f>
        <v>Islam</v>
      </c>
      <c r="V102" s="9" t="str">
        <f>'BIO DATA'!AD102</f>
        <v>S2</v>
      </c>
      <c r="W102" s="9" t="str">
        <f>'BIO DATA'!AE102</f>
        <v>Guru/Dosen</v>
      </c>
      <c r="X102" s="9" t="str">
        <f>'BIO DATA'!AF102</f>
        <v>1jt-3jt</v>
      </c>
      <c r="Y102" s="144" t="str">
        <f>'BIO DATA'!AG102</f>
        <v>085258416164</v>
      </c>
      <c r="Z102" s="9">
        <f>'BIO DATA'!AH102</f>
        <v>0</v>
      </c>
      <c r="AA102" s="9" t="str">
        <f>'BIO DATA'!AI102</f>
        <v>Indah Lestari S. Pd.</v>
      </c>
      <c r="AB102" s="9" t="str">
        <f>'BIO DATA'!AJ102</f>
        <v>Islam</v>
      </c>
      <c r="AC102" s="9" t="str">
        <f>'BIO DATA'!AK102</f>
        <v>S1</v>
      </c>
      <c r="AD102" s="9" t="str">
        <f>'BIO DATA'!AL102</f>
        <v>Guru/Dosen</v>
      </c>
      <c r="AE102" s="9" t="str">
        <f>'BIO DATA'!AM102</f>
        <v>1jt-3jt</v>
      </c>
      <c r="AF102" s="49" t="e">
        <f>'BIO DATA'!#REF!</f>
        <v>#REF!</v>
      </c>
      <c r="AG102" s="9">
        <f>'BIO DATA'!AO102</f>
        <v>0</v>
      </c>
      <c r="AH102" s="9">
        <f>'BIO DATA'!AY102</f>
        <v>0</v>
      </c>
      <c r="AI102" s="9">
        <f>'BIO DATA'!AZ102</f>
        <v>0</v>
      </c>
      <c r="AJ102" s="9">
        <f>'BIO DATA'!BA102</f>
        <v>0</v>
      </c>
      <c r="AK102" s="9">
        <f>'BIO DATA'!BB102</f>
        <v>0</v>
      </c>
      <c r="AL102" s="9">
        <f>'BIO DATA'!BC102</f>
        <v>0</v>
      </c>
      <c r="AM102" s="9">
        <f>'BIO DATA'!BD102</f>
        <v>0</v>
      </c>
      <c r="AN102" s="9">
        <f>'BIO DATA'!BE102</f>
        <v>0</v>
      </c>
      <c r="AO102" s="9">
        <f>'BIO DATA'!BF102</f>
        <v>0</v>
      </c>
      <c r="AP102" s="50" t="str">
        <f>'BIO DATA'!BG102</f>
        <v>Muhammad Rifki Hidayat, S.Ag.</v>
      </c>
    </row>
    <row r="103" spans="1:42" s="51" customFormat="1" ht="20.100000000000001" customHeight="1" thickBot="1">
      <c r="A103" s="16" t="s">
        <v>85</v>
      </c>
      <c r="B103">
        <v>84</v>
      </c>
      <c r="C103" s="287">
        <f>'BIO DATA'!C103</f>
        <v>12526</v>
      </c>
      <c r="D103" s="287" t="str">
        <f>'BIO DATA'!D103</f>
        <v>0135518734</v>
      </c>
      <c r="E103" s="288" t="str">
        <f>'BIO DATA'!E103</f>
        <v>Daniswara Alvis Nurrizqi</v>
      </c>
      <c r="F103" s="46" t="str">
        <f>'BIO DATA'!L103</f>
        <v>Laki-laki</v>
      </c>
      <c r="G103" s="9" t="str">
        <f>'BIO DATA'!M103</f>
        <v>Yogyakarta</v>
      </c>
      <c r="H103" s="48">
        <f>'BIO DATA'!O103</f>
        <v>41582</v>
      </c>
      <c r="I103" s="46" t="str">
        <f>'BIO DATA'!R103</f>
        <v>Islam</v>
      </c>
      <c r="J103" s="47">
        <f>'BIO DATA'!I103</f>
        <v>2</v>
      </c>
      <c r="K103" s="47">
        <f>'BIO DATA'!J103</f>
        <v>1</v>
      </c>
      <c r="L103" s="9" t="str">
        <f>'BIO DATA'!S103</f>
        <v>Mrisen Dk.Geneng RT 07 Panggungharjo Sewon Bantul Yogyakarta</v>
      </c>
      <c r="M103" s="9" t="str">
        <f>'BIO DATA'!U103</f>
        <v>Panggungharjo</v>
      </c>
      <c r="N103" s="9" t="str">
        <f>'BIO DATA'!V103</f>
        <v>Sewon</v>
      </c>
      <c r="O103" s="9" t="str">
        <f>'BIO DATA'!W103</f>
        <v>Bantul</v>
      </c>
      <c r="P103" s="9" t="str">
        <f>'BIO DATA'!X103</f>
        <v>DIY</v>
      </c>
      <c r="Q103" s="9" t="str">
        <f>'BIO DATA'!Y103</f>
        <v>SD Muhammadiyah Karangkajen Yogyakarta</v>
      </c>
      <c r="R103" s="9" t="str">
        <f>'BIO DATA'!Z103</f>
        <v>Karangkajen Yogyakarta</v>
      </c>
      <c r="S103" s="9">
        <f>'BIO DATA'!AA103</f>
        <v>0</v>
      </c>
      <c r="T103" s="9" t="str">
        <f>'BIO DATA'!AB103</f>
        <v>Ahmad Nurhidayad</v>
      </c>
      <c r="U103" s="9" t="str">
        <f>'BIO DATA'!AC103</f>
        <v>Islam</v>
      </c>
      <c r="V103" s="9" t="str">
        <f>'BIO DATA'!AD103</f>
        <v>S1</v>
      </c>
      <c r="W103" s="9" t="str">
        <f>'BIO DATA'!AE103</f>
        <v>Wiraswasta</v>
      </c>
      <c r="X103" s="9" t="str">
        <f>'BIO DATA'!AF103</f>
        <v>3jt-5jt</v>
      </c>
      <c r="Y103" s="144" t="str">
        <f>'BIO DATA'!AG103</f>
        <v>08122741334</v>
      </c>
      <c r="Z103" s="9">
        <f>'BIO DATA'!AH103</f>
        <v>0</v>
      </c>
      <c r="AA103" s="9" t="str">
        <f>'BIO DATA'!AI103</f>
        <v>Restu Asih Kusumaningrum</v>
      </c>
      <c r="AB103" s="9" t="str">
        <f>'BIO DATA'!AJ103</f>
        <v>Islam</v>
      </c>
      <c r="AC103" s="9" t="str">
        <f>'BIO DATA'!AK103</f>
        <v>S1</v>
      </c>
      <c r="AD103" s="9" t="str">
        <f>'BIO DATA'!AL103</f>
        <v>PNS</v>
      </c>
      <c r="AE103" s="9" t="str">
        <f>'BIO DATA'!AM103</f>
        <v>3jt-5jt</v>
      </c>
      <c r="AF103" s="49" t="e">
        <f>'BIO DATA'!#REF!</f>
        <v>#REF!</v>
      </c>
      <c r="AG103" s="9">
        <f>'BIO DATA'!AO103</f>
        <v>0</v>
      </c>
      <c r="AH103" s="9">
        <f>'BIO DATA'!AY103</f>
        <v>0</v>
      </c>
      <c r="AI103" s="9">
        <f>'BIO DATA'!AZ103</f>
        <v>0</v>
      </c>
      <c r="AJ103" s="9">
        <f>'BIO DATA'!BA103</f>
        <v>0</v>
      </c>
      <c r="AK103" s="9">
        <f>'BIO DATA'!BB103</f>
        <v>0</v>
      </c>
      <c r="AL103" s="9">
        <f>'BIO DATA'!BC103</f>
        <v>0</v>
      </c>
      <c r="AM103" s="9">
        <f>'BIO DATA'!BD103</f>
        <v>0</v>
      </c>
      <c r="AN103" s="9">
        <f>'BIO DATA'!BE103</f>
        <v>0</v>
      </c>
      <c r="AO103" s="9">
        <f>'BIO DATA'!BF103</f>
        <v>0</v>
      </c>
      <c r="AP103" s="50" t="str">
        <f>'BIO DATA'!BG103</f>
        <v>Muhammad Rifki Hidayat, S.Ag.</v>
      </c>
    </row>
    <row r="104" spans="1:42" s="51" customFormat="1" ht="20.100000000000001" customHeight="1" thickBot="1">
      <c r="A104" s="16" t="s">
        <v>85</v>
      </c>
      <c r="B104">
        <v>89</v>
      </c>
      <c r="C104" s="287">
        <f>'BIO DATA'!C104</f>
        <v>12531</v>
      </c>
      <c r="D104" s="287" t="str">
        <f>'BIO DATA'!D104</f>
        <v>0146112012</v>
      </c>
      <c r="E104" s="288" t="str">
        <f>'BIO DATA'!E104</f>
        <v>Dzulfadli Agra Firmansyah</v>
      </c>
      <c r="F104" s="46" t="str">
        <f>'BIO DATA'!L104</f>
        <v>Laki-laki</v>
      </c>
      <c r="G104" s="9" t="str">
        <f>'BIO DATA'!M104</f>
        <v>Purbalingga</v>
      </c>
      <c r="H104" s="48">
        <f>'BIO DATA'!O104</f>
        <v>41640</v>
      </c>
      <c r="I104" s="46" t="str">
        <f>'BIO DATA'!R104</f>
        <v>Islam</v>
      </c>
      <c r="J104" s="47">
        <f>'BIO DATA'!I104</f>
        <v>1</v>
      </c>
      <c r="K104" s="47">
        <f>'BIO DATA'!J104</f>
        <v>2</v>
      </c>
      <c r="L104" s="9" t="str">
        <f>'BIO DATA'!S104</f>
        <v>Desa penusupan RT 2 RW 9 Kel. Penolih Kec. Kaligondang Purbalingga Jawa Tengah 53391</v>
      </c>
      <c r="M104" s="9" t="str">
        <f>'BIO DATA'!U104</f>
        <v>Penolih</v>
      </c>
      <c r="N104" s="9" t="str">
        <f>'BIO DATA'!V104</f>
        <v>Kaligondang</v>
      </c>
      <c r="O104" s="9" t="str">
        <f>'BIO DATA'!W104</f>
        <v>Purbalingga</v>
      </c>
      <c r="P104" s="9" t="str">
        <f>'BIO DATA'!X104</f>
        <v>Jawa Tengah</v>
      </c>
      <c r="Q104" s="9" t="str">
        <f>'BIO DATA'!Y104</f>
        <v>MI Progresif Bumi Shalawat</v>
      </c>
      <c r="R104" s="9">
        <f>'BIO DATA'!Z104</f>
        <v>0</v>
      </c>
      <c r="S104" s="9">
        <f>'BIO DATA'!AA104</f>
        <v>0</v>
      </c>
      <c r="T104" s="9" t="str">
        <f>'BIO DATA'!AB104</f>
        <v>Frandy Firmansyah</v>
      </c>
      <c r="U104" s="9" t="str">
        <f>'BIO DATA'!AC104</f>
        <v>Islam</v>
      </c>
      <c r="V104" s="9" t="str">
        <f>'BIO DATA'!AD104</f>
        <v>s1</v>
      </c>
      <c r="W104" s="9" t="str">
        <f>'BIO DATA'!AE104</f>
        <v>Karyawan Swasta</v>
      </c>
      <c r="X104" s="9">
        <f>'BIO DATA'!AF104</f>
        <v>0</v>
      </c>
      <c r="Y104" s="144" t="str">
        <f>'BIO DATA'!AG104</f>
        <v>082142045083</v>
      </c>
      <c r="Z104" s="9">
        <f>'BIO DATA'!AH104</f>
        <v>0</v>
      </c>
      <c r="AA104" s="9" t="str">
        <f>'BIO DATA'!AI104</f>
        <v>Dwi Rachmaningsih</v>
      </c>
      <c r="AB104" s="9" t="str">
        <f>'BIO DATA'!AJ104</f>
        <v>Islam</v>
      </c>
      <c r="AC104" s="9" t="str">
        <f>'BIO DATA'!AK104</f>
        <v>S1</v>
      </c>
      <c r="AD104" s="9" t="str">
        <f>'BIO DATA'!AL104</f>
        <v>Karyawan Swasta</v>
      </c>
      <c r="AE104" s="9">
        <f>'BIO DATA'!AM104</f>
        <v>0</v>
      </c>
      <c r="AF104" s="49" t="e">
        <f>'BIO DATA'!#REF!</f>
        <v>#REF!</v>
      </c>
      <c r="AG104" s="9">
        <f>'BIO DATA'!AO104</f>
        <v>0</v>
      </c>
      <c r="AH104" s="9">
        <f>'BIO DATA'!AY104</f>
        <v>0</v>
      </c>
      <c r="AI104" s="9">
        <f>'BIO DATA'!AZ104</f>
        <v>0</v>
      </c>
      <c r="AJ104" s="9">
        <f>'BIO DATA'!BA104</f>
        <v>0</v>
      </c>
      <c r="AK104" s="9">
        <f>'BIO DATA'!BB104</f>
        <v>0</v>
      </c>
      <c r="AL104" s="9">
        <f>'BIO DATA'!BC104</f>
        <v>0</v>
      </c>
      <c r="AM104" s="9">
        <f>'BIO DATA'!BD104</f>
        <v>0</v>
      </c>
      <c r="AN104" s="9">
        <f>'BIO DATA'!BE104</f>
        <v>0</v>
      </c>
      <c r="AO104" s="9">
        <f>'BIO DATA'!BF104</f>
        <v>0</v>
      </c>
      <c r="AP104" s="50" t="str">
        <f>'BIO DATA'!BG104</f>
        <v>Muhammad Rifki Hidayat, S.Ag.</v>
      </c>
    </row>
    <row r="105" spans="1:42" s="51" customFormat="1" ht="20.100000000000001" customHeight="1" thickBot="1">
      <c r="A105" s="16" t="s">
        <v>85</v>
      </c>
      <c r="B105">
        <v>105</v>
      </c>
      <c r="C105" s="287">
        <f>'BIO DATA'!C105</f>
        <v>12539</v>
      </c>
      <c r="D105" s="287" t="str">
        <f>'BIO DATA'!D105</f>
        <v>0144939076</v>
      </c>
      <c r="E105" s="288" t="str">
        <f>'BIO DATA'!E105</f>
        <v>Fairel Atharizz Chalief</v>
      </c>
      <c r="F105" s="46" t="str">
        <f>'BIO DATA'!L105</f>
        <v>Laki-laki</v>
      </c>
      <c r="G105" s="9" t="str">
        <f>'BIO DATA'!M105</f>
        <v>Purworejo</v>
      </c>
      <c r="H105" s="48">
        <f>'BIO DATA'!O105</f>
        <v>41671</v>
      </c>
      <c r="I105" s="46" t="str">
        <f>'BIO DATA'!R105</f>
        <v>Islam</v>
      </c>
      <c r="J105" s="47">
        <f>'BIO DATA'!I105</f>
        <v>4</v>
      </c>
      <c r="K105" s="47">
        <f>'BIO DATA'!J105</f>
        <v>3</v>
      </c>
      <c r="L105" s="9" t="str">
        <f>'BIO DATA'!S105</f>
        <v>Dk Dusun Demangan RT 05 RW 03, Condongsari Banyuurip Purworejo Jawa Tengah</v>
      </c>
      <c r="M105" s="9" t="str">
        <f>'BIO DATA'!U105</f>
        <v>Condongsari</v>
      </c>
      <c r="N105" s="9" t="str">
        <f>'BIO DATA'!V105</f>
        <v>Banyuurip</v>
      </c>
      <c r="O105" s="9" t="str">
        <f>'BIO DATA'!W105</f>
        <v>Purworejo</v>
      </c>
      <c r="P105" s="9" t="str">
        <f>'BIO DATA'!X105</f>
        <v>Jawa Tengah</v>
      </c>
      <c r="Q105" s="9" t="str">
        <f>'BIO DATA'!Y105</f>
        <v>SD Muhammadiyah Kutoarjo</v>
      </c>
      <c r="R105" s="9" t="str">
        <f>'BIO DATA'!Z105</f>
        <v>Jl. Kliwonan II No.10, Kutoarjo, Purworejo, Kabupaten Purworejo, Jawa Tengah</v>
      </c>
      <c r="S105" s="9">
        <f>'BIO DATA'!AA105</f>
        <v>0</v>
      </c>
      <c r="T105" s="9" t="str">
        <f>'BIO DATA'!AB105</f>
        <v>Hasanudin</v>
      </c>
      <c r="U105" s="9" t="str">
        <f>'BIO DATA'!AC105</f>
        <v>Islam</v>
      </c>
      <c r="V105" s="9" t="str">
        <f>'BIO DATA'!AD105</f>
        <v>S1</v>
      </c>
      <c r="W105" s="9" t="str">
        <f>'BIO DATA'!AE105</f>
        <v>TNI/Polri</v>
      </c>
      <c r="X105" s="9" t="str">
        <f>'BIO DATA'!AF105</f>
        <v>5jt-10jt</v>
      </c>
      <c r="Y105" s="144" t="str">
        <f>'BIO DATA'!AG105</f>
        <v>082136552052</v>
      </c>
      <c r="Z105" s="9">
        <f>'BIO DATA'!AH105</f>
        <v>0</v>
      </c>
      <c r="AA105" s="9" t="str">
        <f>'BIO DATA'!AI105</f>
        <v>Ary Puspitaningrum</v>
      </c>
      <c r="AB105" s="9" t="str">
        <f>'BIO DATA'!AJ105</f>
        <v>Islam</v>
      </c>
      <c r="AC105" s="9" t="str">
        <f>'BIO DATA'!AK105</f>
        <v>S2</v>
      </c>
      <c r="AD105" s="9" t="str">
        <f>'BIO DATA'!AL105</f>
        <v>PNS</v>
      </c>
      <c r="AE105" s="9" t="str">
        <f>'BIO DATA'!AM105</f>
        <v>5jt-10jt</v>
      </c>
      <c r="AF105" s="49" t="e">
        <f>'BIO DATA'!#REF!</f>
        <v>#REF!</v>
      </c>
      <c r="AG105" s="9">
        <f>'BIO DATA'!AO105</f>
        <v>0</v>
      </c>
      <c r="AH105" s="9">
        <f>'BIO DATA'!AY105</f>
        <v>0</v>
      </c>
      <c r="AI105" s="9">
        <f>'BIO DATA'!AZ105</f>
        <v>0</v>
      </c>
      <c r="AJ105" s="9">
        <f>'BIO DATA'!BA105</f>
        <v>0</v>
      </c>
      <c r="AK105" s="9">
        <f>'BIO DATA'!BB105</f>
        <v>0</v>
      </c>
      <c r="AL105" s="9">
        <f>'BIO DATA'!BC105</f>
        <v>0</v>
      </c>
      <c r="AM105" s="9">
        <f>'BIO DATA'!BD105</f>
        <v>0</v>
      </c>
      <c r="AN105" s="9">
        <f>'BIO DATA'!BE105</f>
        <v>0</v>
      </c>
      <c r="AO105" s="9">
        <f>'BIO DATA'!BF105</f>
        <v>0</v>
      </c>
      <c r="AP105" s="50" t="str">
        <f>'BIO DATA'!BG105</f>
        <v>Muhammad Rifki Hidayat, S.Ag.</v>
      </c>
    </row>
    <row r="106" spans="1:42" s="51" customFormat="1" ht="20.100000000000001" customHeight="1" thickBot="1">
      <c r="A106" s="16" t="s">
        <v>85</v>
      </c>
      <c r="B106">
        <v>108</v>
      </c>
      <c r="C106" s="287">
        <f>'BIO DATA'!C106</f>
        <v>12540</v>
      </c>
      <c r="D106" s="287" t="str">
        <f>'BIO DATA'!D106</f>
        <v>0143468907</v>
      </c>
      <c r="E106" s="288" t="str">
        <f>'BIO DATA'!E106</f>
        <v>Faith Zirah El Fathir Triono</v>
      </c>
      <c r="F106" s="46" t="str">
        <f>'BIO DATA'!L106</f>
        <v>Laki-laki</v>
      </c>
      <c r="G106" s="9" t="str">
        <f>'BIO DATA'!M106</f>
        <v>Gresik</v>
      </c>
      <c r="H106" s="48">
        <f>'BIO DATA'!O106</f>
        <v>41754</v>
      </c>
      <c r="I106" s="46" t="str">
        <f>'BIO DATA'!R106</f>
        <v>Islam</v>
      </c>
      <c r="J106" s="47">
        <f>'BIO DATA'!I106</f>
        <v>1</v>
      </c>
      <c r="K106" s="47">
        <f>'BIO DATA'!J106</f>
        <v>2</v>
      </c>
      <c r="L106" s="9" t="str">
        <f>'BIO DATA'!S106</f>
        <v>Dusun Kampung Desa Pucung Kecamatan Balongpanggang Gresik 61173 Jawa Timur</v>
      </c>
      <c r="M106" s="9" t="str">
        <f>'BIO DATA'!U106</f>
        <v>Pucung</v>
      </c>
      <c r="N106" s="9" t="str">
        <f>'BIO DATA'!V106</f>
        <v>Balongpanggung</v>
      </c>
      <c r="O106" s="9" t="str">
        <f>'BIO DATA'!W106</f>
        <v>Gresik</v>
      </c>
      <c r="P106" s="9" t="str">
        <f>'BIO DATA'!X106</f>
        <v>Jawa Timur</v>
      </c>
      <c r="Q106" s="9" t="str">
        <f>'BIO DATA'!Y106</f>
        <v>SD Muhammadiyah 2 Gresik</v>
      </c>
      <c r="R106" s="9" t="str">
        <f>'BIO DATA'!Z106</f>
        <v>Jl. KH Kholil no 90 Gresik Jawa Timur 61115</v>
      </c>
      <c r="S106" s="9">
        <f>'BIO DATA'!AA106</f>
        <v>0</v>
      </c>
      <c r="T106" s="9" t="str">
        <f>'BIO DATA'!AB106</f>
        <v>Nanang Triono</v>
      </c>
      <c r="U106" s="9" t="str">
        <f>'BIO DATA'!AC106</f>
        <v>Islam</v>
      </c>
      <c r="V106" s="9" t="str">
        <f>'BIO DATA'!AD106</f>
        <v>S1</v>
      </c>
      <c r="W106" s="9" t="str">
        <f>'BIO DATA'!AE106</f>
        <v>Pegawai Swasta</v>
      </c>
      <c r="X106" s="9" t="str">
        <f>'BIO DATA'!AF106</f>
        <v>5jt-10jt</v>
      </c>
      <c r="Y106" s="144" t="str">
        <f>'BIO DATA'!AG106</f>
        <v>081334040848</v>
      </c>
      <c r="Z106" s="9">
        <f>'BIO DATA'!AH106</f>
        <v>0</v>
      </c>
      <c r="AA106" s="9" t="str">
        <f>'BIO DATA'!AI106</f>
        <v>Faradibah Anggraini</v>
      </c>
      <c r="AB106" s="9" t="str">
        <f>'BIO DATA'!AJ106</f>
        <v>Islam</v>
      </c>
      <c r="AC106" s="9" t="str">
        <f>'BIO DATA'!AK106</f>
        <v>S1</v>
      </c>
      <c r="AD106" s="9" t="str">
        <f>'BIO DATA'!AL106</f>
        <v>Pegawai Swasta</v>
      </c>
      <c r="AE106" s="9" t="str">
        <f>'BIO DATA'!AM106</f>
        <v>3jt-5jt</v>
      </c>
      <c r="AF106" s="49" t="str">
        <f>'BIO DATA'!AN93</f>
        <v>087848622497</v>
      </c>
      <c r="AG106" s="9">
        <f>'BIO DATA'!AO106</f>
        <v>0</v>
      </c>
      <c r="AH106" s="9">
        <f>'BIO DATA'!AY106</f>
        <v>0</v>
      </c>
      <c r="AI106" s="9">
        <f>'BIO DATA'!AZ106</f>
        <v>0</v>
      </c>
      <c r="AJ106" s="9">
        <f>'BIO DATA'!BA106</f>
        <v>0</v>
      </c>
      <c r="AK106" s="9">
        <f>'BIO DATA'!BB106</f>
        <v>0</v>
      </c>
      <c r="AL106" s="9">
        <f>'BIO DATA'!BC106</f>
        <v>0</v>
      </c>
      <c r="AM106" s="9">
        <f>'BIO DATA'!BD106</f>
        <v>0</v>
      </c>
      <c r="AN106" s="9">
        <f>'BIO DATA'!BE106</f>
        <v>0</v>
      </c>
      <c r="AO106" s="9">
        <f>'BIO DATA'!BF106</f>
        <v>0</v>
      </c>
      <c r="AP106" s="50" t="str">
        <f>'BIO DATA'!BG106</f>
        <v>Muhammad Rifki Hidayat, S.Ag.</v>
      </c>
    </row>
    <row r="107" spans="1:42" s="51" customFormat="1" ht="20.100000000000001" customHeight="1" thickBot="1">
      <c r="A107" s="16" t="s">
        <v>85</v>
      </c>
      <c r="B107">
        <v>109</v>
      </c>
      <c r="C107" s="287">
        <f>'BIO DATA'!C107</f>
        <v>12579</v>
      </c>
      <c r="D107" s="287" t="str">
        <f>'BIO DATA'!D107</f>
        <v>0145236574</v>
      </c>
      <c r="E107" s="288" t="str">
        <f>'BIO DATA'!E107</f>
        <v>Jaris Jalu Randita</v>
      </c>
      <c r="F107" s="46" t="str">
        <f>'BIO DATA'!L107</f>
        <v>Laki-laki</v>
      </c>
      <c r="G107" s="9" t="str">
        <f>'BIO DATA'!M107</f>
        <v>Rembang</v>
      </c>
      <c r="H107" s="48">
        <f>'BIO DATA'!O107</f>
        <v>41683</v>
      </c>
      <c r="I107" s="46" t="str">
        <f>'BIO DATA'!R107</f>
        <v>Islam</v>
      </c>
      <c r="J107" s="47">
        <f>'BIO DATA'!I107</f>
        <v>1</v>
      </c>
      <c r="K107" s="47">
        <f>'BIO DATA'!J107</f>
        <v>1</v>
      </c>
      <c r="L107" s="9" t="str">
        <f>'BIO DATA'!S107</f>
        <v>Jl. Musi RT 012 RW 004 Slawi Wetan Slawi Tegal Jawa Tengah</v>
      </c>
      <c r="M107" s="9" t="str">
        <f>'BIO DATA'!U107</f>
        <v>Slawi Wetan</v>
      </c>
      <c r="N107" s="9" t="str">
        <f>'BIO DATA'!V107</f>
        <v>Slawi</v>
      </c>
      <c r="O107" s="9" t="str">
        <f>'BIO DATA'!W107</f>
        <v>Tegal</v>
      </c>
      <c r="P107" s="9" t="str">
        <f>'BIO DATA'!X107</f>
        <v>Jawa Tengah</v>
      </c>
      <c r="Q107" s="9" t="str">
        <f>'BIO DATA'!Y107</f>
        <v>MIS Luqman Al Hakim</v>
      </c>
      <c r="R107" s="9" t="str">
        <f>'BIO DATA'!Z107</f>
        <v>JL. Gajahmada No. 77 RT 04 RW 06 Kalisapu, Slawi, Kabupaten Tegal</v>
      </c>
      <c r="S107" s="9">
        <f>'BIO DATA'!AA107</f>
        <v>0</v>
      </c>
      <c r="T107" s="9" t="str">
        <f>'BIO DATA'!AB107</f>
        <v>Rizal Faiqurohman</v>
      </c>
      <c r="U107" s="9" t="str">
        <f>'BIO DATA'!AC107</f>
        <v>Islam</v>
      </c>
      <c r="V107" s="9" t="str">
        <f>'BIO DATA'!AD107</f>
        <v>DIPLOMA</v>
      </c>
      <c r="W107" s="9" t="str">
        <f>'BIO DATA'!AE107</f>
        <v>Lain-lain</v>
      </c>
      <c r="X107" s="9" t="str">
        <f>'BIO DATA'!AF107</f>
        <v>5jt-10jt</v>
      </c>
      <c r="Y107" s="144" t="str">
        <f>'BIO DATA'!AG107</f>
        <v>08562750718</v>
      </c>
      <c r="Z107" s="9">
        <f>'BIO DATA'!AH107</f>
        <v>0</v>
      </c>
      <c r="AA107" s="9" t="str">
        <f>'BIO DATA'!AI107</f>
        <v>Anin Eka Sulistyawati</v>
      </c>
      <c r="AB107" s="9" t="str">
        <f>'BIO DATA'!AJ107</f>
        <v>Islam</v>
      </c>
      <c r="AC107" s="9" t="str">
        <f>'BIO DATA'!AK107</f>
        <v>S2</v>
      </c>
      <c r="AD107" s="9" t="str">
        <f>'BIO DATA'!AL107</f>
        <v>Guru/Dosen</v>
      </c>
      <c r="AE107" s="9" t="str">
        <f>'BIO DATA'!AM107</f>
        <v>5jt-10jt</v>
      </c>
      <c r="AF107" s="49" t="str">
        <f>'BIO DATA'!AN94</f>
        <v>088222250887</v>
      </c>
      <c r="AG107" s="9">
        <f>'BIO DATA'!AO107</f>
        <v>0</v>
      </c>
      <c r="AH107" s="9">
        <f>'BIO DATA'!AY107</f>
        <v>0</v>
      </c>
      <c r="AI107" s="9">
        <f>'BIO DATA'!AZ107</f>
        <v>0</v>
      </c>
      <c r="AJ107" s="9">
        <f>'BIO DATA'!BA107</f>
        <v>0</v>
      </c>
      <c r="AK107" s="9">
        <f>'BIO DATA'!BB107</f>
        <v>0</v>
      </c>
      <c r="AL107" s="9">
        <f>'BIO DATA'!BC107</f>
        <v>0</v>
      </c>
      <c r="AM107" s="9">
        <f>'BIO DATA'!BD107</f>
        <v>0</v>
      </c>
      <c r="AN107" s="9">
        <f>'BIO DATA'!BE107</f>
        <v>0</v>
      </c>
      <c r="AO107" s="9">
        <f>'BIO DATA'!BF107</f>
        <v>0</v>
      </c>
      <c r="AP107" s="50" t="str">
        <f>'BIO DATA'!BG107</f>
        <v>Muhammad Rifki Hidayat, S.Ag.</v>
      </c>
    </row>
    <row r="108" spans="1:42" s="51" customFormat="1" ht="20.100000000000001" customHeight="1" thickBot="1">
      <c r="A108" s="16" t="s">
        <v>85</v>
      </c>
      <c r="B108">
        <v>112</v>
      </c>
      <c r="C108" s="287">
        <f>'BIO DATA'!C108</f>
        <v>12582</v>
      </c>
      <c r="D108" s="287" t="str">
        <f>'BIO DATA'!D108</f>
        <v>0144325053</v>
      </c>
      <c r="E108" s="288" t="str">
        <f>'BIO DATA'!E108</f>
        <v>Kamaalul Firdaus</v>
      </c>
      <c r="F108" s="46" t="str">
        <f>'BIO DATA'!L108</f>
        <v>Laki-laki</v>
      </c>
      <c r="G108" s="9" t="str">
        <f>'BIO DATA'!M108</f>
        <v>Kendal</v>
      </c>
      <c r="H108" s="48">
        <f>'BIO DATA'!O108</f>
        <v>41668</v>
      </c>
      <c r="I108" s="46" t="str">
        <f>'BIO DATA'!R108</f>
        <v>Islam</v>
      </c>
      <c r="J108" s="47">
        <f>'BIO DATA'!I108</f>
        <v>5</v>
      </c>
      <c r="K108" s="47">
        <f>'BIO DATA'!J108</f>
        <v>5</v>
      </c>
      <c r="L108" s="9" t="str">
        <f>'BIO DATA'!S108</f>
        <v>Kauman Kidul RT 4 RW 5 Sarirejo Kaliwungu Kendal</v>
      </c>
      <c r="M108" s="9" t="str">
        <f>'BIO DATA'!U108</f>
        <v>Sarirejo</v>
      </c>
      <c r="N108" s="9" t="str">
        <f>'BIO DATA'!V108</f>
        <v>Kaliwungu</v>
      </c>
      <c r="O108" s="9" t="str">
        <f>'BIO DATA'!W108</f>
        <v>Kendal</v>
      </c>
      <c r="P108" s="9" t="str">
        <f>'BIO DATA'!X108</f>
        <v>Jawa Tengah</v>
      </c>
      <c r="Q108" s="9" t="str">
        <f>'BIO DATA'!Y108</f>
        <v>MI Muhammadiyah Sarirejo</v>
      </c>
      <c r="R108" s="9" t="str">
        <f>'BIO DATA'!Z108</f>
        <v>Jl Sekopek No 21 Kaliwungu, Sarirejo, Kec. Kaliwungu, Kabupaten Kendal</v>
      </c>
      <c r="S108" s="9">
        <f>'BIO DATA'!AA108</f>
        <v>0</v>
      </c>
      <c r="T108" s="9" t="str">
        <f>'BIO DATA'!AB108</f>
        <v>Firdaus Muhammad</v>
      </c>
      <c r="U108" s="9" t="str">
        <f>'BIO DATA'!AC108</f>
        <v>Islam</v>
      </c>
      <c r="V108" s="9" t="str">
        <f>'BIO DATA'!AD108</f>
        <v>S2</v>
      </c>
      <c r="W108" s="9" t="str">
        <f>'BIO DATA'!AE108</f>
        <v>PNS</v>
      </c>
      <c r="X108" s="9" t="str">
        <f>'BIO DATA'!AF108</f>
        <v>&gt;10jt</v>
      </c>
      <c r="Y108" s="144" t="str">
        <f>'BIO DATA'!AG108</f>
        <v>081393747899</v>
      </c>
      <c r="Z108" s="9">
        <f>'BIO DATA'!AH108</f>
        <v>0</v>
      </c>
      <c r="AA108" s="9" t="str">
        <f>'BIO DATA'!AI108</f>
        <v>Nur Hidayatul Fitriyah</v>
      </c>
      <c r="AB108" s="9" t="str">
        <f>'BIO DATA'!AJ108</f>
        <v>Islam</v>
      </c>
      <c r="AC108" s="9" t="str">
        <f>'BIO DATA'!AK108</f>
        <v>S1</v>
      </c>
      <c r="AD108" s="9" t="str">
        <f>'BIO DATA'!AL108</f>
        <v>Tidak Bekerja</v>
      </c>
      <c r="AE108" s="9" t="str">
        <f>'BIO DATA'!AM108</f>
        <v>&lt; 500rb</v>
      </c>
      <c r="AF108" s="49" t="str">
        <f>'BIO DATA'!AN95</f>
        <v>089514015857</v>
      </c>
      <c r="AG108" s="9">
        <f>'BIO DATA'!AO108</f>
        <v>0</v>
      </c>
      <c r="AH108" s="9">
        <f>'BIO DATA'!AY108</f>
        <v>0</v>
      </c>
      <c r="AI108" s="9">
        <f>'BIO DATA'!AZ108</f>
        <v>0</v>
      </c>
      <c r="AJ108" s="9">
        <f>'BIO DATA'!BA108</f>
        <v>0</v>
      </c>
      <c r="AK108" s="9">
        <f>'BIO DATA'!BB108</f>
        <v>0</v>
      </c>
      <c r="AL108" s="9">
        <f>'BIO DATA'!BC108</f>
        <v>0</v>
      </c>
      <c r="AM108" s="9">
        <f>'BIO DATA'!BD108</f>
        <v>0</v>
      </c>
      <c r="AN108" s="9">
        <f>'BIO DATA'!BE108</f>
        <v>0</v>
      </c>
      <c r="AO108" s="9">
        <f>'BIO DATA'!BF108</f>
        <v>0</v>
      </c>
      <c r="AP108" s="50" t="str">
        <f>'BIO DATA'!BG108</f>
        <v>Muhammad Rifki Hidayat, S.Ag.</v>
      </c>
    </row>
    <row r="109" spans="1:42" s="51" customFormat="1" ht="20.100000000000001" customHeight="1" thickBot="1">
      <c r="A109" s="16" t="s">
        <v>85</v>
      </c>
      <c r="B109">
        <v>152</v>
      </c>
      <c r="C109" s="287">
        <f>'BIO DATA'!C109</f>
        <v>12584</v>
      </c>
      <c r="D109" s="287" t="str">
        <f>'BIO DATA'!D109</f>
        <v>0147990334</v>
      </c>
      <c r="E109" s="288" t="str">
        <f>'BIO DATA'!E109</f>
        <v>Kaysan Shahzada Sabih</v>
      </c>
      <c r="F109" s="46" t="str">
        <f>'BIO DATA'!L109</f>
        <v>Laki-laki</v>
      </c>
      <c r="G109" s="9" t="str">
        <f>'BIO DATA'!M109</f>
        <v>Jakarta</v>
      </c>
      <c r="H109" s="48">
        <f>'BIO DATA'!O109</f>
        <v>41652</v>
      </c>
      <c r="I109" s="46" t="str">
        <f>'BIO DATA'!R109</f>
        <v>Islam</v>
      </c>
      <c r="J109" s="47">
        <f>'BIO DATA'!I109</f>
        <v>1</v>
      </c>
      <c r="K109" s="47">
        <f>'BIO DATA'!J109</f>
        <v>2</v>
      </c>
      <c r="L109" s="9" t="str">
        <f>'BIO DATA'!S109</f>
        <v>Jl.Batu Bulat II No.40B Rt.018 Rw.005 Kelurahan Batu Ampar, Kecamatan Kramatjati, Jakarta Timur DKI Jakarta</v>
      </c>
      <c r="M109" s="9" t="str">
        <f>'BIO DATA'!U109</f>
        <v>Batu Ampar</v>
      </c>
      <c r="N109" s="9" t="str">
        <f>'BIO DATA'!V109</f>
        <v>Kramatjati</v>
      </c>
      <c r="O109" s="9" t="str">
        <f>'BIO DATA'!W109</f>
        <v>Jakarta Timur</v>
      </c>
      <c r="P109" s="9" t="str">
        <f>'BIO DATA'!X109</f>
        <v>DKI Jakarta</v>
      </c>
      <c r="Q109" s="9" t="str">
        <f>'BIO DATA'!Y109</f>
        <v>SD Muhammadiyah 24 Jakarta</v>
      </c>
      <c r="R109" s="9" t="str">
        <f>'BIO DATA'!Z109</f>
        <v>Jl.Balai Pustaka Barat No.2 Rawamangun Kecamatan Pulogadung Kotamadya Jakarta Timur Provinsi DKI Jakarta</v>
      </c>
      <c r="S109" s="9">
        <f>'BIO DATA'!AA109</f>
        <v>0</v>
      </c>
      <c r="T109" s="9" t="str">
        <f>'BIO DATA'!AB109</f>
        <v>Edi Suswanto</v>
      </c>
      <c r="U109" s="9" t="str">
        <f>'BIO DATA'!AC109</f>
        <v>Islam</v>
      </c>
      <c r="V109" s="9" t="str">
        <f>'BIO DATA'!AD109</f>
        <v>S1</v>
      </c>
      <c r="W109" s="9" t="str">
        <f>'BIO DATA'!AE109</f>
        <v>Wiraswasta</v>
      </c>
      <c r="X109" s="9" t="str">
        <f>'BIO DATA'!AF109</f>
        <v>5jt-10jt</v>
      </c>
      <c r="Y109" s="144" t="str">
        <f>'BIO DATA'!AG109</f>
        <v>087882867684</v>
      </c>
      <c r="Z109" s="9">
        <f>'BIO DATA'!AH109</f>
        <v>0</v>
      </c>
      <c r="AA109" s="9" t="str">
        <f>'BIO DATA'!AI109</f>
        <v>Widiawati</v>
      </c>
      <c r="AB109" s="9" t="str">
        <f>'BIO DATA'!AJ109</f>
        <v>Islam</v>
      </c>
      <c r="AC109" s="9" t="str">
        <f>'BIO DATA'!AK109</f>
        <v>S2</v>
      </c>
      <c r="AD109" s="9" t="str">
        <f>'BIO DATA'!AL109</f>
        <v>Guru/Dosen</v>
      </c>
      <c r="AE109" s="9" t="str">
        <f>'BIO DATA'!AM109</f>
        <v>5jt-10jt</v>
      </c>
      <c r="AF109" s="49" t="str">
        <f>'BIO DATA'!AN96</f>
        <v>081333504200</v>
      </c>
      <c r="AG109" s="9">
        <f>'BIO DATA'!AO109</f>
        <v>0</v>
      </c>
      <c r="AH109" s="9">
        <f>'BIO DATA'!AY109</f>
        <v>0</v>
      </c>
      <c r="AI109" s="9">
        <f>'BIO DATA'!AZ109</f>
        <v>0</v>
      </c>
      <c r="AJ109" s="9">
        <f>'BIO DATA'!BA109</f>
        <v>0</v>
      </c>
      <c r="AK109" s="9">
        <f>'BIO DATA'!BB109</f>
        <v>0</v>
      </c>
      <c r="AL109" s="9">
        <f>'BIO DATA'!BC109</f>
        <v>0</v>
      </c>
      <c r="AM109" s="9">
        <f>'BIO DATA'!BD109</f>
        <v>0</v>
      </c>
      <c r="AN109" s="9">
        <f>'BIO DATA'!BE109</f>
        <v>0</v>
      </c>
      <c r="AO109" s="9">
        <f>'BIO DATA'!BF109</f>
        <v>0</v>
      </c>
      <c r="AP109" s="50" t="str">
        <f>'BIO DATA'!BG109</f>
        <v>Muhammad Rifki Hidayat, S.Ag.</v>
      </c>
    </row>
    <row r="110" spans="1:42" s="51" customFormat="1" ht="20.100000000000001" customHeight="1" thickBot="1">
      <c r="A110" s="16" t="s">
        <v>85</v>
      </c>
      <c r="B110">
        <v>172</v>
      </c>
      <c r="C110" s="287">
        <f>'BIO DATA'!C110</f>
        <v>12602</v>
      </c>
      <c r="D110" s="287" t="str">
        <f>'BIO DATA'!D110</f>
        <v>0138927744</v>
      </c>
      <c r="E110" s="288" t="str">
        <f>'BIO DATA'!E110</f>
        <v>Mifzal Assyauqi Muhammad</v>
      </c>
      <c r="F110" s="46" t="str">
        <f>'BIO DATA'!L110</f>
        <v>Laki-laki</v>
      </c>
      <c r="G110" s="9" t="str">
        <f>'BIO DATA'!M110</f>
        <v>Semarang</v>
      </c>
      <c r="H110" s="48">
        <f>'BIO DATA'!O110</f>
        <v>41476</v>
      </c>
      <c r="I110" s="46" t="str">
        <f>'BIO DATA'!R110</f>
        <v>Islam</v>
      </c>
      <c r="J110" s="47">
        <f>'BIO DATA'!I110</f>
        <v>1</v>
      </c>
      <c r="K110" s="47">
        <f>'BIO DATA'!J110</f>
        <v>1</v>
      </c>
      <c r="L110" s="9" t="str">
        <f>'BIO DATA'!S110</f>
        <v>JL. Panda Timur III No. 39. Palebon. Pedurungan. Kota Semarang. Jawa Tengah</v>
      </c>
      <c r="M110" s="9" t="str">
        <f>'BIO DATA'!U110</f>
        <v>Palebon</v>
      </c>
      <c r="N110" s="9" t="str">
        <f>'BIO DATA'!V110</f>
        <v>Pedurungan</v>
      </c>
      <c r="O110" s="9" t="str">
        <f>'BIO DATA'!W110</f>
        <v>Kota Semarang</v>
      </c>
      <c r="P110" s="9" t="str">
        <f>'BIO DATA'!X110</f>
        <v>Jawa Tengah</v>
      </c>
      <c r="Q110" s="9" t="str">
        <f>'BIO DATA'!Y110</f>
        <v>PKBM Bangun Bangsa (Kuttab Al Fatih Semarang)</v>
      </c>
      <c r="R110" s="9" t="str">
        <f>'BIO DATA'!Z110</f>
        <v>Jl. Banget Prasetya No 216, Bangetayu Kulon Genuk, Semarang, Indonesia</v>
      </c>
      <c r="S110" s="9">
        <f>'BIO DATA'!AA110</f>
        <v>0</v>
      </c>
      <c r="T110" s="9" t="str">
        <f>'BIO DATA'!AB110</f>
        <v>Hantiyo Seran, S.E.</v>
      </c>
      <c r="U110" s="9" t="str">
        <f>'BIO DATA'!AC110</f>
        <v>Islam</v>
      </c>
      <c r="V110" s="9" t="str">
        <f>'BIO DATA'!AD110</f>
        <v>S1</v>
      </c>
      <c r="W110" s="9" t="str">
        <f>'BIO DATA'!AE110</f>
        <v>PNS</v>
      </c>
      <c r="X110" s="9" t="str">
        <f>'BIO DATA'!AF110</f>
        <v>5jt-10jt</v>
      </c>
      <c r="Y110" s="144" t="str">
        <f>'BIO DATA'!AG110</f>
        <v>081392083765</v>
      </c>
      <c r="Z110" s="9">
        <f>'BIO DATA'!AH110</f>
        <v>0</v>
      </c>
      <c r="AA110" s="9" t="str">
        <f>'BIO DATA'!AI110</f>
        <v>Dr. Nikken Prima Puspita</v>
      </c>
      <c r="AB110" s="9" t="str">
        <f>'BIO DATA'!AJ110</f>
        <v>Islam</v>
      </c>
      <c r="AC110" s="9" t="str">
        <f>'BIO DATA'!AK110</f>
        <v>S3</v>
      </c>
      <c r="AD110" s="9" t="str">
        <f>'BIO DATA'!AL110</f>
        <v>Guru/Dosen</v>
      </c>
      <c r="AE110" s="9" t="str">
        <f>'BIO DATA'!AM110</f>
        <v>&gt;10jt</v>
      </c>
      <c r="AF110" s="49" t="str">
        <f>'BIO DATA'!AN97</f>
        <v>085228441187</v>
      </c>
      <c r="AG110" s="9">
        <f>'BIO DATA'!AO110</f>
        <v>0</v>
      </c>
      <c r="AH110" s="9">
        <f>'BIO DATA'!AY110</f>
        <v>0</v>
      </c>
      <c r="AI110" s="9">
        <f>'BIO DATA'!AZ110</f>
        <v>0</v>
      </c>
      <c r="AJ110" s="9">
        <f>'BIO DATA'!BA110</f>
        <v>0</v>
      </c>
      <c r="AK110" s="9">
        <f>'BIO DATA'!BB110</f>
        <v>0</v>
      </c>
      <c r="AL110" s="9">
        <f>'BIO DATA'!BC110</f>
        <v>0</v>
      </c>
      <c r="AM110" s="9">
        <f>'BIO DATA'!BD110</f>
        <v>0</v>
      </c>
      <c r="AN110" s="9">
        <f>'BIO DATA'!BE110</f>
        <v>0</v>
      </c>
      <c r="AO110" s="9">
        <f>'BIO DATA'!BF110</f>
        <v>0</v>
      </c>
      <c r="AP110" s="50" t="str">
        <f>'BIO DATA'!BG110</f>
        <v>Muhammad Rifki Hidayat, S.Ag.</v>
      </c>
    </row>
    <row r="111" spans="1:42" s="51" customFormat="1" ht="20.100000000000001" customHeight="1" thickBot="1">
      <c r="A111" s="16" t="s">
        <v>85</v>
      </c>
      <c r="B111">
        <v>175</v>
      </c>
      <c r="C111" s="287">
        <f>'BIO DATA'!C111</f>
        <v>12608</v>
      </c>
      <c r="D111" s="287" t="str">
        <f>'BIO DATA'!D111</f>
        <v>0131164379</v>
      </c>
      <c r="E111" s="288" t="str">
        <f>'BIO DATA'!E111</f>
        <v>Muhammad Admiral Atthobari Yatalathof</v>
      </c>
      <c r="F111" s="46" t="str">
        <f>'BIO DATA'!L111</f>
        <v>Laki-laki</v>
      </c>
      <c r="G111" s="9" t="str">
        <f>'BIO DATA'!M111</f>
        <v>Pekanbaru</v>
      </c>
      <c r="H111" s="48">
        <f>'BIO DATA'!O111</f>
        <v>41406</v>
      </c>
      <c r="I111" s="46" t="str">
        <f>'BIO DATA'!R111</f>
        <v>Islam</v>
      </c>
      <c r="J111" s="47">
        <f>'BIO DATA'!I111</f>
        <v>4</v>
      </c>
      <c r="K111" s="47">
        <f>'BIO DATA'!J111</f>
        <v>4</v>
      </c>
      <c r="L111" s="9" t="str">
        <f>'BIO DATA'!S111</f>
        <v>Kisik RT 01, Gedongsari, Wijirejo, Pandak, Bantul</v>
      </c>
      <c r="M111" s="9" t="str">
        <f>'BIO DATA'!U111</f>
        <v>Wijirejo</v>
      </c>
      <c r="N111" s="9" t="str">
        <f>'BIO DATA'!V111</f>
        <v>Pandak</v>
      </c>
      <c r="O111" s="9" t="str">
        <f>'BIO DATA'!W111</f>
        <v>Bantul</v>
      </c>
      <c r="P111" s="9" t="str">
        <f>'BIO DATA'!X111</f>
        <v>DIY</v>
      </c>
      <c r="Q111" s="9" t="str">
        <f>'BIO DATA'!Y111</f>
        <v>SD Unggulan 'Aisyiyah Bantul</v>
      </c>
      <c r="R111" s="9" t="str">
        <f>'BIO DATA'!Z111</f>
        <v>Jl. Wakhid Hasyim No.60 Sanggrahan Ringinharjo Bantul</v>
      </c>
      <c r="S111" s="9">
        <f>'BIO DATA'!AA111</f>
        <v>0</v>
      </c>
      <c r="T111" s="9" t="str">
        <f>'BIO DATA'!AB111</f>
        <v>Nazarudin Latif</v>
      </c>
      <c r="U111" s="9" t="str">
        <f>'BIO DATA'!AC111</f>
        <v>Islam</v>
      </c>
      <c r="V111" s="9" t="str">
        <f>'BIO DATA'!AD111</f>
        <v>S1</v>
      </c>
      <c r="W111" s="9" t="str">
        <f>'BIO DATA'!AE111</f>
        <v>Lain-lain</v>
      </c>
      <c r="X111" s="9" t="str">
        <f>'BIO DATA'!AF111</f>
        <v>5jt-10jt</v>
      </c>
      <c r="Y111" s="144" t="str">
        <f>'BIO DATA'!AG111</f>
        <v>081238077003</v>
      </c>
      <c r="Z111" s="9">
        <f>'BIO DATA'!AH111</f>
        <v>0</v>
      </c>
      <c r="AA111" s="9" t="str">
        <f>'BIO DATA'!AI111</f>
        <v>Fithriatus Shalihah</v>
      </c>
      <c r="AB111" s="9" t="str">
        <f>'BIO DATA'!AJ111</f>
        <v>Islam</v>
      </c>
      <c r="AC111" s="9" t="str">
        <f>'BIO DATA'!AK111</f>
        <v>S3</v>
      </c>
      <c r="AD111" s="9" t="str">
        <f>'BIO DATA'!AL111</f>
        <v>Guru/Dosen</v>
      </c>
      <c r="AE111" s="9" t="str">
        <f>'BIO DATA'!AM111</f>
        <v>5jt-10jt</v>
      </c>
      <c r="AF111" s="49" t="str">
        <f>'BIO DATA'!AN98</f>
        <v>081999908383</v>
      </c>
      <c r="AG111" s="9">
        <f>'BIO DATA'!AO111</f>
        <v>0</v>
      </c>
      <c r="AH111" s="9">
        <f>'BIO DATA'!AY111</f>
        <v>0</v>
      </c>
      <c r="AI111" s="9">
        <f>'BIO DATA'!AZ111</f>
        <v>0</v>
      </c>
      <c r="AJ111" s="9">
        <f>'BIO DATA'!BA111</f>
        <v>0</v>
      </c>
      <c r="AK111" s="9">
        <f>'BIO DATA'!BB111</f>
        <v>0</v>
      </c>
      <c r="AL111" s="9">
        <f>'BIO DATA'!BC111</f>
        <v>0</v>
      </c>
      <c r="AM111" s="9">
        <f>'BIO DATA'!BD111</f>
        <v>0</v>
      </c>
      <c r="AN111" s="9">
        <f>'BIO DATA'!BE111</f>
        <v>0</v>
      </c>
      <c r="AO111" s="9">
        <f>'BIO DATA'!BF111</f>
        <v>0</v>
      </c>
      <c r="AP111" s="50" t="str">
        <f>'BIO DATA'!BG111</f>
        <v>Muhammad Rifki Hidayat, S.Ag.</v>
      </c>
    </row>
    <row r="112" spans="1:42" s="51" customFormat="1" ht="20.100000000000001" customHeight="1" thickBot="1">
      <c r="A112" s="16" t="s">
        <v>85</v>
      </c>
      <c r="B112">
        <v>186</v>
      </c>
      <c r="C112" s="287">
        <f>'BIO DATA'!C112</f>
        <v>12611</v>
      </c>
      <c r="D112" s="287" t="str">
        <f>'BIO DATA'!D112</f>
        <v>0132701925</v>
      </c>
      <c r="E112" s="288" t="str">
        <f>'BIO DATA'!E112</f>
        <v>Muhammad Ahnaf Isnandika</v>
      </c>
      <c r="F112" s="46" t="str">
        <f>'BIO DATA'!L112</f>
        <v>Laki-laki</v>
      </c>
      <c r="G112" s="9" t="str">
        <f>'BIO DATA'!M112</f>
        <v>Yogyakarta</v>
      </c>
      <c r="H112" s="48">
        <f>'BIO DATA'!O112</f>
        <v>41603</v>
      </c>
      <c r="I112" s="46" t="str">
        <f>'BIO DATA'!R112</f>
        <v>Islam</v>
      </c>
      <c r="J112" s="47">
        <f>'BIO DATA'!I112</f>
        <v>1</v>
      </c>
      <c r="K112" s="47">
        <f>'BIO DATA'!J112</f>
        <v>1</v>
      </c>
      <c r="L112" s="9" t="str">
        <f>'BIO DATA'!S112</f>
        <v>Ngentak RT 04 Dukuh 01 Murtigading Sanden Bantul DIY</v>
      </c>
      <c r="M112" s="9" t="str">
        <f>'BIO DATA'!U112</f>
        <v>Murtigading</v>
      </c>
      <c r="N112" s="9" t="str">
        <f>'BIO DATA'!V112</f>
        <v>Sanden</v>
      </c>
      <c r="O112" s="9" t="str">
        <f>'BIO DATA'!W112</f>
        <v>Bantul</v>
      </c>
      <c r="P112" s="9" t="str">
        <f>'BIO DATA'!X112</f>
        <v>DIY</v>
      </c>
      <c r="Q112" s="9" t="str">
        <f>'BIO DATA'!Y112</f>
        <v>SD Muhammadiyah Trisigan</v>
      </c>
      <c r="R112" s="9" t="str">
        <f>'BIO DATA'!Z112</f>
        <v>Trisigan Murtigading Sanden Bantul</v>
      </c>
      <c r="S112" s="9">
        <f>'BIO DATA'!AA112</f>
        <v>0</v>
      </c>
      <c r="T112" s="9" t="str">
        <f>'BIO DATA'!AB112</f>
        <v>Noor Rakhman Ufrianto</v>
      </c>
      <c r="U112" s="9" t="str">
        <f>'BIO DATA'!AC112</f>
        <v>Islam</v>
      </c>
      <c r="V112" s="9" t="str">
        <f>'BIO DATA'!AD112</f>
        <v>S2</v>
      </c>
      <c r="W112" s="9" t="str">
        <f>'BIO DATA'!AE112</f>
        <v>PNS</v>
      </c>
      <c r="X112" s="9" t="str">
        <f>'BIO DATA'!AF112</f>
        <v>3jt-5jt</v>
      </c>
      <c r="Y112" s="144" t="str">
        <f>'BIO DATA'!AG112</f>
        <v>085878075476</v>
      </c>
      <c r="Z112" s="9">
        <f>'BIO DATA'!AH112</f>
        <v>0</v>
      </c>
      <c r="AA112" s="9" t="str">
        <f>'BIO DATA'!AI112</f>
        <v>Fitri An Nisaa</v>
      </c>
      <c r="AB112" s="9" t="str">
        <f>'BIO DATA'!AJ112</f>
        <v>Islam</v>
      </c>
      <c r="AC112" s="9" t="str">
        <f>'BIO DATA'!AK112</f>
        <v>S1</v>
      </c>
      <c r="AD112" s="9" t="str">
        <f>'BIO DATA'!AL112</f>
        <v>Tidak Bekerja</v>
      </c>
      <c r="AE112" s="9" t="str">
        <f>'BIO DATA'!AM112</f>
        <v>&lt; 500rb</v>
      </c>
      <c r="AF112" s="49" t="str">
        <f>'BIO DATA'!AN99</f>
        <v>081804048010</v>
      </c>
      <c r="AG112" s="9">
        <f>'BIO DATA'!AO112</f>
        <v>0</v>
      </c>
      <c r="AH112" s="9">
        <f>'BIO DATA'!AY112</f>
        <v>0</v>
      </c>
      <c r="AI112" s="9">
        <f>'BIO DATA'!AZ112</f>
        <v>0</v>
      </c>
      <c r="AJ112" s="9">
        <f>'BIO DATA'!BA112</f>
        <v>0</v>
      </c>
      <c r="AK112" s="9">
        <f>'BIO DATA'!BB112</f>
        <v>0</v>
      </c>
      <c r="AL112" s="9">
        <f>'BIO DATA'!BC112</f>
        <v>0</v>
      </c>
      <c r="AM112" s="9">
        <f>'BIO DATA'!BD112</f>
        <v>0</v>
      </c>
      <c r="AN112" s="9">
        <f>'BIO DATA'!BE112</f>
        <v>0</v>
      </c>
      <c r="AO112" s="9">
        <f>'BIO DATA'!BF112</f>
        <v>0</v>
      </c>
      <c r="AP112" s="50" t="str">
        <f>'BIO DATA'!BG112</f>
        <v>Muhammad Rifki Hidayat, S.Ag.</v>
      </c>
    </row>
    <row r="113" spans="1:42" s="51" customFormat="1" ht="20.100000000000001" customHeight="1" thickBot="1">
      <c r="A113" s="16" t="s">
        <v>85</v>
      </c>
      <c r="B113">
        <v>209</v>
      </c>
      <c r="C113" s="287">
        <f>'BIO DATA'!C113</f>
        <v>12612</v>
      </c>
      <c r="D113" s="287" t="str">
        <f>'BIO DATA'!D113</f>
        <v>0144334927</v>
      </c>
      <c r="E113" s="288" t="str">
        <f>'BIO DATA'!E113</f>
        <v>Muhammad Airlangga Abbyansyah Fajar</v>
      </c>
      <c r="F113" s="46" t="str">
        <f>'BIO DATA'!L113</f>
        <v>Laki-laki</v>
      </c>
      <c r="G113" s="9" t="str">
        <f>'BIO DATA'!M113</f>
        <v>Yogyakarta</v>
      </c>
      <c r="H113" s="48">
        <f>'BIO DATA'!O113</f>
        <v>41708</v>
      </c>
      <c r="I113" s="46" t="str">
        <f>'BIO DATA'!R113</f>
        <v>Islam</v>
      </c>
      <c r="J113" s="47">
        <f>'BIO DATA'!I113</f>
        <v>1</v>
      </c>
      <c r="K113" s="47">
        <f>'BIO DATA'!J113</f>
        <v>1</v>
      </c>
      <c r="L113" s="9" t="str">
        <f>'BIO DATA'!S113</f>
        <v>Ngangkruk Kebondalem Kidul Prambanan Klaten Jawa Tengah</v>
      </c>
      <c r="M113" s="9" t="str">
        <f>'BIO DATA'!U113</f>
        <v>Kebondalem Kidul</v>
      </c>
      <c r="N113" s="9" t="str">
        <f>'BIO DATA'!V113</f>
        <v>Prambanan</v>
      </c>
      <c r="O113" s="9" t="str">
        <f>'BIO DATA'!W113</f>
        <v>Klaten</v>
      </c>
      <c r="P113" s="9" t="str">
        <f>'BIO DATA'!X113</f>
        <v>Jawa Tengah</v>
      </c>
      <c r="Q113" s="9" t="str">
        <f>'BIO DATA'!Y113</f>
        <v>SD MUHAMMADIYAH PRAMBANAN</v>
      </c>
      <c r="R113" s="9" t="str">
        <f>'BIO DATA'!Z113</f>
        <v>Jalan Prambanan-Piyungan, Bokoharjo, Prambanan, Sleman, DIY</v>
      </c>
      <c r="S113" s="9">
        <f>'BIO DATA'!AA113</f>
        <v>0</v>
      </c>
      <c r="T113" s="9" t="str">
        <f>'BIO DATA'!AB113</f>
        <v>Ade Putra Fajar</v>
      </c>
      <c r="U113" s="9" t="str">
        <f>'BIO DATA'!AC113</f>
        <v>Islam</v>
      </c>
      <c r="V113" s="9" t="str">
        <f>'BIO DATA'!AD113</f>
        <v>S1</v>
      </c>
      <c r="W113" s="9" t="str">
        <f>'BIO DATA'!AE113</f>
        <v>Pegawai Swasta</v>
      </c>
      <c r="X113" s="9" t="str">
        <f>'BIO DATA'!AF113</f>
        <v>5jt-10jt</v>
      </c>
      <c r="Y113" s="144" t="str">
        <f>'BIO DATA'!AG113</f>
        <v>085799156089</v>
      </c>
      <c r="Z113" s="9">
        <f>'BIO DATA'!AH113</f>
        <v>0</v>
      </c>
      <c r="AA113" s="9" t="str">
        <f>'BIO DATA'!AI113</f>
        <v>Erwinda Fitriana</v>
      </c>
      <c r="AB113" s="9" t="str">
        <f>'BIO DATA'!AJ113</f>
        <v>Islam</v>
      </c>
      <c r="AC113" s="9" t="str">
        <f>'BIO DATA'!AK113</f>
        <v>S2</v>
      </c>
      <c r="AD113" s="9" t="str">
        <f>'BIO DATA'!AL113</f>
        <v>Guru/Dosen</v>
      </c>
      <c r="AE113" s="9" t="str">
        <f>'BIO DATA'!AM113</f>
        <v>3jt-5jt</v>
      </c>
      <c r="AF113" s="49" t="str">
        <f>'BIO DATA'!AN100</f>
        <v>08111885709</v>
      </c>
      <c r="AG113" s="9">
        <f>'BIO DATA'!AO113</f>
        <v>0</v>
      </c>
      <c r="AH113" s="9">
        <f>'BIO DATA'!AY113</f>
        <v>0</v>
      </c>
      <c r="AI113" s="9">
        <f>'BIO DATA'!AZ113</f>
        <v>0</v>
      </c>
      <c r="AJ113" s="9">
        <f>'BIO DATA'!BA113</f>
        <v>0</v>
      </c>
      <c r="AK113" s="9">
        <f>'BIO DATA'!BB113</f>
        <v>0</v>
      </c>
      <c r="AL113" s="9">
        <f>'BIO DATA'!BC113</f>
        <v>0</v>
      </c>
      <c r="AM113" s="9">
        <f>'BIO DATA'!BD113</f>
        <v>0</v>
      </c>
      <c r="AN113" s="9">
        <f>'BIO DATA'!BE113</f>
        <v>0</v>
      </c>
      <c r="AO113" s="9">
        <f>'BIO DATA'!BF113</f>
        <v>0</v>
      </c>
      <c r="AP113" s="50" t="str">
        <f>'BIO DATA'!BG113</f>
        <v>Muhammad Rifki Hidayat, S.Ag.</v>
      </c>
    </row>
    <row r="114" spans="1:42" s="51" customFormat="1" ht="20.100000000000001" customHeight="1" thickBot="1">
      <c r="A114" s="16" t="s">
        <v>85</v>
      </c>
      <c r="B114">
        <v>212</v>
      </c>
      <c r="C114" s="287">
        <f>'BIO DATA'!C114</f>
        <v>12615</v>
      </c>
      <c r="D114" s="287">
        <f>'BIO DATA'!D114</f>
        <v>3130813127</v>
      </c>
      <c r="E114" s="288" t="str">
        <f>'BIO DATA'!E114</f>
        <v>Muhammad Alfano Abqary Pratama</v>
      </c>
      <c r="F114" s="46" t="str">
        <f>'BIO DATA'!L114</f>
        <v>Laki-laki</v>
      </c>
      <c r="G114" s="9" t="str">
        <f>'BIO DATA'!M114</f>
        <v>Pemalang</v>
      </c>
      <c r="H114" s="48">
        <f>'BIO DATA'!O114</f>
        <v>41978</v>
      </c>
      <c r="I114" s="46" t="str">
        <f>'BIO DATA'!R114</f>
        <v>Islam</v>
      </c>
      <c r="J114" s="47">
        <f>'BIO DATA'!I114</f>
        <v>1</v>
      </c>
      <c r="K114" s="47">
        <f>'BIO DATA'!J114</f>
        <v>1</v>
      </c>
      <c r="L114" s="9" t="str">
        <f>'BIO DATA'!S114</f>
        <v>Krajan Barat Rt 01 Rw 03 Desa Banyumudal Kecamatan Moga Kabupaten Pemalang Jawa Tengah</v>
      </c>
      <c r="M114" s="9" t="str">
        <f>'BIO DATA'!U114</f>
        <v>Banyumudal</v>
      </c>
      <c r="N114" s="9" t="str">
        <f>'BIO DATA'!V114</f>
        <v>Moga</v>
      </c>
      <c r="O114" s="9" t="str">
        <f>'BIO DATA'!W114</f>
        <v>Pemalang</v>
      </c>
      <c r="P114" s="9" t="str">
        <f>'BIO DATA'!X114</f>
        <v>Jawa Tengah</v>
      </c>
      <c r="Q114" s="9" t="str">
        <f>'BIO DATA'!Y114</f>
        <v>MI Muhammadiyah Banyumudal</v>
      </c>
      <c r="R114" s="9" t="str">
        <f>'BIO DATA'!Z114</f>
        <v>JL.Raya Moga, Pulosari KM. 2, Banyumudal Moga 52354</v>
      </c>
      <c r="S114" s="9">
        <f>'BIO DATA'!AA114</f>
        <v>0</v>
      </c>
      <c r="T114" s="9" t="str">
        <f>'BIO DATA'!AB114</f>
        <v>Sutrisno</v>
      </c>
      <c r="U114" s="9" t="str">
        <f>'BIO DATA'!AC114</f>
        <v>Islam</v>
      </c>
      <c r="V114" s="9" t="str">
        <f>'BIO DATA'!AD114</f>
        <v>SMP/MTs</v>
      </c>
      <c r="W114" s="9" t="str">
        <f>'BIO DATA'!AE114</f>
        <v>Wiraswasta</v>
      </c>
      <c r="X114" s="9" t="str">
        <f>'BIO DATA'!AF114</f>
        <v>5jt-10jt</v>
      </c>
      <c r="Y114" s="144" t="str">
        <f>'BIO DATA'!AG114</f>
        <v>085225861530</v>
      </c>
      <c r="Z114" s="9">
        <f>'BIO DATA'!AH114</f>
        <v>0</v>
      </c>
      <c r="AA114" s="9" t="str">
        <f>'BIO DATA'!AI114</f>
        <v>Ika Farisia</v>
      </c>
      <c r="AB114" s="9" t="str">
        <f>'BIO DATA'!AJ114</f>
        <v>Islam</v>
      </c>
      <c r="AC114" s="9" t="str">
        <f>'BIO DATA'!AK114</f>
        <v>SMP/MTs</v>
      </c>
      <c r="AD114" s="9" t="str">
        <f>'BIO DATA'!AL114</f>
        <v>Lain-lain</v>
      </c>
      <c r="AE114" s="9" t="str">
        <f>'BIO DATA'!AM114</f>
        <v>3jt-5jt</v>
      </c>
      <c r="AF114" s="49" t="str">
        <f>'BIO DATA'!AN101</f>
        <v>082147114411</v>
      </c>
      <c r="AG114" s="9">
        <f>'BIO DATA'!AO114</f>
        <v>0</v>
      </c>
      <c r="AH114" s="9">
        <f>'BIO DATA'!AY114</f>
        <v>0</v>
      </c>
      <c r="AI114" s="9">
        <f>'BIO DATA'!AZ114</f>
        <v>0</v>
      </c>
      <c r="AJ114" s="9">
        <f>'BIO DATA'!BA114</f>
        <v>0</v>
      </c>
      <c r="AK114" s="9">
        <f>'BIO DATA'!BB114</f>
        <v>0</v>
      </c>
      <c r="AL114" s="9">
        <f>'BIO DATA'!BC114</f>
        <v>0</v>
      </c>
      <c r="AM114" s="9">
        <f>'BIO DATA'!BD114</f>
        <v>0</v>
      </c>
      <c r="AN114" s="9">
        <f>'BIO DATA'!BE114</f>
        <v>0</v>
      </c>
      <c r="AO114" s="9">
        <f>'BIO DATA'!BF114</f>
        <v>0</v>
      </c>
      <c r="AP114" s="50" t="str">
        <f>'BIO DATA'!BG114</f>
        <v>Muhammad Rifki Hidayat, S.Ag.</v>
      </c>
    </row>
    <row r="115" spans="1:42" s="51" customFormat="1" ht="20.100000000000001" customHeight="1" thickBot="1">
      <c r="A115" s="16" t="s">
        <v>85</v>
      </c>
      <c r="B115">
        <v>219</v>
      </c>
      <c r="C115" s="287">
        <f>'BIO DATA'!C115</f>
        <v>12621</v>
      </c>
      <c r="D115" s="287" t="str">
        <f>'BIO DATA'!D115</f>
        <v>0142025965</v>
      </c>
      <c r="E115" s="288" t="str">
        <f>'BIO DATA'!E115</f>
        <v>Muhammad Azghan Aushafi Prasetyo</v>
      </c>
      <c r="F115" s="46" t="str">
        <f>'BIO DATA'!L115</f>
        <v>Laki-laki</v>
      </c>
      <c r="G115" s="9" t="str">
        <f>'BIO DATA'!M115</f>
        <v>Nganjuk</v>
      </c>
      <c r="H115" s="48">
        <f>'BIO DATA'!O115</f>
        <v>41645</v>
      </c>
      <c r="I115" s="46" t="str">
        <f>'BIO DATA'!R115</f>
        <v>Islam</v>
      </c>
      <c r="J115" s="47">
        <f>'BIO DATA'!I115</f>
        <v>2</v>
      </c>
      <c r="K115" s="47">
        <f>'BIO DATA'!J115</f>
        <v>1</v>
      </c>
      <c r="L115" s="9" t="str">
        <f>'BIO DATA'!S115</f>
        <v>Puri Argomulyo Asri No 07 Plawonan Argomulyo Sedayu Bantul DIY</v>
      </c>
      <c r="M115" s="9" t="str">
        <f>'BIO DATA'!U115</f>
        <v>Argomulyo</v>
      </c>
      <c r="N115" s="9" t="str">
        <f>'BIO DATA'!V115</f>
        <v>Sedayu</v>
      </c>
      <c r="O115" s="9" t="str">
        <f>'BIO DATA'!W115</f>
        <v>Bantul</v>
      </c>
      <c r="P115" s="9" t="str">
        <f>'BIO DATA'!X115</f>
        <v>DIY</v>
      </c>
      <c r="Q115" s="9" t="str">
        <f>'BIO DATA'!Y115</f>
        <v>SD IT Anak Sholeh Sedayu</v>
      </c>
      <c r="R115" s="9" t="str">
        <f>'BIO DATA'!Z115</f>
        <v>Bandut Lor, Argorejo, Kec. Sedayu, Kabupaten Bantul, Daerah Istimewa Yogyakarta 55752</v>
      </c>
      <c r="S115" s="9">
        <f>'BIO DATA'!AA115</f>
        <v>0</v>
      </c>
      <c r="T115" s="9" t="str">
        <f>'BIO DATA'!AB115</f>
        <v>Teguh Hadi Prasetyo</v>
      </c>
      <c r="U115" s="9" t="str">
        <f>'BIO DATA'!AC115</f>
        <v>Islam</v>
      </c>
      <c r="V115" s="9" t="str">
        <f>'BIO DATA'!AD115</f>
        <v>S1</v>
      </c>
      <c r="W115" s="9" t="str">
        <f>'BIO DATA'!AE115</f>
        <v>PNS</v>
      </c>
      <c r="X115" s="9" t="str">
        <f>'BIO DATA'!AF115</f>
        <v>5jt-10jt</v>
      </c>
      <c r="Y115" s="144" t="str">
        <f>'BIO DATA'!AG115</f>
        <v>085398994316</v>
      </c>
      <c r="Z115" s="9">
        <f>'BIO DATA'!AH115</f>
        <v>0</v>
      </c>
      <c r="AA115" s="9" t="str">
        <f>'BIO DATA'!AI115</f>
        <v>Amalia Kusuma Wardhani</v>
      </c>
      <c r="AB115" s="9" t="str">
        <f>'BIO DATA'!AJ115</f>
        <v>Islam</v>
      </c>
      <c r="AC115" s="9" t="str">
        <f>'BIO DATA'!AK115</f>
        <v>S1</v>
      </c>
      <c r="AD115" s="9" t="str">
        <f>'BIO DATA'!AL115</f>
        <v>Tidak Bekerja</v>
      </c>
      <c r="AE115" s="9" t="str">
        <f>'BIO DATA'!AM115</f>
        <v>&lt; 500rb</v>
      </c>
      <c r="AF115" s="49" t="str">
        <f>'BIO DATA'!AN102</f>
        <v>085230795449</v>
      </c>
      <c r="AG115" s="9">
        <f>'BIO DATA'!AO115</f>
        <v>0</v>
      </c>
      <c r="AH115" s="9">
        <f>'BIO DATA'!AY115</f>
        <v>0</v>
      </c>
      <c r="AI115" s="9">
        <f>'BIO DATA'!AZ115</f>
        <v>0</v>
      </c>
      <c r="AJ115" s="9">
        <f>'BIO DATA'!BA115</f>
        <v>0</v>
      </c>
      <c r="AK115" s="9">
        <f>'BIO DATA'!BB115</f>
        <v>0</v>
      </c>
      <c r="AL115" s="9">
        <f>'BIO DATA'!BC115</f>
        <v>0</v>
      </c>
      <c r="AM115" s="9">
        <f>'BIO DATA'!BD115</f>
        <v>0</v>
      </c>
      <c r="AN115" s="9">
        <f>'BIO DATA'!BE115</f>
        <v>0</v>
      </c>
      <c r="AO115" s="9">
        <f>'BIO DATA'!BF115</f>
        <v>0</v>
      </c>
      <c r="AP115" s="50" t="str">
        <f>'BIO DATA'!BG115</f>
        <v>Muhammad Rifki Hidayat, S.Ag.</v>
      </c>
    </row>
    <row r="116" spans="1:42" s="51" customFormat="1" ht="20.100000000000001" customHeight="1" thickBot="1">
      <c r="A116" s="16" t="s">
        <v>85</v>
      </c>
      <c r="B116">
        <v>220</v>
      </c>
      <c r="C116" s="287">
        <f>'BIO DATA'!C116</f>
        <v>12625</v>
      </c>
      <c r="D116" s="287" t="str">
        <f>'BIO DATA'!D116</f>
        <v>0137626621</v>
      </c>
      <c r="E116" s="288" t="str">
        <f>'BIO DATA'!E116</f>
        <v>Muhammad Bagus Al Farizi</v>
      </c>
      <c r="F116" s="46" t="str">
        <f>'BIO DATA'!L116</f>
        <v>Laki-laki</v>
      </c>
      <c r="G116" s="9" t="str">
        <f>'BIO DATA'!M116</f>
        <v>Balikpapan</v>
      </c>
      <c r="H116" s="48">
        <f>'BIO DATA'!O116</f>
        <v>41479</v>
      </c>
      <c r="I116" s="46" t="str">
        <f>'BIO DATA'!R116</f>
        <v>Islam</v>
      </c>
      <c r="J116" s="47">
        <f>'BIO DATA'!I116</f>
        <v>2</v>
      </c>
      <c r="K116" s="47">
        <f>'BIO DATA'!J116</f>
        <v>1</v>
      </c>
      <c r="L116" s="9" t="str">
        <f>'BIO DATA'!S116</f>
        <v>JL. Sepinggan Asri Utara IV Blok G No.08 RT 45 Balikpapan Selatan Kota Balikpapan</v>
      </c>
      <c r="M116" s="9" t="str">
        <f>'BIO DATA'!U116</f>
        <v>Sepinggan</v>
      </c>
      <c r="N116" s="9" t="str">
        <f>'BIO DATA'!V116</f>
        <v>Balikpapam Selatan</v>
      </c>
      <c r="O116" s="9" t="str">
        <f>'BIO DATA'!W116</f>
        <v>Kota Balikpapan</v>
      </c>
      <c r="P116" s="9" t="str">
        <f>'BIO DATA'!X116</f>
        <v>Kalimantan Timur</v>
      </c>
      <c r="Q116" s="9" t="str">
        <f>'BIO DATA'!Y116</f>
        <v>SD Negeri 004 balikpapan selatan</v>
      </c>
      <c r="R116" s="9" t="str">
        <f>'BIO DATA'!Z116</f>
        <v>Jl. Taman Sepinggan XI RT. 33 Kelurahan Sepinggan Kecamatan Balikpapan Selatan</v>
      </c>
      <c r="S116" s="9">
        <f>'BIO DATA'!AA116</f>
        <v>0</v>
      </c>
      <c r="T116" s="9" t="str">
        <f>'BIO DATA'!AB116</f>
        <v>Samsul Arifin</v>
      </c>
      <c r="U116" s="9" t="str">
        <f>'BIO DATA'!AC116</f>
        <v>Islam</v>
      </c>
      <c r="V116" s="9" t="str">
        <f>'BIO DATA'!AD116</f>
        <v>S1</v>
      </c>
      <c r="W116" s="9" t="str">
        <f>'BIO DATA'!AE116</f>
        <v>Lain-lain</v>
      </c>
      <c r="X116" s="9" t="str">
        <f>'BIO DATA'!AF116</f>
        <v>&gt;10jt</v>
      </c>
      <c r="Y116" s="144" t="str">
        <f>'BIO DATA'!AG116</f>
        <v>081350014007</v>
      </c>
      <c r="Z116" s="9">
        <f>'BIO DATA'!AH116</f>
        <v>0</v>
      </c>
      <c r="AA116" s="9" t="str">
        <f>'BIO DATA'!AI116</f>
        <v>Iken Dwi Puspitorini</v>
      </c>
      <c r="AB116" s="9" t="str">
        <f>'BIO DATA'!AJ116</f>
        <v>Islam</v>
      </c>
      <c r="AC116" s="9" t="str">
        <f>'BIO DATA'!AK116</f>
        <v>S1</v>
      </c>
      <c r="AD116" s="9" t="str">
        <f>'BIO DATA'!AL116</f>
        <v>Tidak Bekerja</v>
      </c>
      <c r="AE116" s="9" t="str">
        <f>'BIO DATA'!AM116</f>
        <v>&lt; 500rb</v>
      </c>
      <c r="AF116" s="49" t="str">
        <f>'BIO DATA'!AN103</f>
        <v>081328384411</v>
      </c>
      <c r="AG116" s="9">
        <f>'BIO DATA'!AO116</f>
        <v>0</v>
      </c>
      <c r="AH116" s="9">
        <f>'BIO DATA'!AY116</f>
        <v>0</v>
      </c>
      <c r="AI116" s="9">
        <f>'BIO DATA'!AZ116</f>
        <v>0</v>
      </c>
      <c r="AJ116" s="9">
        <f>'BIO DATA'!BA116</f>
        <v>0</v>
      </c>
      <c r="AK116" s="9">
        <f>'BIO DATA'!BB116</f>
        <v>0</v>
      </c>
      <c r="AL116" s="9">
        <f>'BIO DATA'!BC116</f>
        <v>0</v>
      </c>
      <c r="AM116" s="9">
        <f>'BIO DATA'!BD116</f>
        <v>0</v>
      </c>
      <c r="AN116" s="9">
        <f>'BIO DATA'!BE116</f>
        <v>0</v>
      </c>
      <c r="AO116" s="9">
        <f>'BIO DATA'!BF116</f>
        <v>0</v>
      </c>
      <c r="AP116" s="50" t="str">
        <f>'BIO DATA'!BG116</f>
        <v>Muhammad Rifki Hidayat, S.Ag.</v>
      </c>
    </row>
    <row r="117" spans="1:42" s="51" customFormat="1" ht="20.100000000000001" customHeight="1" thickBot="1">
      <c r="A117" s="16" t="s">
        <v>85</v>
      </c>
      <c r="B117">
        <v>221</v>
      </c>
      <c r="C117" s="287">
        <f>'BIO DATA'!C117</f>
        <v>12632</v>
      </c>
      <c r="D117" s="287" t="str">
        <f>'BIO DATA'!D117</f>
        <v>0133269133</v>
      </c>
      <c r="E117" s="288" t="str">
        <f>'BIO DATA'!E117</f>
        <v>Muhammad Fahry</v>
      </c>
      <c r="F117" s="46" t="str">
        <f>'BIO DATA'!L117</f>
        <v>Laki-laki</v>
      </c>
      <c r="G117" s="9" t="str">
        <f>'BIO DATA'!M117</f>
        <v>Riyadh</v>
      </c>
      <c r="H117" s="48">
        <f>'BIO DATA'!O117</f>
        <v>41575</v>
      </c>
      <c r="I117" s="46" t="str">
        <f>'BIO DATA'!R117</f>
        <v>Islam</v>
      </c>
      <c r="J117" s="47">
        <f>'BIO DATA'!I117</f>
        <v>2</v>
      </c>
      <c r="K117" s="47">
        <f>'BIO DATA'!J117</f>
        <v>2</v>
      </c>
      <c r="L117" s="9" t="str">
        <f>'BIO DATA'!S117</f>
        <v>Patra Graha Bangunjiwo No.A1 Dusun Sribitan RT 003 Bangunjiwo Kasihan Bantul DIY</v>
      </c>
      <c r="M117" s="9" t="str">
        <f>'BIO DATA'!U117</f>
        <v>Bangunjiwo</v>
      </c>
      <c r="N117" s="9" t="str">
        <f>'BIO DATA'!V117</f>
        <v>Kasihan</v>
      </c>
      <c r="O117" s="9" t="str">
        <f>'BIO DATA'!W117</f>
        <v>Bantul</v>
      </c>
      <c r="P117" s="9" t="str">
        <f>'BIO DATA'!X117</f>
        <v>DIY</v>
      </c>
      <c r="Q117" s="9" t="str">
        <f>'BIO DATA'!Y117</f>
        <v>SD IT Jabal Nur</v>
      </c>
      <c r="R117" s="9">
        <f>'BIO DATA'!Z117</f>
        <v>0</v>
      </c>
      <c r="S117" s="9">
        <f>'BIO DATA'!AA117</f>
        <v>0</v>
      </c>
      <c r="T117" s="9" t="str">
        <f>'BIO DATA'!AB117</f>
        <v>Hendri Fathul Muslim</v>
      </c>
      <c r="U117" s="9" t="str">
        <f>'BIO DATA'!AC117</f>
        <v>Islam</v>
      </c>
      <c r="V117" s="9" t="str">
        <f>'BIO DATA'!AD117</f>
        <v>SLTA</v>
      </c>
      <c r="W117" s="9" t="str">
        <f>'BIO DATA'!AE117</f>
        <v>Karyawan Swasta</v>
      </c>
      <c r="X117" s="9">
        <f>'BIO DATA'!AF117</f>
        <v>0</v>
      </c>
      <c r="Y117" s="144" t="str">
        <f>'BIO DATA'!AG117</f>
        <v>087728681826</v>
      </c>
      <c r="Z117" s="9">
        <f>'BIO DATA'!AH117</f>
        <v>0</v>
      </c>
      <c r="AA117" s="9" t="str">
        <f>'BIO DATA'!AI117</f>
        <v>Dwi Retno Nugraheni</v>
      </c>
      <c r="AB117" s="9" t="str">
        <f>'BIO DATA'!AJ117</f>
        <v>Islam</v>
      </c>
      <c r="AC117" s="9" t="str">
        <f>'BIO DATA'!AK117</f>
        <v>DIPLOMA</v>
      </c>
      <c r="AD117" s="9" t="str">
        <f>'BIO DATA'!AL117</f>
        <v>Perawat</v>
      </c>
      <c r="AE117" s="9">
        <f>'BIO DATA'!AM117</f>
        <v>0</v>
      </c>
      <c r="AF117" s="49" t="str">
        <f>'BIO DATA'!AN104</f>
        <v>082141675407</v>
      </c>
      <c r="AG117" s="9">
        <f>'BIO DATA'!AO117</f>
        <v>0</v>
      </c>
      <c r="AH117" s="9">
        <f>'BIO DATA'!AY117</f>
        <v>0</v>
      </c>
      <c r="AI117" s="9">
        <f>'BIO DATA'!AZ117</f>
        <v>0</v>
      </c>
      <c r="AJ117" s="9">
        <f>'BIO DATA'!BA117</f>
        <v>0</v>
      </c>
      <c r="AK117" s="9">
        <f>'BIO DATA'!BB117</f>
        <v>0</v>
      </c>
      <c r="AL117" s="9">
        <f>'BIO DATA'!BC117</f>
        <v>0</v>
      </c>
      <c r="AM117" s="9">
        <f>'BIO DATA'!BD117</f>
        <v>0</v>
      </c>
      <c r="AN117" s="9">
        <f>'BIO DATA'!BE117</f>
        <v>0</v>
      </c>
      <c r="AO117" s="9">
        <f>'BIO DATA'!BF117</f>
        <v>0</v>
      </c>
      <c r="AP117" s="50" t="str">
        <f>'BIO DATA'!BG117</f>
        <v>Muhammad Rifki Hidayat, S.Ag.</v>
      </c>
    </row>
    <row r="118" spans="1:42" s="51" customFormat="1" ht="20.100000000000001" customHeight="1" thickBot="1">
      <c r="A118" s="16" t="s">
        <v>85</v>
      </c>
      <c r="B118">
        <v>231</v>
      </c>
      <c r="C118" s="287">
        <f>'BIO DATA'!C118</f>
        <v>12647</v>
      </c>
      <c r="D118" s="287" t="str">
        <f>'BIO DATA'!D118</f>
        <v>0143163855</v>
      </c>
      <c r="E118" s="288" t="str">
        <f>'BIO DATA'!E118</f>
        <v>Muhammad Nizam Justice Aryansyah</v>
      </c>
      <c r="F118" s="46" t="str">
        <f>'BIO DATA'!L118</f>
        <v>Laki-laki</v>
      </c>
      <c r="G118" s="9" t="str">
        <f>'BIO DATA'!M118</f>
        <v>Kebumen</v>
      </c>
      <c r="H118" s="48">
        <f>'BIO DATA'!O118</f>
        <v>41730</v>
      </c>
      <c r="I118" s="46" t="str">
        <f>'BIO DATA'!R118</f>
        <v>Islam</v>
      </c>
      <c r="J118" s="47">
        <f>'BIO DATA'!I118</f>
        <v>2</v>
      </c>
      <c r="K118" s="47">
        <f>'BIO DATA'!J118</f>
        <v>2</v>
      </c>
      <c r="L118" s="9" t="str">
        <f>'BIO DATA'!S118</f>
        <v>Dukuh Gumenter RT01 RW01, Babadsari Kutowinangun Kebumen Jawa Tengah</v>
      </c>
      <c r="M118" s="9" t="str">
        <f>'BIO DATA'!U118</f>
        <v>Babadsari</v>
      </c>
      <c r="N118" s="9" t="str">
        <f>'BIO DATA'!V118</f>
        <v>Kutowinangun</v>
      </c>
      <c r="O118" s="9" t="str">
        <f>'BIO DATA'!W118</f>
        <v>Kebumen</v>
      </c>
      <c r="P118" s="9" t="str">
        <f>'BIO DATA'!X118</f>
        <v>Jawa Tengah</v>
      </c>
      <c r="Q118" s="9" t="str">
        <f>'BIO DATA'!Y118</f>
        <v>SD Muhammadiyah Kutowinangun</v>
      </c>
      <c r="R118" s="9" t="str">
        <f>'BIO DATA'!Z118</f>
        <v>Jl.PEMUDA NO 14, KUTOWINANGUN, KEBUMEN</v>
      </c>
      <c r="S118" s="9">
        <f>'BIO DATA'!AA118</f>
        <v>0</v>
      </c>
      <c r="T118" s="9" t="str">
        <f>'BIO DATA'!AB118</f>
        <v>Dwi Riyanto</v>
      </c>
      <c r="U118" s="9" t="str">
        <f>'BIO DATA'!AC118</f>
        <v>Islam</v>
      </c>
      <c r="V118" s="9" t="str">
        <f>'BIO DATA'!AD118</f>
        <v>SMA/SMK/MA</v>
      </c>
      <c r="W118" s="9" t="str">
        <f>'BIO DATA'!AE118</f>
        <v>Wiraswasta</v>
      </c>
      <c r="X118" s="9" t="str">
        <f>'BIO DATA'!AF118</f>
        <v>&gt;10jt</v>
      </c>
      <c r="Y118" s="144" t="str">
        <f>'BIO DATA'!AG118</f>
        <v>082235786498</v>
      </c>
      <c r="Z118" s="9">
        <f>'BIO DATA'!AH118</f>
        <v>0</v>
      </c>
      <c r="AA118" s="9" t="str">
        <f>'BIO DATA'!AI118</f>
        <v>Wiwik Supriyati</v>
      </c>
      <c r="AB118" s="9" t="str">
        <f>'BIO DATA'!AJ118</f>
        <v>Islam</v>
      </c>
      <c r="AC118" s="9" t="str">
        <f>'BIO DATA'!AK118</f>
        <v>SMA/SMK/MA</v>
      </c>
      <c r="AD118" s="9" t="str">
        <f>'BIO DATA'!AL118</f>
        <v>Tidak Bekerja</v>
      </c>
      <c r="AE118" s="9" t="str">
        <f>'BIO DATA'!AM118</f>
        <v>&lt; 500rb</v>
      </c>
      <c r="AF118" s="49" t="str">
        <f>'BIO DATA'!AN105</f>
        <v>081227271300</v>
      </c>
      <c r="AG118" s="9">
        <f>'BIO DATA'!AO118</f>
        <v>0</v>
      </c>
      <c r="AH118" s="9">
        <f>'BIO DATA'!AY118</f>
        <v>0</v>
      </c>
      <c r="AI118" s="9">
        <f>'BIO DATA'!AZ118</f>
        <v>0</v>
      </c>
      <c r="AJ118" s="9">
        <f>'BIO DATA'!BA118</f>
        <v>0</v>
      </c>
      <c r="AK118" s="9">
        <f>'BIO DATA'!BB118</f>
        <v>0</v>
      </c>
      <c r="AL118" s="9">
        <f>'BIO DATA'!BC118</f>
        <v>0</v>
      </c>
      <c r="AM118" s="9">
        <f>'BIO DATA'!BD118</f>
        <v>0</v>
      </c>
      <c r="AN118" s="9">
        <f>'BIO DATA'!BE118</f>
        <v>0</v>
      </c>
      <c r="AO118" s="9">
        <f>'BIO DATA'!BF118</f>
        <v>0</v>
      </c>
      <c r="AP118" s="50" t="str">
        <f>'BIO DATA'!BG118</f>
        <v>Muhammad Rifki Hidayat, S.Ag.</v>
      </c>
    </row>
    <row r="119" spans="1:42" s="51" customFormat="1" ht="20.100000000000001" customHeight="1" thickBot="1">
      <c r="A119" s="16" t="s">
        <v>85</v>
      </c>
      <c r="B119">
        <v>240</v>
      </c>
      <c r="C119" s="287">
        <f>'BIO DATA'!C119</f>
        <v>12664</v>
      </c>
      <c r="D119" s="287" t="str">
        <f>'BIO DATA'!D119</f>
        <v>0148132613</v>
      </c>
      <c r="E119" s="288" t="str">
        <f>'BIO DATA'!E119</f>
        <v>Nadzif Azzam Al Vaizi</v>
      </c>
      <c r="F119" s="46" t="str">
        <f>'BIO DATA'!L119</f>
        <v>Laki-laki</v>
      </c>
      <c r="G119" s="9" t="str">
        <f>'BIO DATA'!M119</f>
        <v>Semarang</v>
      </c>
      <c r="H119" s="48">
        <f>'BIO DATA'!O119</f>
        <v>41754</v>
      </c>
      <c r="I119" s="46" t="str">
        <f>'BIO DATA'!R119</f>
        <v>Islam</v>
      </c>
      <c r="J119" s="47">
        <f>'BIO DATA'!I119</f>
        <v>1</v>
      </c>
      <c r="K119" s="47">
        <f>'BIO DATA'!J119</f>
        <v>1</v>
      </c>
      <c r="L119" s="9" t="str">
        <f>'BIO DATA'!S119</f>
        <v>Dsn. Miri RT 011 RW 003 ,Papringan, Kaliwungu, Semarang Jawa Tengah</v>
      </c>
      <c r="M119" s="9" t="str">
        <f>'BIO DATA'!U119</f>
        <v>Papringan</v>
      </c>
      <c r="N119" s="9" t="str">
        <f>'BIO DATA'!V119</f>
        <v>Kaliwungu</v>
      </c>
      <c r="O119" s="9" t="str">
        <f>'BIO DATA'!W119</f>
        <v>Semarang</v>
      </c>
      <c r="P119" s="9" t="str">
        <f>'BIO DATA'!X119</f>
        <v>Jawa Tengah</v>
      </c>
      <c r="Q119" s="9" t="str">
        <f>'BIO DATA'!Y119</f>
        <v>SDIT Alfalaah Sambi Boyolali</v>
      </c>
      <c r="R119" s="9" t="str">
        <f>'BIO DATA'!Z119</f>
        <v>Jln.bangak-simo km7 sambi boyolali</v>
      </c>
      <c r="S119" s="9">
        <f>'BIO DATA'!AA119</f>
        <v>0</v>
      </c>
      <c r="T119" s="9" t="str">
        <f>'BIO DATA'!AB119</f>
        <v>Abdul Azis</v>
      </c>
      <c r="U119" s="9" t="str">
        <f>'BIO DATA'!AC119</f>
        <v>Islam</v>
      </c>
      <c r="V119" s="9" t="str">
        <f>'BIO DATA'!AD119</f>
        <v>SMA/SMK/MA</v>
      </c>
      <c r="W119" s="9" t="str">
        <f>'BIO DATA'!AE119</f>
        <v>Wiraswasta</v>
      </c>
      <c r="X119" s="9" t="str">
        <f>'BIO DATA'!AF119</f>
        <v>5jt-10jt</v>
      </c>
      <c r="Y119" s="144" t="str">
        <f>'BIO DATA'!AG119</f>
        <v>083842704779</v>
      </c>
      <c r="Z119" s="9">
        <f>'BIO DATA'!AH119</f>
        <v>0</v>
      </c>
      <c r="AA119" s="9" t="str">
        <f>'BIO DATA'!AI119</f>
        <v>Vaiza Chusila Chisma</v>
      </c>
      <c r="AB119" s="9" t="str">
        <f>'BIO DATA'!AJ119</f>
        <v>Islam</v>
      </c>
      <c r="AC119" s="9" t="str">
        <f>'BIO DATA'!AK119</f>
        <v>SMA/SMK/MA</v>
      </c>
      <c r="AD119" s="9" t="str">
        <f>'BIO DATA'!AL119</f>
        <v>Tidak Bekerja</v>
      </c>
      <c r="AE119" s="9" t="str">
        <f>'BIO DATA'!AM119</f>
        <v>&lt; 500rb</v>
      </c>
      <c r="AF119" s="49" t="str">
        <f>'BIO DATA'!AN106</f>
        <v>08563662951</v>
      </c>
      <c r="AG119" s="9">
        <f>'BIO DATA'!AO119</f>
        <v>0</v>
      </c>
      <c r="AH119" s="9">
        <f>'BIO DATA'!AY119</f>
        <v>0</v>
      </c>
      <c r="AI119" s="9">
        <f>'BIO DATA'!AZ119</f>
        <v>0</v>
      </c>
      <c r="AJ119" s="9">
        <f>'BIO DATA'!BA119</f>
        <v>0</v>
      </c>
      <c r="AK119" s="9">
        <f>'BIO DATA'!BB119</f>
        <v>0</v>
      </c>
      <c r="AL119" s="9">
        <f>'BIO DATA'!BC119</f>
        <v>0</v>
      </c>
      <c r="AM119" s="9">
        <f>'BIO DATA'!BD119</f>
        <v>0</v>
      </c>
      <c r="AN119" s="9">
        <f>'BIO DATA'!BE119</f>
        <v>0</v>
      </c>
      <c r="AO119" s="9">
        <f>'BIO DATA'!BF119</f>
        <v>0</v>
      </c>
      <c r="AP119" s="50" t="str">
        <f>'BIO DATA'!BG119</f>
        <v>Muhammad Rifki Hidayat, S.Ag.</v>
      </c>
    </row>
    <row r="120" spans="1:42" s="51" customFormat="1" ht="20.100000000000001" customHeight="1" thickBot="1">
      <c r="A120" s="16" t="s">
        <v>85</v>
      </c>
      <c r="B120">
        <v>243</v>
      </c>
      <c r="C120" s="287">
        <f>'BIO DATA'!C120</f>
        <v>12667</v>
      </c>
      <c r="D120" s="287" t="str">
        <f>'BIO DATA'!D120</f>
        <v>0142119059</v>
      </c>
      <c r="E120" s="288" t="str">
        <f>'BIO DATA'!E120</f>
        <v>Nararya Rizqi Ananditya</v>
      </c>
      <c r="F120" s="46" t="str">
        <f>'BIO DATA'!L120</f>
        <v>Laki-laki</v>
      </c>
      <c r="G120" s="9" t="str">
        <f>'BIO DATA'!M120</f>
        <v>Wonosobo</v>
      </c>
      <c r="H120" s="48">
        <f>'BIO DATA'!O120</f>
        <v>41794</v>
      </c>
      <c r="I120" s="46" t="str">
        <f>'BIO DATA'!R120</f>
        <v>Islam</v>
      </c>
      <c r="J120" s="47">
        <f>'BIO DATA'!I120</f>
        <v>1</v>
      </c>
      <c r="K120" s="47">
        <f>'BIO DATA'!J120</f>
        <v>1</v>
      </c>
      <c r="L120" s="9" t="str">
        <f>'BIO DATA'!S120</f>
        <v>Losari RT01 RW02 Wonorejo Selomerto Wonosobo</v>
      </c>
      <c r="M120" s="9" t="str">
        <f>'BIO DATA'!U120</f>
        <v>Wonorejo</v>
      </c>
      <c r="N120" s="9" t="str">
        <f>'BIO DATA'!V120</f>
        <v>Selomerto</v>
      </c>
      <c r="O120" s="9" t="str">
        <f>'BIO DATA'!W120</f>
        <v>Wonosobo</v>
      </c>
      <c r="P120" s="9" t="str">
        <f>'BIO DATA'!X120</f>
        <v>Jawa Tengah</v>
      </c>
      <c r="Q120" s="9" t="str">
        <f>'BIO DATA'!Y120</f>
        <v>SD muhamadiyah Sudagaran Wonosobo</v>
      </c>
      <c r="R120" s="9" t="str">
        <f>'BIO DATA'!Z120</f>
        <v>JL. TOSARI NO 9, WONOSOBO</v>
      </c>
      <c r="S120" s="9">
        <f>'BIO DATA'!AA120</f>
        <v>0</v>
      </c>
      <c r="T120" s="9" t="str">
        <f>'BIO DATA'!AB120</f>
        <v>Dwi Aditya Nugroho</v>
      </c>
      <c r="U120" s="9" t="str">
        <f>'BIO DATA'!AC120</f>
        <v>Islam</v>
      </c>
      <c r="V120" s="9" t="str">
        <f>'BIO DATA'!AD120</f>
        <v>S2</v>
      </c>
      <c r="W120" s="9" t="str">
        <f>'BIO DATA'!AE120</f>
        <v>TNI/Polri</v>
      </c>
      <c r="X120" s="9" t="str">
        <f>'BIO DATA'!AF120</f>
        <v>3jt-5jt</v>
      </c>
      <c r="Y120" s="144" t="str">
        <f>'BIO DATA'!AG120</f>
        <v>085643334949</v>
      </c>
      <c r="Z120" s="9">
        <f>'BIO DATA'!AH120</f>
        <v>0</v>
      </c>
      <c r="AA120" s="9" t="str">
        <f>'BIO DATA'!AI120</f>
        <v>Anis Hidayah Saraswati</v>
      </c>
      <c r="AB120" s="9" t="str">
        <f>'BIO DATA'!AJ120</f>
        <v>Islam</v>
      </c>
      <c r="AC120" s="9" t="str">
        <f>'BIO DATA'!AK120</f>
        <v>S1</v>
      </c>
      <c r="AD120" s="9" t="str">
        <f>'BIO DATA'!AL120</f>
        <v>PNS</v>
      </c>
      <c r="AE120" s="9" t="str">
        <f>'BIO DATA'!AM120</f>
        <v>3jt-5jt</v>
      </c>
      <c r="AF120" s="49" t="str">
        <f>'BIO DATA'!AN107</f>
        <v>08562750718</v>
      </c>
      <c r="AG120" s="9">
        <f>'BIO DATA'!AO120</f>
        <v>0</v>
      </c>
      <c r="AH120" s="9">
        <f>'BIO DATA'!AY120</f>
        <v>0</v>
      </c>
      <c r="AI120" s="9">
        <f>'BIO DATA'!AZ120</f>
        <v>0</v>
      </c>
      <c r="AJ120" s="9">
        <f>'BIO DATA'!BA120</f>
        <v>0</v>
      </c>
      <c r="AK120" s="9">
        <f>'BIO DATA'!BB120</f>
        <v>0</v>
      </c>
      <c r="AL120" s="9">
        <f>'BIO DATA'!BC120</f>
        <v>0</v>
      </c>
      <c r="AM120" s="9">
        <f>'BIO DATA'!BD120</f>
        <v>0</v>
      </c>
      <c r="AN120" s="9">
        <f>'BIO DATA'!BE120</f>
        <v>0</v>
      </c>
      <c r="AO120" s="9">
        <f>'BIO DATA'!BF120</f>
        <v>0</v>
      </c>
      <c r="AP120" s="50" t="str">
        <f>'BIO DATA'!BG120</f>
        <v>Muhammad Rifki Hidayat, S.Ag.</v>
      </c>
    </row>
    <row r="121" spans="1:42" s="51" customFormat="1" ht="20.100000000000001" customHeight="1" thickBot="1">
      <c r="A121" s="16" t="s">
        <v>85</v>
      </c>
      <c r="B121">
        <v>244</v>
      </c>
      <c r="C121" s="287">
        <f>'BIO DATA'!C121</f>
        <v>12700</v>
      </c>
      <c r="D121" s="287" t="str">
        <f>'BIO DATA'!D121</f>
        <v>0135346296</v>
      </c>
      <c r="E121" s="288" t="str">
        <f>'BIO DATA'!E121</f>
        <v>Salahuddin Nafis Al Farisi</v>
      </c>
      <c r="F121" s="46" t="str">
        <f>'BIO DATA'!L121</f>
        <v>Laki-laki</v>
      </c>
      <c r="G121" s="9" t="str">
        <f>'BIO DATA'!M121</f>
        <v>Klaten</v>
      </c>
      <c r="H121" s="48">
        <f>'BIO DATA'!O121</f>
        <v>41619</v>
      </c>
      <c r="I121" s="46" t="str">
        <f>'BIO DATA'!R121</f>
        <v>Islam</v>
      </c>
      <c r="J121" s="47">
        <f>'BIO DATA'!I121</f>
        <v>1</v>
      </c>
      <c r="K121" s="47">
        <f>'BIO DATA'!J121</f>
        <v>2</v>
      </c>
      <c r="L121" s="9" t="str">
        <f>'BIO DATA'!S121</f>
        <v xml:space="preserve">Jl. Bhayangkara Komp Villa Anugrtah 1 No B.19 RT 018 RW 004 Sutera Sukadana Kayong Utara Kalimantan Barat </v>
      </c>
      <c r="M121" s="9" t="str">
        <f>'BIO DATA'!U121</f>
        <v>Sutera</v>
      </c>
      <c r="N121" s="9" t="str">
        <f>'BIO DATA'!V121</f>
        <v>Sukadana</v>
      </c>
      <c r="O121" s="9" t="str">
        <f>'BIO DATA'!W121</f>
        <v>Kayong Utara</v>
      </c>
      <c r="P121" s="9" t="str">
        <f>'BIO DATA'!X121</f>
        <v>Kalimantan Barat</v>
      </c>
      <c r="Q121" s="9" t="str">
        <f>'BIO DATA'!Y121</f>
        <v>MIN Kayong Utara</v>
      </c>
      <c r="R121" s="9" t="str">
        <f>'BIO DATA'!Z121</f>
        <v>Desa Sutera, Sukadana, Kayong Utara, Kalimantan Barat</v>
      </c>
      <c r="S121" s="9">
        <f>'BIO DATA'!AA121</f>
        <v>0</v>
      </c>
      <c r="T121" s="9" t="str">
        <f>'BIO DATA'!AB121</f>
        <v>Hairul Asri Ar</v>
      </c>
      <c r="U121" s="9" t="str">
        <f>'BIO DATA'!AC121</f>
        <v>Islam</v>
      </c>
      <c r="V121" s="9" t="str">
        <f>'BIO DATA'!AD121</f>
        <v>S2</v>
      </c>
      <c r="W121" s="9" t="str">
        <f>'BIO DATA'!AE121</f>
        <v>PNS</v>
      </c>
      <c r="X121" s="9" t="str">
        <f>'BIO DATA'!AF121</f>
        <v>3jt-5jt</v>
      </c>
      <c r="Y121" s="144" t="str">
        <f>'BIO DATA'!AG121</f>
        <v>085215430531</v>
      </c>
      <c r="Z121" s="9">
        <f>'BIO DATA'!AH121</f>
        <v>0</v>
      </c>
      <c r="AA121" s="9" t="str">
        <f>'BIO DATA'!AI121</f>
        <v>Ajeng Agustin Primastiwi</v>
      </c>
      <c r="AB121" s="9" t="str">
        <f>'BIO DATA'!AJ121</f>
        <v>Islam</v>
      </c>
      <c r="AC121" s="9" t="str">
        <f>'BIO DATA'!AK121</f>
        <v>S2</v>
      </c>
      <c r="AD121" s="9" t="str">
        <f>'BIO DATA'!AL121</f>
        <v>Dokter/Bidan/Perawat</v>
      </c>
      <c r="AE121" s="9" t="str">
        <f>'BIO DATA'!AM121</f>
        <v>&gt;10jt</v>
      </c>
      <c r="AF121" s="49" t="str">
        <f>'BIO DATA'!AN108</f>
        <v>082225081979</v>
      </c>
      <c r="AG121" s="9">
        <f>'BIO DATA'!AO121</f>
        <v>0</v>
      </c>
      <c r="AH121" s="9">
        <f>'BIO DATA'!AY121</f>
        <v>0</v>
      </c>
      <c r="AI121" s="9">
        <f>'BIO DATA'!AZ121</f>
        <v>0</v>
      </c>
      <c r="AJ121" s="9">
        <f>'BIO DATA'!BA121</f>
        <v>0</v>
      </c>
      <c r="AK121" s="9">
        <f>'BIO DATA'!BB121</f>
        <v>0</v>
      </c>
      <c r="AL121" s="9">
        <f>'BIO DATA'!BC121</f>
        <v>0</v>
      </c>
      <c r="AM121" s="9">
        <f>'BIO DATA'!BD121</f>
        <v>0</v>
      </c>
      <c r="AN121" s="9">
        <f>'BIO DATA'!BE121</f>
        <v>0</v>
      </c>
      <c r="AO121" s="9">
        <f>'BIO DATA'!BF121</f>
        <v>0</v>
      </c>
      <c r="AP121" s="50" t="str">
        <f>'BIO DATA'!BG121</f>
        <v>Muhammad Rifki Hidayat, S.Ag.</v>
      </c>
    </row>
    <row r="122" spans="1:42" s="51" customFormat="1" ht="20.100000000000001" customHeight="1" thickBot="1">
      <c r="A122" s="16" t="s">
        <v>85</v>
      </c>
      <c r="B122">
        <v>279</v>
      </c>
      <c r="C122" s="287">
        <f>'BIO DATA'!C122</f>
        <v>12707</v>
      </c>
      <c r="D122" s="287" t="str">
        <f>'BIO DATA'!D122</f>
        <v>0141674792</v>
      </c>
      <c r="E122" s="288" t="str">
        <f>'BIO DATA'!E122</f>
        <v>Syamil Ramadhani Saputra</v>
      </c>
      <c r="F122" s="46" t="str">
        <f>'BIO DATA'!L122</f>
        <v>Laki-laki</v>
      </c>
      <c r="G122" s="9" t="str">
        <f>'BIO DATA'!M122</f>
        <v>Yogyakarta</v>
      </c>
      <c r="H122" s="48">
        <f>'BIO DATA'!O122</f>
        <v>41842</v>
      </c>
      <c r="I122" s="46" t="str">
        <f>'BIO DATA'!R122</f>
        <v>Islam</v>
      </c>
      <c r="J122" s="47">
        <f>'BIO DATA'!I122</f>
        <v>2</v>
      </c>
      <c r="K122" s="47">
        <f>'BIO DATA'!J122</f>
        <v>2</v>
      </c>
      <c r="L122" s="9" t="str">
        <f>'BIO DATA'!S122</f>
        <v>Surobayan RT 8, Argomulyo, Sedayu, Bantul</v>
      </c>
      <c r="M122" s="9" t="str">
        <f>'BIO DATA'!U122</f>
        <v>Argomulyo</v>
      </c>
      <c r="N122" s="9" t="str">
        <f>'BIO DATA'!V122</f>
        <v>Sedayu</v>
      </c>
      <c r="O122" s="9" t="str">
        <f>'BIO DATA'!W122</f>
        <v>Bantul</v>
      </c>
      <c r="P122" s="9" t="str">
        <f>'BIO DATA'!X122</f>
        <v>DIY</v>
      </c>
      <c r="Q122" s="9" t="str">
        <f>'BIO DATA'!Y122</f>
        <v>SD Budi Mulia Dua Sedayu</v>
      </c>
      <c r="R122" s="9" t="str">
        <f>'BIO DATA'!Z122</f>
        <v>Jl. Wates No.KM 10, Kaliurang, Argomulyo, Kec. Sedayu, Kabupaten Bantul, Daerah Istimewa Yogyakarta 55752</v>
      </c>
      <c r="S122" s="9">
        <f>'BIO DATA'!AA122</f>
        <v>0</v>
      </c>
      <c r="T122" s="9" t="str">
        <f>'BIO DATA'!AB122</f>
        <v>Taufan Saputra</v>
      </c>
      <c r="U122" s="9" t="str">
        <f>'BIO DATA'!AC122</f>
        <v>Islam</v>
      </c>
      <c r="V122" s="9" t="str">
        <f>'BIO DATA'!AD122</f>
        <v>S2</v>
      </c>
      <c r="W122" s="9" t="str">
        <f>'BIO DATA'!AE122</f>
        <v>PNS</v>
      </c>
      <c r="X122" s="9" t="str">
        <f>'BIO DATA'!AF122</f>
        <v>5jt-10jt</v>
      </c>
      <c r="Y122" s="144" t="str">
        <f>'BIO DATA'!AG122</f>
        <v>081394390864</v>
      </c>
      <c r="Z122" s="9">
        <f>'BIO DATA'!AH122</f>
        <v>0</v>
      </c>
      <c r="AA122" s="9" t="str">
        <f>'BIO DATA'!AI122</f>
        <v>Ika Purwanasari</v>
      </c>
      <c r="AB122" s="9" t="str">
        <f>'BIO DATA'!AJ122</f>
        <v>Islam</v>
      </c>
      <c r="AC122" s="9" t="str">
        <f>'BIO DATA'!AK122</f>
        <v>S1</v>
      </c>
      <c r="AD122" s="9" t="str">
        <f>'BIO DATA'!AL122</f>
        <v>PNS</v>
      </c>
      <c r="AE122" s="9" t="str">
        <f>'BIO DATA'!AM122</f>
        <v>3jt-5jt</v>
      </c>
      <c r="AF122" s="49" t="str">
        <f>'BIO DATA'!AN109</f>
        <v>081932279999</v>
      </c>
      <c r="AG122" s="9">
        <f>'BIO DATA'!AO122</f>
        <v>0</v>
      </c>
      <c r="AH122" s="9">
        <f>'BIO DATA'!AY122</f>
        <v>0</v>
      </c>
      <c r="AI122" s="9">
        <f>'BIO DATA'!AZ122</f>
        <v>0</v>
      </c>
      <c r="AJ122" s="9">
        <f>'BIO DATA'!BA122</f>
        <v>0</v>
      </c>
      <c r="AK122" s="9">
        <f>'BIO DATA'!BB122</f>
        <v>0</v>
      </c>
      <c r="AL122" s="9">
        <f>'BIO DATA'!BC122</f>
        <v>0</v>
      </c>
      <c r="AM122" s="9">
        <f>'BIO DATA'!BD122</f>
        <v>0</v>
      </c>
      <c r="AN122" s="9">
        <f>'BIO DATA'!BE122</f>
        <v>0</v>
      </c>
      <c r="AO122" s="9">
        <f>'BIO DATA'!BF122</f>
        <v>0</v>
      </c>
      <c r="AP122" s="50" t="str">
        <f>'BIO DATA'!BG122</f>
        <v>Muhammad Rifki Hidayat, S.Ag.</v>
      </c>
    </row>
    <row r="123" spans="1:42" s="51" customFormat="1" ht="20.100000000000001" customHeight="1" thickBot="1">
      <c r="A123" s="16" t="s">
        <v>85</v>
      </c>
      <c r="B123">
        <v>280</v>
      </c>
      <c r="C123" s="287">
        <f>'BIO DATA'!C123</f>
        <v>12710</v>
      </c>
      <c r="D123" s="287" t="str">
        <f>'BIO DATA'!D123</f>
        <v>0138690025</v>
      </c>
      <c r="E123" s="288" t="str">
        <f>'BIO DATA'!E123</f>
        <v>Tsaqiif Yaafi' Tri Nugroho</v>
      </c>
      <c r="F123" s="46" t="str">
        <f>'BIO DATA'!L123</f>
        <v>Laki-laki</v>
      </c>
      <c r="G123" s="9" t="str">
        <f>'BIO DATA'!M123</f>
        <v>Purbalingga</v>
      </c>
      <c r="H123" s="48">
        <f>'BIO DATA'!O123</f>
        <v>41430</v>
      </c>
      <c r="I123" s="46" t="str">
        <f>'BIO DATA'!R123</f>
        <v>Islam</v>
      </c>
      <c r="J123" s="47">
        <f>'BIO DATA'!I123</f>
        <v>3</v>
      </c>
      <c r="K123" s="47">
        <f>'BIO DATA'!J123</f>
        <v>2</v>
      </c>
      <c r="L123" s="9" t="str">
        <f>'BIO DATA'!S123</f>
        <v>Desa Bawang RT 01 RW O5, Kec. Bawang Kab. Banjarnegara Jawa Tengah</v>
      </c>
      <c r="M123" s="9" t="str">
        <f>'BIO DATA'!U123</f>
        <v>Bawang</v>
      </c>
      <c r="N123" s="9" t="str">
        <f>'BIO DATA'!V123</f>
        <v>Bawang</v>
      </c>
      <c r="O123" s="9" t="str">
        <f>'BIO DATA'!W123</f>
        <v>Banjarnegara</v>
      </c>
      <c r="P123" s="9" t="str">
        <f>'BIO DATA'!X123</f>
        <v>Jawa Tengah</v>
      </c>
      <c r="Q123" s="9" t="str">
        <f>'BIO DATA'!Y123</f>
        <v>SDIT Permata Hati Banjarnegara</v>
      </c>
      <c r="R123" s="9" t="str">
        <f>'BIO DATA'!Z123</f>
        <v>Jl. Abu Bakar No. 9 Desa Petambakan, Kec. Madukara , Kab. Banjarnegara, Prov Jawa Tengah, Kode Pos 53482 Telp (0286) 592732</v>
      </c>
      <c r="S123" s="9">
        <f>'BIO DATA'!AA123</f>
        <v>0</v>
      </c>
      <c r="T123" s="9" t="str">
        <f>'BIO DATA'!AB123</f>
        <v>Ambar Tri Setyo Yuwono, S. Pd</v>
      </c>
      <c r="U123" s="9" t="str">
        <f>'BIO DATA'!AC123</f>
        <v>Islam</v>
      </c>
      <c r="V123" s="9" t="str">
        <f>'BIO DATA'!AD123</f>
        <v>S1</v>
      </c>
      <c r="W123" s="9" t="str">
        <f>'BIO DATA'!AE123</f>
        <v>PNS</v>
      </c>
      <c r="X123" s="9" t="str">
        <f>'BIO DATA'!AF123</f>
        <v>5jt-10jt</v>
      </c>
      <c r="Y123" s="144" t="str">
        <f>'BIO DATA'!AG123</f>
        <v>081327155642</v>
      </c>
      <c r="Z123" s="9">
        <f>'BIO DATA'!AH123</f>
        <v>0</v>
      </c>
      <c r="AA123" s="9" t="str">
        <f>'BIO DATA'!AI123</f>
        <v>Suprihatun, S. Pd</v>
      </c>
      <c r="AB123" s="9" t="str">
        <f>'BIO DATA'!AJ123</f>
        <v>Islam</v>
      </c>
      <c r="AC123" s="9" t="str">
        <f>'BIO DATA'!AK123</f>
        <v>S1</v>
      </c>
      <c r="AD123" s="9" t="str">
        <f>'BIO DATA'!AL123</f>
        <v>PNS</v>
      </c>
      <c r="AE123" s="9" t="str">
        <f>'BIO DATA'!AM123</f>
        <v>5jt-10jt</v>
      </c>
      <c r="AF123" s="49" t="str">
        <f>'BIO DATA'!AN110</f>
        <v>081328390700</v>
      </c>
      <c r="AG123" s="9">
        <f>'BIO DATA'!AO123</f>
        <v>0</v>
      </c>
      <c r="AH123" s="9">
        <f>'BIO DATA'!AY123</f>
        <v>0</v>
      </c>
      <c r="AI123" s="9">
        <f>'BIO DATA'!AZ123</f>
        <v>0</v>
      </c>
      <c r="AJ123" s="9">
        <f>'BIO DATA'!BA123</f>
        <v>0</v>
      </c>
      <c r="AK123" s="9">
        <f>'BIO DATA'!BB123</f>
        <v>0</v>
      </c>
      <c r="AL123" s="9">
        <f>'BIO DATA'!BC123</f>
        <v>0</v>
      </c>
      <c r="AM123" s="9">
        <f>'BIO DATA'!BD123</f>
        <v>0</v>
      </c>
      <c r="AN123" s="9">
        <f>'BIO DATA'!BE123</f>
        <v>0</v>
      </c>
      <c r="AO123" s="9">
        <f>'BIO DATA'!BF123</f>
        <v>0</v>
      </c>
      <c r="AP123" s="50" t="str">
        <f>'BIO DATA'!BG123</f>
        <v>Muhammad Rifki Hidayat, S.Ag.</v>
      </c>
    </row>
    <row r="124" spans="1:42" s="51" customFormat="1" ht="20.100000000000001" customHeight="1" thickBot="1">
      <c r="A124" s="15" t="s">
        <v>144</v>
      </c>
      <c r="B124">
        <v>293</v>
      </c>
      <c r="C124" s="116">
        <f>'BIO DATA'!C124</f>
        <v>12463</v>
      </c>
      <c r="D124" s="116" t="str">
        <f>'BIO DATA'!D124</f>
        <v>0143121728</v>
      </c>
      <c r="E124" s="115" t="str">
        <f>'BIO DATA'!E124</f>
        <v>Abuwildan Najid Arrasyad</v>
      </c>
      <c r="F124" s="46" t="str">
        <f>'BIO DATA'!L124</f>
        <v>Laki-laki</v>
      </c>
      <c r="G124" s="9" t="str">
        <f>'BIO DATA'!M124</f>
        <v>Pagar Alam</v>
      </c>
      <c r="H124" s="48">
        <f>'BIO DATA'!O124</f>
        <v>41849</v>
      </c>
      <c r="I124" s="46" t="str">
        <f>'BIO DATA'!R124</f>
        <v>Islam</v>
      </c>
      <c r="J124" s="47">
        <f>'BIO DATA'!I124</f>
        <v>1</v>
      </c>
      <c r="K124" s="47">
        <f>'BIO DATA'!J124</f>
        <v>2</v>
      </c>
      <c r="L124" s="9" t="str">
        <f>'BIO DATA'!S124</f>
        <v>Jl.Mesjid Abubakar Asshiddiq Kp.Mekar Jaya Rt.24 Rw.07 Kelurahan Pagar Alam kecamatan Pagar Alam utara kota Pagar Alam Sumsel 31512</v>
      </c>
      <c r="M124" s="9" t="str">
        <f>'BIO DATA'!U124</f>
        <v>Pagar Alam</v>
      </c>
      <c r="N124" s="9" t="str">
        <f>'BIO DATA'!V124</f>
        <v>Pagar Alam</v>
      </c>
      <c r="O124" s="9" t="str">
        <f>'BIO DATA'!W124</f>
        <v>Pagar Alam</v>
      </c>
      <c r="P124" s="9" t="str">
        <f>'BIO DATA'!X124</f>
        <v>Sumatera Selatan</v>
      </c>
      <c r="Q124" s="9" t="str">
        <f>'BIO DATA'!Y124</f>
        <v>SD Islam Bunayya</v>
      </c>
      <c r="R124" s="9" t="str">
        <f>'BIO DATA'!Z124</f>
        <v>Gang Astra Dalam RT. 13 RW.05 Kel. Tumbak Ulas Kec. Pagar Alam Selatan Kota Pagar Alam Prov. Sumatera Selatan</v>
      </c>
      <c r="S124" s="9">
        <f>'BIO DATA'!AA124</f>
        <v>0</v>
      </c>
      <c r="T124" s="9" t="str">
        <f>'BIO DATA'!AB124</f>
        <v>Herlianto</v>
      </c>
      <c r="U124" s="9" t="str">
        <f>'BIO DATA'!AC124</f>
        <v>Islam</v>
      </c>
      <c r="V124" s="9" t="str">
        <f>'BIO DATA'!AD124</f>
        <v>S1</v>
      </c>
      <c r="W124" s="9" t="str">
        <f>'BIO DATA'!AE124</f>
        <v>Guru/Dosen</v>
      </c>
      <c r="X124" s="9" t="str">
        <f>'BIO DATA'!AF124</f>
        <v>3jt-5jt</v>
      </c>
      <c r="Y124" s="144" t="str">
        <f>'BIO DATA'!AG124</f>
        <v>082182257757</v>
      </c>
      <c r="Z124" s="9">
        <f>'BIO DATA'!AH124</f>
        <v>0</v>
      </c>
      <c r="AA124" s="9" t="str">
        <f>'BIO DATA'!AI124</f>
        <v>Ika Yana Prihandini</v>
      </c>
      <c r="AB124" s="9" t="str">
        <f>'BIO DATA'!AJ124</f>
        <v>Islam</v>
      </c>
      <c r="AC124" s="9" t="str">
        <f>'BIO DATA'!AK124</f>
        <v>S1</v>
      </c>
      <c r="AD124" s="9" t="str">
        <f>'BIO DATA'!AL124</f>
        <v>Guru/Dosen</v>
      </c>
      <c r="AE124" s="9" t="str">
        <f>'BIO DATA'!AM124</f>
        <v>3jt-5jt</v>
      </c>
      <c r="AF124" s="49" t="str">
        <f>'BIO DATA'!AN111</f>
        <v>081280384272</v>
      </c>
      <c r="AG124" s="9">
        <f>'BIO DATA'!AO124</f>
        <v>0</v>
      </c>
      <c r="AH124" s="9">
        <f>'BIO DATA'!AY124</f>
        <v>0</v>
      </c>
      <c r="AI124" s="9">
        <f>'BIO DATA'!AZ124</f>
        <v>0</v>
      </c>
      <c r="AJ124" s="9">
        <f>'BIO DATA'!BA124</f>
        <v>0</v>
      </c>
      <c r="AK124" s="9">
        <f>'BIO DATA'!BB124</f>
        <v>0</v>
      </c>
      <c r="AL124" s="9">
        <f>'BIO DATA'!BC124</f>
        <v>0</v>
      </c>
      <c r="AM124" s="9">
        <f>'BIO DATA'!BD124</f>
        <v>0</v>
      </c>
      <c r="AN124" s="9">
        <f>'BIO DATA'!BE124</f>
        <v>0</v>
      </c>
      <c r="AO124" s="9">
        <f>'BIO DATA'!BF124</f>
        <v>0</v>
      </c>
      <c r="AP124" s="50" t="str">
        <f>'BIO DATA'!BG124</f>
        <v>R. Arief Toto Purwandaru, S.Pd.</v>
      </c>
    </row>
    <row r="125" spans="1:42" s="51" customFormat="1" ht="20.100000000000001" customHeight="1" thickBot="1">
      <c r="A125" s="15" t="s">
        <v>144</v>
      </c>
      <c r="B125">
        <v>4</v>
      </c>
      <c r="C125" s="116">
        <f>'BIO DATA'!C125</f>
        <v>12469</v>
      </c>
      <c r="D125" s="116" t="str">
        <f>'BIO DATA'!D125</f>
        <v>0149036978</v>
      </c>
      <c r="E125" s="115" t="str">
        <f>'BIO DATA'!E125</f>
        <v>Afif Agil Saputra</v>
      </c>
      <c r="F125" s="46" t="str">
        <f>'BIO DATA'!L125</f>
        <v>Laki-laki</v>
      </c>
      <c r="G125" s="9" t="str">
        <f>'BIO DATA'!M125</f>
        <v>Kayuagung</v>
      </c>
      <c r="H125" s="48">
        <f>'BIO DATA'!O125</f>
        <v>41755</v>
      </c>
      <c r="I125" s="46" t="str">
        <f>'BIO DATA'!R125</f>
        <v>Islam</v>
      </c>
      <c r="J125" s="47">
        <f>'BIO DATA'!I125</f>
        <v>2</v>
      </c>
      <c r="K125" s="47">
        <f>'BIO DATA'!J125</f>
        <v>1</v>
      </c>
      <c r="L125" s="9" t="str">
        <f>'BIO DATA'!S125</f>
        <v>Sukasari kab.ogan Komering Ilir kec.mesuji raya Palembang</v>
      </c>
      <c r="M125" s="9" t="str">
        <f>'BIO DATA'!U125</f>
        <v>Sukasari</v>
      </c>
      <c r="N125" s="9" t="str">
        <f>'BIO DATA'!V125</f>
        <v>Mesuji Raya</v>
      </c>
      <c r="O125" s="9" t="str">
        <f>'BIO DATA'!W125</f>
        <v>Palembang</v>
      </c>
      <c r="P125" s="9" t="str">
        <f>'BIO DATA'!X125</f>
        <v>Sumatera Selatan</v>
      </c>
      <c r="Q125" s="9" t="str">
        <f>'BIO DATA'!Y125</f>
        <v>SD N 1 Sukasari</v>
      </c>
      <c r="R125" s="9" t="str">
        <f>'BIO DATA'!Z125</f>
        <v>Jl Meranti IV, Desa Suka Sari, Kecamatan Mesuji Raya, Kabupaten Ogan Ilir, 30683</v>
      </c>
      <c r="S125" s="9">
        <f>'BIO DATA'!AA125</f>
        <v>0</v>
      </c>
      <c r="T125" s="9" t="str">
        <f>'BIO DATA'!AB125</f>
        <v>Bambang Susilarsa</v>
      </c>
      <c r="U125" s="9" t="str">
        <f>'BIO DATA'!AC125</f>
        <v>Islam</v>
      </c>
      <c r="V125" s="9" t="str">
        <f>'BIO DATA'!AD125</f>
        <v>S1</v>
      </c>
      <c r="W125" s="9" t="str">
        <f>'BIO DATA'!AE125</f>
        <v>PNS</v>
      </c>
      <c r="X125" s="9" t="str">
        <f>'BIO DATA'!AF125</f>
        <v>&gt;10jt</v>
      </c>
      <c r="Y125" s="144" t="str">
        <f>'BIO DATA'!AG125</f>
        <v>082260888443</v>
      </c>
      <c r="Z125" s="9">
        <f>'BIO DATA'!AH125</f>
        <v>0</v>
      </c>
      <c r="AA125" s="9" t="str">
        <f>'BIO DATA'!AI125</f>
        <v>Dwi Lestari</v>
      </c>
      <c r="AB125" s="9" t="str">
        <f>'BIO DATA'!AJ125</f>
        <v>Islam</v>
      </c>
      <c r="AC125" s="9" t="str">
        <f>'BIO DATA'!AK125</f>
        <v>DIPLOMA</v>
      </c>
      <c r="AD125" s="9" t="str">
        <f>'BIO DATA'!AL125</f>
        <v>Wiraswasta</v>
      </c>
      <c r="AE125" s="9" t="str">
        <f>'BIO DATA'!AM125</f>
        <v>1jt-3jt</v>
      </c>
      <c r="AF125" s="49" t="str">
        <f>'BIO DATA'!AN112</f>
        <v>085780107617</v>
      </c>
      <c r="AG125" s="9">
        <f>'BIO DATA'!AO125</f>
        <v>0</v>
      </c>
      <c r="AH125" s="9">
        <f>'BIO DATA'!AY125</f>
        <v>0</v>
      </c>
      <c r="AI125" s="9">
        <f>'BIO DATA'!AZ125</f>
        <v>0</v>
      </c>
      <c r="AJ125" s="9">
        <f>'BIO DATA'!BA125</f>
        <v>0</v>
      </c>
      <c r="AK125" s="9">
        <f>'BIO DATA'!BB125</f>
        <v>0</v>
      </c>
      <c r="AL125" s="9">
        <f>'BIO DATA'!BC125</f>
        <v>0</v>
      </c>
      <c r="AM125" s="9">
        <f>'BIO DATA'!BD125</f>
        <v>0</v>
      </c>
      <c r="AN125" s="9">
        <f>'BIO DATA'!BE125</f>
        <v>0</v>
      </c>
      <c r="AO125" s="9">
        <f>'BIO DATA'!BF125</f>
        <v>0</v>
      </c>
      <c r="AP125" s="50" t="str">
        <f>'BIO DATA'!BG125</f>
        <v>R. Arief Toto Purwandaru, S.Pd.</v>
      </c>
    </row>
    <row r="126" spans="1:42" s="51" customFormat="1" ht="20.100000000000001" customHeight="1" thickBot="1">
      <c r="A126" s="15" t="s">
        <v>144</v>
      </c>
      <c r="B126">
        <v>8</v>
      </c>
      <c r="C126" s="116">
        <f>'BIO DATA'!C126</f>
        <v>12485</v>
      </c>
      <c r="D126" s="116" t="str">
        <f>'BIO DATA'!D126</f>
        <v>0132330755</v>
      </c>
      <c r="E126" s="115" t="str">
        <f>'BIO DATA'!E126</f>
        <v>Alief Rohman Hidayat</v>
      </c>
      <c r="F126" s="46" t="str">
        <f>'BIO DATA'!L126</f>
        <v>Laki-laki</v>
      </c>
      <c r="G126" s="9" t="str">
        <f>'BIO DATA'!M126</f>
        <v>Sleman</v>
      </c>
      <c r="H126" s="48">
        <f>'BIO DATA'!O126</f>
        <v>41448</v>
      </c>
      <c r="I126" s="46" t="str">
        <f>'BIO DATA'!R126</f>
        <v>Islam</v>
      </c>
      <c r="J126" s="47">
        <f>'BIO DATA'!I126</f>
        <v>1</v>
      </c>
      <c r="K126" s="47">
        <f>'BIO DATA'!J126</f>
        <v>1</v>
      </c>
      <c r="L126" s="9" t="str">
        <f>'BIO DATA'!S126</f>
        <v>Margorejo RT 07 RW 02, Jono Tanon Sragen Jawa Tengah 57277</v>
      </c>
      <c r="M126" s="9" t="str">
        <f>'BIO DATA'!U126</f>
        <v>Jono</v>
      </c>
      <c r="N126" s="9" t="str">
        <f>'BIO DATA'!V126</f>
        <v>Tanon</v>
      </c>
      <c r="O126" s="9" t="str">
        <f>'BIO DATA'!W126</f>
        <v>Sragen</v>
      </c>
      <c r="P126" s="9" t="str">
        <f>'BIO DATA'!X126</f>
        <v>Jawa Tengah</v>
      </c>
      <c r="Q126" s="9" t="str">
        <f>'BIO DATA'!Y126</f>
        <v>SD Birul Walidain Muhamadiyah Tanon Sragen</v>
      </c>
      <c r="R126" s="9" t="str">
        <f>'BIO DATA'!Z126</f>
        <v>Jl. Gabugan-Sumberlawang KM.1, Trombol, Ketro, Tanon, Sragen, Jawa Tengah 57277</v>
      </c>
      <c r="S126" s="9">
        <f>'BIO DATA'!AA126</f>
        <v>0</v>
      </c>
      <c r="T126" s="9" t="str">
        <f>'BIO DATA'!AB126</f>
        <v>Hery Hidayat</v>
      </c>
      <c r="U126" s="9" t="str">
        <f>'BIO DATA'!AC126</f>
        <v>Islam</v>
      </c>
      <c r="V126" s="9" t="str">
        <f>'BIO DATA'!AD126</f>
        <v>DIPLOMA</v>
      </c>
      <c r="W126" s="9" t="str">
        <f>'BIO DATA'!AE126</f>
        <v>Pegawai Swasta</v>
      </c>
      <c r="X126" s="9" t="str">
        <f>'BIO DATA'!AF126</f>
        <v>5jt-10jt</v>
      </c>
      <c r="Y126" s="144" t="str">
        <f>'BIO DATA'!AG126</f>
        <v>081210432345</v>
      </c>
      <c r="Z126" s="9">
        <f>'BIO DATA'!AH126</f>
        <v>0</v>
      </c>
      <c r="AA126" s="9" t="str">
        <f>'BIO DATA'!AI126</f>
        <v>Ainun Na'imatun</v>
      </c>
      <c r="AB126" s="9" t="str">
        <f>'BIO DATA'!AJ126</f>
        <v>Islam</v>
      </c>
      <c r="AC126" s="9" t="str">
        <f>'BIO DATA'!AK126</f>
        <v>SMA/SMK/MA</v>
      </c>
      <c r="AD126" s="9" t="str">
        <f>'BIO DATA'!AL126</f>
        <v>Tidak Bekerja</v>
      </c>
      <c r="AE126" s="9" t="str">
        <f>'BIO DATA'!AM126</f>
        <v>&lt; 500rb</v>
      </c>
      <c r="AF126" s="49" t="str">
        <f>'BIO DATA'!AN113</f>
        <v>085743312959</v>
      </c>
      <c r="AG126" s="9">
        <f>'BIO DATA'!AO126</f>
        <v>0</v>
      </c>
      <c r="AH126" s="9">
        <f>'BIO DATA'!AY126</f>
        <v>0</v>
      </c>
      <c r="AI126" s="9">
        <f>'BIO DATA'!AZ126</f>
        <v>0</v>
      </c>
      <c r="AJ126" s="9">
        <f>'BIO DATA'!BA126</f>
        <v>0</v>
      </c>
      <c r="AK126" s="9">
        <f>'BIO DATA'!BB126</f>
        <v>0</v>
      </c>
      <c r="AL126" s="9">
        <f>'BIO DATA'!BC126</f>
        <v>0</v>
      </c>
      <c r="AM126" s="9">
        <f>'BIO DATA'!BD126</f>
        <v>0</v>
      </c>
      <c r="AN126" s="9">
        <f>'BIO DATA'!BE126</f>
        <v>0</v>
      </c>
      <c r="AO126" s="9">
        <f>'BIO DATA'!BF126</f>
        <v>0</v>
      </c>
      <c r="AP126" s="50" t="str">
        <f>'BIO DATA'!BG126</f>
        <v>R. Arief Toto Purwandaru, S.Pd.</v>
      </c>
    </row>
    <row r="127" spans="1:42" s="51" customFormat="1" ht="20.100000000000001" customHeight="1" thickBot="1">
      <c r="A127" s="15" t="s">
        <v>144</v>
      </c>
      <c r="B127">
        <v>9</v>
      </c>
      <c r="C127" s="116">
        <f>'BIO DATA'!C127</f>
        <v>12498</v>
      </c>
      <c r="D127" s="116" t="str">
        <f>'BIO DATA'!D127</f>
        <v>0136082890</v>
      </c>
      <c r="E127" s="115" t="str">
        <f>'BIO DATA'!E127</f>
        <v>Arsyad Faza El - Rafif</v>
      </c>
      <c r="F127" s="46" t="str">
        <f>'BIO DATA'!L127</f>
        <v>Laki-laki</v>
      </c>
      <c r="G127" s="9" t="str">
        <f>'BIO DATA'!M127</f>
        <v>Pekalongan</v>
      </c>
      <c r="H127" s="48">
        <f>'BIO DATA'!O127</f>
        <v>41636</v>
      </c>
      <c r="I127" s="46" t="str">
        <f>'BIO DATA'!R127</f>
        <v>Islam</v>
      </c>
      <c r="J127" s="47">
        <f>'BIO DATA'!I127</f>
        <v>2</v>
      </c>
      <c r="K127" s="47">
        <f>'BIO DATA'!J127</f>
        <v>1</v>
      </c>
      <c r="L127" s="9" t="str">
        <f>'BIO DATA'!S127</f>
        <v>Jln Mayjend Sutoyo Gg.4 No 109 Rt.003 Rw.001 Kelurahan Gumawang Wiradesa Kab. Pekalongan</v>
      </c>
      <c r="M127" s="9" t="str">
        <f>'BIO DATA'!U127</f>
        <v>Gumawang</v>
      </c>
      <c r="N127" s="9" t="str">
        <f>'BIO DATA'!V127</f>
        <v>Wiradesa</v>
      </c>
      <c r="O127" s="9" t="str">
        <f>'BIO DATA'!W127</f>
        <v>Pekalongan</v>
      </c>
      <c r="P127" s="9" t="str">
        <f>'BIO DATA'!X127</f>
        <v>Jawa Tengah</v>
      </c>
      <c r="Q127" s="9" t="str">
        <f>'BIO DATA'!Y127</f>
        <v>MI Muhammadiyah Kauman Wiradesa Kab. Pekalongan</v>
      </c>
      <c r="R127" s="9" t="str">
        <f>'BIO DATA'!Z127</f>
        <v>Jln.Pendidikan II Rt.009 Rw.005 Kauman Wiradesa Kab. Pekalongan</v>
      </c>
      <c r="S127" s="9">
        <f>'BIO DATA'!AA127</f>
        <v>0</v>
      </c>
      <c r="T127" s="9" t="str">
        <f>'BIO DATA'!AB127</f>
        <v>R. Widdya Bagus Dwi Handoko</v>
      </c>
      <c r="U127" s="9" t="str">
        <f>'BIO DATA'!AC127</f>
        <v>Islam</v>
      </c>
      <c r="V127" s="9" t="str">
        <f>'BIO DATA'!AD127</f>
        <v>S1</v>
      </c>
      <c r="W127" s="9" t="str">
        <f>'BIO DATA'!AE127</f>
        <v>Wiraswasta</v>
      </c>
      <c r="X127" s="9" t="str">
        <f>'BIO DATA'!AF127</f>
        <v>1jt-3jt</v>
      </c>
      <c r="Y127" s="144" t="str">
        <f>'BIO DATA'!AG127</f>
        <v>085713792374</v>
      </c>
      <c r="Z127" s="9">
        <f>'BIO DATA'!AH127</f>
        <v>0</v>
      </c>
      <c r="AA127" s="9" t="str">
        <f>'BIO DATA'!AI127</f>
        <v>Nur Aeni</v>
      </c>
      <c r="AB127" s="9" t="str">
        <f>'BIO DATA'!AJ127</f>
        <v>Islam</v>
      </c>
      <c r="AC127" s="9" t="str">
        <f>'BIO DATA'!AK127</f>
        <v>S1</v>
      </c>
      <c r="AD127" s="9" t="str">
        <f>'BIO DATA'!AL127</f>
        <v>Wiraswasta</v>
      </c>
      <c r="AE127" s="9" t="str">
        <f>'BIO DATA'!AM127</f>
        <v>5jt-10jt</v>
      </c>
      <c r="AF127" s="49" t="str">
        <f>'BIO DATA'!AN114</f>
        <v>085700414566</v>
      </c>
      <c r="AG127" s="9">
        <f>'BIO DATA'!AO127</f>
        <v>0</v>
      </c>
      <c r="AH127" s="9">
        <f>'BIO DATA'!AY127</f>
        <v>0</v>
      </c>
      <c r="AI127" s="9">
        <f>'BIO DATA'!AZ127</f>
        <v>0</v>
      </c>
      <c r="AJ127" s="9">
        <f>'BIO DATA'!BA127</f>
        <v>0</v>
      </c>
      <c r="AK127" s="9">
        <f>'BIO DATA'!BB127</f>
        <v>0</v>
      </c>
      <c r="AL127" s="9">
        <f>'BIO DATA'!BC127</f>
        <v>0</v>
      </c>
      <c r="AM127" s="9">
        <f>'BIO DATA'!BD127</f>
        <v>0</v>
      </c>
      <c r="AN127" s="9">
        <f>'BIO DATA'!BE127</f>
        <v>0</v>
      </c>
      <c r="AO127" s="9">
        <f>'BIO DATA'!BF127</f>
        <v>0</v>
      </c>
      <c r="AP127" s="50" t="str">
        <f>'BIO DATA'!BG127</f>
        <v>R. Arief Toto Purwandaru, S.Pd.</v>
      </c>
    </row>
    <row r="128" spans="1:42" s="51" customFormat="1" ht="20.100000000000001" customHeight="1" thickBot="1">
      <c r="A128" s="15" t="s">
        <v>144</v>
      </c>
      <c r="B128">
        <v>17</v>
      </c>
      <c r="C128" s="116">
        <f>'BIO DATA'!C128</f>
        <v>12509</v>
      </c>
      <c r="D128" s="116">
        <f>'BIO DATA'!D128</f>
        <v>3144968390</v>
      </c>
      <c r="E128" s="115" t="str">
        <f>'BIO DATA'!E128</f>
        <v>Azka Rafif Khafadi</v>
      </c>
      <c r="F128" s="46" t="str">
        <f>'BIO DATA'!L128</f>
        <v>Laki-laki</v>
      </c>
      <c r="G128" s="9" t="str">
        <f>'BIO DATA'!M128</f>
        <v>Luwuk</v>
      </c>
      <c r="H128" s="48">
        <f>'BIO DATA'!O128</f>
        <v>41852</v>
      </c>
      <c r="I128" s="46" t="str">
        <f>'BIO DATA'!R128</f>
        <v>Islam</v>
      </c>
      <c r="J128" s="47">
        <f>'BIO DATA'!I128</f>
        <v>1</v>
      </c>
      <c r="K128" s="47">
        <f>'BIO DATA'!J128</f>
        <v>4</v>
      </c>
      <c r="L128" s="9" t="str">
        <f>'BIO DATA'!S128</f>
        <v>Jl. P. Masalembo, Kel. Kompo, Kec. Luwuk Selatan , Kab. Banggai Sulawesi Tengah</v>
      </c>
      <c r="M128" s="9" t="str">
        <f>'BIO DATA'!U128</f>
        <v>Kompo</v>
      </c>
      <c r="N128" s="9" t="str">
        <f>'BIO DATA'!V128</f>
        <v>Luwuk Selatan</v>
      </c>
      <c r="O128" s="9" t="str">
        <f>'BIO DATA'!W128</f>
        <v>Banggai</v>
      </c>
      <c r="P128" s="9" t="str">
        <f>'BIO DATA'!X128</f>
        <v>Sulawesi Tengah</v>
      </c>
      <c r="Q128" s="9" t="str">
        <f>'BIO DATA'!Y128</f>
        <v>SDIT Madani Luwuk</v>
      </c>
      <c r="R128" s="9" t="str">
        <f>'BIO DATA'!Z128</f>
        <v>Jl Yos sudarso, Karaton, Luwuk, Kabupaten Banggai, Sulawesi Tengah</v>
      </c>
      <c r="S128" s="9">
        <f>'BIO DATA'!AA128</f>
        <v>0</v>
      </c>
      <c r="T128" s="9" t="str">
        <f>'BIO DATA'!AB128</f>
        <v>Adhe Indrayana</v>
      </c>
      <c r="U128" s="9" t="str">
        <f>'BIO DATA'!AC128</f>
        <v>Islam</v>
      </c>
      <c r="V128" s="9" t="str">
        <f>'BIO DATA'!AD128</f>
        <v>S1</v>
      </c>
      <c r="W128" s="9" t="str">
        <f>'BIO DATA'!AE128</f>
        <v>Lain-lain</v>
      </c>
      <c r="X128" s="9" t="str">
        <f>'BIO DATA'!AF128</f>
        <v>3jt-5jt</v>
      </c>
      <c r="Y128" s="144" t="str">
        <f>'BIO DATA'!AG128</f>
        <v>085233076040</v>
      </c>
      <c r="Z128" s="9">
        <f>'BIO DATA'!AH128</f>
        <v>0</v>
      </c>
      <c r="AA128" s="9" t="str">
        <f>'BIO DATA'!AI128</f>
        <v>Hijramayasari Hasan</v>
      </c>
      <c r="AB128" s="9" t="str">
        <f>'BIO DATA'!AJ128</f>
        <v>Islam</v>
      </c>
      <c r="AC128" s="9" t="str">
        <f>'BIO DATA'!AK128</f>
        <v>S1</v>
      </c>
      <c r="AD128" s="9" t="str">
        <f>'BIO DATA'!AL128</f>
        <v>PNS</v>
      </c>
      <c r="AE128" s="9" t="str">
        <f>'BIO DATA'!AM128</f>
        <v>3jt-5jt</v>
      </c>
      <c r="AF128" s="49" t="str">
        <f>'BIO DATA'!AN115</f>
        <v>082189454412</v>
      </c>
      <c r="AG128" s="9">
        <f>'BIO DATA'!AO128</f>
        <v>0</v>
      </c>
      <c r="AH128" s="9">
        <f>'BIO DATA'!AY128</f>
        <v>0</v>
      </c>
      <c r="AI128" s="9">
        <f>'BIO DATA'!AZ128</f>
        <v>0</v>
      </c>
      <c r="AJ128" s="9">
        <f>'BIO DATA'!BA128</f>
        <v>0</v>
      </c>
      <c r="AK128" s="9">
        <f>'BIO DATA'!BB128</f>
        <v>0</v>
      </c>
      <c r="AL128" s="9">
        <f>'BIO DATA'!BC128</f>
        <v>0</v>
      </c>
      <c r="AM128" s="9">
        <f>'BIO DATA'!BD128</f>
        <v>0</v>
      </c>
      <c r="AN128" s="9">
        <f>'BIO DATA'!BE128</f>
        <v>0</v>
      </c>
      <c r="AO128" s="9">
        <f>'BIO DATA'!BF128</f>
        <v>0</v>
      </c>
      <c r="AP128" s="50" t="str">
        <f>'BIO DATA'!BG128</f>
        <v>R. Arief Toto Purwandaru, S.Pd.</v>
      </c>
    </row>
    <row r="129" spans="1:42" s="51" customFormat="1" ht="20.100000000000001" customHeight="1" thickBot="1">
      <c r="A129" s="15" t="s">
        <v>144</v>
      </c>
      <c r="B129">
        <v>24</v>
      </c>
      <c r="C129" s="116">
        <f>'BIO DATA'!C129</f>
        <v>12520</v>
      </c>
      <c r="D129" s="116" t="str">
        <f>'BIO DATA'!D129</f>
        <v>0136751740</v>
      </c>
      <c r="E129" s="115" t="str">
        <f>'BIO DATA'!E129</f>
        <v>Chelsea Safaraz Majiid</v>
      </c>
      <c r="F129" s="46" t="str">
        <f>'BIO DATA'!L129</f>
        <v>Laki-laki</v>
      </c>
      <c r="G129" s="9" t="str">
        <f>'BIO DATA'!M129</f>
        <v>Pekalongan</v>
      </c>
      <c r="H129" s="48">
        <f>'BIO DATA'!O129</f>
        <v>41621</v>
      </c>
      <c r="I129" s="46" t="str">
        <f>'BIO DATA'!R129</f>
        <v>Islam</v>
      </c>
      <c r="J129" s="47">
        <f>'BIO DATA'!I129</f>
        <v>3</v>
      </c>
      <c r="K129" s="47">
        <f>'BIO DATA'!J129</f>
        <v>2</v>
      </c>
      <c r="L129" s="9" t="str">
        <f>'BIO DATA'!S129</f>
        <v>Lingk. Bandungan Wetan Rt.11 Rw.03 Kelurahan Kajen Kec. Kajen Kab. Pekalongan Jawa Tengah</v>
      </c>
      <c r="M129" s="9" t="str">
        <f>'BIO DATA'!U129</f>
        <v>Kajen</v>
      </c>
      <c r="N129" s="9" t="str">
        <f>'BIO DATA'!V129</f>
        <v>Kajen</v>
      </c>
      <c r="O129" s="9" t="str">
        <f>'BIO DATA'!W129</f>
        <v>Pekalongan</v>
      </c>
      <c r="P129" s="9" t="str">
        <f>'BIO DATA'!X129</f>
        <v>Jawa Tengah</v>
      </c>
      <c r="Q129" s="9" t="str">
        <f>'BIO DATA'!Y129</f>
        <v>SD Muhammadiyah Kajen Kab. Pekalongan</v>
      </c>
      <c r="R129" s="9" t="str">
        <f>'BIO DATA'!Z129</f>
        <v>Jl. Diponegoro No.754 Kajen Kab. Pekalongan</v>
      </c>
      <c r="S129" s="9">
        <f>'BIO DATA'!AA129</f>
        <v>0</v>
      </c>
      <c r="T129" s="9" t="str">
        <f>'BIO DATA'!AB129</f>
        <v>Sudarmadji</v>
      </c>
      <c r="U129" s="9" t="str">
        <f>'BIO DATA'!AC129</f>
        <v>Islam</v>
      </c>
      <c r="V129" s="9" t="str">
        <f>'BIO DATA'!AD129</f>
        <v>S1</v>
      </c>
      <c r="W129" s="9" t="str">
        <f>'BIO DATA'!AE129</f>
        <v>Pegawai Swasta</v>
      </c>
      <c r="X129" s="9" t="str">
        <f>'BIO DATA'!AF129</f>
        <v>1jt-3jt</v>
      </c>
      <c r="Y129" s="144" t="str">
        <f>'BIO DATA'!AG129</f>
        <v>085842390208</v>
      </c>
      <c r="Z129" s="9">
        <f>'BIO DATA'!AH129</f>
        <v>0</v>
      </c>
      <c r="AA129" s="9" t="str">
        <f>'BIO DATA'!AI129</f>
        <v>Sri Sofiyati Hafsah</v>
      </c>
      <c r="AB129" s="9" t="str">
        <f>'BIO DATA'!AJ129</f>
        <v>Islam</v>
      </c>
      <c r="AC129" s="9" t="str">
        <f>'BIO DATA'!AK129</f>
        <v>S1</v>
      </c>
      <c r="AD129" s="9" t="str">
        <f>'BIO DATA'!AL129</f>
        <v>PNS</v>
      </c>
      <c r="AE129" s="9" t="str">
        <f>'BIO DATA'!AM129</f>
        <v>3jt-5jt</v>
      </c>
      <c r="AF129" s="49" t="str">
        <f>'BIO DATA'!AN116</f>
        <v>081347220915</v>
      </c>
      <c r="AG129" s="9">
        <f>'BIO DATA'!AO129</f>
        <v>0</v>
      </c>
      <c r="AH129" s="9">
        <f>'BIO DATA'!AY129</f>
        <v>0</v>
      </c>
      <c r="AI129" s="9">
        <f>'BIO DATA'!AZ129</f>
        <v>0</v>
      </c>
      <c r="AJ129" s="9">
        <f>'BIO DATA'!BA129</f>
        <v>0</v>
      </c>
      <c r="AK129" s="9">
        <f>'BIO DATA'!BB129</f>
        <v>0</v>
      </c>
      <c r="AL129" s="9">
        <f>'BIO DATA'!BC129</f>
        <v>0</v>
      </c>
      <c r="AM129" s="9">
        <f>'BIO DATA'!BD129</f>
        <v>0</v>
      </c>
      <c r="AN129" s="9">
        <f>'BIO DATA'!BE129</f>
        <v>0</v>
      </c>
      <c r="AO129" s="9">
        <f>'BIO DATA'!BF129</f>
        <v>0</v>
      </c>
      <c r="AP129" s="50" t="str">
        <f>'BIO DATA'!BG129</f>
        <v>R. Arief Toto Purwandaru, S.Pd.</v>
      </c>
    </row>
    <row r="130" spans="1:42" s="51" customFormat="1" ht="20.100000000000001" customHeight="1" thickBot="1">
      <c r="A130" s="15" t="s">
        <v>144</v>
      </c>
      <c r="B130">
        <v>25</v>
      </c>
      <c r="C130" s="116">
        <f>'BIO DATA'!C130</f>
        <v>12521</v>
      </c>
      <c r="D130" s="116">
        <f>'BIO DATA'!D130</f>
        <v>3147299385</v>
      </c>
      <c r="E130" s="115" t="str">
        <f>'BIO DATA'!E130</f>
        <v>Daffa Fritzie Alghifari</v>
      </c>
      <c r="F130" s="46" t="str">
        <f>'BIO DATA'!L130</f>
        <v>Laki-laki</v>
      </c>
      <c r="G130" s="9" t="str">
        <f>'BIO DATA'!M130</f>
        <v>Sorong</v>
      </c>
      <c r="H130" s="48">
        <f>'BIO DATA'!O130</f>
        <v>41651</v>
      </c>
      <c r="I130" s="46" t="str">
        <f>'BIO DATA'!R130</f>
        <v>Islam</v>
      </c>
      <c r="J130" s="47">
        <f>'BIO DATA'!I130</f>
        <v>2</v>
      </c>
      <c r="K130" s="47">
        <f>'BIO DATA'!J130</f>
        <v>1</v>
      </c>
      <c r="L130" s="9" t="str">
        <f>'BIO DATA'!S130</f>
        <v>Jalan KPR Dusun RT 001 RW 002 Famboaman Amotaurei Kepulauan Yapen Papua</v>
      </c>
      <c r="M130" s="9" t="str">
        <f>'BIO DATA'!U130</f>
        <v>Famboaman</v>
      </c>
      <c r="N130" s="9" t="str">
        <f>'BIO DATA'!V130</f>
        <v>Amptaurei</v>
      </c>
      <c r="O130" s="9" t="str">
        <f>'BIO DATA'!W130</f>
        <v>Kep. Yapen</v>
      </c>
      <c r="P130" s="9" t="str">
        <f>'BIO DATA'!X130</f>
        <v>Papua</v>
      </c>
      <c r="Q130" s="9" t="str">
        <f>'BIO DATA'!Y130</f>
        <v>SD Yapis Serui</v>
      </c>
      <c r="R130" s="9" t="str">
        <f>'BIO DATA'!Z130</f>
        <v>Jalan KPR Dusun Serui</v>
      </c>
      <c r="S130" s="9">
        <f>'BIO DATA'!AA130</f>
        <v>0</v>
      </c>
      <c r="T130" s="9" t="str">
        <f>'BIO DATA'!AB130</f>
        <v>Ariady Hafid</v>
      </c>
      <c r="U130" s="9" t="str">
        <f>'BIO DATA'!AC130</f>
        <v>Islam</v>
      </c>
      <c r="V130" s="9" t="str">
        <f>'BIO DATA'!AD130</f>
        <v>S1</v>
      </c>
      <c r="W130" s="9" t="str">
        <f>'BIO DATA'!AE130</f>
        <v>Wiraswasta</v>
      </c>
      <c r="X130" s="9" t="str">
        <f>'BIO DATA'!AF130</f>
        <v>1jt-3jt</v>
      </c>
      <c r="Y130" s="144" t="str">
        <f>'BIO DATA'!AG130</f>
        <v>081259962679</v>
      </c>
      <c r="Z130" s="9">
        <f>'BIO DATA'!AH130</f>
        <v>0</v>
      </c>
      <c r="AA130" s="9" t="str">
        <f>'BIO DATA'!AI130</f>
        <v>Evie Rahmi Syahrul</v>
      </c>
      <c r="AB130" s="9" t="str">
        <f>'BIO DATA'!AJ130</f>
        <v>Islam</v>
      </c>
      <c r="AC130" s="9" t="str">
        <f>'BIO DATA'!AK130</f>
        <v>S1</v>
      </c>
      <c r="AD130" s="9" t="str">
        <f>'BIO DATA'!AL130</f>
        <v>PNS</v>
      </c>
      <c r="AE130" s="9" t="str">
        <f>'BIO DATA'!AM130</f>
        <v>3jt-5jt</v>
      </c>
      <c r="AF130" s="49" t="str">
        <f>'BIO DATA'!AN117</f>
        <v>085935667444</v>
      </c>
      <c r="AG130" s="9">
        <f>'BIO DATA'!AO130</f>
        <v>0</v>
      </c>
      <c r="AH130" s="9">
        <f>'BIO DATA'!AY130</f>
        <v>0</v>
      </c>
      <c r="AI130" s="9">
        <f>'BIO DATA'!AZ130</f>
        <v>0</v>
      </c>
      <c r="AJ130" s="9">
        <f>'BIO DATA'!BA130</f>
        <v>0</v>
      </c>
      <c r="AK130" s="9">
        <f>'BIO DATA'!BB130</f>
        <v>0</v>
      </c>
      <c r="AL130" s="9">
        <f>'BIO DATA'!BC130</f>
        <v>0</v>
      </c>
      <c r="AM130" s="9">
        <f>'BIO DATA'!BD130</f>
        <v>0</v>
      </c>
      <c r="AN130" s="9">
        <f>'BIO DATA'!BE130</f>
        <v>0</v>
      </c>
      <c r="AO130" s="9">
        <f>'BIO DATA'!BF130</f>
        <v>0</v>
      </c>
      <c r="AP130" s="50" t="str">
        <f>'BIO DATA'!BG130</f>
        <v>R. Arief Toto Purwandaru, S.Pd.</v>
      </c>
    </row>
    <row r="131" spans="1:42" s="51" customFormat="1" ht="20.100000000000001" customHeight="1" thickBot="1">
      <c r="A131" s="15" t="s">
        <v>144</v>
      </c>
      <c r="B131">
        <v>45</v>
      </c>
      <c r="C131" s="116">
        <f>'BIO DATA'!C131</f>
        <v>12525</v>
      </c>
      <c r="D131" s="116" t="str">
        <f>'BIO DATA'!D131</f>
        <v>0134929445</v>
      </c>
      <c r="E131" s="115" t="str">
        <f>'BIO DATA'!E131</f>
        <v>Danes Edgar Abdima Pratama</v>
      </c>
      <c r="F131" s="46" t="str">
        <f>'BIO DATA'!L131</f>
        <v>Laki-laki</v>
      </c>
      <c r="G131" s="9" t="str">
        <f>'BIO DATA'!M131</f>
        <v>Magelang</v>
      </c>
      <c r="H131" s="48">
        <f>'BIO DATA'!O131</f>
        <v>41451</v>
      </c>
      <c r="I131" s="46" t="str">
        <f>'BIO DATA'!R131</f>
        <v>Islam</v>
      </c>
      <c r="J131" s="47">
        <f>'BIO DATA'!I131</f>
        <v>1</v>
      </c>
      <c r="K131" s="47">
        <f>'BIO DATA'!J131</f>
        <v>2</v>
      </c>
      <c r="L131" s="9" t="str">
        <f>'BIO DATA'!S131</f>
        <v>Godegan RT 001 RW 002 Ngargosoko Kaliangkirik Magelang Jawa Tengah</v>
      </c>
      <c r="M131" s="9" t="str">
        <f>'BIO DATA'!U131</f>
        <v>Ngargosoko</v>
      </c>
      <c r="N131" s="9" t="str">
        <f>'BIO DATA'!V131</f>
        <v>Kaliangkrik</v>
      </c>
      <c r="O131" s="9" t="str">
        <f>'BIO DATA'!W131</f>
        <v>Magelang</v>
      </c>
      <c r="P131" s="9" t="str">
        <f>'BIO DATA'!X131</f>
        <v>Jawa Tengah</v>
      </c>
      <c r="Q131" s="9" t="str">
        <f>'BIO DATA'!Y131</f>
        <v>SDIT Muhammadiyah Bandongan Magelang</v>
      </c>
      <c r="R131" s="9" t="str">
        <f>'BIO DATA'!Z131</f>
        <v>Bandongan Magelang Jawa Tengah</v>
      </c>
      <c r="S131" s="9">
        <f>'BIO DATA'!AA131</f>
        <v>0</v>
      </c>
      <c r="T131" s="9" t="str">
        <f>'BIO DATA'!AB131</f>
        <v>Abdul Ghofar</v>
      </c>
      <c r="U131" s="9" t="str">
        <f>'BIO DATA'!AC131</f>
        <v>Islam</v>
      </c>
      <c r="V131" s="9" t="str">
        <f>'BIO DATA'!AD131</f>
        <v>SMA/SMK/MA</v>
      </c>
      <c r="W131" s="9" t="str">
        <f>'BIO DATA'!AE131</f>
        <v>Wiraswasta</v>
      </c>
      <c r="X131" s="9" t="str">
        <f>'BIO DATA'!AF131</f>
        <v>1jt-3jt</v>
      </c>
      <c r="Y131" s="144" t="str">
        <f>'BIO DATA'!AG131</f>
        <v>085326455552</v>
      </c>
      <c r="Z131" s="9">
        <f>'BIO DATA'!AH131</f>
        <v>0</v>
      </c>
      <c r="AA131" s="9" t="str">
        <f>'BIO DATA'!AI131</f>
        <v>Ima Wuni Wulandari</v>
      </c>
      <c r="AB131" s="9" t="str">
        <f>'BIO DATA'!AJ131</f>
        <v>Islam</v>
      </c>
      <c r="AC131" s="9" t="str">
        <f>'BIO DATA'!AK131</f>
        <v>SMA/SMK/MA</v>
      </c>
      <c r="AD131" s="9" t="str">
        <f>'BIO DATA'!AL131</f>
        <v>Tidak Bekerja</v>
      </c>
      <c r="AE131" s="9" t="str">
        <f>'BIO DATA'!AM131</f>
        <v>&lt; 500rb</v>
      </c>
      <c r="AF131" s="49" t="str">
        <f>'BIO DATA'!AN118</f>
        <v>081915005460</v>
      </c>
      <c r="AG131" s="9">
        <f>'BIO DATA'!AO131</f>
        <v>0</v>
      </c>
      <c r="AH131" s="9">
        <f>'BIO DATA'!AY131</f>
        <v>0</v>
      </c>
      <c r="AI131" s="9">
        <f>'BIO DATA'!AZ131</f>
        <v>0</v>
      </c>
      <c r="AJ131" s="9">
        <f>'BIO DATA'!BA131</f>
        <v>0</v>
      </c>
      <c r="AK131" s="9">
        <f>'BIO DATA'!BB131</f>
        <v>0</v>
      </c>
      <c r="AL131" s="9">
        <f>'BIO DATA'!BC131</f>
        <v>0</v>
      </c>
      <c r="AM131" s="9">
        <f>'BIO DATA'!BD131</f>
        <v>0</v>
      </c>
      <c r="AN131" s="9">
        <f>'BIO DATA'!BE131</f>
        <v>0</v>
      </c>
      <c r="AO131" s="9">
        <f>'BIO DATA'!BF131</f>
        <v>0</v>
      </c>
      <c r="AP131" s="50" t="str">
        <f>'BIO DATA'!BG131</f>
        <v>R. Arief Toto Purwandaru, S.Pd.</v>
      </c>
    </row>
    <row r="132" spans="1:42" s="51" customFormat="1" ht="20.100000000000001" customHeight="1" thickBot="1">
      <c r="A132" s="15" t="s">
        <v>144</v>
      </c>
      <c r="B132">
        <v>55</v>
      </c>
      <c r="C132" s="116">
        <f>'BIO DATA'!C132</f>
        <v>12532</v>
      </c>
      <c r="D132" s="116" t="str">
        <f>'BIO DATA'!D132</f>
        <v>0139173873</v>
      </c>
      <c r="E132" s="115" t="str">
        <f>'BIO DATA'!E132</f>
        <v>Evan Rafif Firjatullah</v>
      </c>
      <c r="F132" s="46" t="str">
        <f>'BIO DATA'!L132</f>
        <v>Laki-laki</v>
      </c>
      <c r="G132" s="9" t="str">
        <f>'BIO DATA'!M132</f>
        <v>Wonosobo</v>
      </c>
      <c r="H132" s="48">
        <f>'BIO DATA'!O132</f>
        <v>41505</v>
      </c>
      <c r="I132" s="46" t="str">
        <f>'BIO DATA'!R132</f>
        <v>Islam</v>
      </c>
      <c r="J132" s="47">
        <f>'BIO DATA'!I132</f>
        <v>2</v>
      </c>
      <c r="K132" s="47">
        <f>'BIO DATA'!J132</f>
        <v>2</v>
      </c>
      <c r="L132" s="9" t="str">
        <f>'BIO DATA'!S132</f>
        <v>Puri candi bogang blok E4. Kalierang. Selomerto. Wonosobo Jawa Tengah</v>
      </c>
      <c r="M132" s="9" t="str">
        <f>'BIO DATA'!U132</f>
        <v>Kalierang</v>
      </c>
      <c r="N132" s="9" t="str">
        <f>'BIO DATA'!V132</f>
        <v>Selomerto</v>
      </c>
      <c r="O132" s="9" t="str">
        <f>'BIO DATA'!W132</f>
        <v>Wonosobo</v>
      </c>
      <c r="P132" s="9" t="str">
        <f>'BIO DATA'!X132</f>
        <v>Jawa Tengah</v>
      </c>
      <c r="Q132" s="9" t="str">
        <f>'BIO DATA'!Y132</f>
        <v>SD MBF aladzkiya wonosobo</v>
      </c>
      <c r="R132" s="9" t="str">
        <f>'BIO DATA'!Z132</f>
        <v>JL PASUKAN RONGGOLAW,PAGER KUKUH ,WONOSOBO 56311</v>
      </c>
      <c r="S132" s="9">
        <f>'BIO DATA'!AA132</f>
        <v>0</v>
      </c>
      <c r="T132" s="9" t="str">
        <f>'BIO DATA'!AB132</f>
        <v>Sugeng Nur Singgih</v>
      </c>
      <c r="U132" s="9" t="str">
        <f>'BIO DATA'!AC132</f>
        <v>Islam</v>
      </c>
      <c r="V132" s="9" t="str">
        <f>'BIO DATA'!AD132</f>
        <v>S1</v>
      </c>
      <c r="W132" s="9" t="str">
        <f>'BIO DATA'!AE132</f>
        <v>Pegawai Swasta</v>
      </c>
      <c r="X132" s="9" t="str">
        <f>'BIO DATA'!AF132</f>
        <v>5jt-10jt</v>
      </c>
      <c r="Y132" s="144" t="str">
        <f>'BIO DATA'!AG132</f>
        <v>085227199464</v>
      </c>
      <c r="Z132" s="9">
        <f>'BIO DATA'!AH132</f>
        <v>0</v>
      </c>
      <c r="AA132" s="9" t="str">
        <f>'BIO DATA'!AI132</f>
        <v>Septina kurniasari</v>
      </c>
      <c r="AB132" s="9" t="str">
        <f>'BIO DATA'!AJ132</f>
        <v>Islam</v>
      </c>
      <c r="AC132" s="9" t="str">
        <f>'BIO DATA'!AK132</f>
        <v>DIPLOMA</v>
      </c>
      <c r="AD132" s="9" t="str">
        <f>'BIO DATA'!AL132</f>
        <v>PNS</v>
      </c>
      <c r="AE132" s="9" t="str">
        <f>'BIO DATA'!AM132</f>
        <v>5jt-10jt</v>
      </c>
      <c r="AF132" s="49" t="str">
        <f>'BIO DATA'!AN119</f>
        <v>085888583659</v>
      </c>
      <c r="AG132" s="9">
        <f>'BIO DATA'!AO132</f>
        <v>0</v>
      </c>
      <c r="AH132" s="9">
        <f>'BIO DATA'!AY132</f>
        <v>0</v>
      </c>
      <c r="AI132" s="9">
        <f>'BIO DATA'!AZ132</f>
        <v>0</v>
      </c>
      <c r="AJ132" s="9">
        <f>'BIO DATA'!BA132</f>
        <v>0</v>
      </c>
      <c r="AK132" s="9">
        <f>'BIO DATA'!BB132</f>
        <v>0</v>
      </c>
      <c r="AL132" s="9">
        <f>'BIO DATA'!BC132</f>
        <v>0</v>
      </c>
      <c r="AM132" s="9">
        <f>'BIO DATA'!BD132</f>
        <v>0</v>
      </c>
      <c r="AN132" s="9">
        <f>'BIO DATA'!BE132</f>
        <v>0</v>
      </c>
      <c r="AO132" s="9">
        <f>'BIO DATA'!BF132</f>
        <v>0</v>
      </c>
      <c r="AP132" s="50" t="str">
        <f>'BIO DATA'!BG132</f>
        <v>R. Arief Toto Purwandaru, S.Pd.</v>
      </c>
    </row>
    <row r="133" spans="1:42" s="51" customFormat="1" ht="20.100000000000001" customHeight="1" thickBot="1">
      <c r="A133" s="15" t="s">
        <v>144</v>
      </c>
      <c r="B133">
        <v>56</v>
      </c>
      <c r="C133" s="116">
        <f>'BIO DATA'!C133</f>
        <v>12535</v>
      </c>
      <c r="D133" s="116" t="str">
        <f>'BIO DATA'!D133</f>
        <v>0134644132</v>
      </c>
      <c r="E133" s="115" t="str">
        <f>'BIO DATA'!E133</f>
        <v>Faaza Muhammad Widaad</v>
      </c>
      <c r="F133" s="46" t="str">
        <f>'BIO DATA'!L133</f>
        <v>Laki-laki</v>
      </c>
      <c r="G133" s="9" t="str">
        <f>'BIO DATA'!M133</f>
        <v>Banjarnegara</v>
      </c>
      <c r="H133" s="48">
        <f>'BIO DATA'!O133</f>
        <v>41478</v>
      </c>
      <c r="I133" s="46" t="str">
        <f>'BIO DATA'!R133</f>
        <v>Islam</v>
      </c>
      <c r="J133" s="47">
        <f>'BIO DATA'!I133</f>
        <v>1</v>
      </c>
      <c r="K133" s="47">
        <f>'BIO DATA'!J133</f>
        <v>2</v>
      </c>
      <c r="L133" s="9" t="str">
        <f>'BIO DATA'!S133</f>
        <v>Mayungan RT 5 Potorono Banguntapan Bantul</v>
      </c>
      <c r="M133" s="9" t="str">
        <f>'BIO DATA'!U133</f>
        <v>Potorono</v>
      </c>
      <c r="N133" s="9" t="str">
        <f>'BIO DATA'!V133</f>
        <v>Banguntapan</v>
      </c>
      <c r="O133" s="9" t="str">
        <f>'BIO DATA'!W133</f>
        <v>Bantul</v>
      </c>
      <c r="P133" s="9" t="str">
        <f>'BIO DATA'!X133</f>
        <v>DIY</v>
      </c>
      <c r="Q133" s="9" t="str">
        <f>'BIO DATA'!Y133</f>
        <v>SD Muhammadiyah Pakel Yogyakarta</v>
      </c>
      <c r="R133" s="9" t="str">
        <f>'BIO DATA'!Z133</f>
        <v>Jalan Pakel Baru No 40 Sorosutan Umbulharjo, Yogyakarta 55162.</v>
      </c>
      <c r="S133" s="9">
        <f>'BIO DATA'!AA133</f>
        <v>0</v>
      </c>
      <c r="T133" s="9" t="str">
        <f>'BIO DATA'!AB133</f>
        <v>Jefree Fahana</v>
      </c>
      <c r="U133" s="9" t="str">
        <f>'BIO DATA'!AC133</f>
        <v>Islam</v>
      </c>
      <c r="V133" s="9" t="str">
        <f>'BIO DATA'!AD133</f>
        <v>S2</v>
      </c>
      <c r="W133" s="9" t="str">
        <f>'BIO DATA'!AE133</f>
        <v>Guru/Dosen</v>
      </c>
      <c r="X133" s="9" t="str">
        <f>'BIO DATA'!AF133</f>
        <v>5jt-10jt</v>
      </c>
      <c r="Y133" s="144" t="str">
        <f>'BIO DATA'!AG133</f>
        <v>081314196044</v>
      </c>
      <c r="Z133" s="9">
        <f>'BIO DATA'!AH133</f>
        <v>0</v>
      </c>
      <c r="AA133" s="9" t="str">
        <f>'BIO DATA'!AI133</f>
        <v>Tsania Husna Dzakiyyah</v>
      </c>
      <c r="AB133" s="9" t="str">
        <f>'BIO DATA'!AJ133</f>
        <v>Islam</v>
      </c>
      <c r="AC133" s="9" t="str">
        <f>'BIO DATA'!AK133</f>
        <v>S1</v>
      </c>
      <c r="AD133" s="9" t="str">
        <f>'BIO DATA'!AL133</f>
        <v>Tidak Bekerja</v>
      </c>
      <c r="AE133" s="9" t="str">
        <f>'BIO DATA'!AM133</f>
        <v>&lt; 500rb</v>
      </c>
      <c r="AF133" s="49" t="str">
        <f>'BIO DATA'!AN120</f>
        <v>082313111817</v>
      </c>
      <c r="AG133" s="9">
        <f>'BIO DATA'!AO133</f>
        <v>0</v>
      </c>
      <c r="AH133" s="9">
        <f>'BIO DATA'!AY133</f>
        <v>0</v>
      </c>
      <c r="AI133" s="9">
        <f>'BIO DATA'!AZ133</f>
        <v>0</v>
      </c>
      <c r="AJ133" s="9">
        <f>'BIO DATA'!BA133</f>
        <v>0</v>
      </c>
      <c r="AK133" s="9">
        <f>'BIO DATA'!BB133</f>
        <v>0</v>
      </c>
      <c r="AL133" s="9">
        <f>'BIO DATA'!BC133</f>
        <v>0</v>
      </c>
      <c r="AM133" s="9">
        <f>'BIO DATA'!BD133</f>
        <v>0</v>
      </c>
      <c r="AN133" s="9">
        <f>'BIO DATA'!BE133</f>
        <v>0</v>
      </c>
      <c r="AO133" s="9">
        <f>'BIO DATA'!BF133</f>
        <v>0</v>
      </c>
      <c r="AP133" s="50" t="str">
        <f>'BIO DATA'!BG133</f>
        <v>R. Arief Toto Purwandaru, S.Pd.</v>
      </c>
    </row>
    <row r="134" spans="1:42" s="51" customFormat="1" ht="20.100000000000001" customHeight="1" thickBot="1">
      <c r="A134" s="15" t="s">
        <v>144</v>
      </c>
      <c r="B134">
        <v>60</v>
      </c>
      <c r="C134" s="116">
        <f>'BIO DATA'!C134</f>
        <v>12538</v>
      </c>
      <c r="D134" s="116" t="str">
        <f>'BIO DATA'!D134</f>
        <v>0134402411</v>
      </c>
      <c r="E134" s="115" t="str">
        <f>'BIO DATA'!E134</f>
        <v>Faeyza Azizan Santoso</v>
      </c>
      <c r="F134" s="46" t="str">
        <f>'BIO DATA'!L134</f>
        <v>Laki-laki</v>
      </c>
      <c r="G134" s="9" t="str">
        <f>'BIO DATA'!M134</f>
        <v>Brebes</v>
      </c>
      <c r="H134" s="48">
        <f>'BIO DATA'!O134</f>
        <v>41424</v>
      </c>
      <c r="I134" s="46" t="str">
        <f>'BIO DATA'!R134</f>
        <v>Islam</v>
      </c>
      <c r="J134" s="47">
        <f>'BIO DATA'!I134</f>
        <v>1</v>
      </c>
      <c r="K134" s="47">
        <f>'BIO DATA'!J134</f>
        <v>2</v>
      </c>
      <c r="L134" s="9" t="str">
        <f>'BIO DATA'!S134</f>
        <v>Dk. Beran RT 06 RW 04 Cilibur Paguyangan Brebes</v>
      </c>
      <c r="M134" s="9" t="str">
        <f>'BIO DATA'!U134</f>
        <v>Cilibur</v>
      </c>
      <c r="N134" s="9" t="str">
        <f>'BIO DATA'!V134</f>
        <v>Paguyangan</v>
      </c>
      <c r="O134" s="9" t="str">
        <f>'BIO DATA'!W134</f>
        <v>Brebes</v>
      </c>
      <c r="P134" s="9" t="str">
        <f>'BIO DATA'!X134</f>
        <v>Jawa Tengah</v>
      </c>
      <c r="Q134" s="9" t="str">
        <f>'BIO DATA'!Y134</f>
        <v>SD Islam ta'alumul huda</v>
      </c>
      <c r="R134" s="9" t="str">
        <f>'BIO DATA'!Z134</f>
        <v>Jl. Hj. Siti Aminah, Dukuhturi, Kec, Bumiayu, Kab Brebes</v>
      </c>
      <c r="S134" s="9">
        <f>'BIO DATA'!AA134</f>
        <v>0</v>
      </c>
      <c r="T134" s="9" t="str">
        <f>'BIO DATA'!AB134</f>
        <v>Makmur Santoso</v>
      </c>
      <c r="U134" s="9" t="str">
        <f>'BIO DATA'!AC134</f>
        <v>Islam</v>
      </c>
      <c r="V134" s="9" t="str">
        <f>'BIO DATA'!AD134</f>
        <v>SMA/SMK/MA</v>
      </c>
      <c r="W134" s="9" t="str">
        <f>'BIO DATA'!AE134</f>
        <v>Petani/Peternak</v>
      </c>
      <c r="X134" s="9" t="str">
        <f>'BIO DATA'!AF134</f>
        <v>1jt-3jt</v>
      </c>
      <c r="Y134" s="144" t="str">
        <f>'BIO DATA'!AG134</f>
        <v>088801968059</v>
      </c>
      <c r="Z134" s="9">
        <f>'BIO DATA'!AH134</f>
        <v>0</v>
      </c>
      <c r="AA134" s="9" t="str">
        <f>'BIO DATA'!AI134</f>
        <v>Eli Yuliati</v>
      </c>
      <c r="AB134" s="9" t="str">
        <f>'BIO DATA'!AJ134</f>
        <v>Islam</v>
      </c>
      <c r="AC134" s="9" t="str">
        <f>'BIO DATA'!AK134</f>
        <v>SMA/SMK/MA</v>
      </c>
      <c r="AD134" s="9" t="str">
        <f>'BIO DATA'!AL134</f>
        <v>Wiraswasta</v>
      </c>
      <c r="AE134" s="9" t="str">
        <f>'BIO DATA'!AM134</f>
        <v>1jt-3jt</v>
      </c>
      <c r="AF134" s="49" t="str">
        <f>'BIO DATA'!AN121</f>
        <v>085325252280</v>
      </c>
      <c r="AG134" s="9">
        <f>'BIO DATA'!AO134</f>
        <v>0</v>
      </c>
      <c r="AH134" s="9">
        <f>'BIO DATA'!AY134</f>
        <v>0</v>
      </c>
      <c r="AI134" s="9">
        <f>'BIO DATA'!AZ134</f>
        <v>0</v>
      </c>
      <c r="AJ134" s="9">
        <f>'BIO DATA'!BA134</f>
        <v>0</v>
      </c>
      <c r="AK134" s="9">
        <f>'BIO DATA'!BB134</f>
        <v>0</v>
      </c>
      <c r="AL134" s="9">
        <f>'BIO DATA'!BC134</f>
        <v>0</v>
      </c>
      <c r="AM134" s="9">
        <f>'BIO DATA'!BD134</f>
        <v>0</v>
      </c>
      <c r="AN134" s="9">
        <f>'BIO DATA'!BE134</f>
        <v>0</v>
      </c>
      <c r="AO134" s="9">
        <f>'BIO DATA'!BF134</f>
        <v>0</v>
      </c>
      <c r="AP134" s="50" t="str">
        <f>'BIO DATA'!BG134</f>
        <v>R. Arief Toto Purwandaru, S.Pd.</v>
      </c>
    </row>
    <row r="135" spans="1:42" s="51" customFormat="1" ht="20.100000000000001" customHeight="1" thickBot="1">
      <c r="A135" s="15" t="s">
        <v>144</v>
      </c>
      <c r="B135">
        <v>63</v>
      </c>
      <c r="C135" s="116">
        <f>'BIO DATA'!C135</f>
        <v>12547</v>
      </c>
      <c r="D135" s="116" t="str">
        <f>'BIO DATA'!D135</f>
        <v>0137225595</v>
      </c>
      <c r="E135" s="115" t="str">
        <f>'BIO DATA'!E135</f>
        <v>Fardan Rasya Bofatra</v>
      </c>
      <c r="F135" s="46" t="str">
        <f>'BIO DATA'!L135</f>
        <v>Laki-laki</v>
      </c>
      <c r="G135" s="9" t="str">
        <f>'BIO DATA'!M135</f>
        <v>Samarinda</v>
      </c>
      <c r="H135" s="48">
        <f>'BIO DATA'!O135</f>
        <v>41524</v>
      </c>
      <c r="I135" s="46" t="str">
        <f>'BIO DATA'!R135</f>
        <v>Islam</v>
      </c>
      <c r="J135" s="47">
        <f>'BIO DATA'!I135</f>
        <v>1</v>
      </c>
      <c r="K135" s="47">
        <f>'BIO DATA'!J135</f>
        <v>1</v>
      </c>
      <c r="L135" s="9" t="str">
        <f>'BIO DATA'!S135</f>
        <v>Jalan Bukit Beringin Barat No. B-47, RT10 RW14, Kel. Wonosari, Kec. Ngaliyan, Kota Semarang Jawa Tengah</v>
      </c>
      <c r="M135" s="9" t="str">
        <f>'BIO DATA'!U135</f>
        <v>Wonosari</v>
      </c>
      <c r="N135" s="9" t="str">
        <f>'BIO DATA'!V135</f>
        <v>Ngaliyan</v>
      </c>
      <c r="O135" s="9" t="str">
        <f>'BIO DATA'!W135</f>
        <v>Kota Semarang</v>
      </c>
      <c r="P135" s="9" t="str">
        <f>'BIO DATA'!X135</f>
        <v>Jawa Tengah</v>
      </c>
      <c r="Q135" s="9" t="str">
        <f>'BIO DATA'!Y135</f>
        <v>SDIT Insan Mulia Kota Semarang</v>
      </c>
      <c r="R135" s="9" t="str">
        <f>'BIO DATA'!Z135</f>
        <v>Jl. Beringin Raya Kampung Pungkruk, Rt.05 Rw.09, Kel. Tambakaji, Kec. Ngaliyan, Kota Semarang</v>
      </c>
      <c r="S135" s="9">
        <f>'BIO DATA'!AA135</f>
        <v>0</v>
      </c>
      <c r="T135" s="9" t="str">
        <f>'BIO DATA'!AB135</f>
        <v>Wibowo Saputro Nugroho</v>
      </c>
      <c r="U135" s="9" t="str">
        <f>'BIO DATA'!AC135</f>
        <v>Islam</v>
      </c>
      <c r="V135" s="9" t="str">
        <f>'BIO DATA'!AD135</f>
        <v>S1</v>
      </c>
      <c r="W135" s="9" t="str">
        <f>'BIO DATA'!AE135</f>
        <v>PNS</v>
      </c>
      <c r="X135" s="9" t="str">
        <f>'BIO DATA'!AF135</f>
        <v>5jt-10jt</v>
      </c>
      <c r="Y135" s="144" t="str">
        <f>'BIO DATA'!AG135</f>
        <v>082137674786</v>
      </c>
      <c r="Z135" s="9">
        <f>'BIO DATA'!AH135</f>
        <v>0</v>
      </c>
      <c r="AA135" s="9" t="str">
        <f>'BIO DATA'!AI135</f>
        <v>Zulfa Nur Rohmah</v>
      </c>
      <c r="AB135" s="9" t="str">
        <f>'BIO DATA'!AJ135</f>
        <v>Islam</v>
      </c>
      <c r="AC135" s="9" t="str">
        <f>'BIO DATA'!AK135</f>
        <v>S1</v>
      </c>
      <c r="AD135" s="9" t="str">
        <f>'BIO DATA'!AL135</f>
        <v>PNS</v>
      </c>
      <c r="AE135" s="9" t="str">
        <f>'BIO DATA'!AM135</f>
        <v>5jt-10jt</v>
      </c>
      <c r="AF135" s="49" t="str">
        <f>'BIO DATA'!AN122</f>
        <v>081218913625</v>
      </c>
      <c r="AG135" s="9">
        <f>'BIO DATA'!AO135</f>
        <v>0</v>
      </c>
      <c r="AH135" s="9">
        <f>'BIO DATA'!AY135</f>
        <v>0</v>
      </c>
      <c r="AI135" s="9">
        <f>'BIO DATA'!AZ135</f>
        <v>0</v>
      </c>
      <c r="AJ135" s="9">
        <f>'BIO DATA'!BA135</f>
        <v>0</v>
      </c>
      <c r="AK135" s="9">
        <f>'BIO DATA'!BB135</f>
        <v>0</v>
      </c>
      <c r="AL135" s="9">
        <f>'BIO DATA'!BC135</f>
        <v>0</v>
      </c>
      <c r="AM135" s="9">
        <f>'BIO DATA'!BD135</f>
        <v>0</v>
      </c>
      <c r="AN135" s="9">
        <f>'BIO DATA'!BE135</f>
        <v>0</v>
      </c>
      <c r="AO135" s="9">
        <f>'BIO DATA'!BF135</f>
        <v>0</v>
      </c>
      <c r="AP135" s="50" t="str">
        <f>'BIO DATA'!BG135</f>
        <v>R. Arief Toto Purwandaru, S.Pd.</v>
      </c>
    </row>
    <row r="136" spans="1:42" s="51" customFormat="1" ht="20.100000000000001" customHeight="1" thickBot="1">
      <c r="A136" s="15" t="s">
        <v>144</v>
      </c>
      <c r="B136">
        <v>77</v>
      </c>
      <c r="C136" s="116">
        <f>'BIO DATA'!C136</f>
        <v>12559</v>
      </c>
      <c r="D136" s="116" t="str">
        <f>'BIO DATA'!D136</f>
        <v>0138023729</v>
      </c>
      <c r="E136" s="115" t="str">
        <f>'BIO DATA'!E136</f>
        <v>Hafidz Ramadhani</v>
      </c>
      <c r="F136" s="46" t="str">
        <f>'BIO DATA'!L136</f>
        <v>Laki-laki</v>
      </c>
      <c r="G136" s="9" t="str">
        <f>'BIO DATA'!M136</f>
        <v>Kendal</v>
      </c>
      <c r="H136" s="48">
        <f>'BIO DATA'!O136</f>
        <v>41491</v>
      </c>
      <c r="I136" s="46" t="str">
        <f>'BIO DATA'!R136</f>
        <v>Islam</v>
      </c>
      <c r="J136" s="47">
        <f>'BIO DATA'!I136</f>
        <v>2</v>
      </c>
      <c r="K136" s="47">
        <f>'BIO DATA'!J136</f>
        <v>2</v>
      </c>
      <c r="L136" s="9" t="str">
        <f>'BIO DATA'!S136</f>
        <v>Sambongsari RT 03/ RW 01 Weleri Kendal Jawa Tengah</v>
      </c>
      <c r="M136" s="9" t="str">
        <f>'BIO DATA'!U136</f>
        <v>Sambongsari</v>
      </c>
      <c r="N136" s="9" t="str">
        <f>'BIO DATA'!V136</f>
        <v>Weleri</v>
      </c>
      <c r="O136" s="9" t="str">
        <f>'BIO DATA'!W136</f>
        <v>Kendal</v>
      </c>
      <c r="P136" s="9" t="str">
        <f>'BIO DATA'!X136</f>
        <v>Jawa Tengah</v>
      </c>
      <c r="Q136" s="9" t="str">
        <f>'BIO DATA'!Y136</f>
        <v>SD IT Ulul Albab Weleri Kendal</v>
      </c>
      <c r="R136" s="9" t="str">
        <f>'BIO DATA'!Z136</f>
        <v>Jl Bahari Karanganom Weleri Kendal</v>
      </c>
      <c r="S136" s="9">
        <f>'BIO DATA'!AA136</f>
        <v>0</v>
      </c>
      <c r="T136" s="9" t="str">
        <f>'BIO DATA'!AB136</f>
        <v>Amin Sudarmo</v>
      </c>
      <c r="U136" s="9" t="str">
        <f>'BIO DATA'!AC136</f>
        <v>Islam</v>
      </c>
      <c r="V136" s="9" t="str">
        <f>'BIO DATA'!AD136</f>
        <v>S1</v>
      </c>
      <c r="W136" s="9" t="str">
        <f>'BIO DATA'!AE136</f>
        <v>Wiraswasta</v>
      </c>
      <c r="X136" s="9" t="str">
        <f>'BIO DATA'!AF136</f>
        <v>3jt-5jt</v>
      </c>
      <c r="Y136" s="144" t="str">
        <f>'BIO DATA'!AG136</f>
        <v>08122906183</v>
      </c>
      <c r="Z136" s="9">
        <f>'BIO DATA'!AH136</f>
        <v>0</v>
      </c>
      <c r="AA136" s="9" t="str">
        <f>'BIO DATA'!AI136</f>
        <v>Eriya Adha Usana Badar</v>
      </c>
      <c r="AB136" s="9" t="str">
        <f>'BIO DATA'!AJ136</f>
        <v>Islam</v>
      </c>
      <c r="AC136" s="9" t="str">
        <f>'BIO DATA'!AK136</f>
        <v>DIPLOMA</v>
      </c>
      <c r="AD136" s="9" t="str">
        <f>'BIO DATA'!AL136</f>
        <v>Wiraswasta</v>
      </c>
      <c r="AE136" s="9" t="str">
        <f>'BIO DATA'!AM136</f>
        <v>1jt-3jt</v>
      </c>
      <c r="AF136" s="49" t="str">
        <f>'BIO DATA'!AN123</f>
        <v>081327091347</v>
      </c>
      <c r="AG136" s="9">
        <f>'BIO DATA'!AO136</f>
        <v>0</v>
      </c>
      <c r="AH136" s="9">
        <f>'BIO DATA'!AY136</f>
        <v>0</v>
      </c>
      <c r="AI136" s="9">
        <f>'BIO DATA'!AZ136</f>
        <v>0</v>
      </c>
      <c r="AJ136" s="9">
        <f>'BIO DATA'!BA136</f>
        <v>0</v>
      </c>
      <c r="AK136" s="9">
        <f>'BIO DATA'!BB136</f>
        <v>0</v>
      </c>
      <c r="AL136" s="9">
        <f>'BIO DATA'!BC136</f>
        <v>0</v>
      </c>
      <c r="AM136" s="9">
        <f>'BIO DATA'!BD136</f>
        <v>0</v>
      </c>
      <c r="AN136" s="9">
        <f>'BIO DATA'!BE136</f>
        <v>0</v>
      </c>
      <c r="AO136" s="9">
        <f>'BIO DATA'!BF136</f>
        <v>0</v>
      </c>
      <c r="AP136" s="50" t="str">
        <f>'BIO DATA'!BG136</f>
        <v>R. Arief Toto Purwandaru, S.Pd.</v>
      </c>
    </row>
    <row r="137" spans="1:42" s="51" customFormat="1" ht="20.100000000000001" customHeight="1" thickBot="1">
      <c r="A137" s="15" t="s">
        <v>144</v>
      </c>
      <c r="B137">
        <v>95</v>
      </c>
      <c r="C137" s="116">
        <f>'BIO DATA'!C137</f>
        <v>12565</v>
      </c>
      <c r="D137" s="116" t="str">
        <f>'BIO DATA'!D137</f>
        <v>0145617855</v>
      </c>
      <c r="E137" s="115" t="str">
        <f>'BIO DATA'!E137</f>
        <v>Hamizan Uays Arsy</v>
      </c>
      <c r="F137" s="46" t="str">
        <f>'BIO DATA'!L137</f>
        <v>Laki-laki</v>
      </c>
      <c r="G137" s="9" t="str">
        <f>'BIO DATA'!M137</f>
        <v>Banjarnegara</v>
      </c>
      <c r="H137" s="48">
        <f>'BIO DATA'!O137</f>
        <v>41673</v>
      </c>
      <c r="I137" s="46" t="str">
        <f>'BIO DATA'!R137</f>
        <v>Islam</v>
      </c>
      <c r="J137" s="47">
        <f>'BIO DATA'!I137</f>
        <v>2</v>
      </c>
      <c r="K137" s="47">
        <f>'BIO DATA'!J137</f>
        <v>2</v>
      </c>
      <c r="L137" s="9" t="str">
        <f>'BIO DATA'!S137</f>
        <v>Jl. Puntan Gg. Gusdur 1 no.7 RT 2/RW 1, kelurahan Ngijo, kecamatan Gunungpati, Kota Semarang Jawa Tengah</v>
      </c>
      <c r="M137" s="9" t="str">
        <f>'BIO DATA'!U137</f>
        <v>Ngijo</v>
      </c>
      <c r="N137" s="9" t="str">
        <f>'BIO DATA'!V137</f>
        <v>Gunungpati</v>
      </c>
      <c r="O137" s="9" t="str">
        <f>'BIO DATA'!W137</f>
        <v>Kota Semarang</v>
      </c>
      <c r="P137" s="9" t="str">
        <f>'BIO DATA'!X137</f>
        <v>Jawa Tengah</v>
      </c>
      <c r="Q137" s="9" t="str">
        <f>'BIO DATA'!Y137</f>
        <v>SDIT Mutiara Hati Semarang</v>
      </c>
      <c r="R137" s="9" t="str">
        <f>'BIO DATA'!Z137</f>
        <v>Jl. Koesbijono Tjondrowibowo, RT. 03/ 05 Patemon, Gunungpati, Kota Semarang. (50229)</v>
      </c>
      <c r="S137" s="9">
        <f>'BIO DATA'!AA137</f>
        <v>0</v>
      </c>
      <c r="T137" s="9" t="str">
        <f>'BIO DATA'!AB137</f>
        <v>Asep Purwo Yudi Utomo</v>
      </c>
      <c r="U137" s="9" t="str">
        <f>'BIO DATA'!AC137</f>
        <v>Islam</v>
      </c>
      <c r="V137" s="9" t="str">
        <f>'BIO DATA'!AD137</f>
        <v>S3</v>
      </c>
      <c r="W137" s="9" t="str">
        <f>'BIO DATA'!AE137</f>
        <v>PNS</v>
      </c>
      <c r="X137" s="9" t="str">
        <f>'BIO DATA'!AF137</f>
        <v>3jt-5jt</v>
      </c>
      <c r="Y137" s="144" t="str">
        <f>'BIO DATA'!AG137</f>
        <v>085640240001</v>
      </c>
      <c r="Z137" s="9">
        <f>'BIO DATA'!AH137</f>
        <v>0</v>
      </c>
      <c r="AA137" s="9" t="str">
        <f>'BIO DATA'!AI137</f>
        <v>Rossi Galih Kesuma</v>
      </c>
      <c r="AB137" s="9" t="str">
        <f>'BIO DATA'!AJ137</f>
        <v>Islam</v>
      </c>
      <c r="AC137" s="9" t="str">
        <f>'BIO DATA'!AK137</f>
        <v>S2</v>
      </c>
      <c r="AD137" s="9" t="str">
        <f>'BIO DATA'!AL137</f>
        <v>PNS</v>
      </c>
      <c r="AE137" s="9" t="str">
        <f>'BIO DATA'!AM137</f>
        <v>3jt-5jt</v>
      </c>
      <c r="AF137" s="49" t="str">
        <f>'BIO DATA'!AN137</f>
        <v>085640511000</v>
      </c>
      <c r="AG137" s="9">
        <f>'BIO DATA'!AO137</f>
        <v>0</v>
      </c>
      <c r="AH137" s="9">
        <f>'BIO DATA'!AY137</f>
        <v>0</v>
      </c>
      <c r="AI137" s="9">
        <f>'BIO DATA'!AZ137</f>
        <v>0</v>
      </c>
      <c r="AJ137" s="9">
        <f>'BIO DATA'!BA137</f>
        <v>0</v>
      </c>
      <c r="AK137" s="9">
        <f>'BIO DATA'!BB137</f>
        <v>0</v>
      </c>
      <c r="AL137" s="9">
        <f>'BIO DATA'!BC137</f>
        <v>0</v>
      </c>
      <c r="AM137" s="9">
        <f>'BIO DATA'!BD137</f>
        <v>0</v>
      </c>
      <c r="AN137" s="9">
        <f>'BIO DATA'!BE137</f>
        <v>0</v>
      </c>
      <c r="AO137" s="9">
        <f>'BIO DATA'!BF137</f>
        <v>0</v>
      </c>
      <c r="AP137" s="50" t="str">
        <f>'BIO DATA'!BG137</f>
        <v>R. Arief Toto Purwandaru, S.Pd.</v>
      </c>
    </row>
    <row r="138" spans="1:42" s="51" customFormat="1" ht="20.100000000000001" customHeight="1" thickBot="1">
      <c r="A138" s="15" t="s">
        <v>144</v>
      </c>
      <c r="B138">
        <v>100</v>
      </c>
      <c r="C138" s="116">
        <f>'BIO DATA'!C138</f>
        <v>12566</v>
      </c>
      <c r="D138" s="116" t="str">
        <f>'BIO DATA'!D138</f>
        <v>0148324190</v>
      </c>
      <c r="E138" s="115" t="str">
        <f>'BIO DATA'!E138</f>
        <v>Hamizan Yafiq Azfar</v>
      </c>
      <c r="F138" s="46" t="str">
        <f>'BIO DATA'!L138</f>
        <v>Laki-laki</v>
      </c>
      <c r="G138" s="9" t="str">
        <f>'BIO DATA'!M138</f>
        <v>Banyuwangi</v>
      </c>
      <c r="H138" s="48">
        <f>'BIO DATA'!O138</f>
        <v>41763</v>
      </c>
      <c r="I138" s="46" t="str">
        <f>'BIO DATA'!R138</f>
        <v>Islam</v>
      </c>
      <c r="J138" s="47">
        <f>'BIO DATA'!I138</f>
        <v>1</v>
      </c>
      <c r="K138" s="47">
        <f>'BIO DATA'!J138</f>
        <v>0</v>
      </c>
      <c r="L138" s="9" t="str">
        <f>'BIO DATA'!S138</f>
        <v>Jl. Patianom No. 33 Kuala Jelai, Kec. Jelai, Kab. Sukamara, Kalimantan Tengah</v>
      </c>
      <c r="M138" s="9" t="str">
        <f>'BIO DATA'!U138</f>
        <v>Kuala Jelai</v>
      </c>
      <c r="N138" s="9" t="str">
        <f>'BIO DATA'!V138</f>
        <v>Jelai</v>
      </c>
      <c r="O138" s="9" t="str">
        <f>'BIO DATA'!W138</f>
        <v>Sukamara</v>
      </c>
      <c r="P138" s="9" t="str">
        <f>'BIO DATA'!X138</f>
        <v>Kaliamntan Tengah</v>
      </c>
      <c r="Q138" s="9" t="str">
        <f>'BIO DATA'!Y138</f>
        <v>SDN Kuala Jelai 1</v>
      </c>
      <c r="R138" s="9" t="str">
        <f>'BIO DATA'!Z138</f>
        <v>Jl.Abdul Majid Kuala Jelai</v>
      </c>
      <c r="S138" s="9">
        <f>'BIO DATA'!AA138</f>
        <v>0</v>
      </c>
      <c r="T138" s="9" t="str">
        <f>'BIO DATA'!AB138</f>
        <v>Poniran</v>
      </c>
      <c r="U138" s="9" t="str">
        <f>'BIO DATA'!AC138</f>
        <v>Islam</v>
      </c>
      <c r="V138" s="9" t="str">
        <f>'BIO DATA'!AD138</f>
        <v>S1</v>
      </c>
      <c r="W138" s="9" t="str">
        <f>'BIO DATA'!AE138</f>
        <v>PNS</v>
      </c>
      <c r="X138" s="9" t="str">
        <f>'BIO DATA'!AF138</f>
        <v>3jt-5jt</v>
      </c>
      <c r="Y138" s="144" t="str">
        <f>'BIO DATA'!AG138</f>
        <v>082255337214</v>
      </c>
      <c r="Z138" s="9">
        <f>'BIO DATA'!AH138</f>
        <v>0</v>
      </c>
      <c r="AA138" s="9" t="str">
        <f>'BIO DATA'!AI138</f>
        <v>Ninin Kurnia Rahmayanti</v>
      </c>
      <c r="AB138" s="9" t="str">
        <f>'BIO DATA'!AJ138</f>
        <v>Islam</v>
      </c>
      <c r="AC138" s="9" t="str">
        <f>'BIO DATA'!AK138</f>
        <v>S1</v>
      </c>
      <c r="AD138" s="9" t="str">
        <f>'BIO DATA'!AL138</f>
        <v>PNS</v>
      </c>
      <c r="AE138" s="9" t="str">
        <f>'BIO DATA'!AM138</f>
        <v>3jt-5jt</v>
      </c>
      <c r="AF138" s="49" t="str">
        <f>'BIO DATA'!AN138</f>
        <v>082282953114</v>
      </c>
      <c r="AG138" s="9">
        <f>'BIO DATA'!AO138</f>
        <v>0</v>
      </c>
      <c r="AH138" s="9">
        <f>'BIO DATA'!AY138</f>
        <v>0</v>
      </c>
      <c r="AI138" s="9">
        <f>'BIO DATA'!AZ138</f>
        <v>0</v>
      </c>
      <c r="AJ138" s="9">
        <f>'BIO DATA'!BA138</f>
        <v>0</v>
      </c>
      <c r="AK138" s="9">
        <f>'BIO DATA'!BB138</f>
        <v>0</v>
      </c>
      <c r="AL138" s="9">
        <f>'BIO DATA'!BC138</f>
        <v>0</v>
      </c>
      <c r="AM138" s="9">
        <f>'BIO DATA'!BD138</f>
        <v>0</v>
      </c>
      <c r="AN138" s="9">
        <f>'BIO DATA'!BE138</f>
        <v>0</v>
      </c>
      <c r="AO138" s="9">
        <f>'BIO DATA'!BF138</f>
        <v>0</v>
      </c>
      <c r="AP138" s="50" t="str">
        <f>'BIO DATA'!BG138</f>
        <v>R. Arief Toto Purwandaru, S.Pd.</v>
      </c>
    </row>
    <row r="139" spans="1:42" s="51" customFormat="1" ht="20.100000000000001" customHeight="1" thickBot="1">
      <c r="A139" s="15" t="s">
        <v>144</v>
      </c>
      <c r="B139">
        <v>104</v>
      </c>
      <c r="C139" s="116">
        <f>'BIO DATA'!C139</f>
        <v>12573</v>
      </c>
      <c r="D139" s="116" t="str">
        <f>'BIO DATA'!D139</f>
        <v>0133338949</v>
      </c>
      <c r="E139" s="115" t="str">
        <f>'BIO DATA'!E139</f>
        <v>Ibrahim Arkaan Dhiya Ulhaq</v>
      </c>
      <c r="F139" s="46" t="str">
        <f>'BIO DATA'!L139</f>
        <v>Laki-laki</v>
      </c>
      <c r="G139" s="9" t="str">
        <f>'BIO DATA'!M139</f>
        <v>Klaten</v>
      </c>
      <c r="H139" s="48">
        <f>'BIO DATA'!O139</f>
        <v>41540</v>
      </c>
      <c r="I139" s="46" t="str">
        <f>'BIO DATA'!R139</f>
        <v>Islam</v>
      </c>
      <c r="J139" s="47">
        <f>'BIO DATA'!I139</f>
        <v>0</v>
      </c>
      <c r="K139" s="47">
        <f>'BIO DATA'!J139</f>
        <v>0</v>
      </c>
      <c r="L139" s="9" t="str">
        <f>'BIO DATA'!S139</f>
        <v>Perum Kowangan Utama, Gang Apel,Blok C No 8,Kowangan, Temanggung, Jawa Tengah</v>
      </c>
      <c r="M139" s="9" t="str">
        <f>'BIO DATA'!U139</f>
        <v>Kowangan</v>
      </c>
      <c r="N139" s="9" t="str">
        <f>'BIO DATA'!V139</f>
        <v>Temanggung</v>
      </c>
      <c r="O139" s="9" t="str">
        <f>'BIO DATA'!W139</f>
        <v>Temanggung</v>
      </c>
      <c r="P139" s="9" t="str">
        <f>'BIO DATA'!X139</f>
        <v>Jawa Tengah</v>
      </c>
      <c r="Q139" s="9" t="str">
        <f>'BIO DATA'!Y139</f>
        <v>SDIT Cahaya Insani Temanggung</v>
      </c>
      <c r="R139" s="9" t="str">
        <f>'BIO DATA'!Z139</f>
        <v>Jl Dewi Sartika No. 5 C Kertosari, Temanggung, Jawa Tengah</v>
      </c>
      <c r="S139" s="9">
        <f>'BIO DATA'!AA139</f>
        <v>0</v>
      </c>
      <c r="T139" s="9" t="str">
        <f>'BIO DATA'!AB139</f>
        <v>Wimbo Adie Prihantoro</v>
      </c>
      <c r="U139" s="9" t="str">
        <f>'BIO DATA'!AC139</f>
        <v>Islam</v>
      </c>
      <c r="V139" s="9" t="str">
        <f>'BIO DATA'!AD139</f>
        <v>DIPLOMA</v>
      </c>
      <c r="W139" s="9" t="str">
        <f>'BIO DATA'!AE139</f>
        <v>Wiraswasta</v>
      </c>
      <c r="X139" s="9" t="str">
        <f>'BIO DATA'!AF139</f>
        <v>3jt-5jt</v>
      </c>
      <c r="Y139" s="144" t="str">
        <f>'BIO DATA'!AG139</f>
        <v>083128854748</v>
      </c>
      <c r="Z139" s="9">
        <f>'BIO DATA'!AH139</f>
        <v>0</v>
      </c>
      <c r="AA139" s="9" t="str">
        <f>'BIO DATA'!AI139</f>
        <v>Kurniawati</v>
      </c>
      <c r="AB139" s="9" t="str">
        <f>'BIO DATA'!AJ139</f>
        <v>Islam</v>
      </c>
      <c r="AC139" s="9" t="str">
        <f>'BIO DATA'!AK139</f>
        <v>S1</v>
      </c>
      <c r="AD139" s="9" t="str">
        <f>'BIO DATA'!AL139</f>
        <v>PNS</v>
      </c>
      <c r="AE139" s="9" t="str">
        <f>'BIO DATA'!AM139</f>
        <v>5jt-10jt</v>
      </c>
      <c r="AF139" s="49" t="str">
        <f>'BIO DATA'!AN139</f>
        <v>088216248741</v>
      </c>
      <c r="AG139" s="9">
        <f>'BIO DATA'!AO139</f>
        <v>0</v>
      </c>
      <c r="AH139" s="9">
        <f>'BIO DATA'!AY139</f>
        <v>0</v>
      </c>
      <c r="AI139" s="9">
        <f>'BIO DATA'!AZ139</f>
        <v>0</v>
      </c>
      <c r="AJ139" s="9">
        <f>'BIO DATA'!BA139</f>
        <v>0</v>
      </c>
      <c r="AK139" s="9">
        <f>'BIO DATA'!BB139</f>
        <v>0</v>
      </c>
      <c r="AL139" s="9">
        <f>'BIO DATA'!BC139</f>
        <v>0</v>
      </c>
      <c r="AM139" s="9">
        <f>'BIO DATA'!BD139</f>
        <v>0</v>
      </c>
      <c r="AN139" s="9">
        <f>'BIO DATA'!BE139</f>
        <v>0</v>
      </c>
      <c r="AO139" s="9">
        <f>'BIO DATA'!BF139</f>
        <v>0</v>
      </c>
      <c r="AP139" s="50" t="str">
        <f>'BIO DATA'!BG139</f>
        <v>R. Arief Toto Purwandaru, S.Pd.</v>
      </c>
    </row>
    <row r="140" spans="1:42" s="51" customFormat="1" ht="20.100000000000001" customHeight="1" thickBot="1">
      <c r="A140" s="15" t="s">
        <v>144</v>
      </c>
      <c r="B140">
        <v>126</v>
      </c>
      <c r="C140" s="116">
        <f>'BIO DATA'!C140</f>
        <v>12576</v>
      </c>
      <c r="D140" s="116" t="str">
        <f>'BIO DATA'!D140</f>
        <v>0139635381</v>
      </c>
      <c r="E140" s="115" t="str">
        <f>'BIO DATA'!E140</f>
        <v>Ihtisyam Al Quds Anas</v>
      </c>
      <c r="F140" s="46" t="str">
        <f>'BIO DATA'!L140</f>
        <v>Laki-laki</v>
      </c>
      <c r="G140" s="9" t="str">
        <f>'BIO DATA'!M140</f>
        <v>Madiun</v>
      </c>
      <c r="H140" s="48">
        <f>'BIO DATA'!O140</f>
        <v>41517</v>
      </c>
      <c r="I140" s="46" t="str">
        <f>'BIO DATA'!R140</f>
        <v>Islam</v>
      </c>
      <c r="J140" s="47">
        <f>'BIO DATA'!I140</f>
        <v>3</v>
      </c>
      <c r="K140" s="47">
        <f>'BIO DATA'!J140</f>
        <v>2</v>
      </c>
      <c r="L140" s="9" t="str">
        <f>'BIO DATA'!S140</f>
        <v>Dusun Kenep RT 017 RW 004 Sumbersari Saradan Madiun Jawa Timur</v>
      </c>
      <c r="M140" s="9" t="str">
        <f>'BIO DATA'!U140</f>
        <v>Sumbersari</v>
      </c>
      <c r="N140" s="9" t="str">
        <f>'BIO DATA'!V140</f>
        <v>Saradan</v>
      </c>
      <c r="O140" s="9" t="str">
        <f>'BIO DATA'!W140</f>
        <v>Madiun</v>
      </c>
      <c r="P140" s="9" t="str">
        <f>'BIO DATA'!X140</f>
        <v>Jawa Tengah</v>
      </c>
      <c r="Q140" s="9" t="str">
        <f>'BIO DATA'!Y140</f>
        <v>MI Muhammadiyah Caruban</v>
      </c>
      <c r="R140" s="9" t="str">
        <f>'BIO DATA'!Z140</f>
        <v>JL.SUMATRA NO 11, KRAJAN. Desa/Kelurahan, : KRAJAN. Kecamatan/Kota (LN), : KEC. MEJAYAN, Kab. MADIUN</v>
      </c>
      <c r="S140" s="9">
        <f>'BIO DATA'!AA140</f>
        <v>0</v>
      </c>
      <c r="T140" s="9" t="str">
        <f>'BIO DATA'!AB140</f>
        <v>Anas Hilal</v>
      </c>
      <c r="U140" s="9" t="str">
        <f>'BIO DATA'!AC140</f>
        <v>Islam</v>
      </c>
      <c r="V140" s="9" t="str">
        <f>'BIO DATA'!AD140</f>
        <v>S1</v>
      </c>
      <c r="W140" s="9" t="str">
        <f>'BIO DATA'!AE140</f>
        <v>PNS</v>
      </c>
      <c r="X140" s="9" t="str">
        <f>'BIO DATA'!AF140</f>
        <v>3jt-5jt</v>
      </c>
      <c r="Y140" s="144" t="str">
        <f>'BIO DATA'!AG140</f>
        <v>08119705089</v>
      </c>
      <c r="Z140" s="9">
        <f>'BIO DATA'!AH140</f>
        <v>0</v>
      </c>
      <c r="AA140" s="9" t="str">
        <f>'BIO DATA'!AI140</f>
        <v>Anis Martaviatin</v>
      </c>
      <c r="AB140" s="9" t="str">
        <f>'BIO DATA'!AJ140</f>
        <v>Islam</v>
      </c>
      <c r="AC140" s="9" t="str">
        <f>'BIO DATA'!AK140</f>
        <v>S1</v>
      </c>
      <c r="AD140" s="9" t="str">
        <f>'BIO DATA'!AL140</f>
        <v>Guru/Dosen</v>
      </c>
      <c r="AE140" s="9" t="str">
        <f>'BIO DATA'!AM140</f>
        <v>3jt-5jt</v>
      </c>
      <c r="AF140" s="49" t="str">
        <f>'BIO DATA'!AN140</f>
        <v>082338033317</v>
      </c>
      <c r="AG140" s="9">
        <f>'BIO DATA'!AO140</f>
        <v>0</v>
      </c>
      <c r="AH140" s="9">
        <f>'BIO DATA'!AY140</f>
        <v>0</v>
      </c>
      <c r="AI140" s="9">
        <f>'BIO DATA'!AZ140</f>
        <v>0</v>
      </c>
      <c r="AJ140" s="9">
        <f>'BIO DATA'!BA140</f>
        <v>0</v>
      </c>
      <c r="AK140" s="9">
        <f>'BIO DATA'!BB140</f>
        <v>0</v>
      </c>
      <c r="AL140" s="9">
        <f>'BIO DATA'!BC140</f>
        <v>0</v>
      </c>
      <c r="AM140" s="9">
        <f>'BIO DATA'!BD140</f>
        <v>0</v>
      </c>
      <c r="AN140" s="9">
        <f>'BIO DATA'!BE140</f>
        <v>0</v>
      </c>
      <c r="AO140" s="9">
        <f>'BIO DATA'!BF140</f>
        <v>0</v>
      </c>
      <c r="AP140" s="50" t="str">
        <f>'BIO DATA'!BG140</f>
        <v>R. Arief Toto Purwandaru, S.Pd.</v>
      </c>
    </row>
    <row r="141" spans="1:42" s="51" customFormat="1" ht="20.100000000000001" customHeight="1" thickBot="1">
      <c r="A141" s="15" t="s">
        <v>144</v>
      </c>
      <c r="B141">
        <v>138</v>
      </c>
      <c r="C141" s="116">
        <f>'BIO DATA'!C141</f>
        <v>12580</v>
      </c>
      <c r="D141" s="116" t="str">
        <f>'BIO DATA'!D141</f>
        <v>0137163799</v>
      </c>
      <c r="E141" s="115" t="str">
        <f>'BIO DATA'!E141</f>
        <v>Jinan Kiano Saba</v>
      </c>
      <c r="F141" s="46" t="str">
        <f>'BIO DATA'!L141</f>
        <v>Laki-laki</v>
      </c>
      <c r="G141" s="9" t="str">
        <f>'BIO DATA'!M141</f>
        <v>Magelang</v>
      </c>
      <c r="H141" s="48">
        <f>'BIO DATA'!O141</f>
        <v>41593</v>
      </c>
      <c r="I141" s="46" t="str">
        <f>'BIO DATA'!R141</f>
        <v>Islam</v>
      </c>
      <c r="J141" s="47">
        <f>'BIO DATA'!I141</f>
        <v>2</v>
      </c>
      <c r="K141" s="47">
        <f>'BIO DATA'!J141</f>
        <v>1</v>
      </c>
      <c r="L141" s="9" t="str">
        <f>'BIO DATA'!S141</f>
        <v>Jl. Melon Lembah Asri 001/001 Mantenan Mertoyudan Magelang</v>
      </c>
      <c r="M141" s="9" t="str">
        <f>'BIO DATA'!U141</f>
        <v>Mertoyudan</v>
      </c>
      <c r="N141" s="9" t="str">
        <f>'BIO DATA'!V141</f>
        <v>Mertoyudan</v>
      </c>
      <c r="O141" s="9" t="str">
        <f>'BIO DATA'!W141</f>
        <v>Magelang</v>
      </c>
      <c r="P141" s="9" t="str">
        <f>'BIO DATA'!X141</f>
        <v>Jawa Tengah</v>
      </c>
      <c r="Q141" s="9" t="str">
        <f>'BIO DATA'!Y141</f>
        <v>SD Muhammadiyah 1 Alternatif Kota Magelang</v>
      </c>
      <c r="R141" s="9" t="str">
        <f>'BIO DATA'!Z141</f>
        <v>Jl. Tidar No. 21a Magersari Magelang Selatan Kota Magelang</v>
      </c>
      <c r="S141" s="9">
        <f>'BIO DATA'!AA141</f>
        <v>0</v>
      </c>
      <c r="T141" s="9" t="str">
        <f>'BIO DATA'!AB141</f>
        <v>Rifqi Kurniadi Suryanto</v>
      </c>
      <c r="U141" s="9" t="str">
        <f>'BIO DATA'!AC141</f>
        <v>Islam</v>
      </c>
      <c r="V141" s="9" t="str">
        <f>'BIO DATA'!AD141</f>
        <v>DIPLOMA</v>
      </c>
      <c r="W141" s="9" t="str">
        <f>'BIO DATA'!AE141</f>
        <v>PNS</v>
      </c>
      <c r="X141" s="9" t="str">
        <f>'BIO DATA'!AF141</f>
        <v>3jt-5jt</v>
      </c>
      <c r="Y141" s="144" t="str">
        <f>'BIO DATA'!AG141</f>
        <v>08211622281</v>
      </c>
      <c r="Z141" s="9">
        <f>'BIO DATA'!AH141</f>
        <v>0</v>
      </c>
      <c r="AA141" s="9" t="str">
        <f>'BIO DATA'!AI141</f>
        <v>Erisa Susiana</v>
      </c>
      <c r="AB141" s="9" t="str">
        <f>'BIO DATA'!AJ141</f>
        <v>Islam</v>
      </c>
      <c r="AC141" s="9" t="str">
        <f>'BIO DATA'!AK141</f>
        <v>S1</v>
      </c>
      <c r="AD141" s="9" t="str">
        <f>'BIO DATA'!AL141</f>
        <v>PNS</v>
      </c>
      <c r="AE141" s="9" t="str">
        <f>'BIO DATA'!AM141</f>
        <v>3jt-5jt</v>
      </c>
      <c r="AF141" s="49" t="str">
        <f>'BIO DATA'!AN141</f>
        <v>082116222281</v>
      </c>
      <c r="AG141" s="9">
        <f>'BIO DATA'!AO141</f>
        <v>0</v>
      </c>
      <c r="AH141" s="9">
        <f>'BIO DATA'!AY141</f>
        <v>0</v>
      </c>
      <c r="AI141" s="9">
        <f>'BIO DATA'!AZ141</f>
        <v>0</v>
      </c>
      <c r="AJ141" s="9">
        <f>'BIO DATA'!BA141</f>
        <v>0</v>
      </c>
      <c r="AK141" s="9">
        <f>'BIO DATA'!BB141</f>
        <v>0</v>
      </c>
      <c r="AL141" s="9">
        <f>'BIO DATA'!BC141</f>
        <v>0</v>
      </c>
      <c r="AM141" s="9">
        <f>'BIO DATA'!BD141</f>
        <v>0</v>
      </c>
      <c r="AN141" s="9">
        <f>'BIO DATA'!BE141</f>
        <v>0</v>
      </c>
      <c r="AO141" s="9">
        <f>'BIO DATA'!BF141</f>
        <v>0</v>
      </c>
      <c r="AP141" s="50" t="str">
        <f>'BIO DATA'!BG141</f>
        <v>R. Arief Toto Purwandaru, S.Pd.</v>
      </c>
    </row>
    <row r="142" spans="1:42" s="51" customFormat="1" ht="20.100000000000001" customHeight="1" thickBot="1">
      <c r="A142" s="15" t="s">
        <v>144</v>
      </c>
      <c r="B142">
        <v>140</v>
      </c>
      <c r="C142" s="116">
        <f>'BIO DATA'!C142</f>
        <v>12600</v>
      </c>
      <c r="D142" s="116">
        <f>'BIO DATA'!D142</f>
        <v>3136991117</v>
      </c>
      <c r="E142" s="115" t="str">
        <f>'BIO DATA'!E142</f>
        <v>Mahatma Putra Insani</v>
      </c>
      <c r="F142" s="46" t="str">
        <f>'BIO DATA'!L142</f>
        <v>Laki-laki</v>
      </c>
      <c r="G142" s="9" t="str">
        <f>'BIO DATA'!M142</f>
        <v>Pemalang</v>
      </c>
      <c r="H142" s="48">
        <f>'BIO DATA'!O142</f>
        <v>41569</v>
      </c>
      <c r="I142" s="46" t="str">
        <f>'BIO DATA'!R142</f>
        <v>Islam</v>
      </c>
      <c r="J142" s="47">
        <f>'BIO DATA'!I142</f>
        <v>2</v>
      </c>
      <c r="K142" s="47">
        <f>'BIO DATA'!J142</f>
        <v>1</v>
      </c>
      <c r="L142" s="9" t="str">
        <f>'BIO DATA'!S142</f>
        <v>DESA BELIK RT 09 RW 01 KECAMATAN BELIK KABUPATEN PEMALANG PROVINSI JAWA TENGAH</v>
      </c>
      <c r="M142" s="9" t="str">
        <f>'BIO DATA'!U142</f>
        <v>Belik</v>
      </c>
      <c r="N142" s="9" t="str">
        <f>'BIO DATA'!V142</f>
        <v>Belik</v>
      </c>
      <c r="O142" s="9" t="str">
        <f>'BIO DATA'!W142</f>
        <v>Pemalang</v>
      </c>
      <c r="P142" s="9" t="str">
        <f>'BIO DATA'!X142</f>
        <v>Jawa Tengah</v>
      </c>
      <c r="Q142" s="9" t="str">
        <f>'BIO DATA'!Y142</f>
        <v>SD Muhammadiyah Belik</v>
      </c>
      <c r="R142" s="9" t="str">
        <f>'BIO DATA'!Z142</f>
        <v>JALAN KALPATARU TIMUR NO. 47,DESA BELIK, KEC BELIK, KAB . PEMALANG</v>
      </c>
      <c r="S142" s="9">
        <f>'BIO DATA'!AA142</f>
        <v>0</v>
      </c>
      <c r="T142" s="9" t="str">
        <f>'BIO DATA'!AB142</f>
        <v>Rochali</v>
      </c>
      <c r="U142" s="9" t="str">
        <f>'BIO DATA'!AC142</f>
        <v>Islam</v>
      </c>
      <c r="V142" s="9" t="str">
        <f>'BIO DATA'!AD142</f>
        <v>SMA/SMK/MA</v>
      </c>
      <c r="W142" s="9" t="str">
        <f>'BIO DATA'!AE142</f>
        <v>Lain-lain</v>
      </c>
      <c r="X142" s="9" t="str">
        <f>'BIO DATA'!AF142</f>
        <v>1jt-3jt</v>
      </c>
      <c r="Y142" s="144" t="str">
        <f>'BIO DATA'!AG142</f>
        <v>081327849410</v>
      </c>
      <c r="Z142" s="9">
        <f>'BIO DATA'!AH142</f>
        <v>0</v>
      </c>
      <c r="AA142" s="9" t="str">
        <f>'BIO DATA'!AI142</f>
        <v>Komariyah</v>
      </c>
      <c r="AB142" s="9" t="str">
        <f>'BIO DATA'!AJ142</f>
        <v>Islam</v>
      </c>
      <c r="AC142" s="9" t="str">
        <f>'BIO DATA'!AK142</f>
        <v>SMP/MTs</v>
      </c>
      <c r="AD142" s="9" t="str">
        <f>'BIO DATA'!AL142</f>
        <v>Lain-lain</v>
      </c>
      <c r="AE142" s="9" t="str">
        <f>'BIO DATA'!AM142</f>
        <v>1jt-3jt</v>
      </c>
      <c r="AF142" s="49" t="str">
        <f>'BIO DATA'!AN142</f>
        <v>087838271896</v>
      </c>
      <c r="AG142" s="9">
        <f>'BIO DATA'!AO142</f>
        <v>0</v>
      </c>
      <c r="AH142" s="9">
        <f>'BIO DATA'!AY142</f>
        <v>0</v>
      </c>
      <c r="AI142" s="9">
        <f>'BIO DATA'!AZ142</f>
        <v>0</v>
      </c>
      <c r="AJ142" s="9">
        <f>'BIO DATA'!BA142</f>
        <v>0</v>
      </c>
      <c r="AK142" s="9">
        <f>'BIO DATA'!BB142</f>
        <v>0</v>
      </c>
      <c r="AL142" s="9">
        <f>'BIO DATA'!BC142</f>
        <v>0</v>
      </c>
      <c r="AM142" s="9">
        <f>'BIO DATA'!BD142</f>
        <v>0</v>
      </c>
      <c r="AN142" s="9">
        <f>'BIO DATA'!BE142</f>
        <v>0</v>
      </c>
      <c r="AO142" s="9">
        <f>'BIO DATA'!BF142</f>
        <v>0</v>
      </c>
      <c r="AP142" s="50" t="str">
        <f>'BIO DATA'!BG142</f>
        <v>R. Arief Toto Purwandaru, S.Pd.</v>
      </c>
    </row>
    <row r="143" spans="1:42" s="51" customFormat="1" ht="20.100000000000001" customHeight="1" thickBot="1">
      <c r="A143" s="15" t="s">
        <v>144</v>
      </c>
      <c r="B143">
        <v>151</v>
      </c>
      <c r="C143" s="116">
        <f>'BIO DATA'!C143</f>
        <v>12607</v>
      </c>
      <c r="D143" s="116" t="str">
        <f>'BIO DATA'!D143</f>
        <v>0131036270</v>
      </c>
      <c r="E143" s="115" t="str">
        <f>'BIO DATA'!E143</f>
        <v>Muhammad Abdul Rasyid</v>
      </c>
      <c r="F143" s="46" t="str">
        <f>'BIO DATA'!L143</f>
        <v>Laki-laki</v>
      </c>
      <c r="G143" s="9" t="str">
        <f>'BIO DATA'!M143</f>
        <v>Yogyakarta</v>
      </c>
      <c r="H143" s="48">
        <f>'BIO DATA'!O143</f>
        <v>41570</v>
      </c>
      <c r="I143" s="46" t="str">
        <f>'BIO DATA'!R143</f>
        <v>Islam</v>
      </c>
      <c r="J143" s="47">
        <f>'BIO DATA'!I143</f>
        <v>3</v>
      </c>
      <c r="K143" s="47">
        <f>'BIO DATA'!J143</f>
        <v>2</v>
      </c>
      <c r="L143" s="9" t="str">
        <f>'BIO DATA'!S143</f>
        <v>Kragilan RT 04 Tamanan Banguntapan Bantul DIY</v>
      </c>
      <c r="M143" s="9" t="str">
        <f>'BIO DATA'!U143</f>
        <v>Tamanan</v>
      </c>
      <c r="N143" s="9" t="str">
        <f>'BIO DATA'!V143</f>
        <v>Banguntapan</v>
      </c>
      <c r="O143" s="9" t="str">
        <f>'BIO DATA'!W143</f>
        <v>Bantul</v>
      </c>
      <c r="P143" s="9" t="str">
        <f>'BIO DATA'!X143</f>
        <v>DIY</v>
      </c>
      <c r="Q143" s="9" t="str">
        <f>'BIO DATA'!Y143</f>
        <v>SD Muhammadiyah Nitikan</v>
      </c>
      <c r="R143" s="9" t="str">
        <f>'BIO DATA'!Z143</f>
        <v>Jln kranon nitikan uh 6 RT 45 RW 11 sorosutan Umbulharjo Yogyakarta 55162</v>
      </c>
      <c r="S143" s="9">
        <f>'BIO DATA'!AA143</f>
        <v>0</v>
      </c>
      <c r="T143" s="9" t="str">
        <f>'BIO DATA'!AB143</f>
        <v>Wartijo</v>
      </c>
      <c r="U143" s="9" t="str">
        <f>'BIO DATA'!AC143</f>
        <v>Islam</v>
      </c>
      <c r="V143" s="9" t="str">
        <f>'BIO DATA'!AD143</f>
        <v>S1</v>
      </c>
      <c r="W143" s="9" t="str">
        <f>'BIO DATA'!AE143</f>
        <v>Lain-lain</v>
      </c>
      <c r="X143" s="9" t="str">
        <f>'BIO DATA'!AF143</f>
        <v>1jt-3jt</v>
      </c>
      <c r="Y143" s="144" t="str">
        <f>'BIO DATA'!AG143</f>
        <v>0895609734466</v>
      </c>
      <c r="Z143" s="9">
        <f>'BIO DATA'!AH143</f>
        <v>0</v>
      </c>
      <c r="AA143" s="9" t="str">
        <f>'BIO DATA'!AI143</f>
        <v>Kusningrum Marsi Pujiastuti</v>
      </c>
      <c r="AB143" s="9" t="str">
        <f>'BIO DATA'!AJ143</f>
        <v>Islam</v>
      </c>
      <c r="AC143" s="9" t="str">
        <f>'BIO DATA'!AK143</f>
        <v>S1</v>
      </c>
      <c r="AD143" s="9" t="str">
        <f>'BIO DATA'!AL143</f>
        <v>Guru/Dosen</v>
      </c>
      <c r="AE143" s="9" t="str">
        <f>'BIO DATA'!AM143</f>
        <v>3jt-5jt</v>
      </c>
      <c r="AF143" s="49" t="str">
        <f>'BIO DATA'!AN143</f>
        <v>08989007579</v>
      </c>
      <c r="AG143" s="9">
        <f>'BIO DATA'!AO143</f>
        <v>0</v>
      </c>
      <c r="AH143" s="9">
        <f>'BIO DATA'!AY143</f>
        <v>0</v>
      </c>
      <c r="AI143" s="9">
        <f>'BIO DATA'!AZ143</f>
        <v>0</v>
      </c>
      <c r="AJ143" s="9">
        <f>'BIO DATA'!BA143</f>
        <v>0</v>
      </c>
      <c r="AK143" s="9">
        <f>'BIO DATA'!BB143</f>
        <v>0</v>
      </c>
      <c r="AL143" s="9">
        <f>'BIO DATA'!BC143</f>
        <v>0</v>
      </c>
      <c r="AM143" s="9">
        <f>'BIO DATA'!BD143</f>
        <v>0</v>
      </c>
      <c r="AN143" s="9">
        <f>'BIO DATA'!BE143</f>
        <v>0</v>
      </c>
      <c r="AO143" s="9">
        <f>'BIO DATA'!BF143</f>
        <v>0</v>
      </c>
      <c r="AP143" s="50" t="str">
        <f>'BIO DATA'!BG143</f>
        <v>R. Arief Toto Purwandaru, S.Pd.</v>
      </c>
    </row>
    <row r="144" spans="1:42" s="51" customFormat="1" ht="20.100000000000001" customHeight="1" thickBot="1">
      <c r="A144" s="15" t="s">
        <v>144</v>
      </c>
      <c r="B144">
        <v>158</v>
      </c>
      <c r="C144" s="116">
        <f>'BIO DATA'!C144</f>
        <v>12618</v>
      </c>
      <c r="D144" s="116" t="str">
        <f>'BIO DATA'!D144</f>
        <v>0146300636</v>
      </c>
      <c r="E144" s="115" t="str">
        <f>'BIO DATA'!E144</f>
        <v>Muhammad Arif Fatikhayat</v>
      </c>
      <c r="F144" s="46" t="str">
        <f>'BIO DATA'!L144</f>
        <v>Laki-laki</v>
      </c>
      <c r="G144" s="9" t="str">
        <f>'BIO DATA'!M144</f>
        <v>Sengkang</v>
      </c>
      <c r="H144" s="48">
        <f>'BIO DATA'!O144</f>
        <v>41759</v>
      </c>
      <c r="I144" s="46" t="str">
        <f>'BIO DATA'!R144</f>
        <v>Islam</v>
      </c>
      <c r="J144" s="47">
        <f>'BIO DATA'!I144</f>
        <v>3</v>
      </c>
      <c r="K144" s="47">
        <f>'BIO DATA'!J144</f>
        <v>2</v>
      </c>
      <c r="L144" s="9" t="str">
        <f>'BIO DATA'!S144</f>
        <v>Dusun Cempalagi RT 001 RW 001 Campalagi Tempe Wajo Sulawesi Selatan 90911</v>
      </c>
      <c r="M144" s="9" t="str">
        <f>'BIO DATA'!U144</f>
        <v>Campalagi</v>
      </c>
      <c r="N144" s="9" t="str">
        <f>'BIO DATA'!V144</f>
        <v>Tempe</v>
      </c>
      <c r="O144" s="9" t="str">
        <f>'BIO DATA'!W144</f>
        <v>Wajo</v>
      </c>
      <c r="P144" s="9" t="str">
        <f>'BIO DATA'!X144</f>
        <v>Sulawesi Selatan</v>
      </c>
      <c r="Q144" s="9" t="str">
        <f>'BIO DATA'!Y144</f>
        <v>UPTD SDN 15 Teddaopu</v>
      </c>
      <c r="R144" s="9" t="str">
        <f>'BIO DATA'!Z144</f>
        <v>Teddaopu, Kec. Tempe, Kabupaten Wajo, Sulawesi Selatan 90912</v>
      </c>
      <c r="S144" s="9">
        <f>'BIO DATA'!AA144</f>
        <v>0</v>
      </c>
      <c r="T144" s="9" t="str">
        <f>'BIO DATA'!AB144</f>
        <v>Rustam Abdul Gani</v>
      </c>
      <c r="U144" s="9" t="str">
        <f>'BIO DATA'!AC144</f>
        <v>Islam</v>
      </c>
      <c r="V144" s="9" t="str">
        <f>'BIO DATA'!AD144</f>
        <v>SMP/MTs</v>
      </c>
      <c r="W144" s="9" t="str">
        <f>'BIO DATA'!AE144</f>
        <v>Pensiunan</v>
      </c>
      <c r="X144" s="9" t="str">
        <f>'BIO DATA'!AF144</f>
        <v>1jt-3jt</v>
      </c>
      <c r="Y144" s="144" t="str">
        <f>'BIO DATA'!AG144</f>
        <v>085242521234</v>
      </c>
      <c r="Z144" s="9">
        <f>'BIO DATA'!AH144</f>
        <v>0</v>
      </c>
      <c r="AA144" s="9" t="str">
        <f>'BIO DATA'!AI144</f>
        <v>Sri Hartati</v>
      </c>
      <c r="AB144" s="9" t="str">
        <f>'BIO DATA'!AJ144</f>
        <v>Islam</v>
      </c>
      <c r="AC144" s="9" t="str">
        <f>'BIO DATA'!AK144</f>
        <v>S1</v>
      </c>
      <c r="AD144" s="9" t="str">
        <f>'BIO DATA'!AL144</f>
        <v>Guru/Dosen</v>
      </c>
      <c r="AE144" s="9" t="str">
        <f>'BIO DATA'!AM144</f>
        <v>3jt-5jt</v>
      </c>
      <c r="AF144" s="49" t="str">
        <f>'BIO DATA'!AN144</f>
        <v>081342418744</v>
      </c>
      <c r="AG144" s="9">
        <f>'BIO DATA'!AO144</f>
        <v>0</v>
      </c>
      <c r="AH144" s="9">
        <f>'BIO DATA'!AY144</f>
        <v>0</v>
      </c>
      <c r="AI144" s="9">
        <f>'BIO DATA'!AZ144</f>
        <v>0</v>
      </c>
      <c r="AJ144" s="9">
        <f>'BIO DATA'!BA144</f>
        <v>0</v>
      </c>
      <c r="AK144" s="9">
        <f>'BIO DATA'!BB144</f>
        <v>0</v>
      </c>
      <c r="AL144" s="9">
        <f>'BIO DATA'!BC144</f>
        <v>0</v>
      </c>
      <c r="AM144" s="9">
        <f>'BIO DATA'!BD144</f>
        <v>0</v>
      </c>
      <c r="AN144" s="9">
        <f>'BIO DATA'!BE144</f>
        <v>0</v>
      </c>
      <c r="AO144" s="9">
        <f>'BIO DATA'!BF144</f>
        <v>0</v>
      </c>
      <c r="AP144" s="50" t="str">
        <f>'BIO DATA'!BG144</f>
        <v>R. Arief Toto Purwandaru, S.Pd.</v>
      </c>
    </row>
    <row r="145" spans="1:42" s="51" customFormat="1" ht="20.100000000000001" customHeight="1" thickBot="1">
      <c r="A145" s="15" t="s">
        <v>144</v>
      </c>
      <c r="B145">
        <v>160</v>
      </c>
      <c r="C145" s="116">
        <f>'BIO DATA'!C145</f>
        <v>12620</v>
      </c>
      <c r="D145" s="116">
        <f>'BIO DATA'!D145</f>
        <v>3138099112</v>
      </c>
      <c r="E145" s="115" t="str">
        <f>'BIO DATA'!E145</f>
        <v>Muhammad Arya Pamenang</v>
      </c>
      <c r="F145" s="46" t="str">
        <f>'BIO DATA'!L145</f>
        <v>Laki-laki</v>
      </c>
      <c r="G145" s="9" t="str">
        <f>'BIO DATA'!M145</f>
        <v>Kulon progo</v>
      </c>
      <c r="H145" s="48">
        <f>'BIO DATA'!O145</f>
        <v>41590</v>
      </c>
      <c r="I145" s="46" t="str">
        <f>'BIO DATA'!R145</f>
        <v>Islam</v>
      </c>
      <c r="J145" s="47">
        <f>'BIO DATA'!I145</f>
        <v>2</v>
      </c>
      <c r="K145" s="47">
        <f>'BIO DATA'!J145</f>
        <v>1</v>
      </c>
      <c r="L145" s="9" t="str">
        <f>'BIO DATA'!S145</f>
        <v>Pengasih RT03 RW01 Pengasih Pengasih Kulonprogo 55652</v>
      </c>
      <c r="M145" s="9" t="str">
        <f>'BIO DATA'!U145</f>
        <v>Pengasih</v>
      </c>
      <c r="N145" s="9" t="str">
        <f>'BIO DATA'!V145</f>
        <v>Pengasih</v>
      </c>
      <c r="O145" s="9" t="str">
        <f>'BIO DATA'!W145</f>
        <v>Kulon Progo</v>
      </c>
      <c r="P145" s="9" t="str">
        <f>'BIO DATA'!X145</f>
        <v>DIY</v>
      </c>
      <c r="Q145" s="9" t="str">
        <f>'BIO DATA'!Y145</f>
        <v>SD IT Ibnu Mas ud</v>
      </c>
      <c r="R145" s="9" t="str">
        <f>'BIO DATA'!Z145</f>
        <v>Beji, RT 01 RW 02 Wates, Kulon Progo</v>
      </c>
      <c r="S145" s="9">
        <f>'BIO DATA'!AA145</f>
        <v>0</v>
      </c>
      <c r="T145" s="9" t="str">
        <f>'BIO DATA'!AB145</f>
        <v>Tavif Hendrasetiawan, SH., MM</v>
      </c>
      <c r="U145" s="9" t="str">
        <f>'BIO DATA'!AC145</f>
        <v>Islam</v>
      </c>
      <c r="V145" s="9" t="str">
        <f>'BIO DATA'!AD145</f>
        <v>S2</v>
      </c>
      <c r="W145" s="9" t="str">
        <f>'BIO DATA'!AE145</f>
        <v>TNI/Polri</v>
      </c>
      <c r="X145" s="9" t="str">
        <f>'BIO DATA'!AF145</f>
        <v>5jt-10jt</v>
      </c>
      <c r="Y145" s="144" t="str">
        <f>'BIO DATA'!AG145</f>
        <v>081355128061</v>
      </c>
      <c r="Z145" s="9">
        <f>'BIO DATA'!AH145</f>
        <v>0</v>
      </c>
      <c r="AA145" s="9" t="str">
        <f>'BIO DATA'!AI145</f>
        <v>Diah Anung Putri Yanti</v>
      </c>
      <c r="AB145" s="9" t="str">
        <f>'BIO DATA'!AJ145</f>
        <v>Islam</v>
      </c>
      <c r="AC145" s="9" t="str">
        <f>'BIO DATA'!AK145</f>
        <v>S2</v>
      </c>
      <c r="AD145" s="9" t="str">
        <f>'BIO DATA'!AL145</f>
        <v>Lain-lain</v>
      </c>
      <c r="AE145" s="9" t="str">
        <f>'BIO DATA'!AM145</f>
        <v>1jt-3jt</v>
      </c>
      <c r="AF145" s="49" t="str">
        <f>'BIO DATA'!AN145</f>
        <v>08112655338</v>
      </c>
      <c r="AG145" s="9">
        <f>'BIO DATA'!AO145</f>
        <v>0</v>
      </c>
      <c r="AH145" s="9">
        <f>'BIO DATA'!AY145</f>
        <v>0</v>
      </c>
      <c r="AI145" s="9">
        <f>'BIO DATA'!AZ145</f>
        <v>0</v>
      </c>
      <c r="AJ145" s="9">
        <f>'BIO DATA'!BA145</f>
        <v>0</v>
      </c>
      <c r="AK145" s="9">
        <f>'BIO DATA'!BB145</f>
        <v>0</v>
      </c>
      <c r="AL145" s="9">
        <f>'BIO DATA'!BC145</f>
        <v>0</v>
      </c>
      <c r="AM145" s="9">
        <f>'BIO DATA'!BD145</f>
        <v>0</v>
      </c>
      <c r="AN145" s="9">
        <f>'BIO DATA'!BE145</f>
        <v>0</v>
      </c>
      <c r="AO145" s="9">
        <f>'BIO DATA'!BF145</f>
        <v>0</v>
      </c>
      <c r="AP145" s="50" t="str">
        <f>'BIO DATA'!BG145</f>
        <v>R. Arief Toto Purwandaru, S.Pd.</v>
      </c>
    </row>
    <row r="146" spans="1:42" s="51" customFormat="1" ht="20.100000000000001" customHeight="1" thickBot="1">
      <c r="A146" s="15" t="s">
        <v>144</v>
      </c>
      <c r="B146">
        <v>196</v>
      </c>
      <c r="C146" s="116">
        <f>'BIO DATA'!C146</f>
        <v>12627</v>
      </c>
      <c r="D146" s="116" t="str">
        <f>'BIO DATA'!D146</f>
        <v>0142486187</v>
      </c>
      <c r="E146" s="115" t="str">
        <f>'BIO DATA'!E146</f>
        <v>Muhammad Dhanurendra Abhimata Wihrasto</v>
      </c>
      <c r="F146" s="46" t="str">
        <f>'BIO DATA'!L146</f>
        <v>Laki-laki</v>
      </c>
      <c r="G146" s="9" t="str">
        <f>'BIO DATA'!M146</f>
        <v>Jepara</v>
      </c>
      <c r="H146" s="48">
        <f>'BIO DATA'!O146</f>
        <v>41650</v>
      </c>
      <c r="I146" s="46" t="str">
        <f>'BIO DATA'!R146</f>
        <v>Islam</v>
      </c>
      <c r="J146" s="47">
        <f>'BIO DATA'!I146</f>
        <v>3</v>
      </c>
      <c r="K146" s="47">
        <f>'BIO DATA'!J146</f>
        <v>3</v>
      </c>
      <c r="L146" s="9" t="str">
        <f>'BIO DATA'!S146</f>
        <v>Jl. Kauman II RT 003 RW 002, Desa Kuanyar, Kecamatan Mayong, Kabupaten Jepara, Propinsi Jawa Tengah, Indonesia, 59465</v>
      </c>
      <c r="M146" s="9" t="str">
        <f>'BIO DATA'!U146</f>
        <v>Kuanyar</v>
      </c>
      <c r="N146" s="9" t="str">
        <f>'BIO DATA'!V146</f>
        <v>Mayong</v>
      </c>
      <c r="O146" s="9" t="str">
        <f>'BIO DATA'!W146</f>
        <v>Jepara</v>
      </c>
      <c r="P146" s="9" t="str">
        <f>'BIO DATA'!X146</f>
        <v>Jawa Tengah</v>
      </c>
      <c r="Q146" s="9" t="str">
        <f>'BIO DATA'!Y146</f>
        <v>SD Islam Terpadu Sultan Agung 05 Kriyan, Jepara, Jawa Tengah, Indonesia.</v>
      </c>
      <c r="R146" s="9" t="str">
        <f>'BIO DATA'!Z146</f>
        <v>Jl. Raya Gotri Welahan, Kriyan, Kalinyamatan, Jepara, Jawa Tengah, Indonesia.</v>
      </c>
      <c r="S146" s="9">
        <f>'BIO DATA'!AA146</f>
        <v>0</v>
      </c>
      <c r="T146" s="9" t="str">
        <f>'BIO DATA'!AB146</f>
        <v>H. Jati Prihantono</v>
      </c>
      <c r="U146" s="9" t="str">
        <f>'BIO DATA'!AC146</f>
        <v>Islam</v>
      </c>
      <c r="V146" s="9" t="str">
        <f>'BIO DATA'!AD146</f>
        <v>S2</v>
      </c>
      <c r="W146" s="9" t="str">
        <f>'BIO DATA'!AE146</f>
        <v>Guru/Dosen</v>
      </c>
      <c r="X146" s="9" t="str">
        <f>'BIO DATA'!AF146</f>
        <v>&gt;10jt</v>
      </c>
      <c r="Y146" s="144" t="str">
        <f>'BIO DATA'!AG146</f>
        <v>082138151999</v>
      </c>
      <c r="Z146" s="9">
        <f>'BIO DATA'!AH146</f>
        <v>0</v>
      </c>
      <c r="AA146" s="9" t="str">
        <f>'BIO DATA'!AI146</f>
        <v>Hj. Suci Mulyani</v>
      </c>
      <c r="AB146" s="9" t="str">
        <f>'BIO DATA'!AJ146</f>
        <v>Islam</v>
      </c>
      <c r="AC146" s="9" t="str">
        <f>'BIO DATA'!AK146</f>
        <v>S1</v>
      </c>
      <c r="AD146" s="9" t="str">
        <f>'BIO DATA'!AL146</f>
        <v>Wiraswasta</v>
      </c>
      <c r="AE146" s="9" t="str">
        <f>'BIO DATA'!AM146</f>
        <v>3jt-5jt</v>
      </c>
      <c r="AF146" s="49" t="str">
        <f>'BIO DATA'!AN146</f>
        <v>082227554216</v>
      </c>
      <c r="AG146" s="9">
        <f>'BIO DATA'!AO146</f>
        <v>0</v>
      </c>
      <c r="AH146" s="9">
        <f>'BIO DATA'!AY146</f>
        <v>0</v>
      </c>
      <c r="AI146" s="9">
        <f>'BIO DATA'!AZ146</f>
        <v>0</v>
      </c>
      <c r="AJ146" s="9">
        <f>'BIO DATA'!BA146</f>
        <v>0</v>
      </c>
      <c r="AK146" s="9">
        <f>'BIO DATA'!BB146</f>
        <v>0</v>
      </c>
      <c r="AL146" s="9">
        <f>'BIO DATA'!BC146</f>
        <v>0</v>
      </c>
      <c r="AM146" s="9">
        <f>'BIO DATA'!BD146</f>
        <v>0</v>
      </c>
      <c r="AN146" s="9">
        <f>'BIO DATA'!BE146</f>
        <v>0</v>
      </c>
      <c r="AO146" s="9">
        <f>'BIO DATA'!BF146</f>
        <v>0</v>
      </c>
      <c r="AP146" s="50" t="str">
        <f>'BIO DATA'!BG146</f>
        <v>R. Arief Toto Purwandaru, S.Pd.</v>
      </c>
    </row>
    <row r="147" spans="1:42" s="51" customFormat="1" ht="20.100000000000001" customHeight="1" thickBot="1">
      <c r="A147" s="15" t="s">
        <v>144</v>
      </c>
      <c r="B147">
        <v>201</v>
      </c>
      <c r="C147" s="116">
        <f>'BIO DATA'!C147</f>
        <v>12630</v>
      </c>
      <c r="D147" s="116" t="str">
        <f>'BIO DATA'!D147</f>
        <v>0144740059</v>
      </c>
      <c r="E147" s="115" t="str">
        <f>'BIO DATA'!E147</f>
        <v>Muhammad Fadlan Kurnia</v>
      </c>
      <c r="F147" s="46" t="str">
        <f>'BIO DATA'!L147</f>
        <v>Laki-laki</v>
      </c>
      <c r="G147" s="9" t="str">
        <f>'BIO DATA'!M147</f>
        <v>Jakarta</v>
      </c>
      <c r="H147" s="48">
        <f>'BIO DATA'!O147</f>
        <v>41736</v>
      </c>
      <c r="I147" s="46" t="str">
        <f>'BIO DATA'!R147</f>
        <v>Islam</v>
      </c>
      <c r="J147" s="47">
        <f>'BIO DATA'!I147</f>
        <v>1</v>
      </c>
      <c r="K147" s="47">
        <f>'BIO DATA'!J147</f>
        <v>1</v>
      </c>
      <c r="L147" s="9" t="str">
        <f>'BIO DATA'!S147</f>
        <v xml:space="preserve">Jl.H.Juanda Gg Saman rt 05/01 no.60 Gintung Cempaka Putih Ciputat Timur Kota Tangerang Selatan Banten </v>
      </c>
      <c r="M147" s="9" t="str">
        <f>'BIO DATA'!U147</f>
        <v>Cempaka Putih</v>
      </c>
      <c r="N147" s="9" t="str">
        <f>'BIO DATA'!V147</f>
        <v>Ciputat Timur</v>
      </c>
      <c r="O147" s="9" t="str">
        <f>'BIO DATA'!W147</f>
        <v>Kota Tangerang Selatan</v>
      </c>
      <c r="P147" s="9" t="str">
        <f>'BIO DATA'!X147</f>
        <v>Banten</v>
      </c>
      <c r="Q147" s="9" t="str">
        <f>'BIO DATA'!Y147</f>
        <v>Madrasah Pembangunan UIN Jakarta</v>
      </c>
      <c r="R147" s="9" t="str">
        <f>'BIO DATA'!Z147</f>
        <v>Jalan Ibnu Taimia IV Kompleks UIN Syarif Hidayatullah JAKARTA</v>
      </c>
      <c r="S147" s="9">
        <f>'BIO DATA'!AA147</f>
        <v>0</v>
      </c>
      <c r="T147" s="9" t="str">
        <f>'BIO DATA'!AB147</f>
        <v>Iwa Kurnia S.kom</v>
      </c>
      <c r="U147" s="9" t="str">
        <f>'BIO DATA'!AC147</f>
        <v>Islam</v>
      </c>
      <c r="V147" s="9" t="str">
        <f>'BIO DATA'!AD147</f>
        <v>S1</v>
      </c>
      <c r="W147" s="9" t="str">
        <f>'BIO DATA'!AE147</f>
        <v>PNS</v>
      </c>
      <c r="X147" s="9" t="str">
        <f>'BIO DATA'!AF147</f>
        <v>5jt-10jt</v>
      </c>
      <c r="Y147" s="144" t="str">
        <f>'BIO DATA'!AG147</f>
        <v>081314446810</v>
      </c>
      <c r="Z147" s="9">
        <f>'BIO DATA'!AH147</f>
        <v>0</v>
      </c>
      <c r="AA147" s="9" t="str">
        <f>'BIO DATA'!AI147</f>
        <v>dr.Farah Khiyatie</v>
      </c>
      <c r="AB147" s="9" t="str">
        <f>'BIO DATA'!AJ147</f>
        <v>Islam</v>
      </c>
      <c r="AC147" s="9" t="str">
        <f>'BIO DATA'!AK147</f>
        <v>S1</v>
      </c>
      <c r="AD147" s="9" t="str">
        <f>'BIO DATA'!AL147</f>
        <v>Dokter/Bidan/Perawat</v>
      </c>
      <c r="AE147" s="9" t="str">
        <f>'BIO DATA'!AM147</f>
        <v>5jt-10jt</v>
      </c>
      <c r="AF147" s="49" t="str">
        <f>'BIO DATA'!AN147</f>
        <v>081290218383</v>
      </c>
      <c r="AG147" s="9">
        <f>'BIO DATA'!AO147</f>
        <v>0</v>
      </c>
      <c r="AH147" s="9">
        <f>'BIO DATA'!AY147</f>
        <v>0</v>
      </c>
      <c r="AI147" s="9">
        <f>'BIO DATA'!AZ147</f>
        <v>0</v>
      </c>
      <c r="AJ147" s="9">
        <f>'BIO DATA'!BA147</f>
        <v>0</v>
      </c>
      <c r="AK147" s="9">
        <f>'BIO DATA'!BB147</f>
        <v>0</v>
      </c>
      <c r="AL147" s="9">
        <f>'BIO DATA'!BC147</f>
        <v>0</v>
      </c>
      <c r="AM147" s="9">
        <f>'BIO DATA'!BD147</f>
        <v>0</v>
      </c>
      <c r="AN147" s="9">
        <f>'BIO DATA'!BE147</f>
        <v>0</v>
      </c>
      <c r="AO147" s="9">
        <f>'BIO DATA'!BF147</f>
        <v>0</v>
      </c>
      <c r="AP147" s="50" t="str">
        <f>'BIO DATA'!BG147</f>
        <v>R. Arief Toto Purwandaru, S.Pd.</v>
      </c>
    </row>
    <row r="148" spans="1:42" s="51" customFormat="1" ht="20.100000000000001" customHeight="1" thickBot="1">
      <c r="A148" s="15" t="s">
        <v>144</v>
      </c>
      <c r="B148">
        <v>206</v>
      </c>
      <c r="C148" s="116">
        <f>'BIO DATA'!C148</f>
        <v>12644</v>
      </c>
      <c r="D148" s="116">
        <f>'BIO DATA'!D148</f>
        <v>3147551538</v>
      </c>
      <c r="E148" s="115" t="str">
        <f>'BIO DATA'!E148</f>
        <v>Muhammad Lantang Wirayudha Akbar</v>
      </c>
      <c r="F148" s="46" t="str">
        <f>'BIO DATA'!L148</f>
        <v>Laki-laki</v>
      </c>
      <c r="G148" s="9" t="str">
        <f>'BIO DATA'!M148</f>
        <v>Sleman</v>
      </c>
      <c r="H148" s="48">
        <f>'BIO DATA'!O148</f>
        <v>41804</v>
      </c>
      <c r="I148" s="46" t="str">
        <f>'BIO DATA'!R148</f>
        <v>Islam</v>
      </c>
      <c r="J148" s="47">
        <f>'BIO DATA'!I148</f>
        <v>1</v>
      </c>
      <c r="K148" s="47">
        <f>'BIO DATA'!J148</f>
        <v>2</v>
      </c>
      <c r="L148" s="9" t="str">
        <f>'BIO DATA'!S148</f>
        <v>Temulawak RT 001 RW 036 Triharjo Sleman Sleman DIY</v>
      </c>
      <c r="M148" s="9" t="str">
        <f>'BIO DATA'!U148</f>
        <v>Triharjo</v>
      </c>
      <c r="N148" s="9" t="str">
        <f>'BIO DATA'!V148</f>
        <v>Sleman</v>
      </c>
      <c r="O148" s="9" t="str">
        <f>'BIO DATA'!W148</f>
        <v>Sleman</v>
      </c>
      <c r="P148" s="9" t="str">
        <f>'BIO DATA'!X148</f>
        <v>DIY</v>
      </c>
      <c r="Q148" s="9" t="str">
        <f>'BIO DATA'!Y148</f>
        <v>SD Muhammadiyah Domban 4</v>
      </c>
      <c r="R148" s="9" t="str">
        <f>'BIO DATA'!Z148</f>
        <v>Panggeran, Triharjo Sleman</v>
      </c>
      <c r="S148" s="9">
        <f>'BIO DATA'!AA148</f>
        <v>0</v>
      </c>
      <c r="T148" s="9" t="str">
        <f>'BIO DATA'!AB148</f>
        <v>Lutfi Verdian Akbar</v>
      </c>
      <c r="U148" s="9" t="str">
        <f>'BIO DATA'!AC148</f>
        <v>Islam</v>
      </c>
      <c r="V148" s="9" t="str">
        <f>'BIO DATA'!AD148</f>
        <v>S1</v>
      </c>
      <c r="W148" s="9" t="str">
        <f>'BIO DATA'!AE148</f>
        <v>Wiraswasta</v>
      </c>
      <c r="X148" s="9" t="str">
        <f>'BIO DATA'!AF148</f>
        <v>5jt-10jt</v>
      </c>
      <c r="Y148" s="144" t="str">
        <f>'BIO DATA'!AG148</f>
        <v>08122118546</v>
      </c>
      <c r="Z148" s="9">
        <f>'BIO DATA'!AH148</f>
        <v>0</v>
      </c>
      <c r="AA148" s="9" t="str">
        <f>'BIO DATA'!AI148</f>
        <v>Bikan Aulia Noor Rachmani El Zulba</v>
      </c>
      <c r="AB148" s="9" t="str">
        <f>'BIO DATA'!AJ148</f>
        <v>Islam</v>
      </c>
      <c r="AC148" s="9" t="str">
        <f>'BIO DATA'!AK148</f>
        <v>S1</v>
      </c>
      <c r="AD148" s="9" t="str">
        <f>'BIO DATA'!AL148</f>
        <v>Pegawai Swasta</v>
      </c>
      <c r="AE148" s="9" t="str">
        <f>'BIO DATA'!AM148</f>
        <v>5jt-10jt</v>
      </c>
      <c r="AF148" s="49" t="str">
        <f>'BIO DATA'!AN148</f>
        <v>081227005551</v>
      </c>
      <c r="AG148" s="9">
        <f>'BIO DATA'!AO148</f>
        <v>0</v>
      </c>
      <c r="AH148" s="9">
        <f>'BIO DATA'!AY148</f>
        <v>0</v>
      </c>
      <c r="AI148" s="9">
        <f>'BIO DATA'!AZ148</f>
        <v>0</v>
      </c>
      <c r="AJ148" s="9">
        <f>'BIO DATA'!BA148</f>
        <v>0</v>
      </c>
      <c r="AK148" s="9">
        <f>'BIO DATA'!BB148</f>
        <v>0</v>
      </c>
      <c r="AL148" s="9">
        <f>'BIO DATA'!BC148</f>
        <v>0</v>
      </c>
      <c r="AM148" s="9">
        <f>'BIO DATA'!BD148</f>
        <v>0</v>
      </c>
      <c r="AN148" s="9">
        <f>'BIO DATA'!BE148</f>
        <v>0</v>
      </c>
      <c r="AO148" s="9">
        <f>'BIO DATA'!BF148</f>
        <v>0</v>
      </c>
      <c r="AP148" s="50" t="str">
        <f>'BIO DATA'!BG148</f>
        <v>R. Arief Toto Purwandaru, S.Pd.</v>
      </c>
    </row>
    <row r="149" spans="1:42" s="51" customFormat="1" ht="20.100000000000001" customHeight="1" thickBot="1">
      <c r="A149" s="15" t="s">
        <v>144</v>
      </c>
      <c r="B149">
        <v>236</v>
      </c>
      <c r="C149" s="116">
        <f>'BIO DATA'!C149</f>
        <v>12661</v>
      </c>
      <c r="D149" s="116" t="str">
        <f>'BIO DATA'!D149</f>
        <v>0148185222</v>
      </c>
      <c r="E149" s="115" t="str">
        <f>'BIO DATA'!E149</f>
        <v>Muhammad Ziyad Avicenna</v>
      </c>
      <c r="F149" s="46" t="str">
        <f>'BIO DATA'!L149</f>
        <v>Laki-laki</v>
      </c>
      <c r="G149" s="9" t="str">
        <f>'BIO DATA'!M149</f>
        <v>Gresik</v>
      </c>
      <c r="H149" s="48">
        <f>'BIO DATA'!O149</f>
        <v>41882</v>
      </c>
      <c r="I149" s="46" t="str">
        <f>'BIO DATA'!R149</f>
        <v>Islam</v>
      </c>
      <c r="J149" s="47">
        <f>'BIO DATA'!I149</f>
        <v>2</v>
      </c>
      <c r="K149" s="47">
        <f>'BIO DATA'!J149</f>
        <v>1</v>
      </c>
      <c r="L149" s="9" t="str">
        <f>'BIO DATA'!S149</f>
        <v>Jln. Kapten Darmosugondo Gg XII No 53 RT 006 RW 002 Indro Kebomas Gresik Jawa Timur</v>
      </c>
      <c r="M149" s="9" t="str">
        <f>'BIO DATA'!U149</f>
        <v>Indro</v>
      </c>
      <c r="N149" s="9" t="str">
        <f>'BIO DATA'!V149</f>
        <v>Kebomas</v>
      </c>
      <c r="O149" s="9" t="str">
        <f>'BIO DATA'!W149</f>
        <v>Gresik</v>
      </c>
      <c r="P149" s="9" t="str">
        <f>'BIO DATA'!X149</f>
        <v>Jawa Timur</v>
      </c>
      <c r="Q149" s="9" t="str">
        <f>'BIO DATA'!Y149</f>
        <v>SD Muhammadiyah Manyar</v>
      </c>
      <c r="R149" s="9" t="str">
        <f>'BIO DATA'!Z149</f>
        <v>Jln. Amuntai No 1 GKB Gresik</v>
      </c>
      <c r="S149" s="9">
        <f>'BIO DATA'!AA149</f>
        <v>0</v>
      </c>
      <c r="T149" s="9" t="str">
        <f>'BIO DATA'!AB149</f>
        <v>Rudi Purnawan</v>
      </c>
      <c r="U149" s="9" t="str">
        <f>'BIO DATA'!AC149</f>
        <v>Islam</v>
      </c>
      <c r="V149" s="9" t="str">
        <f>'BIO DATA'!AD149</f>
        <v>S2</v>
      </c>
      <c r="W149" s="9" t="str">
        <f>'BIO DATA'!AE149</f>
        <v>Guru/Dosen</v>
      </c>
      <c r="X149" s="9" t="str">
        <f>'BIO DATA'!AF149</f>
        <v>3jt-5jt</v>
      </c>
      <c r="Y149" s="144" t="str">
        <f>'BIO DATA'!AG149</f>
        <v>082146784785</v>
      </c>
      <c r="Z149" s="9">
        <f>'BIO DATA'!AH149</f>
        <v>0</v>
      </c>
      <c r="AA149" s="9" t="str">
        <f>'BIO DATA'!AI149</f>
        <v>Imroatus Sa'adah</v>
      </c>
      <c r="AB149" s="9" t="str">
        <f>'BIO DATA'!AJ149</f>
        <v>Islam</v>
      </c>
      <c r="AC149" s="9" t="str">
        <f>'BIO DATA'!AK149</f>
        <v>S1</v>
      </c>
      <c r="AD149" s="9" t="str">
        <f>'BIO DATA'!AL149</f>
        <v>Guru/Dosen</v>
      </c>
      <c r="AE149" s="9" t="str">
        <f>'BIO DATA'!AM149</f>
        <v>3jt-5jt</v>
      </c>
      <c r="AF149" s="49" t="str">
        <f>'BIO DATA'!AN149</f>
        <v>081332724291</v>
      </c>
      <c r="AG149" s="9">
        <f>'BIO DATA'!AO149</f>
        <v>0</v>
      </c>
      <c r="AH149" s="9">
        <f>'BIO DATA'!AY149</f>
        <v>0</v>
      </c>
      <c r="AI149" s="9">
        <f>'BIO DATA'!AZ149</f>
        <v>0</v>
      </c>
      <c r="AJ149" s="9">
        <f>'BIO DATA'!BA149</f>
        <v>0</v>
      </c>
      <c r="AK149" s="9">
        <f>'BIO DATA'!BB149</f>
        <v>0</v>
      </c>
      <c r="AL149" s="9">
        <f>'BIO DATA'!BC149</f>
        <v>0</v>
      </c>
      <c r="AM149" s="9">
        <f>'BIO DATA'!BD149</f>
        <v>0</v>
      </c>
      <c r="AN149" s="9">
        <f>'BIO DATA'!BE149</f>
        <v>0</v>
      </c>
      <c r="AO149" s="9">
        <f>'BIO DATA'!BF149</f>
        <v>0</v>
      </c>
      <c r="AP149" s="50" t="str">
        <f>'BIO DATA'!BG149</f>
        <v>R. Arief Toto Purwandaru, S.Pd.</v>
      </c>
    </row>
    <row r="150" spans="1:42" s="51" customFormat="1" ht="20.100000000000001" customHeight="1" thickBot="1">
      <c r="A150" s="15" t="s">
        <v>144</v>
      </c>
      <c r="B150">
        <v>250</v>
      </c>
      <c r="C150" s="116">
        <f>'BIO DATA'!C150</f>
        <v>12662</v>
      </c>
      <c r="D150" s="116">
        <f>'BIO DATA'!D150</f>
        <v>3148199373</v>
      </c>
      <c r="E150" s="115" t="str">
        <f>'BIO DATA'!E150</f>
        <v>Nabhan Ghazy Pradipta</v>
      </c>
      <c r="F150" s="46" t="str">
        <f>'BIO DATA'!L150</f>
        <v>Laki-laki</v>
      </c>
      <c r="G150" s="9" t="str">
        <f>'BIO DATA'!M150</f>
        <v>Jakarta</v>
      </c>
      <c r="H150" s="48">
        <f>'BIO DATA'!O150</f>
        <v>41831</v>
      </c>
      <c r="I150" s="46" t="str">
        <f>'BIO DATA'!R150</f>
        <v>Islam</v>
      </c>
      <c r="J150" s="47">
        <f>'BIO DATA'!I150</f>
        <v>1</v>
      </c>
      <c r="K150" s="47">
        <f>'BIO DATA'!J150</f>
        <v>1</v>
      </c>
      <c r="L150" s="9" t="str">
        <f>'BIO DATA'!S150</f>
        <v>Griya Cilebut Asri 2 Blok C11 Jl. Kp. Batu Gede Cilebut Sukaraja Bogor Jawa Barat</v>
      </c>
      <c r="M150" s="9" t="str">
        <f>'BIO DATA'!U150</f>
        <v>Cilebut Barat</v>
      </c>
      <c r="N150" s="9" t="str">
        <f>'BIO DATA'!V150</f>
        <v>Sukaraja</v>
      </c>
      <c r="O150" s="9" t="str">
        <f>'BIO DATA'!W150</f>
        <v>Kota Bogor</v>
      </c>
      <c r="P150" s="9" t="str">
        <f>'BIO DATA'!X150</f>
        <v>Jawa Barat</v>
      </c>
      <c r="Q150" s="9" t="str">
        <f>'BIO DATA'!Y150</f>
        <v>SDN 1 Clapar Madukara Banjaranegara</v>
      </c>
      <c r="R150" s="9" t="str">
        <f>'BIO DATA'!Z150</f>
        <v>JL SINANJER SDN 1 CLAPAR MADUKARA BANJARNEGARA</v>
      </c>
      <c r="S150" s="9">
        <f>'BIO DATA'!AA150</f>
        <v>0</v>
      </c>
      <c r="T150" s="9" t="str">
        <f>'BIO DATA'!AB150</f>
        <v>Eko Andri Saputra</v>
      </c>
      <c r="U150" s="9" t="str">
        <f>'BIO DATA'!AC150</f>
        <v>Islam</v>
      </c>
      <c r="V150" s="9" t="str">
        <f>'BIO DATA'!AD150</f>
        <v>S1</v>
      </c>
      <c r="W150" s="9" t="str">
        <f>'BIO DATA'!AE150</f>
        <v>Pegawai Swasta</v>
      </c>
      <c r="X150" s="9" t="str">
        <f>'BIO DATA'!AF150</f>
        <v>5jt-10jt</v>
      </c>
      <c r="Y150" s="144" t="str">
        <f>'BIO DATA'!AG150</f>
        <v>085718350205</v>
      </c>
      <c r="Z150" s="9">
        <f>'BIO DATA'!AH150</f>
        <v>0</v>
      </c>
      <c r="AA150" s="9" t="str">
        <f>'BIO DATA'!AI150</f>
        <v>Yayu Mutmainah</v>
      </c>
      <c r="AB150" s="9" t="str">
        <f>'BIO DATA'!AJ150</f>
        <v>Islam</v>
      </c>
      <c r="AC150" s="9" t="str">
        <f>'BIO DATA'!AK150</f>
        <v>S1</v>
      </c>
      <c r="AD150" s="9" t="str">
        <f>'BIO DATA'!AL150</f>
        <v>Pegawai Swasta</v>
      </c>
      <c r="AE150" s="9" t="str">
        <f>'BIO DATA'!AM150</f>
        <v>5jt-10jt</v>
      </c>
      <c r="AF150" s="49" t="str">
        <f>'BIO DATA'!AN150</f>
        <v>081389909752</v>
      </c>
      <c r="AG150" s="9">
        <f>'BIO DATA'!AO150</f>
        <v>0</v>
      </c>
      <c r="AH150" s="9">
        <f>'BIO DATA'!AY150</f>
        <v>0</v>
      </c>
      <c r="AI150" s="9">
        <f>'BIO DATA'!AZ150</f>
        <v>0</v>
      </c>
      <c r="AJ150" s="9">
        <f>'BIO DATA'!BA150</f>
        <v>0</v>
      </c>
      <c r="AK150" s="9">
        <f>'BIO DATA'!BB150</f>
        <v>0</v>
      </c>
      <c r="AL150" s="9">
        <f>'BIO DATA'!BC150</f>
        <v>0</v>
      </c>
      <c r="AM150" s="9">
        <f>'BIO DATA'!BD150</f>
        <v>0</v>
      </c>
      <c r="AN150" s="9">
        <f>'BIO DATA'!BE150</f>
        <v>0</v>
      </c>
      <c r="AO150" s="9">
        <f>'BIO DATA'!BF150</f>
        <v>0</v>
      </c>
      <c r="AP150" s="50" t="str">
        <f>'BIO DATA'!BG150</f>
        <v>R. Arief Toto Purwandaru, S.Pd.</v>
      </c>
    </row>
    <row r="151" spans="1:42" s="51" customFormat="1" ht="20.100000000000001" customHeight="1" thickBot="1">
      <c r="A151" s="15" t="s">
        <v>144</v>
      </c>
      <c r="B151">
        <v>257</v>
      </c>
      <c r="C151" s="116">
        <f>'BIO DATA'!C151</f>
        <v>12687</v>
      </c>
      <c r="D151" s="116" t="str">
        <f>'BIO DATA'!D151</f>
        <v>0138158648</v>
      </c>
      <c r="E151" s="115" t="str">
        <f>'BIO DATA'!E151</f>
        <v>Randa Kamil Bahta</v>
      </c>
      <c r="F151" s="46" t="str">
        <f>'BIO DATA'!L151</f>
        <v>Laki-laki</v>
      </c>
      <c r="G151" s="9" t="str">
        <f>'BIO DATA'!M151</f>
        <v>Jakarta</v>
      </c>
      <c r="H151" s="48">
        <f>'BIO DATA'!O151</f>
        <v>41634</v>
      </c>
      <c r="I151" s="46" t="str">
        <f>'BIO DATA'!R151</f>
        <v>Islam</v>
      </c>
      <c r="J151" s="47">
        <f>'BIO DATA'!I151</f>
        <v>1</v>
      </c>
      <c r="K151" s="47">
        <f>'BIO DATA'!J151</f>
        <v>4</v>
      </c>
      <c r="L151" s="9" t="str">
        <f>'BIO DATA'!S151</f>
        <v>Jalan Batumerah IV No. 47 RT 009 RW 02 Pejaten Timur Pasar Minggu, Jakarta Selatan DKI Jakarta</v>
      </c>
      <c r="M151" s="9" t="str">
        <f>'BIO DATA'!U151</f>
        <v>Pejaten Timur</v>
      </c>
      <c r="N151" s="9" t="str">
        <f>'BIO DATA'!V151</f>
        <v>Pasar Minggu</v>
      </c>
      <c r="O151" s="9" t="str">
        <f>'BIO DATA'!W151</f>
        <v>Jakarta Selatan</v>
      </c>
      <c r="P151" s="9" t="str">
        <f>'BIO DATA'!X151</f>
        <v>DKI Jakarta</v>
      </c>
      <c r="Q151" s="9" t="str">
        <f>'BIO DATA'!Y151</f>
        <v>SDN Rawajati 08</v>
      </c>
      <c r="R151" s="9" t="str">
        <f>'BIO DATA'!Z151</f>
        <v>Komplek Kalibata Indah - Jl. Semangka RT 015 RW 006 Kel. Rawajati Kec.Pancoran Jakarta Selatan</v>
      </c>
      <c r="S151" s="9">
        <f>'BIO DATA'!AA151</f>
        <v>0</v>
      </c>
      <c r="T151" s="9" t="str">
        <f>'BIO DATA'!AB151</f>
        <v>Sedek Bahta</v>
      </c>
      <c r="U151" s="9" t="str">
        <f>'BIO DATA'!AC151</f>
        <v>Islam</v>
      </c>
      <c r="V151" s="9" t="str">
        <f>'BIO DATA'!AD151</f>
        <v>S1</v>
      </c>
      <c r="W151" s="9" t="str">
        <f>'BIO DATA'!AE151</f>
        <v>Pengacara/Jaksa/Hakim/Notaris</v>
      </c>
      <c r="X151" s="9" t="str">
        <f>'BIO DATA'!AF151</f>
        <v>&gt;10jt</v>
      </c>
      <c r="Y151" s="144" t="str">
        <f>'BIO DATA'!AG151</f>
        <v>085194881881</v>
      </c>
      <c r="Z151" s="9">
        <f>'BIO DATA'!AH151</f>
        <v>0</v>
      </c>
      <c r="AA151" s="9" t="str">
        <f>'BIO DATA'!AI151</f>
        <v>Azizah Clarissa Randa</v>
      </c>
      <c r="AB151" s="9" t="str">
        <f>'BIO DATA'!AJ151</f>
        <v>Islam</v>
      </c>
      <c r="AC151" s="9" t="str">
        <f>'BIO DATA'!AK151</f>
        <v>S1</v>
      </c>
      <c r="AD151" s="9" t="str">
        <f>'BIO DATA'!AL151</f>
        <v>Wiraswasta</v>
      </c>
      <c r="AE151" s="9" t="str">
        <f>'BIO DATA'!AM151</f>
        <v>3jt-5jt</v>
      </c>
      <c r="AF151" s="49" t="str">
        <f>'BIO DATA'!AN151</f>
        <v>081312585086</v>
      </c>
      <c r="AG151" s="9">
        <f>'BIO DATA'!AO151</f>
        <v>0</v>
      </c>
      <c r="AH151" s="9">
        <f>'BIO DATA'!AY151</f>
        <v>0</v>
      </c>
      <c r="AI151" s="9">
        <f>'BIO DATA'!AZ151</f>
        <v>0</v>
      </c>
      <c r="AJ151" s="9">
        <f>'BIO DATA'!BA151</f>
        <v>0</v>
      </c>
      <c r="AK151" s="9">
        <f>'BIO DATA'!BB151</f>
        <v>0</v>
      </c>
      <c r="AL151" s="9">
        <f>'BIO DATA'!BC151</f>
        <v>0</v>
      </c>
      <c r="AM151" s="9">
        <f>'BIO DATA'!BD151</f>
        <v>0</v>
      </c>
      <c r="AN151" s="9">
        <f>'BIO DATA'!BE151</f>
        <v>0</v>
      </c>
      <c r="AO151" s="9">
        <f>'BIO DATA'!BF151</f>
        <v>0</v>
      </c>
      <c r="AP151" s="50" t="str">
        <f>'BIO DATA'!BG151</f>
        <v>R. Arief Toto Purwandaru, S.Pd.</v>
      </c>
    </row>
    <row r="152" spans="1:42" s="51" customFormat="1" ht="20.100000000000001" customHeight="1" thickBot="1">
      <c r="A152" s="15" t="s">
        <v>144</v>
      </c>
      <c r="B152">
        <v>269</v>
      </c>
      <c r="C152" s="116">
        <f>'BIO DATA'!C152</f>
        <v>12693</v>
      </c>
      <c r="D152" s="116" t="str">
        <f>'BIO DATA'!D152</f>
        <v>0138699898</v>
      </c>
      <c r="E152" s="115" t="str">
        <f>'BIO DATA'!E152</f>
        <v>Rayyan Al-Hamdy</v>
      </c>
      <c r="F152" s="46" t="str">
        <f>'BIO DATA'!L152</f>
        <v>Laki-laki</v>
      </c>
      <c r="G152" s="9" t="str">
        <f>'BIO DATA'!M152</f>
        <v>Sleman</v>
      </c>
      <c r="H152" s="48">
        <f>'BIO DATA'!O152</f>
        <v>41581</v>
      </c>
      <c r="I152" s="46" t="str">
        <f>'BIO DATA'!R152</f>
        <v>Islam</v>
      </c>
      <c r="J152" s="47">
        <f>'BIO DATA'!I152</f>
        <v>3</v>
      </c>
      <c r="K152" s="47">
        <f>'BIO DATA'!J152</f>
        <v>2</v>
      </c>
      <c r="L152" s="9" t="str">
        <f>'BIO DATA'!S152</f>
        <v>Rt.09.Rw.27, Nglempong Sari, Sariharjo, Ngaglik, Sleman DIY</v>
      </c>
      <c r="M152" s="9" t="str">
        <f>'BIO DATA'!U152</f>
        <v>Sariharjo</v>
      </c>
      <c r="N152" s="9" t="str">
        <f>'BIO DATA'!V152</f>
        <v>Ngaglik</v>
      </c>
      <c r="O152" s="9" t="str">
        <f>'BIO DATA'!W152</f>
        <v>Sleman</v>
      </c>
      <c r="P152" s="9" t="str">
        <f>'BIO DATA'!X152</f>
        <v>DIY</v>
      </c>
      <c r="Q152" s="9" t="str">
        <f>'BIO DATA'!Y152</f>
        <v>SD IT Taruna Al-Quran</v>
      </c>
      <c r="R152" s="9" t="str">
        <f>'BIO DATA'!Z152</f>
        <v>Jongkang, Sariharjo, Ngaglik, Sleman, DIY</v>
      </c>
      <c r="S152" s="9">
        <f>'BIO DATA'!AA152</f>
        <v>0</v>
      </c>
      <c r="T152" s="9" t="str">
        <f>'BIO DATA'!AB152</f>
        <v>Priyono</v>
      </c>
      <c r="U152" s="9" t="str">
        <f>'BIO DATA'!AC152</f>
        <v>Islam</v>
      </c>
      <c r="V152" s="9" t="str">
        <f>'BIO DATA'!AD152</f>
        <v>SMA/SMK/MA</v>
      </c>
      <c r="W152" s="9" t="str">
        <f>'BIO DATA'!AE152</f>
        <v>Pegawai Swasta</v>
      </c>
      <c r="X152" s="9" t="str">
        <f>'BIO DATA'!AF152</f>
        <v>1jt-3jt</v>
      </c>
      <c r="Y152" s="144" t="str">
        <f>'BIO DATA'!AG152</f>
        <v>081947073865</v>
      </c>
      <c r="Z152" s="9">
        <f>'BIO DATA'!AH152</f>
        <v>0</v>
      </c>
      <c r="AA152" s="9" t="str">
        <f>'BIO DATA'!AI152</f>
        <v>Sampuni</v>
      </c>
      <c r="AB152" s="9" t="str">
        <f>'BIO DATA'!AJ152</f>
        <v>Islam</v>
      </c>
      <c r="AC152" s="9" t="str">
        <f>'BIO DATA'!AK152</f>
        <v>SD/MI</v>
      </c>
      <c r="AD152" s="9" t="str">
        <f>'BIO DATA'!AL152</f>
        <v>Wiraswasta</v>
      </c>
      <c r="AE152" s="9" t="str">
        <f>'BIO DATA'!AM152</f>
        <v>500-1jt</v>
      </c>
      <c r="AF152" s="49" t="str">
        <f>'BIO DATA'!AN152</f>
        <v>085101807824</v>
      </c>
      <c r="AG152" s="9">
        <f>'BIO DATA'!AO152</f>
        <v>0</v>
      </c>
      <c r="AH152" s="9">
        <f>'BIO DATA'!AY152</f>
        <v>0</v>
      </c>
      <c r="AI152" s="9">
        <f>'BIO DATA'!AZ152</f>
        <v>0</v>
      </c>
      <c r="AJ152" s="9">
        <f>'BIO DATA'!BA152</f>
        <v>0</v>
      </c>
      <c r="AK152" s="9">
        <f>'BIO DATA'!BB152</f>
        <v>0</v>
      </c>
      <c r="AL152" s="9">
        <f>'BIO DATA'!BC152</f>
        <v>0</v>
      </c>
      <c r="AM152" s="9">
        <f>'BIO DATA'!BD152</f>
        <v>0</v>
      </c>
      <c r="AN152" s="9">
        <f>'BIO DATA'!BE152</f>
        <v>0</v>
      </c>
      <c r="AO152" s="9">
        <f>'BIO DATA'!BF152</f>
        <v>0</v>
      </c>
      <c r="AP152" s="50" t="str">
        <f>'BIO DATA'!BG152</f>
        <v>R. Arief Toto Purwandaru, S.Pd.</v>
      </c>
    </row>
    <row r="153" spans="1:42" s="51" customFormat="1" ht="20.100000000000001" customHeight="1" thickBot="1">
      <c r="A153" s="15" t="s">
        <v>144</v>
      </c>
      <c r="B153">
        <v>271</v>
      </c>
      <c r="C153" s="116">
        <f>'BIO DATA'!C153</f>
        <v>12708</v>
      </c>
      <c r="D153" s="116" t="str">
        <f>'BIO DATA'!D153</f>
        <v>0137655050</v>
      </c>
      <c r="E153" s="115" t="str">
        <f>'BIO DATA'!E153</f>
        <v>Syauqi Musyaffa Fikri</v>
      </c>
      <c r="F153" s="46" t="str">
        <f>'BIO DATA'!L153</f>
        <v>Laki-laki</v>
      </c>
      <c r="G153" s="9" t="str">
        <f>'BIO DATA'!M153</f>
        <v>Jombang</v>
      </c>
      <c r="H153" s="48">
        <f>'BIO DATA'!O153</f>
        <v>41549</v>
      </c>
      <c r="I153" s="46" t="str">
        <f>'BIO DATA'!R153</f>
        <v>Islam</v>
      </c>
      <c r="J153" s="47">
        <f>'BIO DATA'!I153</f>
        <v>1</v>
      </c>
      <c r="K153" s="47">
        <f>'BIO DATA'!J153</f>
        <v>2</v>
      </c>
      <c r="L153" s="9" t="str">
        <f>'BIO DATA'!S153</f>
        <v>Dsn.Sumberbendo 8/5 Ds.Jogoroto Kec.Jogoroto Kab Jombang Jawa Timur</v>
      </c>
      <c r="M153" s="9" t="str">
        <f>'BIO DATA'!U153</f>
        <v>Jogoroto</v>
      </c>
      <c r="N153" s="9" t="str">
        <f>'BIO DATA'!V153</f>
        <v>Jogoroto</v>
      </c>
      <c r="O153" s="9" t="str">
        <f>'BIO DATA'!W153</f>
        <v>Jombang</v>
      </c>
      <c r="P153" s="9" t="str">
        <f>'BIO DATA'!X153</f>
        <v>Jawa Timur</v>
      </c>
      <c r="Q153" s="9" t="str">
        <f>'BIO DATA'!Y153</f>
        <v>MI Muhammadiyah 03 Jogoroto</v>
      </c>
      <c r="R153" s="9" t="str">
        <f>'BIO DATA'!Z153</f>
        <v>Jl. Raya Jogoroto no.78. Desa/Kelurahan: JOGOROTO, Kecamatan: KEC. JOGOROTO, KAB. JOMBANG, PROV. JAWA TIMUR</v>
      </c>
      <c r="S153" s="9">
        <f>'BIO DATA'!AA153</f>
        <v>0</v>
      </c>
      <c r="T153" s="9" t="str">
        <f>'BIO DATA'!AB153</f>
        <v>Fikri Mubarok</v>
      </c>
      <c r="U153" s="9" t="str">
        <f>'BIO DATA'!AC153</f>
        <v>Islam</v>
      </c>
      <c r="V153" s="9" t="str">
        <f>'BIO DATA'!AD153</f>
        <v>S1</v>
      </c>
      <c r="W153" s="9" t="str">
        <f>'BIO DATA'!AE153</f>
        <v>PNS</v>
      </c>
      <c r="X153" s="9" t="str">
        <f>'BIO DATA'!AF153</f>
        <v>3jt-5jt</v>
      </c>
      <c r="Y153" s="144" t="str">
        <f>'BIO DATA'!AG153</f>
        <v>081216308422</v>
      </c>
      <c r="Z153" s="9">
        <f>'BIO DATA'!AH153</f>
        <v>0</v>
      </c>
      <c r="AA153" s="9" t="str">
        <f>'BIO DATA'!AI153</f>
        <v>Lily Suprapti</v>
      </c>
      <c r="AB153" s="9" t="str">
        <f>'BIO DATA'!AJ153</f>
        <v>Islam</v>
      </c>
      <c r="AC153" s="9" t="str">
        <f>'BIO DATA'!AK153</f>
        <v>DIPLOMA</v>
      </c>
      <c r="AD153" s="9" t="str">
        <f>'BIO DATA'!AL153</f>
        <v>Lain-lain</v>
      </c>
      <c r="AE153" s="9" t="str">
        <f>'BIO DATA'!AM153</f>
        <v>3jt-5jt</v>
      </c>
      <c r="AF153" s="49" t="str">
        <f>'BIO DATA'!AN153</f>
        <v>08122546161</v>
      </c>
      <c r="AG153" s="9">
        <f>'BIO DATA'!AO153</f>
        <v>0</v>
      </c>
      <c r="AH153" s="9">
        <f>'BIO DATA'!AY153</f>
        <v>0</v>
      </c>
      <c r="AI153" s="9">
        <f>'BIO DATA'!AZ153</f>
        <v>0</v>
      </c>
      <c r="AJ153" s="9">
        <f>'BIO DATA'!BA153</f>
        <v>0</v>
      </c>
      <c r="AK153" s="9">
        <f>'BIO DATA'!BB153</f>
        <v>0</v>
      </c>
      <c r="AL153" s="9">
        <f>'BIO DATA'!BC153</f>
        <v>0</v>
      </c>
      <c r="AM153" s="9">
        <f>'BIO DATA'!BD153</f>
        <v>0</v>
      </c>
      <c r="AN153" s="9">
        <f>'BIO DATA'!BE153</f>
        <v>0</v>
      </c>
      <c r="AO153" s="9">
        <f>'BIO DATA'!BF153</f>
        <v>0</v>
      </c>
      <c r="AP153" s="50" t="str">
        <f>'BIO DATA'!BG153</f>
        <v>R. Arief Toto Purwandaru, S.Pd.</v>
      </c>
    </row>
    <row r="154" spans="1:42" s="51" customFormat="1" ht="20.100000000000001" customHeight="1" thickBot="1">
      <c r="A154" s="19" t="s">
        <v>141</v>
      </c>
      <c r="B154">
        <v>285</v>
      </c>
      <c r="C154" s="116">
        <f>'BIO DATA'!C154</f>
        <v>12464</v>
      </c>
      <c r="D154" s="116" t="str">
        <f>'BIO DATA'!D154</f>
        <v>0139496509</v>
      </c>
      <c r="E154" s="115" t="str">
        <f>'BIO DATA'!E154</f>
        <v>Acapella Akbar Alhafizh Hartono</v>
      </c>
      <c r="F154" s="46" t="str">
        <f>'BIO DATA'!L154</f>
        <v>Laki-laki</v>
      </c>
      <c r="G154" s="9" t="str">
        <f>'BIO DATA'!M154</f>
        <v>Temanggung</v>
      </c>
      <c r="H154" s="48">
        <f>'BIO DATA'!O154</f>
        <v>41555</v>
      </c>
      <c r="I154" s="46" t="str">
        <f>'BIO DATA'!R154</f>
        <v>Islam</v>
      </c>
      <c r="J154" s="47">
        <f>'BIO DATA'!I154</f>
        <v>1</v>
      </c>
      <c r="K154" s="47">
        <f>'BIO DATA'!J154</f>
        <v>2</v>
      </c>
      <c r="L154" s="9" t="str">
        <f>'BIO DATA'!S154</f>
        <v>Jambenom 01/02,Larangan Luwok, Bejen, Temanggung</v>
      </c>
      <c r="M154" s="9" t="str">
        <f>'BIO DATA'!U154</f>
        <v>Luwok</v>
      </c>
      <c r="N154" s="9" t="str">
        <f>'BIO DATA'!V154</f>
        <v>Bejen</v>
      </c>
      <c r="O154" s="9" t="str">
        <f>'BIO DATA'!W154</f>
        <v>Temanggung</v>
      </c>
      <c r="P154" s="9" t="str">
        <f>'BIO DATA'!X154</f>
        <v>Jawa Tengah</v>
      </c>
      <c r="Q154" s="9" t="str">
        <f>'BIO DATA'!Y154</f>
        <v>SD Muhammadiyah Parakan</v>
      </c>
      <c r="R154" s="9" t="str">
        <f>'BIO DATA'!Z154</f>
        <v>jln raya kedu km 2, Candimulyo, Bulu, Temanggung</v>
      </c>
      <c r="S154" s="9">
        <f>'BIO DATA'!AA154</f>
        <v>0</v>
      </c>
      <c r="T154" s="9" t="str">
        <f>'BIO DATA'!AB154</f>
        <v>Arif Hartono</v>
      </c>
      <c r="U154" s="9" t="str">
        <f>'BIO DATA'!AC154</f>
        <v>Islam</v>
      </c>
      <c r="V154" s="9" t="str">
        <f>'BIO DATA'!AD154</f>
        <v>S2</v>
      </c>
      <c r="W154" s="9" t="str">
        <f>'BIO DATA'!AE154</f>
        <v>Pegawai Swasta</v>
      </c>
      <c r="X154" s="9" t="str">
        <f>'BIO DATA'!AF154</f>
        <v>5jt-10jt</v>
      </c>
      <c r="Y154" s="144" t="str">
        <f>'BIO DATA'!AG154</f>
        <v>081365492994</v>
      </c>
      <c r="Z154" s="9">
        <f>'BIO DATA'!AH154</f>
        <v>0</v>
      </c>
      <c r="AA154" s="9" t="str">
        <f>'BIO DATA'!AI154</f>
        <v>Etik Suwarni</v>
      </c>
      <c r="AB154" s="9" t="str">
        <f>'BIO DATA'!AJ154</f>
        <v>Islam</v>
      </c>
      <c r="AC154" s="9" t="str">
        <f>'BIO DATA'!AK154</f>
        <v>S1</v>
      </c>
      <c r="AD154" s="9" t="str">
        <f>'BIO DATA'!AL154</f>
        <v>PNS</v>
      </c>
      <c r="AE154" s="9" t="str">
        <f>'BIO DATA'!AM154</f>
        <v>3jt-5jt</v>
      </c>
      <c r="AF154" s="49" t="str">
        <f>'BIO DATA'!AN154</f>
        <v>08816564404</v>
      </c>
      <c r="AG154" s="9">
        <f>'BIO DATA'!AO154</f>
        <v>0</v>
      </c>
      <c r="AH154" s="9">
        <f>'BIO DATA'!AY154</f>
        <v>0</v>
      </c>
      <c r="AI154" s="9">
        <f>'BIO DATA'!AZ154</f>
        <v>0</v>
      </c>
      <c r="AJ154" s="9">
        <f>'BIO DATA'!BA154</f>
        <v>0</v>
      </c>
      <c r="AK154" s="9">
        <f>'BIO DATA'!BB154</f>
        <v>0</v>
      </c>
      <c r="AL154" s="9">
        <f>'BIO DATA'!BC154</f>
        <v>0</v>
      </c>
      <c r="AM154" s="9">
        <f>'BIO DATA'!BD154</f>
        <v>0</v>
      </c>
      <c r="AN154" s="9">
        <f>'BIO DATA'!BE154</f>
        <v>0</v>
      </c>
      <c r="AO154" s="9">
        <f>'BIO DATA'!BF154</f>
        <v>0</v>
      </c>
      <c r="AP154" s="50" t="str">
        <f>'BIO DATA'!BG154</f>
        <v>Ahmad Afifuddin Syarif, S.Pd.</v>
      </c>
    </row>
    <row r="155" spans="1:42" s="51" customFormat="1" ht="20.100000000000001" customHeight="1" thickBot="1">
      <c r="A155" s="19" t="s">
        <v>141</v>
      </c>
      <c r="B155">
        <v>5</v>
      </c>
      <c r="C155" s="116">
        <f>'BIO DATA'!C155</f>
        <v>12467</v>
      </c>
      <c r="D155" s="116" t="str">
        <f>'BIO DATA'!D155</f>
        <v>0129758535</v>
      </c>
      <c r="E155" s="115" t="str">
        <f>'BIO DATA'!E155</f>
        <v>Aditya Ainurrahman</v>
      </c>
      <c r="F155" s="46" t="str">
        <f>'BIO DATA'!L155</f>
        <v>Laki-laki</v>
      </c>
      <c r="G155" s="9" t="str">
        <f>'BIO DATA'!M155</f>
        <v>Yogyakarta</v>
      </c>
      <c r="H155" s="48">
        <f>'BIO DATA'!O155</f>
        <v>41564</v>
      </c>
      <c r="I155" s="46" t="str">
        <f>'BIO DATA'!R155</f>
        <v>Islam</v>
      </c>
      <c r="J155" s="47">
        <f>'BIO DATA'!I155</f>
        <v>4</v>
      </c>
      <c r="K155" s="47">
        <f>'BIO DATA'!J155</f>
        <v>3</v>
      </c>
      <c r="L155" s="9" t="str">
        <f>'BIO DATA'!S155</f>
        <v>Nitikan UH.6/488.RT.48.RW.12.Sorosutan Umbulharjo Yokyakarta 55162</v>
      </c>
      <c r="M155" s="9" t="str">
        <f>'BIO DATA'!U155</f>
        <v>Sorosutan</v>
      </c>
      <c r="N155" s="9" t="str">
        <f>'BIO DATA'!V155</f>
        <v>Umbulharjo</v>
      </c>
      <c r="O155" s="9" t="str">
        <f>'BIO DATA'!W155</f>
        <v>Kota Yogyakarta</v>
      </c>
      <c r="P155" s="9" t="str">
        <f>'BIO DATA'!X155</f>
        <v>DIY</v>
      </c>
      <c r="Q155" s="9" t="str">
        <f>'BIO DATA'!Y155</f>
        <v>SD Muhammadiyah Pakel Program Plus</v>
      </c>
      <c r="R155" s="9" t="str">
        <f>'BIO DATA'!Z155</f>
        <v>Jl. Pakel Baru No. 40 Sorosutan Umbul Harjo Yogyakarta</v>
      </c>
      <c r="S155" s="9">
        <f>'BIO DATA'!AA155</f>
        <v>0</v>
      </c>
      <c r="T155" s="9" t="str">
        <f>'BIO DATA'!AB155</f>
        <v>Barwanto</v>
      </c>
      <c r="U155" s="9" t="str">
        <f>'BIO DATA'!AC155</f>
        <v>Islam</v>
      </c>
      <c r="V155" s="9" t="str">
        <f>'BIO DATA'!AD155</f>
        <v>S2</v>
      </c>
      <c r="W155" s="9" t="str">
        <f>'BIO DATA'!AE155</f>
        <v>PNS</v>
      </c>
      <c r="X155" s="9" t="str">
        <f>'BIO DATA'!AF155</f>
        <v>&gt;10jt</v>
      </c>
      <c r="Y155" s="144" t="str">
        <f>'BIO DATA'!AG155</f>
        <v>08123893624</v>
      </c>
      <c r="Z155" s="9">
        <f>'BIO DATA'!AH155</f>
        <v>0</v>
      </c>
      <c r="AA155" s="9" t="str">
        <f>'BIO DATA'!AI155</f>
        <v>Sartini</v>
      </c>
      <c r="AB155" s="9" t="str">
        <f>'BIO DATA'!AJ155</f>
        <v>Islam</v>
      </c>
      <c r="AC155" s="9" t="str">
        <f>'BIO DATA'!AK155</f>
        <v>S1</v>
      </c>
      <c r="AD155" s="9" t="str">
        <f>'BIO DATA'!AL155</f>
        <v>Lain-lain</v>
      </c>
      <c r="AE155" s="9" t="str">
        <f>'BIO DATA'!AM155</f>
        <v>&lt; 500rb</v>
      </c>
      <c r="AF155" s="49" t="str">
        <f>'BIO DATA'!AN155</f>
        <v>082325055044</v>
      </c>
      <c r="AG155" s="9">
        <f>'BIO DATA'!AO155</f>
        <v>0</v>
      </c>
      <c r="AH155" s="9">
        <f>'BIO DATA'!AY155</f>
        <v>0</v>
      </c>
      <c r="AI155" s="9">
        <f>'BIO DATA'!AZ155</f>
        <v>0</v>
      </c>
      <c r="AJ155" s="9">
        <f>'BIO DATA'!BA155</f>
        <v>0</v>
      </c>
      <c r="AK155" s="9">
        <f>'BIO DATA'!BB155</f>
        <v>0</v>
      </c>
      <c r="AL155" s="9">
        <f>'BIO DATA'!BC155</f>
        <v>0</v>
      </c>
      <c r="AM155" s="9">
        <f>'BIO DATA'!BD155</f>
        <v>0</v>
      </c>
      <c r="AN155" s="9">
        <f>'BIO DATA'!BE155</f>
        <v>0</v>
      </c>
      <c r="AO155" s="9">
        <f>'BIO DATA'!BF155</f>
        <v>0</v>
      </c>
      <c r="AP155" s="50" t="str">
        <f>'BIO DATA'!BG155</f>
        <v>Ahmad Afifuddin Syarif, S.Pd.</v>
      </c>
    </row>
    <row r="156" spans="1:42" s="51" customFormat="1" ht="20.100000000000001" customHeight="1" thickBot="1">
      <c r="A156" s="19" t="s">
        <v>141</v>
      </c>
      <c r="B156">
        <v>19</v>
      </c>
      <c r="C156" s="116">
        <f>'BIO DATA'!C156</f>
        <v>12472</v>
      </c>
      <c r="D156" s="116" t="str">
        <f>'BIO DATA'!D156</f>
        <v>0148169252</v>
      </c>
      <c r="E156" s="115" t="str">
        <f>'BIO DATA'!E156</f>
        <v>Agna Nizama Khalif Diniy Adz Zaki</v>
      </c>
      <c r="F156" s="46" t="str">
        <f>'BIO DATA'!L156</f>
        <v>Laki-laki</v>
      </c>
      <c r="G156" s="9" t="str">
        <f>'BIO DATA'!M156</f>
        <v>Balangan</v>
      </c>
      <c r="H156" s="48">
        <f>'BIO DATA'!O156</f>
        <v>41738</v>
      </c>
      <c r="I156" s="46" t="str">
        <f>'BIO DATA'!R156</f>
        <v>Islam</v>
      </c>
      <c r="J156" s="47">
        <f>'BIO DATA'!I156</f>
        <v>1</v>
      </c>
      <c r="K156" s="47">
        <f>'BIO DATA'!J156</f>
        <v>2</v>
      </c>
      <c r="L156" s="9" t="str">
        <f>'BIO DATA'!S156</f>
        <v>Jl.Merdeka RT.VI RW.III No.23 Kelurahan Paringin Kota Kecamatan Paringin Kabupaten Balangan Provinsi Kalimantan Selatan</v>
      </c>
      <c r="M156" s="9" t="str">
        <f>'BIO DATA'!U156</f>
        <v>Paringin</v>
      </c>
      <c r="N156" s="9" t="str">
        <f>'BIO DATA'!V156</f>
        <v>Paringin</v>
      </c>
      <c r="O156" s="9" t="str">
        <f>'BIO DATA'!W156</f>
        <v>Balangan</v>
      </c>
      <c r="P156" s="9" t="str">
        <f>'BIO DATA'!X156</f>
        <v>Kalimantan Selatan</v>
      </c>
      <c r="Q156" s="9" t="str">
        <f>'BIO DATA'!Y156</f>
        <v>SDI Al-Istiqomah</v>
      </c>
      <c r="R156" s="9" t="str">
        <f>'BIO DATA'!Z156</f>
        <v>Jl.Lingkar RT.XI Kelurahan Paringin Kota Kecamatan Paringin Kabupaten Balangan Provinsi Kalimantan Selatan</v>
      </c>
      <c r="S156" s="9">
        <f>'BIO DATA'!AA156</f>
        <v>0</v>
      </c>
      <c r="T156" s="9" t="str">
        <f>'BIO DATA'!AB156</f>
        <v>Zaki Mubarak</v>
      </c>
      <c r="U156" s="9" t="str">
        <f>'BIO DATA'!AC156</f>
        <v>Islam</v>
      </c>
      <c r="V156" s="9" t="str">
        <f>'BIO DATA'!AD156</f>
        <v>S1</v>
      </c>
      <c r="W156" s="9" t="str">
        <f>'BIO DATA'!AE156</f>
        <v>Lain-lain</v>
      </c>
      <c r="X156" s="9" t="str">
        <f>'BIO DATA'!AF156</f>
        <v>1jt-3jt</v>
      </c>
      <c r="Y156" s="144" t="str">
        <f>'BIO DATA'!AG156</f>
        <v>081348799107</v>
      </c>
      <c r="Z156" s="9">
        <f>'BIO DATA'!AH156</f>
        <v>0</v>
      </c>
      <c r="AA156" s="9" t="str">
        <f>'BIO DATA'!AI156</f>
        <v>Mardhatina Diniy</v>
      </c>
      <c r="AB156" s="9" t="str">
        <f>'BIO DATA'!AJ156</f>
        <v>Islam</v>
      </c>
      <c r="AC156" s="9" t="str">
        <f>'BIO DATA'!AK156</f>
        <v>S1</v>
      </c>
      <c r="AD156" s="9" t="str">
        <f>'BIO DATA'!AL156</f>
        <v>Lain-lain</v>
      </c>
      <c r="AE156" s="9" t="str">
        <f>'BIO DATA'!AM156</f>
        <v>3jt-5jt</v>
      </c>
      <c r="AF156" s="49" t="str">
        <f>'BIO DATA'!AN156</f>
        <v>081253302964</v>
      </c>
      <c r="AG156" s="9">
        <f>'BIO DATA'!AO156</f>
        <v>0</v>
      </c>
      <c r="AH156" s="9">
        <f>'BIO DATA'!AY156</f>
        <v>0</v>
      </c>
      <c r="AI156" s="9">
        <f>'BIO DATA'!AZ156</f>
        <v>0</v>
      </c>
      <c r="AJ156" s="9">
        <f>'BIO DATA'!BA156</f>
        <v>0</v>
      </c>
      <c r="AK156" s="9">
        <f>'BIO DATA'!BB156</f>
        <v>0</v>
      </c>
      <c r="AL156" s="9">
        <f>'BIO DATA'!BC156</f>
        <v>0</v>
      </c>
      <c r="AM156" s="9">
        <f>'BIO DATA'!BD156</f>
        <v>0</v>
      </c>
      <c r="AN156" s="9">
        <f>'BIO DATA'!BE156</f>
        <v>0</v>
      </c>
      <c r="AO156" s="9">
        <f>'BIO DATA'!BF156</f>
        <v>0</v>
      </c>
      <c r="AP156" s="50" t="str">
        <f>'BIO DATA'!BG156</f>
        <v>Ahmad Afifuddin Syarif, S.Pd.</v>
      </c>
    </row>
    <row r="157" spans="1:42" s="51" customFormat="1" ht="20.100000000000001" customHeight="1" thickBot="1">
      <c r="A157" s="19" t="s">
        <v>141</v>
      </c>
      <c r="B157">
        <v>26</v>
      </c>
      <c r="C157" s="116">
        <f>'BIO DATA'!C157</f>
        <v>12476</v>
      </c>
      <c r="D157" s="116" t="str">
        <f>'BIO DATA'!D157</f>
        <v>0144344793</v>
      </c>
      <c r="E157" s="115" t="str">
        <f>'BIO DATA'!E157</f>
        <v>Ahmad Kenzie Kayana</v>
      </c>
      <c r="F157" s="46" t="str">
        <f>'BIO DATA'!L157</f>
        <v>Laki-laki</v>
      </c>
      <c r="G157" s="9" t="str">
        <f>'BIO DATA'!M157</f>
        <v>Semarang</v>
      </c>
      <c r="H157" s="48">
        <f>'BIO DATA'!O157</f>
        <v>41679</v>
      </c>
      <c r="I157" s="46" t="str">
        <f>'BIO DATA'!R157</f>
        <v>Islam</v>
      </c>
      <c r="J157" s="47">
        <f>'BIO DATA'!I157</f>
        <v>1</v>
      </c>
      <c r="K157" s="47">
        <f>'BIO DATA'!J157</f>
        <v>1</v>
      </c>
      <c r="L157" s="9" t="str">
        <f>'BIO DATA'!S157</f>
        <v>Pandana Merdeka Blok P26 Bringin, Ngaliyan, Semarang</v>
      </c>
      <c r="M157" s="9" t="str">
        <f>'BIO DATA'!U157</f>
        <v>Bringin</v>
      </c>
      <c r="N157" s="9" t="str">
        <f>'BIO DATA'!V157</f>
        <v>Ngaliyan</v>
      </c>
      <c r="O157" s="9" t="str">
        <f>'BIO DATA'!W157</f>
        <v>Kota Semarang</v>
      </c>
      <c r="P157" s="9" t="str">
        <f>'BIO DATA'!X157</f>
        <v>Jawa Tengah</v>
      </c>
      <c r="Q157" s="9" t="str">
        <f>'BIO DATA'!Y157</f>
        <v>SD Islam Hidayatullah</v>
      </c>
      <c r="R157" s="9" t="str">
        <f>'BIO DATA'!Z157</f>
        <v>Jl. Durian Selatan I No.6, Srondol Wetan, Kec. Banyumanik, Kota Semarang, Jawa Tengah</v>
      </c>
      <c r="S157" s="9">
        <f>'BIO DATA'!AA157</f>
        <v>0</v>
      </c>
      <c r="T157" s="9" t="str">
        <f>'BIO DATA'!AB157</f>
        <v>Jauhari Ahmad</v>
      </c>
      <c r="U157" s="9" t="str">
        <f>'BIO DATA'!AC157</f>
        <v>Islam</v>
      </c>
      <c r="V157" s="9" t="str">
        <f>'BIO DATA'!AD157</f>
        <v>S1</v>
      </c>
      <c r="W157" s="9" t="str">
        <f>'BIO DATA'!AE157</f>
        <v>Wiraswasta</v>
      </c>
      <c r="X157" s="9" t="str">
        <f>'BIO DATA'!AF157</f>
        <v>5jt-10jt</v>
      </c>
      <c r="Y157" s="144" t="str">
        <f>'BIO DATA'!AG157</f>
        <v>081225825860</v>
      </c>
      <c r="Z157" s="9">
        <f>'BIO DATA'!AH157</f>
        <v>0</v>
      </c>
      <c r="AA157" s="9" t="str">
        <f>'BIO DATA'!AI157</f>
        <v>Annisa Fitria Emmuty</v>
      </c>
      <c r="AB157" s="9" t="str">
        <f>'BIO DATA'!AJ157</f>
        <v>Islam</v>
      </c>
      <c r="AC157" s="9" t="str">
        <f>'BIO DATA'!AK157</f>
        <v>S1</v>
      </c>
      <c r="AD157" s="9" t="str">
        <f>'BIO DATA'!AL157</f>
        <v>Tidak Bekerja</v>
      </c>
      <c r="AE157" s="9" t="str">
        <f>'BIO DATA'!AM157</f>
        <v>&lt; 500rb</v>
      </c>
      <c r="AF157" s="49" t="str">
        <f>'BIO DATA'!AN157</f>
        <v>081225000272</v>
      </c>
      <c r="AG157" s="9">
        <f>'BIO DATA'!AO157</f>
        <v>0</v>
      </c>
      <c r="AH157" s="9">
        <f>'BIO DATA'!AY157</f>
        <v>0</v>
      </c>
      <c r="AI157" s="9">
        <f>'BIO DATA'!AZ157</f>
        <v>0</v>
      </c>
      <c r="AJ157" s="9">
        <f>'BIO DATA'!BA157</f>
        <v>0</v>
      </c>
      <c r="AK157" s="9">
        <f>'BIO DATA'!BB157</f>
        <v>0</v>
      </c>
      <c r="AL157" s="9">
        <f>'BIO DATA'!BC157</f>
        <v>0</v>
      </c>
      <c r="AM157" s="9">
        <f>'BIO DATA'!BD157</f>
        <v>0</v>
      </c>
      <c r="AN157" s="9">
        <f>'BIO DATA'!BE157</f>
        <v>0</v>
      </c>
      <c r="AO157" s="9">
        <f>'BIO DATA'!BF157</f>
        <v>0</v>
      </c>
      <c r="AP157" s="50" t="str">
        <f>'BIO DATA'!BG157</f>
        <v>Ahmad Afifuddin Syarif, S.Pd.</v>
      </c>
    </row>
    <row r="158" spans="1:42" s="51" customFormat="1" ht="20.100000000000001" customHeight="1" thickBot="1">
      <c r="A158" s="19" t="s">
        <v>141</v>
      </c>
      <c r="B158">
        <v>65</v>
      </c>
      <c r="C158" s="116">
        <f>'BIO DATA'!C158</f>
        <v>12480</v>
      </c>
      <c r="D158" s="116" t="str">
        <f>'BIO DATA'!D158</f>
        <v>0131959527</v>
      </c>
      <c r="E158" s="115" t="str">
        <f>'BIO DATA'!E158</f>
        <v>Ahsan El Amin</v>
      </c>
      <c r="F158" s="46" t="str">
        <f>'BIO DATA'!L158</f>
        <v>Laki-laki</v>
      </c>
      <c r="G158" s="9" t="str">
        <f>'BIO DATA'!M158</f>
        <v>Yogyakarta</v>
      </c>
      <c r="H158" s="48">
        <f>'BIO DATA'!O158</f>
        <v>41611</v>
      </c>
      <c r="I158" s="46" t="str">
        <f>'BIO DATA'!R158</f>
        <v>Islam</v>
      </c>
      <c r="J158" s="47">
        <f>'BIO DATA'!I158</f>
        <v>3</v>
      </c>
      <c r="K158" s="47">
        <f>'BIO DATA'!J158</f>
        <v>2</v>
      </c>
      <c r="L158" s="9" t="str">
        <f>'BIO DATA'!S158</f>
        <v>Peleman Kidul RT 09, Bangunjiwo, Kasihan , Bantul DIY</v>
      </c>
      <c r="M158" s="9" t="str">
        <f>'BIO DATA'!U158</f>
        <v>Bangunjiwo</v>
      </c>
      <c r="N158" s="9" t="str">
        <f>'BIO DATA'!V158</f>
        <v>Kasihan</v>
      </c>
      <c r="O158" s="9" t="str">
        <f>'BIO DATA'!W158</f>
        <v>Bantul</v>
      </c>
      <c r="P158" s="9" t="str">
        <f>'BIO DATA'!X158</f>
        <v>DIY</v>
      </c>
      <c r="Q158" s="9" t="str">
        <f>'BIO DATA'!Y158</f>
        <v>SDIT Insan Utama</v>
      </c>
      <c r="R158" s="9">
        <f>'BIO DATA'!Z158</f>
        <v>0</v>
      </c>
      <c r="S158" s="9">
        <f>'BIO DATA'!AA158</f>
        <v>0</v>
      </c>
      <c r="T158" s="9" t="str">
        <f>'BIO DATA'!AB158</f>
        <v>Sumaryono</v>
      </c>
      <c r="U158" s="9" t="str">
        <f>'BIO DATA'!AC158</f>
        <v>Islam</v>
      </c>
      <c r="V158" s="9" t="str">
        <f>'BIO DATA'!AD158</f>
        <v>DIPLOMA</v>
      </c>
      <c r="W158" s="9" t="str">
        <f>'BIO DATA'!AE158</f>
        <v>Karyawan Swasta</v>
      </c>
      <c r="X158" s="9">
        <f>'BIO DATA'!AF158</f>
        <v>0</v>
      </c>
      <c r="Y158" s="144" t="str">
        <f>'BIO DATA'!AG158</f>
        <v>087838149459</v>
      </c>
      <c r="Z158" s="9">
        <f>'BIO DATA'!AH158</f>
        <v>0</v>
      </c>
      <c r="AA158" s="9" t="str">
        <f>'BIO DATA'!AI158</f>
        <v>Krisnawati</v>
      </c>
      <c r="AB158" s="9" t="str">
        <f>'BIO DATA'!AJ158</f>
        <v>Islam</v>
      </c>
      <c r="AC158" s="9" t="str">
        <f>'BIO DATA'!AK158</f>
        <v>SLTA</v>
      </c>
      <c r="AD158" s="9" t="str">
        <f>'BIO DATA'!AL158</f>
        <v>Karyawan Swasta</v>
      </c>
      <c r="AE158" s="9">
        <f>'BIO DATA'!AM158</f>
        <v>0</v>
      </c>
      <c r="AF158" s="49" t="str">
        <f>'BIO DATA'!AN158</f>
        <v>0896-7158-88</v>
      </c>
      <c r="AG158" s="9">
        <f>'BIO DATA'!AO158</f>
        <v>0</v>
      </c>
      <c r="AH158" s="9">
        <f>'BIO DATA'!AY158</f>
        <v>0</v>
      </c>
      <c r="AI158" s="9">
        <f>'BIO DATA'!AZ158</f>
        <v>0</v>
      </c>
      <c r="AJ158" s="9">
        <f>'BIO DATA'!BA158</f>
        <v>0</v>
      </c>
      <c r="AK158" s="9">
        <f>'BIO DATA'!BB158</f>
        <v>0</v>
      </c>
      <c r="AL158" s="9">
        <f>'BIO DATA'!BC158</f>
        <v>0</v>
      </c>
      <c r="AM158" s="9">
        <f>'BIO DATA'!BD158</f>
        <v>0</v>
      </c>
      <c r="AN158" s="9">
        <f>'BIO DATA'!BE158</f>
        <v>0</v>
      </c>
      <c r="AO158" s="9">
        <f>'BIO DATA'!BF158</f>
        <v>0</v>
      </c>
      <c r="AP158" s="50" t="str">
        <f>'BIO DATA'!BG158</f>
        <v>Ahmad Afifuddin Syarif, S.Pd.</v>
      </c>
    </row>
    <row r="159" spans="1:42" s="51" customFormat="1" ht="20.100000000000001" customHeight="1" thickBot="1">
      <c r="A159" s="19" t="s">
        <v>141</v>
      </c>
      <c r="B159">
        <v>66</v>
      </c>
      <c r="C159" s="116">
        <f>'BIO DATA'!C159</f>
        <v>12493</v>
      </c>
      <c r="D159" s="116" t="str">
        <f>'BIO DATA'!D159</f>
        <v>0144185383</v>
      </c>
      <c r="E159" s="115" t="str">
        <f>'BIO DATA'!E159</f>
        <v>Arakata Aqila Jannahpia</v>
      </c>
      <c r="F159" s="46" t="str">
        <f>'BIO DATA'!L159</f>
        <v>Laki-laki</v>
      </c>
      <c r="G159" s="9" t="str">
        <f>'BIO DATA'!M159</f>
        <v>Bantul</v>
      </c>
      <c r="H159" s="48">
        <f>'BIO DATA'!O159</f>
        <v>41641</v>
      </c>
      <c r="I159" s="46" t="str">
        <f>'BIO DATA'!R159</f>
        <v>Islam</v>
      </c>
      <c r="J159" s="47">
        <f>'BIO DATA'!I159</f>
        <v>1</v>
      </c>
      <c r="K159" s="47">
        <f>'BIO DATA'!J159</f>
        <v>3</v>
      </c>
      <c r="L159" s="9" t="str">
        <f>'BIO DATA'!S159</f>
        <v>Jetis RT 4 RW 32, Tirtoadi, Mlati, Sleman DIY</v>
      </c>
      <c r="M159" s="9" t="str">
        <f>'BIO DATA'!U159</f>
        <v>Tirtoadi</v>
      </c>
      <c r="N159" s="9" t="str">
        <f>'BIO DATA'!V159</f>
        <v>Mlati</v>
      </c>
      <c r="O159" s="9" t="str">
        <f>'BIO DATA'!W159</f>
        <v>Sleman</v>
      </c>
      <c r="P159" s="9" t="str">
        <f>'BIO DATA'!X159</f>
        <v>DIY</v>
      </c>
      <c r="Q159" s="9" t="str">
        <f>'BIO DATA'!Y159</f>
        <v>SD IT Alam Nurul Islam</v>
      </c>
      <c r="R159" s="9" t="str">
        <f>'BIO DATA'!Z159</f>
        <v>Jl. Ring Road Barat, Cambahan, Nogotirto, Gamping, Sleman, Yogyakarta 55292</v>
      </c>
      <c r="S159" s="9">
        <f>'BIO DATA'!AA159</f>
        <v>0</v>
      </c>
      <c r="T159" s="9" t="str">
        <f>'BIO DATA'!AB159</f>
        <v>Arief Wibowo</v>
      </c>
      <c r="U159" s="9" t="str">
        <f>'BIO DATA'!AC159</f>
        <v>Islam</v>
      </c>
      <c r="V159" s="9" t="str">
        <f>'BIO DATA'!AD159</f>
        <v>S2</v>
      </c>
      <c r="W159" s="9" t="str">
        <f>'BIO DATA'!AE159</f>
        <v>Wiraswasta</v>
      </c>
      <c r="X159" s="9" t="str">
        <f>'BIO DATA'!AF159</f>
        <v>3jt-5jt</v>
      </c>
      <c r="Y159" s="144" t="str">
        <f>'BIO DATA'!AG159</f>
        <v>081238693253</v>
      </c>
      <c r="Z159" s="9">
        <f>'BIO DATA'!AH159</f>
        <v>0</v>
      </c>
      <c r="AA159" s="9" t="str">
        <f>'BIO DATA'!AI159</f>
        <v>Pipit Utami</v>
      </c>
      <c r="AB159" s="9" t="str">
        <f>'BIO DATA'!AJ159</f>
        <v>Islam</v>
      </c>
      <c r="AC159" s="9" t="str">
        <f>'BIO DATA'!AK159</f>
        <v>S2</v>
      </c>
      <c r="AD159" s="9" t="str">
        <f>'BIO DATA'!AL159</f>
        <v>PNS</v>
      </c>
      <c r="AE159" s="9" t="str">
        <f>'BIO DATA'!AM159</f>
        <v>3jt-5jt</v>
      </c>
      <c r="AF159" s="49" t="str">
        <f>'BIO DATA'!AN159</f>
        <v>0895385376559</v>
      </c>
      <c r="AG159" s="9">
        <f>'BIO DATA'!AO159</f>
        <v>0</v>
      </c>
      <c r="AH159" s="9">
        <f>'BIO DATA'!AY159</f>
        <v>0</v>
      </c>
      <c r="AI159" s="9">
        <f>'BIO DATA'!AZ159</f>
        <v>0</v>
      </c>
      <c r="AJ159" s="9">
        <f>'BIO DATA'!BA159</f>
        <v>0</v>
      </c>
      <c r="AK159" s="9">
        <f>'BIO DATA'!BB159</f>
        <v>0</v>
      </c>
      <c r="AL159" s="9">
        <f>'BIO DATA'!BC159</f>
        <v>0</v>
      </c>
      <c r="AM159" s="9">
        <f>'BIO DATA'!BD159</f>
        <v>0</v>
      </c>
      <c r="AN159" s="9">
        <f>'BIO DATA'!BE159</f>
        <v>0</v>
      </c>
      <c r="AO159" s="9">
        <f>'BIO DATA'!BF159</f>
        <v>0</v>
      </c>
      <c r="AP159" s="50" t="str">
        <f>'BIO DATA'!BG159</f>
        <v>Ahmad Afifuddin Syarif, S.Pd.</v>
      </c>
    </row>
    <row r="160" spans="1:42" s="51" customFormat="1" ht="20.100000000000001" customHeight="1" thickBot="1">
      <c r="A160" s="19" t="s">
        <v>141</v>
      </c>
      <c r="B160">
        <v>69</v>
      </c>
      <c r="C160" s="116">
        <f>'BIO DATA'!C160</f>
        <v>12494</v>
      </c>
      <c r="D160" s="116" t="str">
        <f>'BIO DATA'!D160</f>
        <v>0149694871</v>
      </c>
      <c r="E160" s="115" t="str">
        <f>'BIO DATA'!E160</f>
        <v>Ararya Genius El Hafizh Nugroho</v>
      </c>
      <c r="F160" s="46" t="str">
        <f>'BIO DATA'!L160</f>
        <v>Laki-laki</v>
      </c>
      <c r="G160" s="9" t="str">
        <f>'BIO DATA'!M160</f>
        <v>Bantul</v>
      </c>
      <c r="H160" s="48">
        <f>'BIO DATA'!O160</f>
        <v>41756</v>
      </c>
      <c r="I160" s="46" t="str">
        <f>'BIO DATA'!R160</f>
        <v>Islam</v>
      </c>
      <c r="J160" s="47">
        <f>'BIO DATA'!I160</f>
        <v>2</v>
      </c>
      <c r="K160" s="47">
        <f>'BIO DATA'!J160</f>
        <v>1</v>
      </c>
      <c r="L160" s="9" t="str">
        <f>'BIO DATA'!S160</f>
        <v>Ketalo RT 1 Gadingsari Sanden Bantul DIY</v>
      </c>
      <c r="M160" s="9" t="str">
        <f>'BIO DATA'!U160</f>
        <v>Gadingan</v>
      </c>
      <c r="N160" s="9" t="str">
        <f>'BIO DATA'!V160</f>
        <v>Sanden</v>
      </c>
      <c r="O160" s="9" t="str">
        <f>'BIO DATA'!W160</f>
        <v>Bantul</v>
      </c>
      <c r="P160" s="9" t="str">
        <f>'BIO DATA'!X160</f>
        <v>DIY</v>
      </c>
      <c r="Q160" s="9" t="str">
        <f>'BIO DATA'!Y160</f>
        <v>SDIT Assalaam Sanden</v>
      </c>
      <c r="R160" s="9" t="str">
        <f>'BIO DATA'!Z160</f>
        <v>Pucanganom III Dk. 14 Murtigading Sanden Bantul Yogyakarta 55763</v>
      </c>
      <c r="S160" s="9">
        <f>'BIO DATA'!AA160</f>
        <v>0</v>
      </c>
      <c r="T160" s="9" t="str">
        <f>'BIO DATA'!AB160</f>
        <v>Nurhadi Sapto Nugroho</v>
      </c>
      <c r="U160" s="9" t="str">
        <f>'BIO DATA'!AC160</f>
        <v>Islam</v>
      </c>
      <c r="V160" s="9" t="str">
        <f>'BIO DATA'!AD160</f>
        <v>S1</v>
      </c>
      <c r="W160" s="9" t="str">
        <f>'BIO DATA'!AE160</f>
        <v>Pegawai Swasta</v>
      </c>
      <c r="X160" s="9" t="str">
        <f>'BIO DATA'!AF160</f>
        <v>&gt;10jt</v>
      </c>
      <c r="Y160" s="144" t="str">
        <f>'BIO DATA'!AG160</f>
        <v>08121590620</v>
      </c>
      <c r="Z160" s="9">
        <f>'BIO DATA'!AH160</f>
        <v>0</v>
      </c>
      <c r="AA160" s="9" t="str">
        <f>'BIO DATA'!AI160</f>
        <v>Ratnawati</v>
      </c>
      <c r="AB160" s="9" t="str">
        <f>'BIO DATA'!AJ160</f>
        <v>Islam</v>
      </c>
      <c r="AC160" s="9" t="str">
        <f>'BIO DATA'!AK160</f>
        <v>DIPLOMA</v>
      </c>
      <c r="AD160" s="9" t="str">
        <f>'BIO DATA'!AL160</f>
        <v>Dokter/Bidan/Perawat</v>
      </c>
      <c r="AE160" s="9" t="str">
        <f>'BIO DATA'!AM160</f>
        <v>3jt-5jt</v>
      </c>
      <c r="AF160" s="49" t="str">
        <f>'BIO DATA'!AN160</f>
        <v>081328348020</v>
      </c>
      <c r="AG160" s="9">
        <f>'BIO DATA'!AO160</f>
        <v>0</v>
      </c>
      <c r="AH160" s="9">
        <f>'BIO DATA'!AY160</f>
        <v>0</v>
      </c>
      <c r="AI160" s="9">
        <f>'BIO DATA'!AZ160</f>
        <v>0</v>
      </c>
      <c r="AJ160" s="9">
        <f>'BIO DATA'!BA160</f>
        <v>0</v>
      </c>
      <c r="AK160" s="9">
        <f>'BIO DATA'!BB160</f>
        <v>0</v>
      </c>
      <c r="AL160" s="9">
        <f>'BIO DATA'!BC160</f>
        <v>0</v>
      </c>
      <c r="AM160" s="9">
        <f>'BIO DATA'!BD160</f>
        <v>0</v>
      </c>
      <c r="AN160" s="9">
        <f>'BIO DATA'!BE160</f>
        <v>0</v>
      </c>
      <c r="AO160" s="9">
        <f>'BIO DATA'!BF160</f>
        <v>0</v>
      </c>
      <c r="AP160" s="50" t="str">
        <f>'BIO DATA'!BG160</f>
        <v>Ahmad Afifuddin Syarif, S.Pd.</v>
      </c>
    </row>
    <row r="161" spans="1:42" s="51" customFormat="1" ht="20.100000000000001" customHeight="1" thickBot="1">
      <c r="A161" s="19" t="s">
        <v>141</v>
      </c>
      <c r="B161">
        <v>72</v>
      </c>
      <c r="C161" s="116">
        <f>'BIO DATA'!C161</f>
        <v>12501</v>
      </c>
      <c r="D161" s="116" t="str">
        <f>'BIO DATA'!D161</f>
        <v>0131638143</v>
      </c>
      <c r="E161" s="115" t="str">
        <f>'BIO DATA'!E161</f>
        <v>Asadulloh Al-Fathnany</v>
      </c>
      <c r="F161" s="46" t="str">
        <f>'BIO DATA'!L161</f>
        <v>Laki-laki</v>
      </c>
      <c r="G161" s="9" t="str">
        <f>'BIO DATA'!M161</f>
        <v>Sleman</v>
      </c>
      <c r="H161" s="48">
        <f>'BIO DATA'!O161</f>
        <v>41613</v>
      </c>
      <c r="I161" s="46" t="str">
        <f>'BIO DATA'!R161</f>
        <v>Islam</v>
      </c>
      <c r="J161" s="47">
        <f>'BIO DATA'!I161</f>
        <v>2</v>
      </c>
      <c r="K161" s="47">
        <f>'BIO DATA'!J161</f>
        <v>2</v>
      </c>
      <c r="L161" s="9" t="str">
        <f>'BIO DATA'!S161</f>
        <v>Kaliduren 1 RT 02/RW 17, Sumberagung, Moyudan Sleman DIY</v>
      </c>
      <c r="M161" s="9" t="str">
        <f>'BIO DATA'!U161</f>
        <v>Sumberagung</v>
      </c>
      <c r="N161" s="9" t="str">
        <f>'BIO DATA'!V161</f>
        <v>Moyudan</v>
      </c>
      <c r="O161" s="9" t="str">
        <f>'BIO DATA'!W161</f>
        <v>Sleman</v>
      </c>
      <c r="P161" s="9" t="str">
        <f>'BIO DATA'!X161</f>
        <v>DIY</v>
      </c>
      <c r="Q161" s="9" t="str">
        <f>'BIO DATA'!Y161</f>
        <v>SD Muhammadiyah Ngijon 2</v>
      </c>
      <c r="R161" s="9" t="str">
        <f>'BIO DATA'!Z161</f>
        <v>Sermo, Sumberarum, Kec. Moyudan, Kabupaten Sleman, Daerah Istimewa Yogyakarta</v>
      </c>
      <c r="S161" s="9">
        <f>'BIO DATA'!AA161</f>
        <v>0</v>
      </c>
      <c r="T161" s="9" t="str">
        <f>'BIO DATA'!AB161</f>
        <v>Alm.Imam Hudaya</v>
      </c>
      <c r="U161" s="9" t="str">
        <f>'BIO DATA'!AC161</f>
        <v>Islam</v>
      </c>
      <c r="V161" s="9" t="str">
        <f>'BIO DATA'!AD161</f>
        <v>S1</v>
      </c>
      <c r="W161" s="9" t="str">
        <f>'BIO DATA'!AE161</f>
        <v>Pensiunan</v>
      </c>
      <c r="X161" s="9" t="str">
        <f>'BIO DATA'!AF161</f>
        <v>1jt-3jt</v>
      </c>
      <c r="Y161" s="144" t="str">
        <f>'BIO DATA'!AG161</f>
        <v>081325021991</v>
      </c>
      <c r="Z161" s="9">
        <f>'BIO DATA'!AH161</f>
        <v>0</v>
      </c>
      <c r="AA161" s="9" t="str">
        <f>'BIO DATA'!AI161</f>
        <v>Sujimah</v>
      </c>
      <c r="AB161" s="9" t="str">
        <f>'BIO DATA'!AJ161</f>
        <v>Islam</v>
      </c>
      <c r="AC161" s="9" t="str">
        <f>'BIO DATA'!AK161</f>
        <v>SD/MI</v>
      </c>
      <c r="AD161" s="9" t="str">
        <f>'BIO DATA'!AL161</f>
        <v>Tidak Bekerja</v>
      </c>
      <c r="AE161" s="9" t="str">
        <f>'BIO DATA'!AM161</f>
        <v>&lt; 500rb</v>
      </c>
      <c r="AF161" s="49" t="str">
        <f>'BIO DATA'!AN161</f>
        <v>081325021991</v>
      </c>
      <c r="AG161" s="9">
        <f>'BIO DATA'!AO161</f>
        <v>0</v>
      </c>
      <c r="AH161" s="9">
        <f>'BIO DATA'!AY161</f>
        <v>0</v>
      </c>
      <c r="AI161" s="9">
        <f>'BIO DATA'!AZ161</f>
        <v>0</v>
      </c>
      <c r="AJ161" s="9">
        <f>'BIO DATA'!BA161</f>
        <v>0</v>
      </c>
      <c r="AK161" s="9">
        <f>'BIO DATA'!BB161</f>
        <v>0</v>
      </c>
      <c r="AL161" s="9">
        <f>'BIO DATA'!BC161</f>
        <v>0</v>
      </c>
      <c r="AM161" s="9">
        <f>'BIO DATA'!BD161</f>
        <v>0</v>
      </c>
      <c r="AN161" s="9">
        <f>'BIO DATA'!BE161</f>
        <v>0</v>
      </c>
      <c r="AO161" s="9">
        <f>'BIO DATA'!BF161</f>
        <v>0</v>
      </c>
      <c r="AP161" s="50" t="str">
        <f>'BIO DATA'!BG161</f>
        <v>Ahmad Afifuddin Syarif, S.Pd.</v>
      </c>
    </row>
    <row r="162" spans="1:42" s="51" customFormat="1" ht="20.100000000000001" customHeight="1" thickBot="1">
      <c r="A162" s="19" t="s">
        <v>141</v>
      </c>
      <c r="B162">
        <v>73</v>
      </c>
      <c r="C162" s="116">
        <f>'BIO DATA'!C162</f>
        <v>12507</v>
      </c>
      <c r="D162" s="116">
        <f>'BIO DATA'!D162</f>
        <v>3148321609</v>
      </c>
      <c r="E162" s="115" t="str">
        <f>'BIO DATA'!E162</f>
        <v>Aufaa Al Ghifari</v>
      </c>
      <c r="F162" s="46" t="str">
        <f>'BIO DATA'!L162</f>
        <v>Laki-laki</v>
      </c>
      <c r="G162" s="9" t="str">
        <f>'BIO DATA'!M162</f>
        <v>Palembang</v>
      </c>
      <c r="H162" s="48">
        <f>'BIO DATA'!O162</f>
        <v>41841</v>
      </c>
      <c r="I162" s="46" t="str">
        <f>'BIO DATA'!R162</f>
        <v>Islam</v>
      </c>
      <c r="J162" s="47">
        <f>'BIO DATA'!I162</f>
        <v>1</v>
      </c>
      <c r="K162" s="47">
        <f>'BIO DATA'!J162</f>
        <v>2</v>
      </c>
      <c r="L162" s="9" t="str">
        <f>'BIO DATA'!S162</f>
        <v>Lorong Pribadi No. 439 RT 010 RW 003 Sentosa Seberang Ulu Dua Kota Palembang Sumatera Selatan 30265</v>
      </c>
      <c r="M162" s="9" t="str">
        <f>'BIO DATA'!U162</f>
        <v>Sentosa</v>
      </c>
      <c r="N162" s="9" t="str">
        <f>'BIO DATA'!V162</f>
        <v>Seberang Ulu Dua</v>
      </c>
      <c r="O162" s="9" t="str">
        <f>'BIO DATA'!W162</f>
        <v>Kota Palembang</v>
      </c>
      <c r="P162" s="9" t="str">
        <f>'BIO DATA'!X162</f>
        <v>Sumatera Selatan</v>
      </c>
      <c r="Q162" s="9" t="str">
        <f>'BIO DATA'!Y162</f>
        <v>SDIT Mushab Bin Umair</v>
      </c>
      <c r="R162" s="9" t="str">
        <f>'BIO DATA'!Z162</f>
        <v>Jl. KH Wahid Hasyim lr Kedukan RT 21 RW 05 Kel 5 ULU Kec SU satu Palembang</v>
      </c>
      <c r="S162" s="9">
        <f>'BIO DATA'!AA162</f>
        <v>0</v>
      </c>
      <c r="T162" s="9" t="str">
        <f>'BIO DATA'!AB162</f>
        <v>Muhammad Yasin</v>
      </c>
      <c r="U162" s="9" t="str">
        <f>'BIO DATA'!AC162</f>
        <v>Islam</v>
      </c>
      <c r="V162" s="9" t="str">
        <f>'BIO DATA'!AD162</f>
        <v>S1</v>
      </c>
      <c r="W162" s="9" t="str">
        <f>'BIO DATA'!AE162</f>
        <v>Wiraswasta</v>
      </c>
      <c r="X162" s="9" t="str">
        <f>'BIO DATA'!AF162</f>
        <v>5jt-10jt</v>
      </c>
      <c r="Y162" s="144" t="str">
        <f>'BIO DATA'!AG162</f>
        <v>085228571448</v>
      </c>
      <c r="Z162" s="9">
        <f>'BIO DATA'!AH162</f>
        <v>0</v>
      </c>
      <c r="AA162" s="9" t="str">
        <f>'BIO DATA'!AI162</f>
        <v>Ummi Kalsum</v>
      </c>
      <c r="AB162" s="9" t="str">
        <f>'BIO DATA'!AJ162</f>
        <v>Islam</v>
      </c>
      <c r="AC162" s="9" t="str">
        <f>'BIO DATA'!AK162</f>
        <v>S1</v>
      </c>
      <c r="AD162" s="9" t="str">
        <f>'BIO DATA'!AL162</f>
        <v>Wiraswasta</v>
      </c>
      <c r="AE162" s="9" t="str">
        <f>'BIO DATA'!AM162</f>
        <v>5jt-10jt</v>
      </c>
      <c r="AF162" s="49" t="str">
        <f>'BIO DATA'!AN162</f>
        <v>081277770228</v>
      </c>
      <c r="AG162" s="9">
        <f>'BIO DATA'!AO162</f>
        <v>0</v>
      </c>
      <c r="AH162" s="9">
        <f>'BIO DATA'!AY162</f>
        <v>0</v>
      </c>
      <c r="AI162" s="9">
        <f>'BIO DATA'!AZ162</f>
        <v>0</v>
      </c>
      <c r="AJ162" s="9">
        <f>'BIO DATA'!BA162</f>
        <v>0</v>
      </c>
      <c r="AK162" s="9">
        <f>'BIO DATA'!BB162</f>
        <v>0</v>
      </c>
      <c r="AL162" s="9">
        <f>'BIO DATA'!BC162</f>
        <v>0</v>
      </c>
      <c r="AM162" s="9">
        <f>'BIO DATA'!BD162</f>
        <v>0</v>
      </c>
      <c r="AN162" s="9">
        <f>'BIO DATA'!BE162</f>
        <v>0</v>
      </c>
      <c r="AO162" s="9">
        <f>'BIO DATA'!BF162</f>
        <v>0</v>
      </c>
      <c r="AP162" s="50" t="str">
        <f>'BIO DATA'!BG162</f>
        <v>Ahmad Afifuddin Syarif, S.Pd.</v>
      </c>
    </row>
    <row r="163" spans="1:42" s="51" customFormat="1" ht="20.100000000000001" customHeight="1" thickBot="1">
      <c r="A163" s="19" t="s">
        <v>141</v>
      </c>
      <c r="B163">
        <v>97</v>
      </c>
      <c r="C163" s="116">
        <f>'BIO DATA'!C163</f>
        <v>12517</v>
      </c>
      <c r="D163" s="116" t="str">
        <f>'BIO DATA'!D163</f>
        <v>0138525161</v>
      </c>
      <c r="E163" s="115" t="str">
        <f>'BIO DATA'!E163</f>
        <v>Bisma Hilal Mahadika Abiyu Haidar</v>
      </c>
      <c r="F163" s="46" t="str">
        <f>'BIO DATA'!L163</f>
        <v>Laki-laki</v>
      </c>
      <c r="G163" s="9" t="str">
        <f>'BIO DATA'!M163</f>
        <v>Malang</v>
      </c>
      <c r="H163" s="48">
        <f>'BIO DATA'!O163</f>
        <v>41297</v>
      </c>
      <c r="I163" s="46" t="str">
        <f>'BIO DATA'!R163</f>
        <v>Islam</v>
      </c>
      <c r="J163" s="47">
        <f>'BIO DATA'!I163</f>
        <v>1</v>
      </c>
      <c r="K163" s="47">
        <f>'BIO DATA'!J163</f>
        <v>0</v>
      </c>
      <c r="L163" s="9" t="str">
        <f>'BIO DATA'!S163</f>
        <v>Grogol Tempel Kadisoka, Rt 06 Rw 02, Purwomartani, Kalasan, Sleman, DIY</v>
      </c>
      <c r="M163" s="9" t="str">
        <f>'BIO DATA'!U163</f>
        <v>Purwomartani</v>
      </c>
      <c r="N163" s="9" t="str">
        <f>'BIO DATA'!V163</f>
        <v>Kalasan</v>
      </c>
      <c r="O163" s="9" t="str">
        <f>'BIO DATA'!W163</f>
        <v>Sleman</v>
      </c>
      <c r="P163" s="9" t="str">
        <f>'BIO DATA'!X163</f>
        <v>DIY</v>
      </c>
      <c r="Q163" s="9" t="str">
        <f>'BIO DATA'!Y163</f>
        <v>SD Negeri Maguwoharjo 1</v>
      </c>
      <c r="R163" s="9" t="str">
        <f>'BIO DATA'!Z163</f>
        <v>Nanggulan, Maguwoharjo, Kec. Depok, Kab. Sleman, Yogyakarta.</v>
      </c>
      <c r="S163" s="9">
        <f>'BIO DATA'!AA163</f>
        <v>0</v>
      </c>
      <c r="T163" s="9" t="str">
        <f>'BIO DATA'!AB163</f>
        <v>Sarwidi Supanggih</v>
      </c>
      <c r="U163" s="9" t="str">
        <f>'BIO DATA'!AC163</f>
        <v>Islam</v>
      </c>
      <c r="V163" s="9" t="str">
        <f>'BIO DATA'!AD163</f>
        <v>SMA/SMK/MA</v>
      </c>
      <c r="W163" s="9" t="str">
        <f>'BIO DATA'!AE163</f>
        <v>TNI/Polri</v>
      </c>
      <c r="X163" s="9" t="str">
        <f>'BIO DATA'!AF163</f>
        <v>3jt-5jt</v>
      </c>
      <c r="Y163" s="144" t="str">
        <f>'BIO DATA'!AG163</f>
        <v>082140340385</v>
      </c>
      <c r="Z163" s="9">
        <f>'BIO DATA'!AH163</f>
        <v>0</v>
      </c>
      <c r="AA163" s="9" t="str">
        <f>'BIO DATA'!AI163</f>
        <v>Yuni Sulistyawati</v>
      </c>
      <c r="AB163" s="9" t="str">
        <f>'BIO DATA'!AJ163</f>
        <v>Islam</v>
      </c>
      <c r="AC163" s="9" t="str">
        <f>'BIO DATA'!AK163</f>
        <v>S1</v>
      </c>
      <c r="AD163" s="9" t="str">
        <f>'BIO DATA'!AL163</f>
        <v>Tidak Bekerja</v>
      </c>
      <c r="AE163" s="9" t="str">
        <f>'BIO DATA'!AM163</f>
        <v>&lt; 500rb</v>
      </c>
      <c r="AF163" s="49" t="str">
        <f>'BIO DATA'!AN163</f>
        <v>082140340386</v>
      </c>
      <c r="AG163" s="9">
        <f>'BIO DATA'!AO163</f>
        <v>0</v>
      </c>
      <c r="AH163" s="9">
        <f>'BIO DATA'!AY163</f>
        <v>0</v>
      </c>
      <c r="AI163" s="9">
        <f>'BIO DATA'!AZ163</f>
        <v>0</v>
      </c>
      <c r="AJ163" s="9">
        <f>'BIO DATA'!BA163</f>
        <v>0</v>
      </c>
      <c r="AK163" s="9">
        <f>'BIO DATA'!BB163</f>
        <v>0</v>
      </c>
      <c r="AL163" s="9">
        <f>'BIO DATA'!BC163</f>
        <v>0</v>
      </c>
      <c r="AM163" s="9">
        <f>'BIO DATA'!BD163</f>
        <v>0</v>
      </c>
      <c r="AN163" s="9">
        <f>'BIO DATA'!BE163</f>
        <v>0</v>
      </c>
      <c r="AO163" s="9">
        <f>'BIO DATA'!BF163</f>
        <v>0</v>
      </c>
      <c r="AP163" s="50" t="str">
        <f>'BIO DATA'!BG163</f>
        <v>Ahmad Afifuddin Syarif, S.Pd.</v>
      </c>
    </row>
    <row r="164" spans="1:42" s="51" customFormat="1" ht="20.100000000000001" customHeight="1" thickBot="1">
      <c r="A164" s="19" t="s">
        <v>141</v>
      </c>
      <c r="B164">
        <v>116</v>
      </c>
      <c r="C164" s="116">
        <f>'BIO DATA'!C164</f>
        <v>12528</v>
      </c>
      <c r="D164" s="116" t="str">
        <f>'BIO DATA'!D164</f>
        <v>0143455461</v>
      </c>
      <c r="E164" s="115" t="str">
        <f>'BIO DATA'!E164</f>
        <v>Davin Al Nazri</v>
      </c>
      <c r="F164" s="46" t="str">
        <f>'BIO DATA'!L164</f>
        <v>Laki-laki</v>
      </c>
      <c r="G164" s="9" t="str">
        <f>'BIO DATA'!M164</f>
        <v>Sleman</v>
      </c>
      <c r="H164" s="48">
        <f>'BIO DATA'!O164</f>
        <v>41680</v>
      </c>
      <c r="I164" s="46" t="str">
        <f>'BIO DATA'!R164</f>
        <v>Islam</v>
      </c>
      <c r="J164" s="47">
        <f>'BIO DATA'!I164</f>
        <v>0</v>
      </c>
      <c r="K164" s="47">
        <f>'BIO DATA'!J164</f>
        <v>0</v>
      </c>
      <c r="L164" s="9" t="str">
        <f>'BIO DATA'!S164</f>
        <v>Pundung RT07 RW27 Nogotirto Gamping Sleman Yogyakarta</v>
      </c>
      <c r="M164" s="9" t="str">
        <f>'BIO DATA'!U164</f>
        <v>Nogotirto</v>
      </c>
      <c r="N164" s="9" t="str">
        <f>'BIO DATA'!V164</f>
        <v>Gamping</v>
      </c>
      <c r="O164" s="9" t="str">
        <f>'BIO DATA'!W164</f>
        <v>Sleman</v>
      </c>
      <c r="P164" s="9" t="str">
        <f>'BIO DATA'!X164</f>
        <v>DIY</v>
      </c>
      <c r="Q164" s="9" t="str">
        <f>'BIO DATA'!Y164</f>
        <v>SDIT Alam Nurul Islam</v>
      </c>
      <c r="R164" s="9" t="str">
        <f>'BIO DATA'!Z164</f>
        <v>PUNDUNG CAMBAHAN NOGOTIRTO GAMPING SLEMAN YOGYAKARTA</v>
      </c>
      <c r="S164" s="9">
        <f>'BIO DATA'!AA164</f>
        <v>0</v>
      </c>
      <c r="T164" s="9" t="str">
        <f>'BIO DATA'!AB164</f>
        <v>Riris Wijananto</v>
      </c>
      <c r="U164" s="9" t="str">
        <f>'BIO DATA'!AC164</f>
        <v>Islam</v>
      </c>
      <c r="V164" s="9" t="str">
        <f>'BIO DATA'!AD164</f>
        <v>S1</v>
      </c>
      <c r="W164" s="9" t="str">
        <f>'BIO DATA'!AE164</f>
        <v>Pegawai Swasta</v>
      </c>
      <c r="X164" s="9" t="str">
        <f>'BIO DATA'!AF164</f>
        <v>5jt-10jt</v>
      </c>
      <c r="Y164" s="144" t="str">
        <f>'BIO DATA'!AG164</f>
        <v>085228841792</v>
      </c>
      <c r="Z164" s="9">
        <f>'BIO DATA'!AH164</f>
        <v>0</v>
      </c>
      <c r="AA164" s="9" t="str">
        <f>'BIO DATA'!AI164</f>
        <v>Nasifah Nurlaela</v>
      </c>
      <c r="AB164" s="9" t="str">
        <f>'BIO DATA'!AJ164</f>
        <v>Islam</v>
      </c>
      <c r="AC164" s="9" t="str">
        <f>'BIO DATA'!AK164</f>
        <v>S1</v>
      </c>
      <c r="AD164" s="9" t="str">
        <f>'BIO DATA'!AL164</f>
        <v>Pegawai Swasta</v>
      </c>
      <c r="AE164" s="9" t="str">
        <f>'BIO DATA'!AM164</f>
        <v>3jt-5jt</v>
      </c>
      <c r="AF164" s="49" t="str">
        <f>'BIO DATA'!AN164</f>
        <v>085292820660</v>
      </c>
      <c r="AG164" s="9">
        <f>'BIO DATA'!AO164</f>
        <v>0</v>
      </c>
      <c r="AH164" s="9">
        <f>'BIO DATA'!AY164</f>
        <v>0</v>
      </c>
      <c r="AI164" s="9">
        <f>'BIO DATA'!AZ164</f>
        <v>0</v>
      </c>
      <c r="AJ164" s="9">
        <f>'BIO DATA'!BA164</f>
        <v>0</v>
      </c>
      <c r="AK164" s="9">
        <f>'BIO DATA'!BB164</f>
        <v>0</v>
      </c>
      <c r="AL164" s="9">
        <f>'BIO DATA'!BC164</f>
        <v>0</v>
      </c>
      <c r="AM164" s="9">
        <f>'BIO DATA'!BD164</f>
        <v>0</v>
      </c>
      <c r="AN164" s="9">
        <f>'BIO DATA'!BE164</f>
        <v>0</v>
      </c>
      <c r="AO164" s="9">
        <f>'BIO DATA'!BF164</f>
        <v>0</v>
      </c>
      <c r="AP164" s="50" t="str">
        <f>'BIO DATA'!BG164</f>
        <v>Ahmad Afifuddin Syarif, S.Pd.</v>
      </c>
    </row>
    <row r="165" spans="1:42" s="51" customFormat="1" ht="20.100000000000001" customHeight="1" thickBot="1">
      <c r="A165" s="19" t="s">
        <v>141</v>
      </c>
      <c r="B165">
        <v>121</v>
      </c>
      <c r="C165" s="116">
        <f>'BIO DATA'!C165</f>
        <v>12544</v>
      </c>
      <c r="D165" s="116" t="str">
        <f>'BIO DATA'!D165</f>
        <v>0132620545</v>
      </c>
      <c r="E165" s="115" t="str">
        <f>'BIO DATA'!E165</f>
        <v>Faqih Ibnu Iskandar</v>
      </c>
      <c r="F165" s="46" t="str">
        <f>'BIO DATA'!L165</f>
        <v>Laki-laki</v>
      </c>
      <c r="G165" s="9" t="str">
        <f>'BIO DATA'!M165</f>
        <v>Sleman</v>
      </c>
      <c r="H165" s="48">
        <f>'BIO DATA'!O165</f>
        <v>41542</v>
      </c>
      <c r="I165" s="46" t="str">
        <f>'BIO DATA'!R165</f>
        <v>Islam</v>
      </c>
      <c r="J165" s="47">
        <f>'BIO DATA'!I165</f>
        <v>1</v>
      </c>
      <c r="K165" s="47">
        <f>'BIO DATA'!J165</f>
        <v>1</v>
      </c>
      <c r="L165" s="9" t="str">
        <f>'BIO DATA'!S165</f>
        <v>Macanan rt 06 rw 23 Madurejo Prambanan Sleman Yogyakarta</v>
      </c>
      <c r="M165" s="9" t="str">
        <f>'BIO DATA'!U165</f>
        <v>Madurejo</v>
      </c>
      <c r="N165" s="9" t="str">
        <f>'BIO DATA'!V165</f>
        <v>Prambanan</v>
      </c>
      <c r="O165" s="9" t="str">
        <f>'BIO DATA'!W165</f>
        <v>Sleman</v>
      </c>
      <c r="P165" s="9" t="str">
        <f>'BIO DATA'!X165</f>
        <v>DIY</v>
      </c>
      <c r="Q165" s="9" t="str">
        <f>'BIO DATA'!Y165</f>
        <v>SD Muhammadiyah MBS prambanan</v>
      </c>
      <c r="R165" s="9" t="str">
        <f>'BIO DATA'!Z165</f>
        <v>Jl. Piyungan KM 2 Marangan Bokoharjo Prambanan Sleman DIY</v>
      </c>
      <c r="S165" s="9">
        <f>'BIO DATA'!AA165</f>
        <v>0</v>
      </c>
      <c r="T165" s="9" t="str">
        <f>'BIO DATA'!AB165</f>
        <v>Dany Aryanto</v>
      </c>
      <c r="U165" s="9" t="str">
        <f>'BIO DATA'!AC165</f>
        <v>Islam</v>
      </c>
      <c r="V165" s="9" t="str">
        <f>'BIO DATA'!AD165</f>
        <v>SMA/SMK/MA</v>
      </c>
      <c r="W165" s="9" t="str">
        <f>'BIO DATA'!AE165</f>
        <v>Wiraswasta</v>
      </c>
      <c r="X165" s="9" t="str">
        <f>'BIO DATA'!AF165</f>
        <v>500-1jt</v>
      </c>
      <c r="Y165" s="144" t="str">
        <f>'BIO DATA'!AG165</f>
        <v>081329006446</v>
      </c>
      <c r="Z165" s="9">
        <f>'BIO DATA'!AH165</f>
        <v>0</v>
      </c>
      <c r="AA165" s="9" t="str">
        <f>'BIO DATA'!AI165</f>
        <v>Daswati Rofiatun Sahifah</v>
      </c>
      <c r="AB165" s="9" t="str">
        <f>'BIO DATA'!AJ165</f>
        <v>Islam</v>
      </c>
      <c r="AC165" s="9" t="str">
        <f>'BIO DATA'!AK165</f>
        <v>S2</v>
      </c>
      <c r="AD165" s="9" t="str">
        <f>'BIO DATA'!AL165</f>
        <v>Guru/Dosen</v>
      </c>
      <c r="AE165" s="9" t="str">
        <f>'BIO DATA'!AM165</f>
        <v>1jt-3jt</v>
      </c>
      <c r="AF165" s="49" t="str">
        <f>'BIO DATA'!AN165</f>
        <v>085742371715</v>
      </c>
      <c r="AG165" s="9">
        <f>'BIO DATA'!AO165</f>
        <v>0</v>
      </c>
      <c r="AH165" s="9">
        <f>'BIO DATA'!AY165</f>
        <v>0</v>
      </c>
      <c r="AI165" s="9">
        <f>'BIO DATA'!AZ165</f>
        <v>0</v>
      </c>
      <c r="AJ165" s="9">
        <f>'BIO DATA'!BA165</f>
        <v>0</v>
      </c>
      <c r="AK165" s="9">
        <f>'BIO DATA'!BB165</f>
        <v>0</v>
      </c>
      <c r="AL165" s="9">
        <f>'BIO DATA'!BC165</f>
        <v>0</v>
      </c>
      <c r="AM165" s="9">
        <f>'BIO DATA'!BD165</f>
        <v>0</v>
      </c>
      <c r="AN165" s="9">
        <f>'BIO DATA'!BE165</f>
        <v>0</v>
      </c>
      <c r="AO165" s="9">
        <f>'BIO DATA'!BF165</f>
        <v>0</v>
      </c>
      <c r="AP165" s="50" t="str">
        <f>'BIO DATA'!BG165</f>
        <v>Ahmad Afifuddin Syarif, S.Pd.</v>
      </c>
    </row>
    <row r="166" spans="1:42" s="51" customFormat="1" ht="20.100000000000001" customHeight="1" thickBot="1">
      <c r="A166" s="19" t="s">
        <v>141</v>
      </c>
      <c r="B166">
        <v>132</v>
      </c>
      <c r="C166" s="116">
        <f>'BIO DATA'!C166</f>
        <v>12560</v>
      </c>
      <c r="D166" s="116" t="str">
        <f>'BIO DATA'!D166</f>
        <v>0133881621</v>
      </c>
      <c r="E166" s="115" t="str">
        <f>'BIO DATA'!E166</f>
        <v>Hafiz Mursi Ramadhan</v>
      </c>
      <c r="F166" s="46" t="str">
        <f>'BIO DATA'!L166</f>
        <v>Laki-laki</v>
      </c>
      <c r="G166" s="9" t="str">
        <f>'BIO DATA'!M166</f>
        <v>Balikpapan</v>
      </c>
      <c r="H166" s="48">
        <f>'BIO DATA'!O166</f>
        <v>41471</v>
      </c>
      <c r="I166" s="46" t="str">
        <f>'BIO DATA'!R166</f>
        <v>Islam</v>
      </c>
      <c r="J166" s="47">
        <f>'BIO DATA'!I166</f>
        <v>2</v>
      </c>
      <c r="K166" s="47">
        <f>'BIO DATA'!J166</f>
        <v>4</v>
      </c>
      <c r="L166" s="9" t="str">
        <f>'BIO DATA'!S166</f>
        <v>Jl. Bunyu No 716 RT 34 Karang Jati Balikpapan Tengah Kota Balikpapan Kalimantan Timur</v>
      </c>
      <c r="M166" s="9" t="str">
        <f>'BIO DATA'!U166</f>
        <v>Karang Jati</v>
      </c>
      <c r="N166" s="9" t="str">
        <f>'BIO DATA'!V166</f>
        <v>Balikpapan Tengah</v>
      </c>
      <c r="O166" s="9" t="str">
        <f>'BIO DATA'!W166</f>
        <v>Kota Balikpapan</v>
      </c>
      <c r="P166" s="9" t="str">
        <f>'BIO DATA'!X166</f>
        <v>Kalimantan Timur</v>
      </c>
      <c r="Q166" s="9" t="str">
        <f>'BIO DATA'!Y166</f>
        <v>Sdit alauliya 1 balikpapan</v>
      </c>
      <c r="R166" s="9">
        <f>'BIO DATA'!Z166</f>
        <v>0</v>
      </c>
      <c r="S166" s="9">
        <f>'BIO DATA'!AA166</f>
        <v>0</v>
      </c>
      <c r="T166" s="9" t="str">
        <f>'BIO DATA'!AB166</f>
        <v>Rusli</v>
      </c>
      <c r="U166" s="9" t="str">
        <f>'BIO DATA'!AC166</f>
        <v>Islam</v>
      </c>
      <c r="V166" s="9" t="str">
        <f>'BIO DATA'!AD166</f>
        <v>DIPLOMA</v>
      </c>
      <c r="W166" s="9" t="str">
        <f>'BIO DATA'!AE166</f>
        <v>Karyawan BUMN</v>
      </c>
      <c r="X166" s="9">
        <f>'BIO DATA'!AF166</f>
        <v>0</v>
      </c>
      <c r="Y166" s="144" t="str">
        <f>'BIO DATA'!AG166</f>
        <v>081350580538</v>
      </c>
      <c r="Z166" s="9">
        <f>'BIO DATA'!AH166</f>
        <v>0</v>
      </c>
      <c r="AA166" s="9" t="str">
        <f>'BIO DATA'!AI166</f>
        <v>Lita hambeg tri p</v>
      </c>
      <c r="AB166" s="9" t="str">
        <f>'BIO DATA'!AJ166</f>
        <v>Islam</v>
      </c>
      <c r="AC166" s="9" t="str">
        <f>'BIO DATA'!AK166</f>
        <v>DIPLOMA</v>
      </c>
      <c r="AD166" s="9" t="str">
        <f>'BIO DATA'!AL166</f>
        <v>Ibu Rumah Tangga</v>
      </c>
      <c r="AE166" s="9">
        <f>'BIO DATA'!AM166</f>
        <v>0</v>
      </c>
      <c r="AF166" s="49" t="str">
        <f>'BIO DATA'!AN166</f>
        <v>085246700727</v>
      </c>
      <c r="AG166" s="9">
        <f>'BIO DATA'!AO166</f>
        <v>0</v>
      </c>
      <c r="AH166" s="9">
        <f>'BIO DATA'!AY166</f>
        <v>0</v>
      </c>
      <c r="AI166" s="9">
        <f>'BIO DATA'!AZ166</f>
        <v>0</v>
      </c>
      <c r="AJ166" s="9">
        <f>'BIO DATA'!BA166</f>
        <v>0</v>
      </c>
      <c r="AK166" s="9">
        <f>'BIO DATA'!BB166</f>
        <v>0</v>
      </c>
      <c r="AL166" s="9">
        <f>'BIO DATA'!BC166</f>
        <v>0</v>
      </c>
      <c r="AM166" s="9">
        <f>'BIO DATA'!BD166</f>
        <v>0</v>
      </c>
      <c r="AN166" s="9">
        <f>'BIO DATA'!BE166</f>
        <v>0</v>
      </c>
      <c r="AO166" s="9">
        <f>'BIO DATA'!BF166</f>
        <v>0</v>
      </c>
      <c r="AP166" s="50" t="str">
        <f>'BIO DATA'!BG166</f>
        <v>Ahmad Afifuddin Syarif, S.Pd.</v>
      </c>
    </row>
    <row r="167" spans="1:42" s="51" customFormat="1" ht="20.100000000000001" customHeight="1" thickBot="1">
      <c r="A167" s="19" t="s">
        <v>141</v>
      </c>
      <c r="B167">
        <v>154</v>
      </c>
      <c r="C167" s="116">
        <f>'BIO DATA'!C167</f>
        <v>12564</v>
      </c>
      <c r="D167" s="116" t="str">
        <f>'BIO DATA'!D167</f>
        <v>0135748134</v>
      </c>
      <c r="E167" s="115" t="str">
        <f>'BIO DATA'!E167</f>
        <v>Hamdan Pandega</v>
      </c>
      <c r="F167" s="46" t="str">
        <f>'BIO DATA'!L167</f>
        <v>Laki-laki</v>
      </c>
      <c r="G167" s="9" t="str">
        <f>'BIO DATA'!M167</f>
        <v>Yogyakarta</v>
      </c>
      <c r="H167" s="48">
        <f>'BIO DATA'!O167</f>
        <v>41529</v>
      </c>
      <c r="I167" s="46" t="str">
        <f>'BIO DATA'!R167</f>
        <v>Islam</v>
      </c>
      <c r="J167" s="47">
        <f>'BIO DATA'!I167</f>
        <v>1</v>
      </c>
      <c r="K167" s="47">
        <f>'BIO DATA'!J167</f>
        <v>1</v>
      </c>
      <c r="L167" s="9" t="str">
        <f>'BIO DATA'!S167</f>
        <v>Trukan Rt 04 Rw 02 Selomartani Kalasan Sleman Yogyakarta 55571</v>
      </c>
      <c r="M167" s="9" t="str">
        <f>'BIO DATA'!U167</f>
        <v>Selomartani</v>
      </c>
      <c r="N167" s="9" t="str">
        <f>'BIO DATA'!V167</f>
        <v>Kalasan</v>
      </c>
      <c r="O167" s="9" t="str">
        <f>'BIO DATA'!W167</f>
        <v>Sleman</v>
      </c>
      <c r="P167" s="9" t="str">
        <f>'BIO DATA'!X167</f>
        <v>DIY</v>
      </c>
      <c r="Q167" s="9" t="str">
        <f>'BIO DATA'!Y167</f>
        <v>SD Muhammadiyah Prambanan</v>
      </c>
      <c r="R167" s="9" t="str">
        <f>'BIO DATA'!Z167</f>
        <v>Jl.Prambanan Piyungan Ringinsari Prambanan Sleman Yogyakarta 55572</v>
      </c>
      <c r="S167" s="9">
        <f>'BIO DATA'!AA167</f>
        <v>0</v>
      </c>
      <c r="T167" s="9" t="str">
        <f>'BIO DATA'!AB167</f>
        <v>Prima Luqman Prasetya</v>
      </c>
      <c r="U167" s="9" t="str">
        <f>'BIO DATA'!AC167</f>
        <v>Islam</v>
      </c>
      <c r="V167" s="9" t="str">
        <f>'BIO DATA'!AD167</f>
        <v>S2</v>
      </c>
      <c r="W167" s="9" t="str">
        <f>'BIO DATA'!AE167</f>
        <v>Guru/Dosen</v>
      </c>
      <c r="X167" s="9" t="str">
        <f>'BIO DATA'!AF167</f>
        <v>1jt-3jt</v>
      </c>
      <c r="Y167" s="144" t="str">
        <f>'BIO DATA'!AG167</f>
        <v>088218089336</v>
      </c>
      <c r="Z167" s="9">
        <f>'BIO DATA'!AH167</f>
        <v>0</v>
      </c>
      <c r="AA167" s="9" t="str">
        <f>'BIO DATA'!AI167</f>
        <v>Wikanti Iffah Juliani</v>
      </c>
      <c r="AB167" s="9" t="str">
        <f>'BIO DATA'!AJ167</f>
        <v>Islam</v>
      </c>
      <c r="AC167" s="9" t="str">
        <f>'BIO DATA'!AK167</f>
        <v>S2</v>
      </c>
      <c r="AD167" s="9" t="str">
        <f>'BIO DATA'!AL167</f>
        <v>Guru/Dosen</v>
      </c>
      <c r="AE167" s="9" t="str">
        <f>'BIO DATA'!AM167</f>
        <v>1jt-3jt</v>
      </c>
      <c r="AF167" s="49" t="str">
        <f>'BIO DATA'!AN167</f>
        <v>087739497201</v>
      </c>
      <c r="AG167" s="9">
        <f>'BIO DATA'!AO167</f>
        <v>0</v>
      </c>
      <c r="AH167" s="9">
        <f>'BIO DATA'!AY167</f>
        <v>0</v>
      </c>
      <c r="AI167" s="9">
        <f>'BIO DATA'!AZ167</f>
        <v>0</v>
      </c>
      <c r="AJ167" s="9">
        <f>'BIO DATA'!BA167</f>
        <v>0</v>
      </c>
      <c r="AK167" s="9">
        <f>'BIO DATA'!BB167</f>
        <v>0</v>
      </c>
      <c r="AL167" s="9">
        <f>'BIO DATA'!BC167</f>
        <v>0</v>
      </c>
      <c r="AM167" s="9">
        <f>'BIO DATA'!BD167</f>
        <v>0</v>
      </c>
      <c r="AN167" s="9">
        <f>'BIO DATA'!BE167</f>
        <v>0</v>
      </c>
      <c r="AO167" s="9">
        <f>'BIO DATA'!BF167</f>
        <v>0</v>
      </c>
      <c r="AP167" s="50" t="str">
        <f>'BIO DATA'!BG167</f>
        <v>Ahmad Afifuddin Syarif, S.Pd.</v>
      </c>
    </row>
    <row r="168" spans="1:42" s="51" customFormat="1" ht="20.100000000000001" customHeight="1" thickBot="1">
      <c r="A168" s="19" t="s">
        <v>141</v>
      </c>
      <c r="B168">
        <v>169</v>
      </c>
      <c r="C168" s="116">
        <f>'BIO DATA'!C168</f>
        <v>12585</v>
      </c>
      <c r="D168" s="116" t="str">
        <f>'BIO DATA'!D168</f>
        <v>0133081704</v>
      </c>
      <c r="E168" s="115" t="str">
        <f>'BIO DATA'!E168</f>
        <v>Kennard Belmiro Asmara</v>
      </c>
      <c r="F168" s="46" t="str">
        <f>'BIO DATA'!L168</f>
        <v>Laki-laki</v>
      </c>
      <c r="G168" s="9" t="str">
        <f>'BIO DATA'!M168</f>
        <v>Jakarta</v>
      </c>
      <c r="H168" s="48">
        <f>'BIO DATA'!O168</f>
        <v>41507</v>
      </c>
      <c r="I168" s="46" t="str">
        <f>'BIO DATA'!R168</f>
        <v>Islam</v>
      </c>
      <c r="J168" s="47">
        <f>'BIO DATA'!I168</f>
        <v>1</v>
      </c>
      <c r="K168" s="47">
        <f>'BIO DATA'!J168</f>
        <v>1</v>
      </c>
      <c r="L168" s="9" t="str">
        <f>'BIO DATA'!S168</f>
        <v>Perumahan Legenda Wisata, Cluster Lumihous, Blok V6-10, Gunung Putri, Bogor Jawa Barat</v>
      </c>
      <c r="M168" s="9" t="str">
        <f>'BIO DATA'!U168</f>
        <v>Nagrak</v>
      </c>
      <c r="N168" s="9" t="str">
        <f>'BIO DATA'!V168</f>
        <v>Gunung Putri</v>
      </c>
      <c r="O168" s="9" t="str">
        <f>'BIO DATA'!W168</f>
        <v>Kota Bogor</v>
      </c>
      <c r="P168" s="9" t="str">
        <f>'BIO DATA'!X168</f>
        <v>Jawa Barat</v>
      </c>
      <c r="Q168" s="9" t="str">
        <f>'BIO DATA'!Y168</f>
        <v>SD Islam Al Fajar Bekasi</v>
      </c>
      <c r="R168" s="9" t="str">
        <f>'BIO DATA'!Z168</f>
        <v>Jl. Swatantra V No.1, RT.005/RW.002, Jatirasa, Kec. Jatiasih, Kota Bekasi, Jawa Barat 17424</v>
      </c>
      <c r="S168" s="9">
        <f>'BIO DATA'!AA168</f>
        <v>0</v>
      </c>
      <c r="T168" s="9" t="str">
        <f>'BIO DATA'!AB168</f>
        <v>Awan Asmara Frima</v>
      </c>
      <c r="U168" s="9" t="str">
        <f>'BIO DATA'!AC168</f>
        <v>Islam</v>
      </c>
      <c r="V168" s="9" t="str">
        <f>'BIO DATA'!AD168</f>
        <v>S1</v>
      </c>
      <c r="W168" s="9" t="str">
        <f>'BIO DATA'!AE168</f>
        <v>Pegawai Swasta</v>
      </c>
      <c r="X168" s="9" t="str">
        <f>'BIO DATA'!AF168</f>
        <v>&gt;10jt</v>
      </c>
      <c r="Y168" s="144" t="str">
        <f>'BIO DATA'!AG168</f>
        <v>087877240208</v>
      </c>
      <c r="Z168" s="9">
        <f>'BIO DATA'!AH168</f>
        <v>0</v>
      </c>
      <c r="AA168" s="9" t="str">
        <f>'BIO DATA'!AI168</f>
        <v>Nurulita Aditya Safitri</v>
      </c>
      <c r="AB168" s="9" t="str">
        <f>'BIO DATA'!AJ168</f>
        <v>Islam</v>
      </c>
      <c r="AC168" s="9" t="str">
        <f>'BIO DATA'!AK168</f>
        <v>SMA/SMK/MA</v>
      </c>
      <c r="AD168" s="9" t="str">
        <f>'BIO DATA'!AL168</f>
        <v>Wiraswasta</v>
      </c>
      <c r="AE168" s="9" t="str">
        <f>'BIO DATA'!AM168</f>
        <v>1jt-3jt</v>
      </c>
      <c r="AF168" s="49" t="str">
        <f>'BIO DATA'!AN168</f>
        <v>087854785408</v>
      </c>
      <c r="AG168" s="9">
        <f>'BIO DATA'!AO168</f>
        <v>0</v>
      </c>
      <c r="AH168" s="9">
        <f>'BIO DATA'!AY168</f>
        <v>0</v>
      </c>
      <c r="AI168" s="9">
        <f>'BIO DATA'!AZ168</f>
        <v>0</v>
      </c>
      <c r="AJ168" s="9">
        <f>'BIO DATA'!BA168</f>
        <v>0</v>
      </c>
      <c r="AK168" s="9">
        <f>'BIO DATA'!BB168</f>
        <v>0</v>
      </c>
      <c r="AL168" s="9">
        <f>'BIO DATA'!BC168</f>
        <v>0</v>
      </c>
      <c r="AM168" s="9">
        <f>'BIO DATA'!BD168</f>
        <v>0</v>
      </c>
      <c r="AN168" s="9">
        <f>'BIO DATA'!BE168</f>
        <v>0</v>
      </c>
      <c r="AO168" s="9">
        <f>'BIO DATA'!BF168</f>
        <v>0</v>
      </c>
      <c r="AP168" s="50" t="str">
        <f>'BIO DATA'!BG168</f>
        <v>Ahmad Afifuddin Syarif, S.Pd.</v>
      </c>
    </row>
    <row r="169" spans="1:42" s="51" customFormat="1" ht="20.100000000000001" customHeight="1" thickBot="1">
      <c r="A169" s="19" t="s">
        <v>141</v>
      </c>
      <c r="B169">
        <v>182</v>
      </c>
      <c r="C169" s="116">
        <f>'BIO DATA'!C169</f>
        <v>12591</v>
      </c>
      <c r="D169" s="116">
        <f>'BIO DATA'!D169</f>
        <v>313735049</v>
      </c>
      <c r="E169" s="115" t="str">
        <f>'BIO DATA'!E169</f>
        <v>Latief Haziq Maulana</v>
      </c>
      <c r="F169" s="46" t="str">
        <f>'BIO DATA'!L169</f>
        <v>Laki-laki</v>
      </c>
      <c r="G169" s="9" t="str">
        <f>'BIO DATA'!M169</f>
        <v>Surakarta</v>
      </c>
      <c r="H169" s="48">
        <f>'BIO DATA'!O169</f>
        <v>41590</v>
      </c>
      <c r="I169" s="46" t="str">
        <f>'BIO DATA'!R169</f>
        <v>Islam</v>
      </c>
      <c r="J169" s="47">
        <f>'BIO DATA'!I169</f>
        <v>2</v>
      </c>
      <c r="K169" s="47">
        <f>'BIO DATA'!J169</f>
        <v>2</v>
      </c>
      <c r="L169" s="9" t="str">
        <f>'BIO DATA'!S169</f>
        <v>Clolo RT02 RW05, Banjarsari Kec. Banjarsari Kota Surakarta Jawa Tengah</v>
      </c>
      <c r="M169" s="9" t="str">
        <f>'BIO DATA'!U169</f>
        <v>Banjarsari</v>
      </c>
      <c r="N169" s="9" t="str">
        <f>'BIO DATA'!V169</f>
        <v>Banjarsari</v>
      </c>
      <c r="O169" s="9" t="str">
        <f>'BIO DATA'!W169</f>
        <v>Kota Surakarta</v>
      </c>
      <c r="P169" s="9" t="str">
        <f>'BIO DATA'!X169</f>
        <v>Jawa Tengah</v>
      </c>
      <c r="Q169" s="9" t="str">
        <f>'BIO DATA'!Y169</f>
        <v>SDIQ Al Abidin Surakarta</v>
      </c>
      <c r="R169" s="9" t="str">
        <f>'BIO DATA'!Z169</f>
        <v>JL.TARUMANEGARA Gg.GALUH 1 ,KEL.BANYUANYAR,KEC.BANJARSARI,KOTA SURAKARTA</v>
      </c>
      <c r="S169" s="9">
        <f>'BIO DATA'!AA169</f>
        <v>0</v>
      </c>
      <c r="T169" s="9" t="str">
        <f>'BIO DATA'!AB169</f>
        <v>Nanang Sulistyo,SH</v>
      </c>
      <c r="U169" s="9" t="str">
        <f>'BIO DATA'!AC169</f>
        <v>Islam</v>
      </c>
      <c r="V169" s="9" t="str">
        <f>'BIO DATA'!AD169</f>
        <v>S1</v>
      </c>
      <c r="W169" s="9" t="str">
        <f>'BIO DATA'!AE169</f>
        <v>TNI/Polri</v>
      </c>
      <c r="X169" s="9" t="str">
        <f>'BIO DATA'!AF169</f>
        <v>3jt-5jt</v>
      </c>
      <c r="Y169" s="144" t="str">
        <f>'BIO DATA'!AG169</f>
        <v>085642393432</v>
      </c>
      <c r="Z169" s="9">
        <f>'BIO DATA'!AH169</f>
        <v>0</v>
      </c>
      <c r="AA169" s="9" t="str">
        <f>'BIO DATA'!AI169</f>
        <v>Lia Sukmayanti, A.Md.Keb</v>
      </c>
      <c r="AB169" s="9" t="str">
        <f>'BIO DATA'!AJ169</f>
        <v>Islam</v>
      </c>
      <c r="AC169" s="9" t="str">
        <f>'BIO DATA'!AK169</f>
        <v>DIPLOMA</v>
      </c>
      <c r="AD169" s="9" t="str">
        <f>'BIO DATA'!AL169</f>
        <v>Dokter/Bidan/Perawat</v>
      </c>
      <c r="AE169" s="9" t="str">
        <f>'BIO DATA'!AM169</f>
        <v>1jt-3jt</v>
      </c>
      <c r="AF169" s="49" t="str">
        <f>'BIO DATA'!AN169</f>
        <v>085801655685</v>
      </c>
      <c r="AG169" s="9">
        <f>'BIO DATA'!AO169</f>
        <v>0</v>
      </c>
      <c r="AH169" s="9">
        <f>'BIO DATA'!AY169</f>
        <v>0</v>
      </c>
      <c r="AI169" s="9">
        <f>'BIO DATA'!AZ169</f>
        <v>0</v>
      </c>
      <c r="AJ169" s="9">
        <f>'BIO DATA'!BA169</f>
        <v>0</v>
      </c>
      <c r="AK169" s="9">
        <f>'BIO DATA'!BB169</f>
        <v>0</v>
      </c>
      <c r="AL169" s="9">
        <f>'BIO DATA'!BC169</f>
        <v>0</v>
      </c>
      <c r="AM169" s="9">
        <f>'BIO DATA'!BD169</f>
        <v>0</v>
      </c>
      <c r="AN169" s="9">
        <f>'BIO DATA'!BE169</f>
        <v>0</v>
      </c>
      <c r="AO169" s="9">
        <f>'BIO DATA'!BF169</f>
        <v>0</v>
      </c>
      <c r="AP169" s="50" t="str">
        <f>'BIO DATA'!BG169</f>
        <v>Ahmad Afifuddin Syarif, S.Pd.</v>
      </c>
    </row>
    <row r="170" spans="1:42" s="51" customFormat="1" ht="20.100000000000001" customHeight="1" thickBot="1">
      <c r="A170" s="19" t="s">
        <v>141</v>
      </c>
      <c r="B170">
        <v>187</v>
      </c>
      <c r="C170" s="116">
        <f>'BIO DATA'!C170</f>
        <v>12592</v>
      </c>
      <c r="D170" s="116">
        <f>'BIO DATA'!D170</f>
        <v>3146417745</v>
      </c>
      <c r="E170" s="115" t="str">
        <f>'BIO DATA'!E170</f>
        <v>Lazward Mumtaz Ahmad Adz Dzaky</v>
      </c>
      <c r="F170" s="46" t="str">
        <f>'BIO DATA'!L170</f>
        <v>Laki-laki</v>
      </c>
      <c r="G170" s="9" t="str">
        <f>'BIO DATA'!M170</f>
        <v>Yogyakarta</v>
      </c>
      <c r="H170" s="48">
        <f>'BIO DATA'!O170</f>
        <v>41838</v>
      </c>
      <c r="I170" s="46" t="str">
        <f>'BIO DATA'!R170</f>
        <v>Islam</v>
      </c>
      <c r="J170" s="47">
        <f>'BIO DATA'!I170</f>
        <v>1</v>
      </c>
      <c r="K170" s="47">
        <f>'BIO DATA'!J170</f>
        <v>1</v>
      </c>
      <c r="L170" s="9" t="str">
        <f>'BIO DATA'!S170</f>
        <v>Jl. Kaliurang KM. 7 No. 33 A Kolombo RT 4 RW 58 Joho Condongcatur Depok Sleman</v>
      </c>
      <c r="M170" s="9" t="str">
        <f>'BIO DATA'!U170</f>
        <v>Condongcatur</v>
      </c>
      <c r="N170" s="9" t="str">
        <f>'BIO DATA'!V170</f>
        <v>Depok</v>
      </c>
      <c r="O170" s="9" t="str">
        <f>'BIO DATA'!W170</f>
        <v>Sleman</v>
      </c>
      <c r="P170" s="9" t="str">
        <f>'BIO DATA'!X170</f>
        <v>DIY</v>
      </c>
      <c r="Q170" s="9" t="str">
        <f>'BIO DATA'!Y170</f>
        <v>SD Muhammadiyah Sokonandi Yogyakarta</v>
      </c>
      <c r="R170" s="9" t="str">
        <f>'BIO DATA'!Z170</f>
        <v>di Jalan Notowinatan, Gunung Ketur, Kec. Pakualaman, Kota Yogyakarta, D.I. Yogyakarta.Kursus online terbaik</v>
      </c>
      <c r="S170" s="9">
        <f>'BIO DATA'!AA170</f>
        <v>0</v>
      </c>
      <c r="T170" s="9" t="str">
        <f>'BIO DATA'!AB170</f>
        <v>Ahmad Maftuhin</v>
      </c>
      <c r="U170" s="9" t="str">
        <f>'BIO DATA'!AC170</f>
        <v>Islam</v>
      </c>
      <c r="V170" s="9" t="str">
        <f>'BIO DATA'!AD170</f>
        <v>S1</v>
      </c>
      <c r="W170" s="9" t="str">
        <f>'BIO DATA'!AE170</f>
        <v>Guru/Dosen</v>
      </c>
      <c r="X170" s="9" t="str">
        <f>'BIO DATA'!AF170</f>
        <v>3jt-5jt</v>
      </c>
      <c r="Y170" s="144" t="str">
        <f>'BIO DATA'!AG170</f>
        <v>081332291107</v>
      </c>
      <c r="Z170" s="9">
        <f>'BIO DATA'!AH170</f>
        <v>0</v>
      </c>
      <c r="AA170" s="9" t="str">
        <f>'BIO DATA'!AI170</f>
        <v>Nanik Arkiyah</v>
      </c>
      <c r="AB170" s="9" t="str">
        <f>'BIO DATA'!AJ170</f>
        <v>Islam</v>
      </c>
      <c r="AC170" s="9" t="str">
        <f>'BIO DATA'!AK170</f>
        <v>S2</v>
      </c>
      <c r="AD170" s="9" t="str">
        <f>'BIO DATA'!AL170</f>
        <v>Pegawai Swasta</v>
      </c>
      <c r="AE170" s="9" t="str">
        <f>'BIO DATA'!AM170</f>
        <v>5jt-10jt</v>
      </c>
      <c r="AF170" s="49" t="str">
        <f>'BIO DATA'!AN170</f>
        <v>08121556696</v>
      </c>
      <c r="AG170" s="9">
        <f>'BIO DATA'!AO170</f>
        <v>0</v>
      </c>
      <c r="AH170" s="9">
        <f>'BIO DATA'!AY170</f>
        <v>0</v>
      </c>
      <c r="AI170" s="9">
        <f>'BIO DATA'!AZ170</f>
        <v>0</v>
      </c>
      <c r="AJ170" s="9">
        <f>'BIO DATA'!BA170</f>
        <v>0</v>
      </c>
      <c r="AK170" s="9">
        <f>'BIO DATA'!BB170</f>
        <v>0</v>
      </c>
      <c r="AL170" s="9">
        <f>'BIO DATA'!BC170</f>
        <v>0</v>
      </c>
      <c r="AM170" s="9">
        <f>'BIO DATA'!BD170</f>
        <v>0</v>
      </c>
      <c r="AN170" s="9">
        <f>'BIO DATA'!BE170</f>
        <v>0</v>
      </c>
      <c r="AO170" s="9">
        <f>'BIO DATA'!BF170</f>
        <v>0</v>
      </c>
      <c r="AP170" s="50" t="str">
        <f>'BIO DATA'!BG170</f>
        <v>Ahmad Afifuddin Syarif, S.Pd.</v>
      </c>
    </row>
    <row r="171" spans="1:42" s="51" customFormat="1" ht="20.100000000000001" customHeight="1" thickBot="1">
      <c r="A171" s="19" t="s">
        <v>141</v>
      </c>
      <c r="B171">
        <v>189</v>
      </c>
      <c r="C171" s="116">
        <f>'BIO DATA'!C171</f>
        <v>12594</v>
      </c>
      <c r="D171" s="116" t="str">
        <f>'BIO DATA'!D171</f>
        <v>0144950770</v>
      </c>
      <c r="E171" s="115" t="str">
        <f>'BIO DATA'!E171</f>
        <v>Lionel Ibrahim Althof</v>
      </c>
      <c r="F171" s="46" t="str">
        <f>'BIO DATA'!L171</f>
        <v>Laki-laki</v>
      </c>
      <c r="G171" s="9" t="str">
        <f>'BIO DATA'!M171</f>
        <v>Yogyakarta</v>
      </c>
      <c r="H171" s="48">
        <f>'BIO DATA'!O171</f>
        <v>41751</v>
      </c>
      <c r="I171" s="46" t="str">
        <f>'BIO DATA'!R171</f>
        <v>Islam</v>
      </c>
      <c r="J171" s="47">
        <f>'BIO DATA'!I171</f>
        <v>1</v>
      </c>
      <c r="K171" s="47">
        <f>'BIO DATA'!J171</f>
        <v>1</v>
      </c>
      <c r="L171" s="9" t="str">
        <f>'BIO DATA'!S171</f>
        <v>Cucukan RT 003 RW 006 Wonoboyo Jogonalan Klaten Jawa Tengah</v>
      </c>
      <c r="M171" s="9" t="str">
        <f>'BIO DATA'!U171</f>
        <v>Cucukan</v>
      </c>
      <c r="N171" s="9" t="str">
        <f>'BIO DATA'!V171</f>
        <v>Jogonalan</v>
      </c>
      <c r="O171" s="9" t="str">
        <f>'BIO DATA'!W171</f>
        <v>Klaten</v>
      </c>
      <c r="P171" s="9" t="str">
        <f>'BIO DATA'!X171</f>
        <v>Jawa Tengah</v>
      </c>
      <c r="Q171" s="9" t="str">
        <f>'BIO DATA'!Y171</f>
        <v>SD Al Hasna</v>
      </c>
      <c r="R171" s="9" t="str">
        <f>'BIO DATA'!Z171</f>
        <v>Dukuh Samiran, Dusun II, Gondang, Kec. Kebonarum, Kabupaten Klaten, Jawa Tengah 57486</v>
      </c>
      <c r="S171" s="9">
        <f>'BIO DATA'!AA171</f>
        <v>0</v>
      </c>
      <c r="T171" s="9" t="str">
        <f>'BIO DATA'!AB171</f>
        <v>Teguh Prasetyo</v>
      </c>
      <c r="U171" s="9" t="str">
        <f>'BIO DATA'!AC171</f>
        <v>Islam</v>
      </c>
      <c r="V171" s="9" t="str">
        <f>'BIO DATA'!AD171</f>
        <v>S1</v>
      </c>
      <c r="W171" s="9" t="str">
        <f>'BIO DATA'!AE171</f>
        <v>Pegawai Swasta</v>
      </c>
      <c r="X171" s="9" t="str">
        <f>'BIO DATA'!AF171</f>
        <v>5jt-10jt</v>
      </c>
      <c r="Y171" s="144" t="str">
        <f>'BIO DATA'!AG171</f>
        <v>081351450768</v>
      </c>
      <c r="Z171" s="9">
        <f>'BIO DATA'!AH171</f>
        <v>0</v>
      </c>
      <c r="AA171" s="9" t="str">
        <f>'BIO DATA'!AI171</f>
        <v>Sari Sri Lestari</v>
      </c>
      <c r="AB171" s="9" t="str">
        <f>'BIO DATA'!AJ171</f>
        <v>Islam</v>
      </c>
      <c r="AC171" s="9" t="str">
        <f>'BIO DATA'!AK171</f>
        <v>DIPLOMA</v>
      </c>
      <c r="AD171" s="9" t="str">
        <f>'BIO DATA'!AL171</f>
        <v>Tidak Bekerja</v>
      </c>
      <c r="AE171" s="9" t="str">
        <f>'BIO DATA'!AM171</f>
        <v>&lt; 500rb</v>
      </c>
      <c r="AF171" s="49" t="str">
        <f>'BIO DATA'!AN171</f>
        <v>085642340901</v>
      </c>
      <c r="AG171" s="9">
        <f>'BIO DATA'!AO171</f>
        <v>0</v>
      </c>
      <c r="AH171" s="9">
        <f>'BIO DATA'!AY171</f>
        <v>0</v>
      </c>
      <c r="AI171" s="9">
        <f>'BIO DATA'!AZ171</f>
        <v>0</v>
      </c>
      <c r="AJ171" s="9">
        <f>'BIO DATA'!BA171</f>
        <v>0</v>
      </c>
      <c r="AK171" s="9">
        <f>'BIO DATA'!BB171</f>
        <v>0</v>
      </c>
      <c r="AL171" s="9">
        <f>'BIO DATA'!BC171</f>
        <v>0</v>
      </c>
      <c r="AM171" s="9">
        <f>'BIO DATA'!BD171</f>
        <v>0</v>
      </c>
      <c r="AN171" s="9">
        <f>'BIO DATA'!BE171</f>
        <v>0</v>
      </c>
      <c r="AO171" s="9">
        <f>'BIO DATA'!BF171</f>
        <v>0</v>
      </c>
      <c r="AP171" s="50" t="str">
        <f>'BIO DATA'!BG171</f>
        <v>Ahmad Afifuddin Syarif, S.Pd.</v>
      </c>
    </row>
    <row r="172" spans="1:42" s="51" customFormat="1" ht="20.100000000000001" customHeight="1" thickBot="1">
      <c r="A172" s="19" t="s">
        <v>141</v>
      </c>
      <c r="B172">
        <v>197</v>
      </c>
      <c r="C172" s="116">
        <f>'BIO DATA'!C172</f>
        <v>12597</v>
      </c>
      <c r="D172" s="116">
        <f>'BIO DATA'!D172</f>
        <v>3134724300</v>
      </c>
      <c r="E172" s="115" t="str">
        <f>'BIO DATA'!E172</f>
        <v>Luthfi Muhammad Zaky</v>
      </c>
      <c r="F172" s="46" t="str">
        <f>'BIO DATA'!L172</f>
        <v>Laki-laki</v>
      </c>
      <c r="G172" s="9" t="str">
        <f>'BIO DATA'!M172</f>
        <v>Sleman</v>
      </c>
      <c r="H172" s="48">
        <f>'BIO DATA'!O172</f>
        <v>41516</v>
      </c>
      <c r="I172" s="46" t="str">
        <f>'BIO DATA'!R172</f>
        <v>Islam</v>
      </c>
      <c r="J172" s="47">
        <f>'BIO DATA'!I172</f>
        <v>2</v>
      </c>
      <c r="K172" s="47">
        <f>'BIO DATA'!J172</f>
        <v>1</v>
      </c>
      <c r="L172" s="9" t="str">
        <f>'BIO DATA'!S172</f>
        <v>Lungguhrejo Wonokerto Turi Sleman</v>
      </c>
      <c r="M172" s="9" t="str">
        <f>'BIO DATA'!U172</f>
        <v>Wonokerto</v>
      </c>
      <c r="N172" s="9" t="str">
        <f>'BIO DATA'!V172</f>
        <v>Turi</v>
      </c>
      <c r="O172" s="9" t="str">
        <f>'BIO DATA'!W172</f>
        <v>Sleman</v>
      </c>
      <c r="P172" s="9" t="str">
        <f>'BIO DATA'!X172</f>
        <v>DIY</v>
      </c>
      <c r="Q172" s="9" t="str">
        <f>'BIO DATA'!Y172</f>
        <v>SD Muhammadiyah Mantaran Sleman DIY</v>
      </c>
      <c r="R172" s="9" t="str">
        <f>'BIO DATA'!Z172</f>
        <v>Mantaran Trimulyo Sleman</v>
      </c>
      <c r="S172" s="9">
        <f>'BIO DATA'!AA172</f>
        <v>0</v>
      </c>
      <c r="T172" s="9" t="str">
        <f>'BIO DATA'!AB172</f>
        <v>Tri Rahmad Subagyo</v>
      </c>
      <c r="U172" s="9" t="str">
        <f>'BIO DATA'!AC172</f>
        <v>Islam</v>
      </c>
      <c r="V172" s="9" t="str">
        <f>'BIO DATA'!AD172</f>
        <v>S1</v>
      </c>
      <c r="W172" s="9" t="str">
        <f>'BIO DATA'!AE172</f>
        <v>Pegawai Swasta</v>
      </c>
      <c r="X172" s="9" t="str">
        <f>'BIO DATA'!AF172</f>
        <v>3jt-5jt</v>
      </c>
      <c r="Y172" s="144" t="str">
        <f>'BIO DATA'!AG172</f>
        <v>087839287090</v>
      </c>
      <c r="Z172" s="9">
        <f>'BIO DATA'!AH172</f>
        <v>0</v>
      </c>
      <c r="AA172" s="9" t="str">
        <f>'BIO DATA'!AI172</f>
        <v>Leni Triastuti</v>
      </c>
      <c r="AB172" s="9" t="str">
        <f>'BIO DATA'!AJ172</f>
        <v>Islam</v>
      </c>
      <c r="AC172" s="9" t="str">
        <f>'BIO DATA'!AK172</f>
        <v>S1</v>
      </c>
      <c r="AD172" s="9" t="str">
        <f>'BIO DATA'!AL172</f>
        <v>Pegawai Swasta</v>
      </c>
      <c r="AE172" s="9" t="str">
        <f>'BIO DATA'!AM172</f>
        <v>1jt-3jt</v>
      </c>
      <c r="AF172" s="49" t="str">
        <f>'BIO DATA'!AN172</f>
        <v>085329676034</v>
      </c>
      <c r="AG172" s="9">
        <f>'BIO DATA'!AO172</f>
        <v>0</v>
      </c>
      <c r="AH172" s="9">
        <f>'BIO DATA'!AY172</f>
        <v>0</v>
      </c>
      <c r="AI172" s="9">
        <f>'BIO DATA'!AZ172</f>
        <v>0</v>
      </c>
      <c r="AJ172" s="9">
        <f>'BIO DATA'!BA172</f>
        <v>0</v>
      </c>
      <c r="AK172" s="9">
        <f>'BIO DATA'!BB172</f>
        <v>0</v>
      </c>
      <c r="AL172" s="9">
        <f>'BIO DATA'!BC172</f>
        <v>0</v>
      </c>
      <c r="AM172" s="9">
        <f>'BIO DATA'!BD172</f>
        <v>0</v>
      </c>
      <c r="AN172" s="9">
        <f>'BIO DATA'!BE172</f>
        <v>0</v>
      </c>
      <c r="AO172" s="9">
        <f>'BIO DATA'!BF172</f>
        <v>0</v>
      </c>
      <c r="AP172" s="50" t="str">
        <f>'BIO DATA'!BG172</f>
        <v>Ahmad Afifuddin Syarif, S.Pd.</v>
      </c>
    </row>
    <row r="173" spans="1:42" s="51" customFormat="1" ht="20.100000000000001" customHeight="1" thickBot="1">
      <c r="A173" s="19" t="s">
        <v>141</v>
      </c>
      <c r="B173">
        <v>200</v>
      </c>
      <c r="C173" s="116">
        <f>'BIO DATA'!C173</f>
        <v>12598</v>
      </c>
      <c r="D173" s="116" t="str">
        <f>'BIO DATA'!D173</f>
        <v>0133770822</v>
      </c>
      <c r="E173" s="115" t="str">
        <f>'BIO DATA'!E173</f>
        <v>Luvairel Atharizz Calief</v>
      </c>
      <c r="F173" s="46" t="str">
        <f>'BIO DATA'!L173</f>
        <v>Laki-laki</v>
      </c>
      <c r="G173" s="9" t="str">
        <f>'BIO DATA'!M173</f>
        <v>Klaten</v>
      </c>
      <c r="H173" s="48">
        <f>'BIO DATA'!O173</f>
        <v>41500</v>
      </c>
      <c r="I173" s="46" t="str">
        <f>'BIO DATA'!R173</f>
        <v>Islam</v>
      </c>
      <c r="J173" s="47">
        <f>'BIO DATA'!I173</f>
        <v>1</v>
      </c>
      <c r="K173" s="47">
        <f>'BIO DATA'!J173</f>
        <v>0</v>
      </c>
      <c r="L173" s="9" t="str">
        <f>'BIO DATA'!S173</f>
        <v>Pacalan Rt 03 Rw 05 Sukorejo Wedi Klaten Jawa Tengah</v>
      </c>
      <c r="M173" s="9" t="str">
        <f>'BIO DATA'!U173</f>
        <v>Sukorejo</v>
      </c>
      <c r="N173" s="9" t="str">
        <f>'BIO DATA'!V173</f>
        <v>Wedi</v>
      </c>
      <c r="O173" s="9" t="str">
        <f>'BIO DATA'!W173</f>
        <v>Klaten</v>
      </c>
      <c r="P173" s="9" t="str">
        <f>'BIO DATA'!X173</f>
        <v>Jawa Tengah</v>
      </c>
      <c r="Q173" s="9" t="str">
        <f>'BIO DATA'!Y173</f>
        <v>SD Aisyiyah Full Day Wedi</v>
      </c>
      <c r="R173" s="9" t="str">
        <f>'BIO DATA'!Z173</f>
        <v>Irobangsan, Wedi, Klaten</v>
      </c>
      <c r="S173" s="9">
        <f>'BIO DATA'!AA173</f>
        <v>0</v>
      </c>
      <c r="T173" s="9" t="str">
        <f>'BIO DATA'!AB173</f>
        <v>Bachtiar Qomarudin</v>
      </c>
      <c r="U173" s="9" t="str">
        <f>'BIO DATA'!AC173</f>
        <v>Islam</v>
      </c>
      <c r="V173" s="9" t="str">
        <f>'BIO DATA'!AD173</f>
        <v>S1</v>
      </c>
      <c r="W173" s="9" t="str">
        <f>'BIO DATA'!AE173</f>
        <v>Wiraswasta</v>
      </c>
      <c r="X173" s="9" t="str">
        <f>'BIO DATA'!AF173</f>
        <v>5jt-10jt</v>
      </c>
      <c r="Y173" s="144" t="str">
        <f>'BIO DATA'!AG173</f>
        <v>081567659342</v>
      </c>
      <c r="Z173" s="9">
        <f>'BIO DATA'!AH173</f>
        <v>0</v>
      </c>
      <c r="AA173" s="9" t="str">
        <f>'BIO DATA'!AI173</f>
        <v>Miranti Mekar Asri</v>
      </c>
      <c r="AB173" s="9" t="str">
        <f>'BIO DATA'!AJ173</f>
        <v>Islam</v>
      </c>
      <c r="AC173" s="9" t="str">
        <f>'BIO DATA'!AK173</f>
        <v>S1</v>
      </c>
      <c r="AD173" s="9" t="str">
        <f>'BIO DATA'!AL173</f>
        <v>Tidak Bekerja</v>
      </c>
      <c r="AE173" s="9" t="str">
        <f>'BIO DATA'!AM173</f>
        <v>&lt; 500rb</v>
      </c>
      <c r="AF173" s="49" t="str">
        <f>'BIO DATA'!AN173</f>
        <v>085643070721</v>
      </c>
      <c r="AG173" s="9">
        <f>'BIO DATA'!AO173</f>
        <v>0</v>
      </c>
      <c r="AH173" s="9">
        <f>'BIO DATA'!AY173</f>
        <v>0</v>
      </c>
      <c r="AI173" s="9">
        <f>'BIO DATA'!AZ173</f>
        <v>0</v>
      </c>
      <c r="AJ173" s="9">
        <f>'BIO DATA'!BA173</f>
        <v>0</v>
      </c>
      <c r="AK173" s="9">
        <f>'BIO DATA'!BB173</f>
        <v>0</v>
      </c>
      <c r="AL173" s="9">
        <f>'BIO DATA'!BC173</f>
        <v>0</v>
      </c>
      <c r="AM173" s="9">
        <f>'BIO DATA'!BD173</f>
        <v>0</v>
      </c>
      <c r="AN173" s="9">
        <f>'BIO DATA'!BE173</f>
        <v>0</v>
      </c>
      <c r="AO173" s="9">
        <f>'BIO DATA'!BF173</f>
        <v>0</v>
      </c>
      <c r="AP173" s="50" t="str">
        <f>'BIO DATA'!BG173</f>
        <v>Ahmad Afifuddin Syarif, S.Pd.</v>
      </c>
    </row>
    <row r="174" spans="1:42" s="51" customFormat="1" ht="20.100000000000001" customHeight="1" thickBot="1">
      <c r="A174" s="19" t="s">
        <v>141</v>
      </c>
      <c r="B174">
        <v>208</v>
      </c>
      <c r="C174" s="116">
        <f>'BIO DATA'!C174</f>
        <v>12599</v>
      </c>
      <c r="D174" s="116" t="str">
        <f>'BIO DATA'!D174</f>
        <v>0145860261</v>
      </c>
      <c r="E174" s="115" t="str">
        <f>'BIO DATA'!E174</f>
        <v>Muhammad Adib Keenan Wahyudianto</v>
      </c>
      <c r="F174" s="46" t="str">
        <f>'BIO DATA'!L174</f>
        <v>Laki-laki</v>
      </c>
      <c r="G174" s="9" t="str">
        <f>'BIO DATA'!M174</f>
        <v>Gresik</v>
      </c>
      <c r="H174" s="48">
        <f>'BIO DATA'!O174</f>
        <v>41649</v>
      </c>
      <c r="I174" s="46" t="str">
        <f>'BIO DATA'!R174</f>
        <v>Islam</v>
      </c>
      <c r="J174" s="47">
        <f>'BIO DATA'!I174</f>
        <v>1</v>
      </c>
      <c r="K174" s="47">
        <f>'BIO DATA'!J174</f>
        <v>2</v>
      </c>
      <c r="L174" s="9" t="str">
        <f>'BIO DATA'!S174</f>
        <v>Jl.Permata Utara no 24 Graha Bunder Asri RT 001 RW 005 Kembangan Kebomas Gresik Jawa Timur</v>
      </c>
      <c r="M174" s="9" t="str">
        <f>'BIO DATA'!U174</f>
        <v>Kembangan</v>
      </c>
      <c r="N174" s="9" t="str">
        <f>'BIO DATA'!V174</f>
        <v>Kebomas</v>
      </c>
      <c r="O174" s="9" t="str">
        <f>'BIO DATA'!W174</f>
        <v>Gresik</v>
      </c>
      <c r="P174" s="9" t="str">
        <f>'BIO DATA'!X174</f>
        <v>Jawa Timur</v>
      </c>
      <c r="Q174" s="9" t="str">
        <f>'BIO DATA'!Y174</f>
        <v>SD Muhammadiyah Manyar (SDMM)</v>
      </c>
      <c r="R174" s="9" t="str">
        <f>'BIO DATA'!Z174</f>
        <v>Jalan Amuntai no 01 Gresik Kota Baru</v>
      </c>
      <c r="S174" s="9">
        <f>'BIO DATA'!AA174</f>
        <v>0</v>
      </c>
      <c r="T174" s="9" t="str">
        <f>'BIO DATA'!AB174</f>
        <v>Andri Rukmi Kurnianto</v>
      </c>
      <c r="U174" s="9" t="str">
        <f>'BIO DATA'!AC174</f>
        <v>Islam</v>
      </c>
      <c r="V174" s="9" t="str">
        <f>'BIO DATA'!AD174</f>
        <v>S1</v>
      </c>
      <c r="W174" s="9" t="str">
        <f>'BIO DATA'!AE174</f>
        <v>PNS</v>
      </c>
      <c r="X174" s="9" t="str">
        <f>'BIO DATA'!AF174</f>
        <v>5jt-10jt</v>
      </c>
      <c r="Y174" s="144" t="str">
        <f>'BIO DATA'!AG174</f>
        <v>08121705521</v>
      </c>
      <c r="Z174" s="9">
        <f>'BIO DATA'!AH174</f>
        <v>0</v>
      </c>
      <c r="AA174" s="9" t="str">
        <f>'BIO DATA'!AI174</f>
        <v>Wahyu Wulandari</v>
      </c>
      <c r="AB174" s="9" t="str">
        <f>'BIO DATA'!AJ174</f>
        <v>Islam</v>
      </c>
      <c r="AC174" s="9" t="str">
        <f>'BIO DATA'!AK174</f>
        <v>S1</v>
      </c>
      <c r="AD174" s="9" t="str">
        <f>'BIO DATA'!AL174</f>
        <v>PNS</v>
      </c>
      <c r="AE174" s="9" t="str">
        <f>'BIO DATA'!AM174</f>
        <v>1jt-3jt</v>
      </c>
      <c r="AF174" s="49" t="str">
        <f>'BIO DATA'!AN174</f>
        <v>082140279040</v>
      </c>
      <c r="AG174" s="9">
        <f>'BIO DATA'!AO174</f>
        <v>0</v>
      </c>
      <c r="AH174" s="9">
        <f>'BIO DATA'!AY174</f>
        <v>0</v>
      </c>
      <c r="AI174" s="9">
        <f>'BIO DATA'!AZ174</f>
        <v>0</v>
      </c>
      <c r="AJ174" s="9">
        <f>'BIO DATA'!BA174</f>
        <v>0</v>
      </c>
      <c r="AK174" s="9">
        <f>'BIO DATA'!BB174</f>
        <v>0</v>
      </c>
      <c r="AL174" s="9">
        <f>'BIO DATA'!BC174</f>
        <v>0</v>
      </c>
      <c r="AM174" s="9">
        <f>'BIO DATA'!BD174</f>
        <v>0</v>
      </c>
      <c r="AN174" s="9">
        <f>'BIO DATA'!BE174</f>
        <v>0</v>
      </c>
      <c r="AO174" s="9">
        <f>'BIO DATA'!BF174</f>
        <v>0</v>
      </c>
      <c r="AP174" s="50" t="str">
        <f>'BIO DATA'!BG174</f>
        <v>Ahmad Afifuddin Syarif, S.Pd.</v>
      </c>
    </row>
    <row r="175" spans="1:42" s="51" customFormat="1" ht="20.100000000000001" customHeight="1" thickBot="1">
      <c r="A175" s="19" t="s">
        <v>141</v>
      </c>
      <c r="B175">
        <v>210</v>
      </c>
      <c r="C175" s="116">
        <f>'BIO DATA'!C175</f>
        <v>12609</v>
      </c>
      <c r="D175" s="116" t="str">
        <f>'BIO DATA'!D175</f>
        <v>0131846190</v>
      </c>
      <c r="E175" s="115" t="str">
        <f>'BIO DATA'!E175</f>
        <v>Muhammad Afadana Elfaza</v>
      </c>
      <c r="F175" s="46" t="str">
        <f>'BIO DATA'!L175</f>
        <v>Laki-laki</v>
      </c>
      <c r="G175" s="9" t="str">
        <f>'BIO DATA'!M175</f>
        <v>Magelang</v>
      </c>
      <c r="H175" s="48">
        <f>'BIO DATA'!O175</f>
        <v>41603</v>
      </c>
      <c r="I175" s="46" t="str">
        <f>'BIO DATA'!R175</f>
        <v>Islam</v>
      </c>
      <c r="J175" s="47">
        <f>'BIO DATA'!I175</f>
        <v>1</v>
      </c>
      <c r="K175" s="47">
        <f>'BIO DATA'!J175</f>
        <v>2</v>
      </c>
      <c r="L175" s="9" t="str">
        <f>'BIO DATA'!S175</f>
        <v>Nglipar Lor 04/03, Nglipar, Nglipar, Gunungkidul, D. I. Yogyakarta</v>
      </c>
      <c r="M175" s="9" t="str">
        <f>'BIO DATA'!U175</f>
        <v>Nglipar</v>
      </c>
      <c r="N175" s="9" t="str">
        <f>'BIO DATA'!V175</f>
        <v>Nglipar</v>
      </c>
      <c r="O175" s="9" t="str">
        <f>'BIO DATA'!W175</f>
        <v>Gunungkidul</v>
      </c>
      <c r="P175" s="9" t="str">
        <f>'BIO DATA'!X175</f>
        <v>DIY</v>
      </c>
      <c r="Q175" s="9" t="str">
        <f>'BIO DATA'!Y175</f>
        <v>SD Muhammadiyah Kuwarasan</v>
      </c>
      <c r="R175" s="9" t="str">
        <f>'BIO DATA'!Z175</f>
        <v>Kuwarasan, Kedungkeris, Nglipar, Gunungkidul, D. I. Yogyakarta.</v>
      </c>
      <c r="S175" s="9">
        <f>'BIO DATA'!AA175</f>
        <v>0</v>
      </c>
      <c r="T175" s="9" t="str">
        <f>'BIO DATA'!AB175</f>
        <v>Faried Rochman Hakim</v>
      </c>
      <c r="U175" s="9" t="str">
        <f>'BIO DATA'!AC175</f>
        <v>Islam</v>
      </c>
      <c r="V175" s="9" t="str">
        <f>'BIO DATA'!AD175</f>
        <v>S2</v>
      </c>
      <c r="W175" s="9" t="str">
        <f>'BIO DATA'!AE175</f>
        <v>Guru/Dosen</v>
      </c>
      <c r="X175" s="9" t="str">
        <f>'BIO DATA'!AF175</f>
        <v>1jt-3jt</v>
      </c>
      <c r="Y175" s="144" t="str">
        <f>'BIO DATA'!AG175</f>
        <v>087834187100</v>
      </c>
      <c r="Z175" s="9">
        <f>'BIO DATA'!AH175</f>
        <v>0</v>
      </c>
      <c r="AA175" s="9" t="str">
        <f>'BIO DATA'!AI175</f>
        <v>Luthfina Fatimah Hapsari</v>
      </c>
      <c r="AB175" s="9" t="str">
        <f>'BIO DATA'!AJ175</f>
        <v>Islam</v>
      </c>
      <c r="AC175" s="9" t="str">
        <f>'BIO DATA'!AK175</f>
        <v>S1</v>
      </c>
      <c r="AD175" s="9" t="str">
        <f>'BIO DATA'!AL175</f>
        <v>Tidak Bekerja</v>
      </c>
      <c r="AE175" s="9" t="str">
        <f>'BIO DATA'!AM175</f>
        <v>&lt; 500rb</v>
      </c>
      <c r="AF175" s="49" t="str">
        <f>'BIO DATA'!AN175</f>
        <v>087739151100</v>
      </c>
      <c r="AG175" s="9">
        <f>'BIO DATA'!AO175</f>
        <v>0</v>
      </c>
      <c r="AH175" s="9">
        <f>'BIO DATA'!AY175</f>
        <v>0</v>
      </c>
      <c r="AI175" s="9">
        <f>'BIO DATA'!AZ175</f>
        <v>0</v>
      </c>
      <c r="AJ175" s="9">
        <f>'BIO DATA'!BA175</f>
        <v>0</v>
      </c>
      <c r="AK175" s="9">
        <f>'BIO DATA'!BB175</f>
        <v>0</v>
      </c>
      <c r="AL175" s="9">
        <f>'BIO DATA'!BC175</f>
        <v>0</v>
      </c>
      <c r="AM175" s="9">
        <f>'BIO DATA'!BD175</f>
        <v>0</v>
      </c>
      <c r="AN175" s="9">
        <f>'BIO DATA'!BE175</f>
        <v>0</v>
      </c>
      <c r="AO175" s="9">
        <f>'BIO DATA'!BF175</f>
        <v>0</v>
      </c>
      <c r="AP175" s="50" t="str">
        <f>'BIO DATA'!BG175</f>
        <v>Ahmad Afifuddin Syarif, S.Pd.</v>
      </c>
    </row>
    <row r="176" spans="1:42" s="51" customFormat="1" ht="20.100000000000001" customHeight="1" thickBot="1">
      <c r="A176" s="19" t="s">
        <v>141</v>
      </c>
      <c r="B176">
        <v>213</v>
      </c>
      <c r="C176" s="116">
        <f>'BIO DATA'!C176</f>
        <v>12646</v>
      </c>
      <c r="D176" s="116" t="str">
        <f>'BIO DATA'!D176</f>
        <v>0143892092</v>
      </c>
      <c r="E176" s="115" t="str">
        <f>'BIO DATA'!E176</f>
        <v>Muhammad Naufal Rahman</v>
      </c>
      <c r="F176" s="46" t="str">
        <f>'BIO DATA'!L176</f>
        <v>Laki-laki</v>
      </c>
      <c r="G176" s="9" t="str">
        <f>'BIO DATA'!M176</f>
        <v>Banjarnegara</v>
      </c>
      <c r="H176" s="48">
        <f>'BIO DATA'!O176</f>
        <v>41679</v>
      </c>
      <c r="I176" s="46" t="str">
        <f>'BIO DATA'!R176</f>
        <v>Islam</v>
      </c>
      <c r="J176" s="47">
        <f>'BIO DATA'!I176</f>
        <v>0</v>
      </c>
      <c r="K176" s="47">
        <f>'BIO DATA'!J176</f>
        <v>0</v>
      </c>
      <c r="L176" s="9" t="str">
        <f>'BIO DATA'!S176</f>
        <v>Parakancanggah rt02 rw10 Banjarnegara Jawa Tengah</v>
      </c>
      <c r="M176" s="9" t="str">
        <f>'BIO DATA'!U176</f>
        <v>Parakancanggah</v>
      </c>
      <c r="N176" s="9" t="str">
        <f>'BIO DATA'!V176</f>
        <v>Banjarnegara</v>
      </c>
      <c r="O176" s="9" t="str">
        <f>'BIO DATA'!W176</f>
        <v>Banjarnegara</v>
      </c>
      <c r="P176" s="9" t="str">
        <f>'BIO DATA'!X176</f>
        <v>Jawa Tengah</v>
      </c>
      <c r="Q176" s="9" t="str">
        <f>'BIO DATA'!Y176</f>
        <v>SDIT Pertama Hati</v>
      </c>
      <c r="R176" s="9" t="str">
        <f>'BIO DATA'!Z176</f>
        <v>Jl abu bakar no.9 petambakan madukara Banjarnegara Jawa Tengah</v>
      </c>
      <c r="S176" s="9">
        <f>'BIO DATA'!AA176</f>
        <v>0</v>
      </c>
      <c r="T176" s="9" t="str">
        <f>'BIO DATA'!AB176</f>
        <v>Arifin</v>
      </c>
      <c r="U176" s="9" t="str">
        <f>'BIO DATA'!AC176</f>
        <v>Islam</v>
      </c>
      <c r="V176" s="9" t="str">
        <f>'BIO DATA'!AD176</f>
        <v>DIPLOMA</v>
      </c>
      <c r="W176" s="9" t="str">
        <f>'BIO DATA'!AE176</f>
        <v>Wiraswasta</v>
      </c>
      <c r="X176" s="9" t="str">
        <f>'BIO DATA'!AF176</f>
        <v>5jt-10jt</v>
      </c>
      <c r="Y176" s="144" t="str">
        <f>'BIO DATA'!AG176</f>
        <v>082225747576</v>
      </c>
      <c r="Z176" s="9">
        <f>'BIO DATA'!AH176</f>
        <v>0</v>
      </c>
      <c r="AA176" s="9" t="str">
        <f>'BIO DATA'!AI176</f>
        <v>Dina Hardiana Rahmanti</v>
      </c>
      <c r="AB176" s="9" t="str">
        <f>'BIO DATA'!AJ176</f>
        <v>Islam</v>
      </c>
      <c r="AC176" s="9" t="str">
        <f>'BIO DATA'!AK176</f>
        <v>S1</v>
      </c>
      <c r="AD176" s="9" t="str">
        <f>'BIO DATA'!AL176</f>
        <v>Tidak Bekerja</v>
      </c>
      <c r="AE176" s="9" t="str">
        <f>'BIO DATA'!AM176</f>
        <v>3jt-5jt</v>
      </c>
      <c r="AF176" s="49" t="str">
        <f>'BIO DATA'!AN176</f>
        <v>085385377575</v>
      </c>
      <c r="AG176" s="9">
        <f>'BIO DATA'!AO176</f>
        <v>0</v>
      </c>
      <c r="AH176" s="9">
        <f>'BIO DATA'!AY176</f>
        <v>0</v>
      </c>
      <c r="AI176" s="9">
        <f>'BIO DATA'!AZ176</f>
        <v>0</v>
      </c>
      <c r="AJ176" s="9">
        <f>'BIO DATA'!BA176</f>
        <v>0</v>
      </c>
      <c r="AK176" s="9">
        <f>'BIO DATA'!BB176</f>
        <v>0</v>
      </c>
      <c r="AL176" s="9">
        <f>'BIO DATA'!BC176</f>
        <v>0</v>
      </c>
      <c r="AM176" s="9">
        <f>'BIO DATA'!BD176</f>
        <v>0</v>
      </c>
      <c r="AN176" s="9">
        <f>'BIO DATA'!BE176</f>
        <v>0</v>
      </c>
      <c r="AO176" s="9">
        <f>'BIO DATA'!BF176</f>
        <v>0</v>
      </c>
      <c r="AP176" s="50" t="str">
        <f>'BIO DATA'!BG176</f>
        <v>Ahmad Afifuddin Syarif, S.Pd.</v>
      </c>
    </row>
    <row r="177" spans="1:42" s="51" customFormat="1" ht="20.100000000000001" customHeight="1" thickBot="1">
      <c r="A177" s="19" t="s">
        <v>141</v>
      </c>
      <c r="B177">
        <v>222</v>
      </c>
      <c r="C177" s="116">
        <f>'BIO DATA'!C177</f>
        <v>12653</v>
      </c>
      <c r="D177" s="116">
        <f>'BIO DATA'!D177</f>
        <v>3134401899</v>
      </c>
      <c r="E177" s="115" t="str">
        <f>'BIO DATA'!E177</f>
        <v>Muhammad Rioki Alfath</v>
      </c>
      <c r="F177" s="46" t="str">
        <f>'BIO DATA'!L177</f>
        <v>Laki-laki</v>
      </c>
      <c r="G177" s="9" t="str">
        <f>'BIO DATA'!M177</f>
        <v>Karawang</v>
      </c>
      <c r="H177" s="48">
        <f>'BIO DATA'!O177</f>
        <v>41522</v>
      </c>
      <c r="I177" s="46" t="str">
        <f>'BIO DATA'!R177</f>
        <v>Islam</v>
      </c>
      <c r="J177" s="47">
        <f>'BIO DATA'!I177</f>
        <v>2</v>
      </c>
      <c r="K177" s="47">
        <f>'BIO DATA'!J177</f>
        <v>2</v>
      </c>
      <c r="L177" s="9" t="str">
        <f>'BIO DATA'!S177</f>
        <v>Jatirasa tengah no 37 RT 01/05 Karangpawitan, Karawang Barat, Karawang, Jawa Barat</v>
      </c>
      <c r="M177" s="9" t="str">
        <f>'BIO DATA'!U177</f>
        <v>Karangpawitan</v>
      </c>
      <c r="N177" s="9" t="str">
        <f>'BIO DATA'!V177</f>
        <v>Karawang Barat</v>
      </c>
      <c r="O177" s="9" t="str">
        <f>'BIO DATA'!W177</f>
        <v>Karawang</v>
      </c>
      <c r="P177" s="9" t="str">
        <f>'BIO DATA'!X177</f>
        <v>Jawa Barat</v>
      </c>
      <c r="Q177" s="9" t="str">
        <f>'BIO DATA'!Y177</f>
        <v>SDS Muhammadiyah 1 Karawang</v>
      </c>
      <c r="R177" s="9" t="str">
        <f>'BIO DATA'!Z177</f>
        <v>JL SYEH QURO,KOMPLEK MESJID DARUSSALAM RT 002/001,DESA ADIARSA TIMUR,KEC KARAWANG TIMUR,KAB KARAWANG JAWA BARAT</v>
      </c>
      <c r="S177" s="9">
        <f>'BIO DATA'!AA177</f>
        <v>0</v>
      </c>
      <c r="T177" s="9" t="str">
        <f>'BIO DATA'!AB177</f>
        <v>Oki Wastriyanto</v>
      </c>
      <c r="U177" s="9" t="str">
        <f>'BIO DATA'!AC177</f>
        <v>Islam</v>
      </c>
      <c r="V177" s="9" t="str">
        <f>'BIO DATA'!AD177</f>
        <v>DIPLOMA</v>
      </c>
      <c r="W177" s="9" t="str">
        <f>'BIO DATA'!AE177</f>
        <v>Pegawai Swasta</v>
      </c>
      <c r="X177" s="9" t="str">
        <f>'BIO DATA'!AF177</f>
        <v>5jt-10jt</v>
      </c>
      <c r="Y177" s="144" t="str">
        <f>'BIO DATA'!AG177</f>
        <v>081385695819</v>
      </c>
      <c r="Z177" s="9">
        <f>'BIO DATA'!AH177</f>
        <v>0</v>
      </c>
      <c r="AA177" s="9" t="str">
        <f>'BIO DATA'!AI177</f>
        <v>Rina Fadzillah</v>
      </c>
      <c r="AB177" s="9" t="str">
        <f>'BIO DATA'!AJ177</f>
        <v>Islam</v>
      </c>
      <c r="AC177" s="9" t="str">
        <f>'BIO DATA'!AK177</f>
        <v>S1</v>
      </c>
      <c r="AD177" s="9" t="str">
        <f>'BIO DATA'!AL177</f>
        <v>PNS</v>
      </c>
      <c r="AE177" s="9" t="str">
        <f>'BIO DATA'!AM177</f>
        <v>3jt-5jt</v>
      </c>
      <c r="AF177" s="49" t="str">
        <f>'BIO DATA'!AN177</f>
        <v>081381118237</v>
      </c>
      <c r="AG177" s="9">
        <f>'BIO DATA'!AO177</f>
        <v>0</v>
      </c>
      <c r="AH177" s="9">
        <f>'BIO DATA'!AY177</f>
        <v>0</v>
      </c>
      <c r="AI177" s="9">
        <f>'BIO DATA'!AZ177</f>
        <v>0</v>
      </c>
      <c r="AJ177" s="9">
        <f>'BIO DATA'!BA177</f>
        <v>0</v>
      </c>
      <c r="AK177" s="9">
        <f>'BIO DATA'!BB177</f>
        <v>0</v>
      </c>
      <c r="AL177" s="9">
        <f>'BIO DATA'!BC177</f>
        <v>0</v>
      </c>
      <c r="AM177" s="9">
        <f>'BIO DATA'!BD177</f>
        <v>0</v>
      </c>
      <c r="AN177" s="9">
        <f>'BIO DATA'!BE177</f>
        <v>0</v>
      </c>
      <c r="AO177" s="9">
        <f>'BIO DATA'!BF177</f>
        <v>0</v>
      </c>
      <c r="AP177" s="50" t="str">
        <f>'BIO DATA'!BG177</f>
        <v>Ahmad Afifuddin Syarif, S.Pd.</v>
      </c>
    </row>
    <row r="178" spans="1:42" s="51" customFormat="1" ht="20.100000000000001" customHeight="1" thickBot="1">
      <c r="A178" s="19" t="s">
        <v>141</v>
      </c>
      <c r="B178">
        <v>230</v>
      </c>
      <c r="C178" s="116">
        <f>'BIO DATA'!C178</f>
        <v>12655</v>
      </c>
      <c r="D178" s="116" t="str">
        <f>'BIO DATA'!D178</f>
        <v>0125821698</v>
      </c>
      <c r="E178" s="115" t="str">
        <f>'BIO DATA'!E178</f>
        <v>Muhammad Roykhan Arkana</v>
      </c>
      <c r="F178" s="46" t="str">
        <f>'BIO DATA'!L178</f>
        <v>Laki-laki</v>
      </c>
      <c r="G178" s="9" t="str">
        <f>'BIO DATA'!M178</f>
        <v>Sleman</v>
      </c>
      <c r="H178" s="48">
        <f>'BIO DATA'!O178</f>
        <v>41260</v>
      </c>
      <c r="I178" s="46" t="str">
        <f>'BIO DATA'!R178</f>
        <v>Islam</v>
      </c>
      <c r="J178" s="47">
        <f>'BIO DATA'!I178</f>
        <v>1</v>
      </c>
      <c r="K178" s="47">
        <f>'BIO DATA'!J178</f>
        <v>0</v>
      </c>
      <c r="L178" s="9" t="str">
        <f>'BIO DATA'!S178</f>
        <v>Perum Kejati No 6 Geplakan Banyuraden Gamping Sleman DIY</v>
      </c>
      <c r="M178" s="9" t="str">
        <f>'BIO DATA'!U178</f>
        <v>Banyuraden</v>
      </c>
      <c r="N178" s="9" t="str">
        <f>'BIO DATA'!V178</f>
        <v>Gamping</v>
      </c>
      <c r="O178" s="9" t="str">
        <f>'BIO DATA'!W178</f>
        <v>Sleman</v>
      </c>
      <c r="P178" s="9" t="str">
        <f>'BIO DATA'!X178</f>
        <v>DIY</v>
      </c>
      <c r="Q178" s="9" t="str">
        <f>'BIO DATA'!Y178</f>
        <v>SD Tegalrejo 2</v>
      </c>
      <c r="R178" s="9" t="str">
        <f>'BIO DATA'!Z178</f>
        <v>JL WIRATAMA 27 TEGALREJO YOGYAKARTA</v>
      </c>
      <c r="S178" s="9">
        <f>'BIO DATA'!AA178</f>
        <v>0</v>
      </c>
      <c r="T178" s="9" t="str">
        <f>'BIO DATA'!AB178</f>
        <v>Tri Cahyo Adhyaksa</v>
      </c>
      <c r="U178" s="9" t="str">
        <f>'BIO DATA'!AC178</f>
        <v>Islam</v>
      </c>
      <c r="V178" s="9" t="str">
        <f>'BIO DATA'!AD178</f>
        <v>S1</v>
      </c>
      <c r="W178" s="9" t="str">
        <f>'BIO DATA'!AE178</f>
        <v>PNS</v>
      </c>
      <c r="X178" s="9" t="str">
        <f>'BIO DATA'!AF178</f>
        <v>1jt-3jt</v>
      </c>
      <c r="Y178" s="144" t="str">
        <f>'BIO DATA'!AG178</f>
        <v>081227384363</v>
      </c>
      <c r="Z178" s="9">
        <f>'BIO DATA'!AH178</f>
        <v>0</v>
      </c>
      <c r="AA178" s="9" t="str">
        <f>'BIO DATA'!AI178</f>
        <v>Fetri kurnianingsih</v>
      </c>
      <c r="AB178" s="9" t="str">
        <f>'BIO DATA'!AJ178</f>
        <v>Islam</v>
      </c>
      <c r="AC178" s="9" t="str">
        <f>'BIO DATA'!AK178</f>
        <v>S1</v>
      </c>
      <c r="AD178" s="9" t="str">
        <f>'BIO DATA'!AL178</f>
        <v>Lain-lain</v>
      </c>
      <c r="AE178" s="9" t="str">
        <f>'BIO DATA'!AM178</f>
        <v>1jt-3jt</v>
      </c>
      <c r="AF178" s="49" t="str">
        <f>'BIO DATA'!AN178</f>
        <v>08558905318</v>
      </c>
      <c r="AG178" s="9">
        <f>'BIO DATA'!AO178</f>
        <v>0</v>
      </c>
      <c r="AH178" s="9">
        <f>'BIO DATA'!AY178</f>
        <v>0</v>
      </c>
      <c r="AI178" s="9">
        <f>'BIO DATA'!AZ178</f>
        <v>0</v>
      </c>
      <c r="AJ178" s="9">
        <f>'BIO DATA'!BA178</f>
        <v>0</v>
      </c>
      <c r="AK178" s="9">
        <f>'BIO DATA'!BB178</f>
        <v>0</v>
      </c>
      <c r="AL178" s="9">
        <f>'BIO DATA'!BC178</f>
        <v>0</v>
      </c>
      <c r="AM178" s="9">
        <f>'BIO DATA'!BD178</f>
        <v>0</v>
      </c>
      <c r="AN178" s="9">
        <f>'BIO DATA'!BE178</f>
        <v>0</v>
      </c>
      <c r="AO178" s="9">
        <f>'BIO DATA'!BF178</f>
        <v>0</v>
      </c>
      <c r="AP178" s="50" t="str">
        <f>'BIO DATA'!BG178</f>
        <v>Ahmad Afifuddin Syarif, S.Pd.</v>
      </c>
    </row>
    <row r="179" spans="1:42" s="51" customFormat="1" ht="20.100000000000001" customHeight="1" thickBot="1">
      <c r="A179" s="19" t="s">
        <v>141</v>
      </c>
      <c r="B179">
        <v>239</v>
      </c>
      <c r="C179" s="116">
        <f>'BIO DATA'!C179</f>
        <v>12689</v>
      </c>
      <c r="D179" s="116" t="str">
        <f>'BIO DATA'!D179</f>
        <v>0139934333</v>
      </c>
      <c r="E179" s="115" t="str">
        <f>'BIO DATA'!E179</f>
        <v>Rasyid Azka Alvaro</v>
      </c>
      <c r="F179" s="46" t="str">
        <f>'BIO DATA'!L179</f>
        <v>Laki-laki</v>
      </c>
      <c r="G179" s="9" t="str">
        <f>'BIO DATA'!M179</f>
        <v>Batang</v>
      </c>
      <c r="H179" s="48">
        <f>'BIO DATA'!O179</f>
        <v>41531</v>
      </c>
      <c r="I179" s="46" t="str">
        <f>'BIO DATA'!R179</f>
        <v>Islam</v>
      </c>
      <c r="J179" s="47">
        <f>'BIO DATA'!I179</f>
        <v>1</v>
      </c>
      <c r="K179" s="47">
        <f>'BIO DATA'!J179</f>
        <v>2</v>
      </c>
      <c r="L179" s="9" t="str">
        <f>'BIO DATA'!S179</f>
        <v>Jl Yos Sudarso Pungkursari RT 5/8 No 15 Karangasem Utara Batang Jawa Tengah</v>
      </c>
      <c r="M179" s="9" t="str">
        <f>'BIO DATA'!U179</f>
        <v>Pungkursari</v>
      </c>
      <c r="N179" s="9" t="str">
        <f>'BIO DATA'!V179</f>
        <v>Batang</v>
      </c>
      <c r="O179" s="9" t="str">
        <f>'BIO DATA'!W179</f>
        <v>Batang</v>
      </c>
      <c r="P179" s="9" t="str">
        <f>'BIO DATA'!X179</f>
        <v>Jawa Tengah</v>
      </c>
      <c r="Q179" s="9" t="str">
        <f>'BIO DATA'!Y179</f>
        <v>SDTQ AL Bayan</v>
      </c>
      <c r="R179" s="9" t="str">
        <f>'BIO DATA'!Z179</f>
        <v>Jl Kresna Raya Gg Permata RT 05/01 Ds Pasekaran Kec. Batang Kab. Batang</v>
      </c>
      <c r="S179" s="9">
        <f>'BIO DATA'!AA179</f>
        <v>0</v>
      </c>
      <c r="T179" s="9" t="str">
        <f>'BIO DATA'!AB179</f>
        <v>Moch Lukman</v>
      </c>
      <c r="U179" s="9" t="str">
        <f>'BIO DATA'!AC179</f>
        <v>Islam</v>
      </c>
      <c r="V179" s="9" t="str">
        <f>'BIO DATA'!AD179</f>
        <v>S1</v>
      </c>
      <c r="W179" s="9" t="str">
        <f>'BIO DATA'!AE179</f>
        <v>Pegawai Swasta</v>
      </c>
      <c r="X179" s="9" t="str">
        <f>'BIO DATA'!AF179</f>
        <v>3jt-5jt</v>
      </c>
      <c r="Y179" s="144" t="str">
        <f>'BIO DATA'!AG179</f>
        <v>085290014684</v>
      </c>
      <c r="Z179" s="9">
        <f>'BIO DATA'!AH179</f>
        <v>0</v>
      </c>
      <c r="AA179" s="9" t="str">
        <f>'BIO DATA'!AI179</f>
        <v>Lusi Indriyani</v>
      </c>
      <c r="AB179" s="9" t="str">
        <f>'BIO DATA'!AJ179</f>
        <v>Islam</v>
      </c>
      <c r="AC179" s="9" t="str">
        <f>'BIO DATA'!AK179</f>
        <v>S1</v>
      </c>
      <c r="AD179" s="9" t="str">
        <f>'BIO DATA'!AL179</f>
        <v>Tidak Bekerja</v>
      </c>
      <c r="AE179" s="9" t="str">
        <f>'BIO DATA'!AM179</f>
        <v>&lt; 500rb</v>
      </c>
      <c r="AF179" s="49" t="str">
        <f>'BIO DATA'!AN179</f>
        <v>081225676330</v>
      </c>
      <c r="AG179" s="9">
        <f>'BIO DATA'!AO179</f>
        <v>0</v>
      </c>
      <c r="AH179" s="9">
        <f>'BIO DATA'!AY179</f>
        <v>0</v>
      </c>
      <c r="AI179" s="9">
        <f>'BIO DATA'!AZ179</f>
        <v>0</v>
      </c>
      <c r="AJ179" s="9">
        <f>'BIO DATA'!BA179</f>
        <v>0</v>
      </c>
      <c r="AK179" s="9">
        <f>'BIO DATA'!BB179</f>
        <v>0</v>
      </c>
      <c r="AL179" s="9">
        <f>'BIO DATA'!BC179</f>
        <v>0</v>
      </c>
      <c r="AM179" s="9">
        <f>'BIO DATA'!BD179</f>
        <v>0</v>
      </c>
      <c r="AN179" s="9">
        <f>'BIO DATA'!BE179</f>
        <v>0</v>
      </c>
      <c r="AO179" s="9">
        <f>'BIO DATA'!BF179</f>
        <v>0</v>
      </c>
      <c r="AP179" s="50" t="str">
        <f>'BIO DATA'!BG179</f>
        <v>Ahmad Afifuddin Syarif, S.Pd.</v>
      </c>
    </row>
    <row r="180" spans="1:42" s="51" customFormat="1" ht="20.100000000000001" customHeight="1" thickBot="1">
      <c r="A180" s="19" t="s">
        <v>141</v>
      </c>
      <c r="B180">
        <v>258</v>
      </c>
      <c r="C180" s="116">
        <f>'BIO DATA'!C180</f>
        <v>12694</v>
      </c>
      <c r="D180" s="116" t="str">
        <f>'BIO DATA'!D180</f>
        <v>0134045600</v>
      </c>
      <c r="E180" s="115" t="str">
        <f>'BIO DATA'!E180</f>
        <v>Razan Javier Syarof</v>
      </c>
      <c r="F180" s="46" t="str">
        <f>'BIO DATA'!L180</f>
        <v>Laki-laki</v>
      </c>
      <c r="G180" s="9" t="str">
        <f>'BIO DATA'!M180</f>
        <v>Tangerang Selatan</v>
      </c>
      <c r="H180" s="48">
        <f>'BIO DATA'!O180</f>
        <v>41526</v>
      </c>
      <c r="I180" s="46" t="str">
        <f>'BIO DATA'!R180</f>
        <v>Islam</v>
      </c>
      <c r="J180" s="47">
        <f>'BIO DATA'!I180</f>
        <v>2</v>
      </c>
      <c r="K180" s="47">
        <f>'BIO DATA'!J180</f>
        <v>2</v>
      </c>
      <c r="L180" s="9" t="str">
        <f>'BIO DATA'!S180</f>
        <v>Perumahan Suvarna Sutera Cluster Fedora Park 2 no 18 Sindang jaya warna Kerta tangerang</v>
      </c>
      <c r="M180" s="9" t="str">
        <f>'BIO DATA'!U180</f>
        <v>Wanakerta</v>
      </c>
      <c r="N180" s="9" t="str">
        <f>'BIO DATA'!V180</f>
        <v>Sindang Jaya</v>
      </c>
      <c r="O180" s="9" t="str">
        <f>'BIO DATA'!W180</f>
        <v>Kota Tangerang</v>
      </c>
      <c r="P180" s="9" t="str">
        <f>'BIO DATA'!X180</f>
        <v>Banten</v>
      </c>
      <c r="Q180" s="9" t="str">
        <f>'BIO DATA'!Y180</f>
        <v>SDIT Granada tangerang</v>
      </c>
      <c r="R180" s="9" t="str">
        <f>'BIO DATA'!Z180</f>
        <v>JL Kimulud no 20 karawaci tangerang</v>
      </c>
      <c r="S180" s="9">
        <f>'BIO DATA'!AA180</f>
        <v>0</v>
      </c>
      <c r="T180" s="9" t="str">
        <f>'BIO DATA'!AB180</f>
        <v>Ade Barkah</v>
      </c>
      <c r="U180" s="9" t="str">
        <f>'BIO DATA'!AC180</f>
        <v>Islam</v>
      </c>
      <c r="V180" s="9" t="str">
        <f>'BIO DATA'!AD180</f>
        <v>S2</v>
      </c>
      <c r="W180" s="9" t="str">
        <f>'BIO DATA'!AE180</f>
        <v>Pegawai Swasta</v>
      </c>
      <c r="X180" s="9" t="str">
        <f>'BIO DATA'!AF180</f>
        <v>&gt;10jt</v>
      </c>
      <c r="Y180" s="144" t="str">
        <f>'BIO DATA'!AG180</f>
        <v>08119401428</v>
      </c>
      <c r="Z180" s="9">
        <f>'BIO DATA'!AH180</f>
        <v>0</v>
      </c>
      <c r="AA180" s="9" t="str">
        <f>'BIO DATA'!AI180</f>
        <v>Rahmalia Andini</v>
      </c>
      <c r="AB180" s="9" t="str">
        <f>'BIO DATA'!AJ180</f>
        <v>Islam</v>
      </c>
      <c r="AC180" s="9" t="str">
        <f>'BIO DATA'!AK180</f>
        <v>S1</v>
      </c>
      <c r="AD180" s="9" t="str">
        <f>'BIO DATA'!AL180</f>
        <v>Wiraswasta</v>
      </c>
      <c r="AE180" s="9" t="str">
        <f>'BIO DATA'!AM180</f>
        <v>5jt-10jt</v>
      </c>
      <c r="AF180" s="49" t="str">
        <f>'BIO DATA'!AN180</f>
        <v>085693068716</v>
      </c>
      <c r="AG180" s="9">
        <f>'BIO DATA'!AO180</f>
        <v>0</v>
      </c>
      <c r="AH180" s="9">
        <f>'BIO DATA'!AY180</f>
        <v>0</v>
      </c>
      <c r="AI180" s="9">
        <f>'BIO DATA'!AZ180</f>
        <v>0</v>
      </c>
      <c r="AJ180" s="9">
        <f>'BIO DATA'!BA180</f>
        <v>0</v>
      </c>
      <c r="AK180" s="9">
        <f>'BIO DATA'!BB180</f>
        <v>0</v>
      </c>
      <c r="AL180" s="9">
        <f>'BIO DATA'!BC180</f>
        <v>0</v>
      </c>
      <c r="AM180" s="9">
        <f>'BIO DATA'!BD180</f>
        <v>0</v>
      </c>
      <c r="AN180" s="9">
        <f>'BIO DATA'!BE180</f>
        <v>0</v>
      </c>
      <c r="AO180" s="9">
        <f>'BIO DATA'!BF180</f>
        <v>0</v>
      </c>
      <c r="AP180" s="50" t="str">
        <f>'BIO DATA'!BG180</f>
        <v>Ahmad Afifuddin Syarif, S.Pd.</v>
      </c>
    </row>
    <row r="181" spans="1:42" s="51" customFormat="1" ht="20.100000000000001" customHeight="1" thickBot="1">
      <c r="A181" s="19" t="s">
        <v>141</v>
      </c>
      <c r="B181">
        <v>262</v>
      </c>
      <c r="C181" s="116">
        <f>'BIO DATA'!C181</f>
        <v>12712</v>
      </c>
      <c r="D181" s="116" t="str">
        <f>'BIO DATA'!D181</f>
        <v>0133696677</v>
      </c>
      <c r="E181" s="115" t="str">
        <f>'BIO DATA'!E181</f>
        <v>Uwais Naufal El Kamal</v>
      </c>
      <c r="F181" s="46" t="str">
        <f>'BIO DATA'!L181</f>
        <v>Laki-laki</v>
      </c>
      <c r="G181" s="9" t="str">
        <f>'BIO DATA'!M181</f>
        <v>Yogyakarta</v>
      </c>
      <c r="H181" s="48">
        <f>'BIO DATA'!O181</f>
        <v>41512</v>
      </c>
      <c r="I181" s="46" t="str">
        <f>'BIO DATA'!R181</f>
        <v>Islam</v>
      </c>
      <c r="J181" s="47">
        <f>'BIO DATA'!I181</f>
        <v>1</v>
      </c>
      <c r="K181" s="47">
        <f>'BIO DATA'!J181</f>
        <v>1</v>
      </c>
      <c r="L181" s="9" t="str">
        <f>'BIO DATA'!S181</f>
        <v>Jl. Kauman no.44 Rt.45 / Rw.12 Ngupasan Gondomanan Kota Yogyakarta DIY</v>
      </c>
      <c r="M181" s="9" t="str">
        <f>'BIO DATA'!U181</f>
        <v>Ngupasan</v>
      </c>
      <c r="N181" s="9" t="str">
        <f>'BIO DATA'!V181</f>
        <v>Gondomanan</v>
      </c>
      <c r="O181" s="9" t="str">
        <f>'BIO DATA'!W181</f>
        <v>Kota Yogyakarta</v>
      </c>
      <c r="P181" s="9" t="str">
        <f>'BIO DATA'!X181</f>
        <v>DIY</v>
      </c>
      <c r="Q181" s="9" t="str">
        <f>'BIO DATA'!Y181</f>
        <v>SDIT Lukman Al Hakim Yogyakarta</v>
      </c>
      <c r="R181" s="9" t="str">
        <f>'BIO DATA'!Z181</f>
        <v>Gg. Delima No.2, Muja Muju, Kec. Umbulharjo, Kota Yogyakarta, Daerah Istimewa Yogyakarta 55165</v>
      </c>
      <c r="S181" s="9">
        <f>'BIO DATA'!AA181</f>
        <v>0</v>
      </c>
      <c r="T181" s="9" t="str">
        <f>'BIO DATA'!AB181</f>
        <v>Al A'rof Kamal</v>
      </c>
      <c r="U181" s="9" t="str">
        <f>'BIO DATA'!AC181</f>
        <v>Islam</v>
      </c>
      <c r="V181" s="9" t="str">
        <f>'BIO DATA'!AD181</f>
        <v>S1</v>
      </c>
      <c r="W181" s="9" t="str">
        <f>'BIO DATA'!AE181</f>
        <v>Wiraswasta</v>
      </c>
      <c r="X181" s="9" t="str">
        <f>'BIO DATA'!AF181</f>
        <v>1jt-3jt</v>
      </c>
      <c r="Y181" s="144" t="str">
        <f>'BIO DATA'!AG181</f>
        <v>0818468648</v>
      </c>
      <c r="Z181" s="9">
        <f>'BIO DATA'!AH181</f>
        <v>0</v>
      </c>
      <c r="AA181" s="9" t="str">
        <f>'BIO DATA'!AI181</f>
        <v>Shinta Martiana</v>
      </c>
      <c r="AB181" s="9" t="str">
        <f>'BIO DATA'!AJ181</f>
        <v>Islam</v>
      </c>
      <c r="AC181" s="9" t="str">
        <f>'BIO DATA'!AK181</f>
        <v>S1</v>
      </c>
      <c r="AD181" s="9" t="str">
        <f>'BIO DATA'!AL181</f>
        <v>Wiraswasta</v>
      </c>
      <c r="AE181" s="9" t="str">
        <f>'BIO DATA'!AM181</f>
        <v>500-1jt</v>
      </c>
      <c r="AF181" s="49" t="str">
        <f>'BIO DATA'!AN181</f>
        <v>0818468648</v>
      </c>
      <c r="AG181" s="9">
        <f>'BIO DATA'!AO181</f>
        <v>0</v>
      </c>
      <c r="AH181" s="9">
        <f>'BIO DATA'!AY181</f>
        <v>0</v>
      </c>
      <c r="AI181" s="9">
        <f>'BIO DATA'!AZ181</f>
        <v>0</v>
      </c>
      <c r="AJ181" s="9">
        <f>'BIO DATA'!BA181</f>
        <v>0</v>
      </c>
      <c r="AK181" s="9">
        <f>'BIO DATA'!BB181</f>
        <v>0</v>
      </c>
      <c r="AL181" s="9">
        <f>'BIO DATA'!BC181</f>
        <v>0</v>
      </c>
      <c r="AM181" s="9">
        <f>'BIO DATA'!BD181</f>
        <v>0</v>
      </c>
      <c r="AN181" s="9">
        <f>'BIO DATA'!BE181</f>
        <v>0</v>
      </c>
      <c r="AO181" s="9">
        <f>'BIO DATA'!BF181</f>
        <v>0</v>
      </c>
      <c r="AP181" s="50" t="str">
        <f>'BIO DATA'!BG181</f>
        <v>Ahmad Afifuddin Syarif, S.Pd.</v>
      </c>
    </row>
    <row r="182" spans="1:42" s="51" customFormat="1" ht="20.100000000000001" customHeight="1" thickBot="1">
      <c r="A182" s="19" t="s">
        <v>141</v>
      </c>
      <c r="B182">
        <v>276</v>
      </c>
      <c r="C182" s="116">
        <f>'BIO DATA'!C182</f>
        <v>12718</v>
      </c>
      <c r="D182" s="116" t="str">
        <f>'BIO DATA'!D182</f>
        <v>0149798482</v>
      </c>
      <c r="E182" s="115" t="str">
        <f>'BIO DATA'!E182</f>
        <v>Yusuf Arfa</v>
      </c>
      <c r="F182" s="46" t="str">
        <f>'BIO DATA'!L182</f>
        <v>Laki-laki</v>
      </c>
      <c r="G182" s="9" t="str">
        <f>'BIO DATA'!M182</f>
        <v>Temanggung</v>
      </c>
      <c r="H182" s="48">
        <f>'BIO DATA'!O182</f>
        <v>41792</v>
      </c>
      <c r="I182" s="46" t="str">
        <f>'BIO DATA'!R182</f>
        <v>Islam</v>
      </c>
      <c r="J182" s="47">
        <f>'BIO DATA'!I182</f>
        <v>1</v>
      </c>
      <c r="K182" s="47">
        <f>'BIO DATA'!J182</f>
        <v>0</v>
      </c>
      <c r="L182" s="9" t="str">
        <f>'BIO DATA'!S182</f>
        <v>Campursalam Rt02 Rw01 Parakan, Kabupaten Temanggung Jawa Tengah</v>
      </c>
      <c r="M182" s="9" t="str">
        <f>'BIO DATA'!U182</f>
        <v>Campursalam</v>
      </c>
      <c r="N182" s="9" t="str">
        <f>'BIO DATA'!V182</f>
        <v>Parakan</v>
      </c>
      <c r="O182" s="9" t="str">
        <f>'BIO DATA'!W182</f>
        <v>Temanggung</v>
      </c>
      <c r="P182" s="9" t="str">
        <f>'BIO DATA'!X182</f>
        <v>Jawa Tengah</v>
      </c>
      <c r="Q182" s="9" t="str">
        <f>'BIO DATA'!Y182</f>
        <v>SDIT Cahaya Insani Parakan</v>
      </c>
      <c r="R182" s="9" t="str">
        <f>'BIO DATA'!Z182</f>
        <v>Dsn. Mekarsari, Mekarsari, Mandisari, Kec. Parakan, Kabupaten Temanggung, Jawa Tengah 56254</v>
      </c>
      <c r="S182" s="9">
        <f>'BIO DATA'!AA182</f>
        <v>0</v>
      </c>
      <c r="T182" s="9" t="str">
        <f>'BIO DATA'!AB182</f>
        <v>Andi Handoyo</v>
      </c>
      <c r="U182" s="9" t="str">
        <f>'BIO DATA'!AC182</f>
        <v>Islam</v>
      </c>
      <c r="V182" s="9" t="str">
        <f>'BIO DATA'!AD182</f>
        <v>S1</v>
      </c>
      <c r="W182" s="9" t="str">
        <f>'BIO DATA'!AE182</f>
        <v>PNS</v>
      </c>
      <c r="X182" s="9" t="str">
        <f>'BIO DATA'!AF182</f>
        <v>3jt-5jt</v>
      </c>
      <c r="Y182" s="144" t="str">
        <f>'BIO DATA'!AG182</f>
        <v>081328326180</v>
      </c>
      <c r="Z182" s="9">
        <f>'BIO DATA'!AH182</f>
        <v>0</v>
      </c>
      <c r="AA182" s="9" t="str">
        <f>'BIO DATA'!AI182</f>
        <v>Fitriana Ambarwati</v>
      </c>
      <c r="AB182" s="9" t="str">
        <f>'BIO DATA'!AJ182</f>
        <v>Islam</v>
      </c>
      <c r="AC182" s="9" t="str">
        <f>'BIO DATA'!AK182</f>
        <v>S2</v>
      </c>
      <c r="AD182" s="9" t="str">
        <f>'BIO DATA'!AL182</f>
        <v>PNS</v>
      </c>
      <c r="AE182" s="9" t="str">
        <f>'BIO DATA'!AM182</f>
        <v>3jt-5jt</v>
      </c>
      <c r="AF182" s="49" t="str">
        <f>'BIO DATA'!AN182</f>
        <v>081392059335</v>
      </c>
      <c r="AG182" s="9">
        <f>'BIO DATA'!AO182</f>
        <v>0</v>
      </c>
      <c r="AH182" s="9">
        <f>'BIO DATA'!AY182</f>
        <v>0</v>
      </c>
      <c r="AI182" s="9">
        <f>'BIO DATA'!AZ182</f>
        <v>0</v>
      </c>
      <c r="AJ182" s="9">
        <f>'BIO DATA'!BA182</f>
        <v>0</v>
      </c>
      <c r="AK182" s="9">
        <f>'BIO DATA'!BB182</f>
        <v>0</v>
      </c>
      <c r="AL182" s="9">
        <f>'BIO DATA'!BC182</f>
        <v>0</v>
      </c>
      <c r="AM182" s="9">
        <f>'BIO DATA'!BD182</f>
        <v>0</v>
      </c>
      <c r="AN182" s="9">
        <f>'BIO DATA'!BE182</f>
        <v>0</v>
      </c>
      <c r="AO182" s="9">
        <f>'BIO DATA'!BF182</f>
        <v>0</v>
      </c>
      <c r="AP182" s="50" t="str">
        <f>'BIO DATA'!BG182</f>
        <v>Ahmad Afifuddin Syarif, S.Pd.</v>
      </c>
    </row>
    <row r="183" spans="1:42" s="51" customFormat="1" ht="20.100000000000001" customHeight="1" thickBot="1">
      <c r="A183" s="19" t="s">
        <v>141</v>
      </c>
      <c r="B183">
        <v>303</v>
      </c>
      <c r="C183" s="116">
        <f>'BIO DATA'!C183</f>
        <v>12724</v>
      </c>
      <c r="D183" s="116" t="str">
        <f>'BIO DATA'!D183</f>
        <v>0135297432</v>
      </c>
      <c r="E183" s="115" t="str">
        <f>'BIO DATA'!E183</f>
        <v>Zufar Calief Nurdaffa</v>
      </c>
      <c r="F183" s="46" t="str">
        <f>'BIO DATA'!L183</f>
        <v>Laki-laki</v>
      </c>
      <c r="G183" s="9" t="str">
        <f>'BIO DATA'!M183</f>
        <v>Sleman</v>
      </c>
      <c r="H183" s="48">
        <f>'BIO DATA'!O183</f>
        <v>41529</v>
      </c>
      <c r="I183" s="46" t="str">
        <f>'BIO DATA'!R183</f>
        <v>Islam</v>
      </c>
      <c r="J183" s="47">
        <f>'BIO DATA'!I183</f>
        <v>1</v>
      </c>
      <c r="K183" s="47">
        <f>'BIO DATA'!J183</f>
        <v>1</v>
      </c>
      <c r="L183" s="9" t="str">
        <f>'BIO DATA'!S183</f>
        <v>Padon RT.03 RW.029 Sendangrejo Minggir Sleman Yogyakarta</v>
      </c>
      <c r="M183" s="9" t="str">
        <f>'BIO DATA'!U183</f>
        <v>Sendangrejo</v>
      </c>
      <c r="N183" s="9" t="str">
        <f>'BIO DATA'!V183</f>
        <v>Minggir</v>
      </c>
      <c r="O183" s="9" t="str">
        <f>'BIO DATA'!W183</f>
        <v>Sleman</v>
      </c>
      <c r="P183" s="9" t="str">
        <f>'BIO DATA'!X183</f>
        <v>DIY</v>
      </c>
      <c r="Q183" s="9" t="str">
        <f>'BIO DATA'!Y183</f>
        <v>SD Muhammadiyah Kasuran Seyegan</v>
      </c>
      <c r="R183" s="9" t="str">
        <f>'BIO DATA'!Z183</f>
        <v>Jingin, Margomulyo, Seyegan, Sleman DIY</v>
      </c>
      <c r="S183" s="9">
        <f>'BIO DATA'!AA183</f>
        <v>0</v>
      </c>
      <c r="T183" s="9" t="str">
        <f>'BIO DATA'!AB183</f>
        <v>Nur Rochmad</v>
      </c>
      <c r="U183" s="9" t="str">
        <f>'BIO DATA'!AC183</f>
        <v>Islam</v>
      </c>
      <c r="V183" s="9" t="str">
        <f>'BIO DATA'!AD183</f>
        <v>SMA/SMK/MA</v>
      </c>
      <c r="W183" s="9" t="str">
        <f>'BIO DATA'!AE183</f>
        <v>Lain-lain</v>
      </c>
      <c r="X183" s="9" t="str">
        <f>'BIO DATA'!AF183</f>
        <v>1jt-3jt</v>
      </c>
      <c r="Y183" s="144" t="str">
        <f>'BIO DATA'!AG183</f>
        <v>081931743956</v>
      </c>
      <c r="Z183" s="9">
        <f>'BIO DATA'!AH183</f>
        <v>0</v>
      </c>
      <c r="AA183" s="9" t="str">
        <f>'BIO DATA'!AI183</f>
        <v>Dewi Cahya Ningrum</v>
      </c>
      <c r="AB183" s="9" t="str">
        <f>'BIO DATA'!AJ183</f>
        <v>Islam</v>
      </c>
      <c r="AC183" s="9" t="str">
        <f>'BIO DATA'!AK183</f>
        <v>DIPLOMA</v>
      </c>
      <c r="AD183" s="9" t="str">
        <f>'BIO DATA'!AL183</f>
        <v>Pegawai Swasta</v>
      </c>
      <c r="AE183" s="9" t="str">
        <f>'BIO DATA'!AM183</f>
        <v>3jt-5jt</v>
      </c>
      <c r="AF183" s="49" t="str">
        <f>'BIO DATA'!AN183</f>
        <v>081905200672</v>
      </c>
      <c r="AG183" s="9">
        <f>'BIO DATA'!AO183</f>
        <v>0</v>
      </c>
      <c r="AH183" s="9">
        <f>'BIO DATA'!AY183</f>
        <v>0</v>
      </c>
      <c r="AI183" s="9">
        <f>'BIO DATA'!AZ183</f>
        <v>0</v>
      </c>
      <c r="AJ183" s="9">
        <f>'BIO DATA'!BA183</f>
        <v>0</v>
      </c>
      <c r="AK183" s="9">
        <f>'BIO DATA'!BB183</f>
        <v>0</v>
      </c>
      <c r="AL183" s="9">
        <f>'BIO DATA'!BC183</f>
        <v>0</v>
      </c>
      <c r="AM183" s="9">
        <f>'BIO DATA'!BD183</f>
        <v>0</v>
      </c>
      <c r="AN183" s="9">
        <f>'BIO DATA'!BE183</f>
        <v>0</v>
      </c>
      <c r="AO183" s="9">
        <f>'BIO DATA'!BF183</f>
        <v>0</v>
      </c>
      <c r="AP183" s="50" t="str">
        <f>'BIO DATA'!BG183</f>
        <v>Ahmad Afifuddin Syarif, S.Pd.</v>
      </c>
    </row>
    <row r="184" spans="1:42" s="51" customFormat="1" ht="20.100000000000001" customHeight="1" thickBot="1">
      <c r="A184" s="14" t="s">
        <v>143</v>
      </c>
      <c r="B184">
        <v>313</v>
      </c>
      <c r="C184" s="116">
        <f>'BIO DATA'!C184</f>
        <v>12465</v>
      </c>
      <c r="D184" s="116" t="str">
        <f>'BIO DATA'!D184</f>
        <v>0147559625</v>
      </c>
      <c r="E184" s="115" t="str">
        <f>'BIO DATA'!E184</f>
        <v>Adam Iskandar</v>
      </c>
      <c r="F184" s="46" t="str">
        <f>'BIO DATA'!L184</f>
        <v>Laki-laki</v>
      </c>
      <c r="G184" s="9" t="str">
        <f>'BIO DATA'!M184</f>
        <v>Bantul</v>
      </c>
      <c r="H184" s="48">
        <f>'BIO DATA'!O184</f>
        <v>41581</v>
      </c>
      <c r="I184" s="46" t="str">
        <f>'BIO DATA'!R184</f>
        <v>Islam</v>
      </c>
      <c r="J184" s="47">
        <f>'BIO DATA'!I184</f>
        <v>2</v>
      </c>
      <c r="K184" s="47">
        <f>'BIO DATA'!J184</f>
        <v>3</v>
      </c>
      <c r="L184" s="9" t="str">
        <f>'BIO DATA'!S184</f>
        <v>Deresan Ringinharjo Bantul rt 07 , Bantul, Bantul, Bantul, Daerah Istimewa Yogyakarta</v>
      </c>
      <c r="M184" s="9" t="str">
        <f>'BIO DATA'!U184</f>
        <v>Ringinharjo</v>
      </c>
      <c r="N184" s="9" t="str">
        <f>'BIO DATA'!V184</f>
        <v>Bantul</v>
      </c>
      <c r="O184" s="9" t="str">
        <f>'BIO DATA'!W184</f>
        <v>Bantul</v>
      </c>
      <c r="P184" s="9" t="str">
        <f>'BIO DATA'!X184</f>
        <v>DIY</v>
      </c>
      <c r="Q184" s="9" t="str">
        <f>'BIO DATA'!Y184</f>
        <v>SD Islam AlAzhar 38 Bantul</v>
      </c>
      <c r="R184" s="9" t="str">
        <f>'BIO DATA'!Z184</f>
        <v>Gemahan, Ringinharjo, Kec. Bantul, Kabupaten Bantul, Daerah Istimewa Yogyakarta 55712</v>
      </c>
      <c r="S184" s="9">
        <f>'BIO DATA'!AA184</f>
        <v>0</v>
      </c>
      <c r="T184" s="9" t="str">
        <f>'BIO DATA'!AB184</f>
        <v>Iskandarta</v>
      </c>
      <c r="U184" s="9" t="str">
        <f>'BIO DATA'!AC184</f>
        <v>Islam</v>
      </c>
      <c r="V184" s="9" t="str">
        <f>'BIO DATA'!AD184</f>
        <v>SMA/SMK/MA</v>
      </c>
      <c r="W184" s="9" t="str">
        <f>'BIO DATA'!AE184</f>
        <v>Wiraswasta</v>
      </c>
      <c r="X184" s="9" t="str">
        <f>'BIO DATA'!AF184</f>
        <v>3jt-5jt</v>
      </c>
      <c r="Y184" s="144" t="str">
        <f>'BIO DATA'!AG184</f>
        <v>081392486559</v>
      </c>
      <c r="Z184" s="9">
        <f>'BIO DATA'!AH184</f>
        <v>0</v>
      </c>
      <c r="AA184" s="9" t="str">
        <f>'BIO DATA'!AI184</f>
        <v>Wuri Adiyanti</v>
      </c>
      <c r="AB184" s="9" t="str">
        <f>'BIO DATA'!AJ184</f>
        <v>Islam</v>
      </c>
      <c r="AC184" s="9" t="str">
        <f>'BIO DATA'!AK184</f>
        <v>SMA/SMK/MA</v>
      </c>
      <c r="AD184" s="9" t="str">
        <f>'BIO DATA'!AL184</f>
        <v>Lain-lain</v>
      </c>
      <c r="AE184" s="9" t="str">
        <f>'BIO DATA'!AM184</f>
        <v>&lt; 500rb</v>
      </c>
      <c r="AF184" s="49" t="str">
        <f>'BIO DATA'!AN184</f>
        <v>085225555166</v>
      </c>
      <c r="AG184" s="9">
        <f>'BIO DATA'!AO184</f>
        <v>0</v>
      </c>
      <c r="AH184" s="9">
        <f>'BIO DATA'!AY184</f>
        <v>0</v>
      </c>
      <c r="AI184" s="9">
        <f>'BIO DATA'!AZ184</f>
        <v>0</v>
      </c>
      <c r="AJ184" s="9">
        <f>'BIO DATA'!BA184</f>
        <v>0</v>
      </c>
      <c r="AK184" s="9">
        <f>'BIO DATA'!BB184</f>
        <v>0</v>
      </c>
      <c r="AL184" s="9">
        <f>'BIO DATA'!BC184</f>
        <v>0</v>
      </c>
      <c r="AM184" s="9">
        <f>'BIO DATA'!BD184</f>
        <v>0</v>
      </c>
      <c r="AN184" s="9">
        <f>'BIO DATA'!BE184</f>
        <v>0</v>
      </c>
      <c r="AO184" s="9">
        <f>'BIO DATA'!BF184</f>
        <v>0</v>
      </c>
      <c r="AP184" s="50" t="str">
        <f>'BIO DATA'!BG184</f>
        <v>Lilik Wijayanto, S.Pd.</v>
      </c>
    </row>
    <row r="185" spans="1:42" s="51" customFormat="1" ht="20.100000000000001" customHeight="1" thickBot="1">
      <c r="A185" s="14" t="s">
        <v>143</v>
      </c>
      <c r="B185">
        <v>10</v>
      </c>
      <c r="C185" s="116">
        <f>'BIO DATA'!C185</f>
        <v>12489</v>
      </c>
      <c r="D185" s="116" t="str">
        <f>'BIO DATA'!D185</f>
        <v>0138150319</v>
      </c>
      <c r="E185" s="115" t="str">
        <f>'BIO DATA'!E185</f>
        <v>Ammar Tejananta Himawan</v>
      </c>
      <c r="F185" s="46" t="str">
        <f>'BIO DATA'!L185</f>
        <v>Laki-laki</v>
      </c>
      <c r="G185" s="9" t="str">
        <f>'BIO DATA'!M185</f>
        <v>Purworejo</v>
      </c>
      <c r="H185" s="48">
        <f>'BIO DATA'!O185</f>
        <v>41502</v>
      </c>
      <c r="I185" s="46" t="str">
        <f>'BIO DATA'!R185</f>
        <v>Islam</v>
      </c>
      <c r="J185" s="47">
        <f>'BIO DATA'!I185</f>
        <v>2</v>
      </c>
      <c r="K185" s="47">
        <f>'BIO DATA'!J185</f>
        <v>1</v>
      </c>
      <c r="L185" s="9" t="str">
        <f>'BIO DATA'!S185</f>
        <v>Perum Pepabri no.25 Borokulon Banyuurip Purworejo Jawa Tengah</v>
      </c>
      <c r="M185" s="9" t="str">
        <f>'BIO DATA'!U185</f>
        <v>Borokulon</v>
      </c>
      <c r="N185" s="9" t="str">
        <f>'BIO DATA'!V185</f>
        <v>Banyuurip</v>
      </c>
      <c r="O185" s="9" t="str">
        <f>'BIO DATA'!W185</f>
        <v>Purworejo</v>
      </c>
      <c r="P185" s="9" t="str">
        <f>'BIO DATA'!X185</f>
        <v>Jawa Tengah</v>
      </c>
      <c r="Q185" s="9" t="str">
        <f>'BIO DATA'!Y185</f>
        <v>SD Muhammadiyah Kutoarjo</v>
      </c>
      <c r="R185" s="9" t="str">
        <f>'BIO DATA'!Z185</f>
        <v>Kampus I : Jl. Kliwonan no. II Kutoarjo, Kampus II : Jl. Kauman Kutoarjo</v>
      </c>
      <c r="S185" s="9">
        <f>'BIO DATA'!AA185</f>
        <v>0</v>
      </c>
      <c r="T185" s="9" t="str">
        <f>'BIO DATA'!AB185</f>
        <v>Aris Himawan</v>
      </c>
      <c r="U185" s="9" t="str">
        <f>'BIO DATA'!AC185</f>
        <v>Islam</v>
      </c>
      <c r="V185" s="9" t="str">
        <f>'BIO DATA'!AD185</f>
        <v>S1</v>
      </c>
      <c r="W185" s="9" t="str">
        <f>'BIO DATA'!AE185</f>
        <v>Pegawai Swasta</v>
      </c>
      <c r="X185" s="9" t="str">
        <f>'BIO DATA'!AF185</f>
        <v>1jt-3jt</v>
      </c>
      <c r="Y185" s="144" t="str">
        <f>'BIO DATA'!AG185</f>
        <v>085176955277</v>
      </c>
      <c r="Z185" s="9">
        <f>'BIO DATA'!AH185</f>
        <v>0</v>
      </c>
      <c r="AA185" s="9" t="str">
        <f>'BIO DATA'!AI185</f>
        <v>Tejaningrum</v>
      </c>
      <c r="AB185" s="9" t="str">
        <f>'BIO DATA'!AJ185</f>
        <v>Islam</v>
      </c>
      <c r="AC185" s="9" t="str">
        <f>'BIO DATA'!AK185</f>
        <v>S2</v>
      </c>
      <c r="AD185" s="9" t="str">
        <f>'BIO DATA'!AL185</f>
        <v>PNS</v>
      </c>
      <c r="AE185" s="9" t="str">
        <f>'BIO DATA'!AM185</f>
        <v>3jt-5jt</v>
      </c>
      <c r="AF185" s="49" t="str">
        <f>'BIO DATA'!AN185</f>
        <v>082296852453</v>
      </c>
      <c r="AG185" s="9">
        <f>'BIO DATA'!AO185</f>
        <v>0</v>
      </c>
      <c r="AH185" s="9">
        <f>'BIO DATA'!AY185</f>
        <v>0</v>
      </c>
      <c r="AI185" s="9">
        <f>'BIO DATA'!AZ185</f>
        <v>0</v>
      </c>
      <c r="AJ185" s="9">
        <f>'BIO DATA'!BA185</f>
        <v>0</v>
      </c>
      <c r="AK185" s="9">
        <f>'BIO DATA'!BB185</f>
        <v>0</v>
      </c>
      <c r="AL185" s="9">
        <f>'BIO DATA'!BC185</f>
        <v>0</v>
      </c>
      <c r="AM185" s="9">
        <f>'BIO DATA'!BD185</f>
        <v>0</v>
      </c>
      <c r="AN185" s="9">
        <f>'BIO DATA'!BE185</f>
        <v>0</v>
      </c>
      <c r="AO185" s="9">
        <f>'BIO DATA'!BF185</f>
        <v>0</v>
      </c>
      <c r="AP185" s="50" t="str">
        <f>'BIO DATA'!BG185</f>
        <v>Lilik Wijayanto, S.Pd.</v>
      </c>
    </row>
    <row r="186" spans="1:42" s="51" customFormat="1" ht="20.100000000000001" customHeight="1" thickBot="1">
      <c r="A186" s="14" t="s">
        <v>143</v>
      </c>
      <c r="B186">
        <v>13</v>
      </c>
      <c r="C186" s="116">
        <f>'BIO DATA'!C186</f>
        <v>12490</v>
      </c>
      <c r="D186" s="116" t="str">
        <f>'BIO DATA'!D186</f>
        <v>0147752340</v>
      </c>
      <c r="E186" s="115" t="str">
        <f>'BIO DATA'!E186</f>
        <v>Amsyar Fadhlurrahman Setyawan</v>
      </c>
      <c r="F186" s="46" t="str">
        <f>'BIO DATA'!L186</f>
        <v>Laki-laki</v>
      </c>
      <c r="G186" s="9" t="str">
        <f>'BIO DATA'!M186</f>
        <v>Sleman</v>
      </c>
      <c r="H186" s="48">
        <f>'BIO DATA'!O186</f>
        <v>41678</v>
      </c>
      <c r="I186" s="46" t="str">
        <f>'BIO DATA'!R186</f>
        <v>Islam</v>
      </c>
      <c r="J186" s="47">
        <f>'BIO DATA'!I186</f>
        <v>2</v>
      </c>
      <c r="K186" s="47">
        <f>'BIO DATA'!J186</f>
        <v>1</v>
      </c>
      <c r="L186" s="9" t="str">
        <f>'BIO DATA'!S186</f>
        <v>Jalan Palagan Tentara Pelajar Km 8.5 Perum Griya Sekawan no 3 Mudal no 50 Sariharjo Ngaglik Sleman</v>
      </c>
      <c r="M186" s="9" t="str">
        <f>'BIO DATA'!U186</f>
        <v>Sariharjo</v>
      </c>
      <c r="N186" s="9" t="str">
        <f>'BIO DATA'!V186</f>
        <v>Ngaglik</v>
      </c>
      <c r="O186" s="9" t="str">
        <f>'BIO DATA'!W186</f>
        <v>Sleman</v>
      </c>
      <c r="P186" s="9" t="str">
        <f>'BIO DATA'!X186</f>
        <v>DIY</v>
      </c>
      <c r="Q186" s="9" t="str">
        <f>'BIO DATA'!Y186</f>
        <v>SD Muhammadiyah Condongcatur</v>
      </c>
      <c r="R186" s="9" t="str">
        <f>'BIO DATA'!Z186</f>
        <v>Ring Road Utara Gorongan Condongcatur Depok sSeman</v>
      </c>
      <c r="S186" s="9">
        <f>'BIO DATA'!AA186</f>
        <v>0</v>
      </c>
      <c r="T186" s="9" t="str">
        <f>'BIO DATA'!AB186</f>
        <v>Ari Setyawan</v>
      </c>
      <c r="U186" s="9" t="str">
        <f>'BIO DATA'!AC186</f>
        <v>Islam</v>
      </c>
      <c r="V186" s="9" t="str">
        <f>'BIO DATA'!AD186</f>
        <v>S2</v>
      </c>
      <c r="W186" s="9" t="str">
        <f>'BIO DATA'!AE186</f>
        <v>Guru/Dosen</v>
      </c>
      <c r="X186" s="9" t="str">
        <f>'BIO DATA'!AF186</f>
        <v>3jt-5jt</v>
      </c>
      <c r="Y186" s="144" t="str">
        <f>'BIO DATA'!AG186</f>
        <v>081578082046</v>
      </c>
      <c r="Z186" s="9">
        <f>'BIO DATA'!AH186</f>
        <v>0</v>
      </c>
      <c r="AA186" s="9" t="str">
        <f>'BIO DATA'!AI186</f>
        <v>Anyta Nur Wulan</v>
      </c>
      <c r="AB186" s="9" t="str">
        <f>'BIO DATA'!AJ186</f>
        <v>Islam</v>
      </c>
      <c r="AC186" s="9" t="str">
        <f>'BIO DATA'!AK186</f>
        <v>S2</v>
      </c>
      <c r="AD186" s="9" t="str">
        <f>'BIO DATA'!AL186</f>
        <v>Tidak Bekerja</v>
      </c>
      <c r="AE186" s="9" t="str">
        <f>'BIO DATA'!AM186</f>
        <v>&lt; 500rb</v>
      </c>
      <c r="AF186" s="49" t="str">
        <f>'BIO DATA'!AN186</f>
        <v>081578872005</v>
      </c>
      <c r="AG186" s="9">
        <f>'BIO DATA'!AO186</f>
        <v>0</v>
      </c>
      <c r="AH186" s="9">
        <f>'BIO DATA'!AY186</f>
        <v>0</v>
      </c>
      <c r="AI186" s="9">
        <f>'BIO DATA'!AZ186</f>
        <v>0</v>
      </c>
      <c r="AJ186" s="9">
        <f>'BIO DATA'!BA186</f>
        <v>0</v>
      </c>
      <c r="AK186" s="9">
        <f>'BIO DATA'!BB186</f>
        <v>0</v>
      </c>
      <c r="AL186" s="9">
        <f>'BIO DATA'!BC186</f>
        <v>0</v>
      </c>
      <c r="AM186" s="9">
        <f>'BIO DATA'!BD186</f>
        <v>0</v>
      </c>
      <c r="AN186" s="9">
        <f>'BIO DATA'!BE186</f>
        <v>0</v>
      </c>
      <c r="AO186" s="9">
        <f>'BIO DATA'!BF186</f>
        <v>0</v>
      </c>
      <c r="AP186" s="50" t="str">
        <f>'BIO DATA'!BG186</f>
        <v>Lilik Wijayanto, S.Pd.</v>
      </c>
    </row>
    <row r="187" spans="1:42" s="51" customFormat="1" ht="20.100000000000001" customHeight="1" thickBot="1">
      <c r="A187" s="14" t="s">
        <v>143</v>
      </c>
      <c r="B187">
        <v>35</v>
      </c>
      <c r="C187" s="116">
        <f>'BIO DATA'!C187</f>
        <v>12499</v>
      </c>
      <c r="D187" s="116" t="str">
        <f>'BIO DATA'!D187</f>
        <v>0149571316</v>
      </c>
      <c r="E187" s="115" t="str">
        <f>'BIO DATA'!E187</f>
        <v>Arundaya Wisanggeni Ma'arif</v>
      </c>
      <c r="F187" s="46" t="str">
        <f>'BIO DATA'!L187</f>
        <v>Laki-laki</v>
      </c>
      <c r="G187" s="9" t="str">
        <f>'BIO DATA'!M187</f>
        <v>Sleman</v>
      </c>
      <c r="H187" s="48">
        <f>'BIO DATA'!O187</f>
        <v>41722</v>
      </c>
      <c r="I187" s="46" t="str">
        <f>'BIO DATA'!R187</f>
        <v>Islam</v>
      </c>
      <c r="J187" s="47">
        <f>'BIO DATA'!I187</f>
        <v>1</v>
      </c>
      <c r="K187" s="47">
        <f>'BIO DATA'!J187</f>
        <v>2</v>
      </c>
      <c r="L187" s="9" t="str">
        <f>'BIO DATA'!S187</f>
        <v>Warak Kidul RT 05/ RW 10, Sumberadi, Mlati, Sleman, DIY</v>
      </c>
      <c r="M187" s="9" t="str">
        <f>'BIO DATA'!U187</f>
        <v>Sumberadi</v>
      </c>
      <c r="N187" s="9" t="str">
        <f>'BIO DATA'!V187</f>
        <v>Mlati</v>
      </c>
      <c r="O187" s="9" t="str">
        <f>'BIO DATA'!W187</f>
        <v>Sleman</v>
      </c>
      <c r="P187" s="9" t="str">
        <f>'BIO DATA'!X187</f>
        <v>DIY</v>
      </c>
      <c r="Q187" s="9" t="str">
        <f>'BIO DATA'!Y187</f>
        <v>SD N 01 Kalibakung</v>
      </c>
      <c r="R187" s="9" t="str">
        <f>'BIO DATA'!Z187</f>
        <v>Jln. Kalibakung, Kecamatan Balapulang, Kabupaten Tegal, Provinsi Jawa Tengah, 52464</v>
      </c>
      <c r="S187" s="9">
        <f>'BIO DATA'!AA187</f>
        <v>0</v>
      </c>
      <c r="T187" s="9" t="str">
        <f>'BIO DATA'!AB187</f>
        <v>Faqih Ma'arif</v>
      </c>
      <c r="U187" s="9" t="str">
        <f>'BIO DATA'!AC187</f>
        <v>Islam</v>
      </c>
      <c r="V187" s="9" t="str">
        <f>'BIO DATA'!AD187</f>
        <v>S3</v>
      </c>
      <c r="W187" s="9" t="str">
        <f>'BIO DATA'!AE187</f>
        <v>Guru/Dosen</v>
      </c>
      <c r="X187" s="9" t="str">
        <f>'BIO DATA'!AF187</f>
        <v>3jt-5jt</v>
      </c>
      <c r="Y187" s="144" t="str">
        <f>'BIO DATA'!AG187</f>
        <v>081319488184</v>
      </c>
      <c r="Z187" s="9">
        <f>'BIO DATA'!AH187</f>
        <v>0</v>
      </c>
      <c r="AA187" s="9" t="str">
        <f>'BIO DATA'!AI187</f>
        <v>Ratih Andi K</v>
      </c>
      <c r="AB187" s="9" t="str">
        <f>'BIO DATA'!AJ187</f>
        <v>Islam</v>
      </c>
      <c r="AC187" s="9" t="str">
        <f>'BIO DATA'!AK187</f>
        <v>S2</v>
      </c>
      <c r="AD187" s="9" t="str">
        <f>'BIO DATA'!AL187</f>
        <v>PNS</v>
      </c>
      <c r="AE187" s="9" t="str">
        <f>'BIO DATA'!AM187</f>
        <v>3jt-5jt</v>
      </c>
      <c r="AF187" s="49" t="str">
        <f>'BIO DATA'!AN187</f>
        <v>081380550887</v>
      </c>
      <c r="AG187" s="9">
        <f>'BIO DATA'!AO187</f>
        <v>0</v>
      </c>
      <c r="AH187" s="9">
        <f>'BIO DATA'!AY187</f>
        <v>0</v>
      </c>
      <c r="AI187" s="9">
        <f>'BIO DATA'!AZ187</f>
        <v>0</v>
      </c>
      <c r="AJ187" s="9">
        <f>'BIO DATA'!BA187</f>
        <v>0</v>
      </c>
      <c r="AK187" s="9">
        <f>'BIO DATA'!BB187</f>
        <v>0</v>
      </c>
      <c r="AL187" s="9">
        <f>'BIO DATA'!BC187</f>
        <v>0</v>
      </c>
      <c r="AM187" s="9">
        <f>'BIO DATA'!BD187</f>
        <v>0</v>
      </c>
      <c r="AN187" s="9">
        <f>'BIO DATA'!BE187</f>
        <v>0</v>
      </c>
      <c r="AO187" s="9">
        <f>'BIO DATA'!BF187</f>
        <v>0</v>
      </c>
      <c r="AP187" s="50" t="str">
        <f>'BIO DATA'!BG187</f>
        <v>Lilik Wijayanto, S.Pd.</v>
      </c>
    </row>
    <row r="188" spans="1:42" s="51" customFormat="1" ht="20.100000000000001" customHeight="1" thickBot="1">
      <c r="A188" s="14" t="s">
        <v>143</v>
      </c>
      <c r="B188">
        <v>46</v>
      </c>
      <c r="C188" s="116">
        <f>'BIO DATA'!C188</f>
        <v>12513</v>
      </c>
      <c r="D188" s="116" t="str">
        <f>'BIO DATA'!D188</f>
        <v>0137477920</v>
      </c>
      <c r="E188" s="115" t="str">
        <f>'BIO DATA'!E188</f>
        <v>Bara Putra Pratama</v>
      </c>
      <c r="F188" s="46" t="str">
        <f>'BIO DATA'!L188</f>
        <v>Laki-laki</v>
      </c>
      <c r="G188" s="9" t="str">
        <f>'BIO DATA'!M188</f>
        <v>Bantul</v>
      </c>
      <c r="H188" s="48">
        <f>'BIO DATA'!O188</f>
        <v>41463</v>
      </c>
      <c r="I188" s="46" t="str">
        <f>'BIO DATA'!R188</f>
        <v>Islam</v>
      </c>
      <c r="J188" s="47">
        <f>'BIO DATA'!I188</f>
        <v>1</v>
      </c>
      <c r="K188" s="47">
        <f>'BIO DATA'!J188</f>
        <v>2</v>
      </c>
      <c r="L188" s="9" t="str">
        <f>'BIO DATA'!S188</f>
        <v>Tegallayang 10 RT 06, caturharjo, Pandak, Bantul</v>
      </c>
      <c r="M188" s="9" t="str">
        <f>'BIO DATA'!U188</f>
        <v>Caturharjo</v>
      </c>
      <c r="N188" s="9" t="str">
        <f>'BIO DATA'!V188</f>
        <v>Pandak</v>
      </c>
      <c r="O188" s="9" t="str">
        <f>'BIO DATA'!W188</f>
        <v>Bantul</v>
      </c>
      <c r="P188" s="9" t="str">
        <f>'BIO DATA'!X188</f>
        <v>DIY</v>
      </c>
      <c r="Q188" s="9" t="str">
        <f>'BIO DATA'!Y188</f>
        <v>SD IT Assalam Sanden</v>
      </c>
      <c r="R188" s="9" t="str">
        <f>'BIO DATA'!Z188</f>
        <v>Pucanganom, Murtigading, Kecamatan Sanden, Kabupaten Bantul, Daerah Istimewa Yogyakarta.</v>
      </c>
      <c r="S188" s="9">
        <f>'BIO DATA'!AA188</f>
        <v>0</v>
      </c>
      <c r="T188" s="9" t="str">
        <f>'BIO DATA'!AB188</f>
        <v>Mizan Suryanto</v>
      </c>
      <c r="U188" s="9" t="str">
        <f>'BIO DATA'!AC188</f>
        <v>Islam</v>
      </c>
      <c r="V188" s="9" t="str">
        <f>'BIO DATA'!AD188</f>
        <v>SMA/SMK/MA</v>
      </c>
      <c r="W188" s="9" t="str">
        <f>'BIO DATA'!AE188</f>
        <v>Pegawai Swasta</v>
      </c>
      <c r="X188" s="9" t="str">
        <f>'BIO DATA'!AF188</f>
        <v>1jt-3jt</v>
      </c>
      <c r="Y188" s="144" t="str">
        <f>'BIO DATA'!AG188</f>
        <v>085643533853</v>
      </c>
      <c r="Z188" s="9">
        <f>'BIO DATA'!AH188</f>
        <v>0</v>
      </c>
      <c r="AA188" s="9" t="str">
        <f>'BIO DATA'!AI188</f>
        <v>Nur Fitri Luthfiah</v>
      </c>
      <c r="AB188" s="9" t="str">
        <f>'BIO DATA'!AJ188</f>
        <v>Islam</v>
      </c>
      <c r="AC188" s="9" t="str">
        <f>'BIO DATA'!AK188</f>
        <v>S1</v>
      </c>
      <c r="AD188" s="9" t="str">
        <f>'BIO DATA'!AL188</f>
        <v>Pegawai Swasta</v>
      </c>
      <c r="AE188" s="9" t="str">
        <f>'BIO DATA'!AM188</f>
        <v>1jt-3jt</v>
      </c>
      <c r="AF188" s="49" t="str">
        <f>'BIO DATA'!AN188</f>
        <v>085742412347</v>
      </c>
      <c r="AG188" s="9">
        <f>'BIO DATA'!AO188</f>
        <v>0</v>
      </c>
      <c r="AH188" s="9">
        <f>'BIO DATA'!AY188</f>
        <v>0</v>
      </c>
      <c r="AI188" s="9">
        <f>'BIO DATA'!AZ188</f>
        <v>0</v>
      </c>
      <c r="AJ188" s="9">
        <f>'BIO DATA'!BA188</f>
        <v>0</v>
      </c>
      <c r="AK188" s="9">
        <f>'BIO DATA'!BB188</f>
        <v>0</v>
      </c>
      <c r="AL188" s="9">
        <f>'BIO DATA'!BC188</f>
        <v>0</v>
      </c>
      <c r="AM188" s="9">
        <f>'BIO DATA'!BD188</f>
        <v>0</v>
      </c>
      <c r="AN188" s="9">
        <f>'BIO DATA'!BE188</f>
        <v>0</v>
      </c>
      <c r="AO188" s="9">
        <f>'BIO DATA'!BF188</f>
        <v>0</v>
      </c>
      <c r="AP188" s="50" t="str">
        <f>'BIO DATA'!BG188</f>
        <v>Lilik Wijayanto, S.Pd.</v>
      </c>
    </row>
    <row r="189" spans="1:42" s="51" customFormat="1" ht="20.100000000000001" customHeight="1" thickBot="1">
      <c r="A189" s="14" t="s">
        <v>143</v>
      </c>
      <c r="B189">
        <v>50</v>
      </c>
      <c r="C189" s="116">
        <f>'BIO DATA'!C189</f>
        <v>12530</v>
      </c>
      <c r="D189" s="116" t="str">
        <f>'BIO DATA'!D189</f>
        <v>0157179162</v>
      </c>
      <c r="E189" s="115" t="str">
        <f>'BIO DATA'!E189</f>
        <v>Dydan Yusuf Ivander</v>
      </c>
      <c r="F189" s="46" t="str">
        <f>'BIO DATA'!L189</f>
        <v>Laki-laki</v>
      </c>
      <c r="G189" s="9" t="str">
        <f>'BIO DATA'!M189</f>
        <v>Kab. Semarang</v>
      </c>
      <c r="H189" s="48">
        <f>'BIO DATA'!O189</f>
        <v>41386</v>
      </c>
      <c r="I189" s="46" t="str">
        <f>'BIO DATA'!R189</f>
        <v>Islam</v>
      </c>
      <c r="J189" s="47">
        <f>'BIO DATA'!I189</f>
        <v>1</v>
      </c>
      <c r="K189" s="47">
        <f>'BIO DATA'!J189</f>
        <v>1</v>
      </c>
      <c r="L189" s="9" t="str">
        <f>'BIO DATA'!S189</f>
        <v>Kec. Kedungwuni Kab. Pekalongan</v>
      </c>
      <c r="M189" s="9">
        <f>'BIO DATA'!U189</f>
        <v>0</v>
      </c>
      <c r="N189" s="9" t="str">
        <f>'BIO DATA'!V189</f>
        <v>Kedungwuni</v>
      </c>
      <c r="O189" s="9" t="str">
        <f>'BIO DATA'!W189</f>
        <v>Pekalongan</v>
      </c>
      <c r="P189" s="9" t="str">
        <f>'BIO DATA'!X189</f>
        <v>Jawa Tengah</v>
      </c>
      <c r="Q189" s="9" t="str">
        <f>'BIO DATA'!Y189</f>
        <v>SD Muhammadiyah Paesan</v>
      </c>
      <c r="R189" s="9">
        <f>'BIO DATA'!Z189</f>
        <v>0</v>
      </c>
      <c r="S189" s="9">
        <f>'BIO DATA'!AA189</f>
        <v>0</v>
      </c>
      <c r="T189" s="9" t="str">
        <f>'BIO DATA'!AB189</f>
        <v>Daniasmara Hardiyanto</v>
      </c>
      <c r="U189" s="9" t="str">
        <f>'BIO DATA'!AC189</f>
        <v>Islam</v>
      </c>
      <c r="V189" s="9" t="str">
        <f>'BIO DATA'!AD189</f>
        <v>S1</v>
      </c>
      <c r="W189" s="9" t="str">
        <f>'BIO DATA'!AE189</f>
        <v>Karyawan Swasta</v>
      </c>
      <c r="X189" s="9">
        <f>'BIO DATA'!AF189</f>
        <v>0</v>
      </c>
      <c r="Y189" s="144" t="str">
        <f>'BIO DATA'!AG189</f>
        <v>085640316922</v>
      </c>
      <c r="Z189" s="9">
        <f>'BIO DATA'!AH189</f>
        <v>0</v>
      </c>
      <c r="AA189" s="9" t="str">
        <f>'BIO DATA'!AI189</f>
        <v>Dysa Martina</v>
      </c>
      <c r="AB189" s="9" t="str">
        <f>'BIO DATA'!AJ189</f>
        <v>Islam</v>
      </c>
      <c r="AC189" s="9" t="str">
        <f>'BIO DATA'!AK189</f>
        <v>S1</v>
      </c>
      <c r="AD189" s="9" t="str">
        <f>'BIO DATA'!AL189</f>
        <v>Karyawan Swasta</v>
      </c>
      <c r="AE189" s="9">
        <f>'BIO DATA'!AM189</f>
        <v>0</v>
      </c>
      <c r="AF189" s="49" t="str">
        <f>'BIO DATA'!AN189</f>
        <v>082314700423</v>
      </c>
      <c r="AG189" s="9">
        <f>'BIO DATA'!AO189</f>
        <v>0</v>
      </c>
      <c r="AH189" s="9">
        <f>'BIO DATA'!AY189</f>
        <v>0</v>
      </c>
      <c r="AI189" s="9">
        <f>'BIO DATA'!AZ189</f>
        <v>0</v>
      </c>
      <c r="AJ189" s="9">
        <f>'BIO DATA'!BA189</f>
        <v>0</v>
      </c>
      <c r="AK189" s="9">
        <f>'BIO DATA'!BB189</f>
        <v>0</v>
      </c>
      <c r="AL189" s="9">
        <f>'BIO DATA'!BC189</f>
        <v>0</v>
      </c>
      <c r="AM189" s="9">
        <f>'BIO DATA'!BD189</f>
        <v>0</v>
      </c>
      <c r="AN189" s="9">
        <f>'BIO DATA'!BE189</f>
        <v>0</v>
      </c>
      <c r="AO189" s="9">
        <f>'BIO DATA'!BF189</f>
        <v>0</v>
      </c>
      <c r="AP189" s="50" t="str">
        <f>'BIO DATA'!BG189</f>
        <v>Lilik Wijayanto, S.Pd.</v>
      </c>
    </row>
    <row r="190" spans="1:42" s="51" customFormat="1" ht="20.100000000000001" customHeight="1" thickBot="1">
      <c r="A190" s="14" t="s">
        <v>143</v>
      </c>
      <c r="B190">
        <v>74</v>
      </c>
      <c r="C190" s="116">
        <f>'BIO DATA'!C190</f>
        <v>12534</v>
      </c>
      <c r="D190" s="116" t="str">
        <f>'BIO DATA'!D190</f>
        <v>0134787250</v>
      </c>
      <c r="E190" s="115" t="str">
        <f>'BIO DATA'!E190</f>
        <v>Fa Virendra Ahza</v>
      </c>
      <c r="F190" s="46" t="str">
        <f>'BIO DATA'!L190</f>
        <v>Laki-laki</v>
      </c>
      <c r="G190" s="9" t="str">
        <f>'BIO DATA'!M190</f>
        <v>Semarang</v>
      </c>
      <c r="H190" s="48">
        <f>'BIO DATA'!O190</f>
        <v>41599</v>
      </c>
      <c r="I190" s="46" t="str">
        <f>'BIO DATA'!R190</f>
        <v>Islam</v>
      </c>
      <c r="J190" s="47">
        <f>'BIO DATA'!I190</f>
        <v>4</v>
      </c>
      <c r="K190" s="47">
        <f>'BIO DATA'!J190</f>
        <v>3</v>
      </c>
      <c r="L190" s="9" t="str">
        <f>'BIO DATA'!S190</f>
        <v>Jl. Bukit Teratai I no 35A Perumnas Sendang Mulyo, Tembalang, Semarang Jawa Tengah</v>
      </c>
      <c r="M190" s="9" t="str">
        <f>'BIO DATA'!U190</f>
        <v>Sendang Mulyo</v>
      </c>
      <c r="N190" s="9" t="str">
        <f>'BIO DATA'!V190</f>
        <v>Tembalang</v>
      </c>
      <c r="O190" s="9" t="str">
        <f>'BIO DATA'!W190</f>
        <v>Kota Semarang</v>
      </c>
      <c r="P190" s="9" t="str">
        <f>'BIO DATA'!X190</f>
        <v>Jawa Tengah</v>
      </c>
      <c r="Q190" s="9" t="str">
        <f>'BIO DATA'!Y190</f>
        <v>SDIT Tunas Harapan Semarang</v>
      </c>
      <c r="R190" s="9" t="str">
        <f>'BIO DATA'!Z190</f>
        <v>Jl. Tunas Harapan No.1 Perum Tulus Harapan Blok C, Kel. Sendangmulyo, Kec. Tembalang, Kota Semarang, Jawa Tengah 50272</v>
      </c>
      <c r="S190" s="9">
        <f>'BIO DATA'!AA190</f>
        <v>0</v>
      </c>
      <c r="T190" s="9" t="str">
        <f>'BIO DATA'!AB190</f>
        <v>Dr. Teguh Hadi Prayitno,M.M.,M.Hum</v>
      </c>
      <c r="U190" s="9" t="str">
        <f>'BIO DATA'!AC190</f>
        <v>Islam</v>
      </c>
      <c r="V190" s="9" t="str">
        <f>'BIO DATA'!AD190</f>
        <v>S3</v>
      </c>
      <c r="W190" s="9" t="str">
        <f>'BIO DATA'!AE190</f>
        <v>Pegawai Swasta</v>
      </c>
      <c r="X190" s="9" t="str">
        <f>'BIO DATA'!AF190</f>
        <v>&gt;10jt</v>
      </c>
      <c r="Y190" s="144" t="str">
        <f>'BIO DATA'!AG190</f>
        <v>087831473351</v>
      </c>
      <c r="Z190" s="9">
        <f>'BIO DATA'!AH190</f>
        <v>0</v>
      </c>
      <c r="AA190" s="9" t="str">
        <f>'BIO DATA'!AI190</f>
        <v>Prehanita Agung Wijayanti, S.S</v>
      </c>
      <c r="AB190" s="9" t="str">
        <f>'BIO DATA'!AJ190</f>
        <v>Islam</v>
      </c>
      <c r="AC190" s="9" t="str">
        <f>'BIO DATA'!AK190</f>
        <v>S1</v>
      </c>
      <c r="AD190" s="9" t="str">
        <f>'BIO DATA'!AL190</f>
        <v>Lain-lain</v>
      </c>
      <c r="AE190" s="9" t="str">
        <f>'BIO DATA'!AM190</f>
        <v>1jt-3jt</v>
      </c>
      <c r="AF190" s="49" t="str">
        <f>'BIO DATA'!AN190</f>
        <v>081325134122</v>
      </c>
      <c r="AG190" s="9">
        <f>'BIO DATA'!AO190</f>
        <v>0</v>
      </c>
      <c r="AH190" s="9">
        <f>'BIO DATA'!AY190</f>
        <v>0</v>
      </c>
      <c r="AI190" s="9">
        <f>'BIO DATA'!AZ190</f>
        <v>0</v>
      </c>
      <c r="AJ190" s="9">
        <f>'BIO DATA'!BA190</f>
        <v>0</v>
      </c>
      <c r="AK190" s="9">
        <f>'BIO DATA'!BB190</f>
        <v>0</v>
      </c>
      <c r="AL190" s="9">
        <f>'BIO DATA'!BC190</f>
        <v>0</v>
      </c>
      <c r="AM190" s="9">
        <f>'BIO DATA'!BD190</f>
        <v>0</v>
      </c>
      <c r="AN190" s="9">
        <f>'BIO DATA'!BE190</f>
        <v>0</v>
      </c>
      <c r="AO190" s="9">
        <f>'BIO DATA'!BF190</f>
        <v>0</v>
      </c>
      <c r="AP190" s="50" t="str">
        <f>'BIO DATA'!BG190</f>
        <v>Lilik Wijayanto, S.Pd.</v>
      </c>
    </row>
    <row r="191" spans="1:42" s="51" customFormat="1" ht="20.100000000000001" customHeight="1" thickBot="1">
      <c r="A191" s="14" t="s">
        <v>143</v>
      </c>
      <c r="B191">
        <v>83</v>
      </c>
      <c r="C191" s="116">
        <f>'BIO DATA'!C191</f>
        <v>12536</v>
      </c>
      <c r="D191" s="116" t="str">
        <f>'BIO DATA'!D191</f>
        <v>0133321299</v>
      </c>
      <c r="E191" s="115" t="str">
        <f>'BIO DATA'!E191</f>
        <v>Fadhil Akhtar Hartono</v>
      </c>
      <c r="F191" s="46" t="str">
        <f>'BIO DATA'!L191</f>
        <v>Laki-laki</v>
      </c>
      <c r="G191" s="9" t="str">
        <f>'BIO DATA'!M191</f>
        <v>Klaten</v>
      </c>
      <c r="H191" s="48">
        <f>'BIO DATA'!O191</f>
        <v>41548</v>
      </c>
      <c r="I191" s="46" t="str">
        <f>'BIO DATA'!R191</f>
        <v>Islam</v>
      </c>
      <c r="J191" s="47">
        <f>'BIO DATA'!I191</f>
        <v>1</v>
      </c>
      <c r="K191" s="47">
        <f>'BIO DATA'!J191</f>
        <v>1</v>
      </c>
      <c r="L191" s="9" t="str">
        <f>'BIO DATA'!S191</f>
        <v>Geneng,Sidomulyo,Delanggu Klaten Jawa Tengah</v>
      </c>
      <c r="M191" s="9" t="str">
        <f>'BIO DATA'!U191</f>
        <v>Sidomulyo</v>
      </c>
      <c r="N191" s="9" t="str">
        <f>'BIO DATA'!V191</f>
        <v>Delanggu</v>
      </c>
      <c r="O191" s="9" t="str">
        <f>'BIO DATA'!W191</f>
        <v>Klaten</v>
      </c>
      <c r="P191" s="9" t="str">
        <f>'BIO DATA'!X191</f>
        <v>Jawa Tengah</v>
      </c>
      <c r="Q191" s="9" t="str">
        <f>'BIO DATA'!Y191</f>
        <v>SDIT Nurul Istiqlal</v>
      </c>
      <c r="R191" s="9">
        <f>'BIO DATA'!Z191</f>
        <v>0</v>
      </c>
      <c r="S191" s="9">
        <f>'BIO DATA'!AA191</f>
        <v>0</v>
      </c>
      <c r="T191" s="9" t="str">
        <f>'BIO DATA'!AB191</f>
        <v>Budi Hartono</v>
      </c>
      <c r="U191" s="9" t="str">
        <f>'BIO DATA'!AC191</f>
        <v>Islam</v>
      </c>
      <c r="V191" s="9" t="str">
        <f>'BIO DATA'!AD191</f>
        <v>SLTA</v>
      </c>
      <c r="W191" s="9" t="str">
        <f>'BIO DATA'!AE191</f>
        <v>Karyawan Swasta</v>
      </c>
      <c r="X191" s="9">
        <f>'BIO DATA'!AF191</f>
        <v>0</v>
      </c>
      <c r="Y191" s="144" t="str">
        <f>'BIO DATA'!AG191</f>
        <v>085647246155</v>
      </c>
      <c r="Z191" s="9">
        <f>'BIO DATA'!AH191</f>
        <v>0</v>
      </c>
      <c r="AA191" s="9" t="str">
        <f>'BIO DATA'!AI191</f>
        <v>Utami Naning Apriyanti</v>
      </c>
      <c r="AB191" s="9" t="str">
        <f>'BIO DATA'!AJ191</f>
        <v>Islam</v>
      </c>
      <c r="AC191" s="9" t="str">
        <f>'BIO DATA'!AK191</f>
        <v>DIPLOMA</v>
      </c>
      <c r="AD191" s="9" t="str">
        <f>'BIO DATA'!AL191</f>
        <v>Karyawan Swasta</v>
      </c>
      <c r="AE191" s="9">
        <f>'BIO DATA'!AM191</f>
        <v>0</v>
      </c>
      <c r="AF191" s="49" t="str">
        <f>'BIO DATA'!AN191</f>
        <v>081392250228</v>
      </c>
      <c r="AG191" s="9">
        <f>'BIO DATA'!AO191</f>
        <v>0</v>
      </c>
      <c r="AH191" s="9">
        <f>'BIO DATA'!AY191</f>
        <v>0</v>
      </c>
      <c r="AI191" s="9">
        <f>'BIO DATA'!AZ191</f>
        <v>0</v>
      </c>
      <c r="AJ191" s="9">
        <f>'BIO DATA'!BA191</f>
        <v>0</v>
      </c>
      <c r="AK191" s="9">
        <f>'BIO DATA'!BB191</f>
        <v>0</v>
      </c>
      <c r="AL191" s="9">
        <f>'BIO DATA'!BC191</f>
        <v>0</v>
      </c>
      <c r="AM191" s="9">
        <f>'BIO DATA'!BD191</f>
        <v>0</v>
      </c>
      <c r="AN191" s="9">
        <f>'BIO DATA'!BE191</f>
        <v>0</v>
      </c>
      <c r="AO191" s="9">
        <f>'BIO DATA'!BF191</f>
        <v>0</v>
      </c>
      <c r="AP191" s="50" t="str">
        <f>'BIO DATA'!BG191</f>
        <v>Lilik Wijayanto, S.Pd.</v>
      </c>
    </row>
    <row r="192" spans="1:42" s="51" customFormat="1" ht="20.100000000000001" customHeight="1" thickBot="1">
      <c r="A192" s="14" t="s">
        <v>143</v>
      </c>
      <c r="B192">
        <v>91</v>
      </c>
      <c r="C192" s="116">
        <f>'BIO DATA'!C253</f>
        <v>12516</v>
      </c>
      <c r="D192" s="116">
        <f>'BIO DATA'!D253</f>
        <v>3130312527</v>
      </c>
      <c r="E192" s="115" t="str">
        <f>'BIO DATA'!E253</f>
        <v>Bilal Hamasah</v>
      </c>
      <c r="F192" s="46" t="str">
        <f>'BIO DATA'!L253</f>
        <v>Laki-laki</v>
      </c>
      <c r="G192" s="9" t="str">
        <f>'BIO DATA'!M253</f>
        <v>Banjarbaru</v>
      </c>
      <c r="H192" s="48">
        <f>'BIO DATA'!O253</f>
        <v>41637</v>
      </c>
      <c r="I192" s="46" t="str">
        <f>'BIO DATA'!R253</f>
        <v>Islam</v>
      </c>
      <c r="J192" s="47">
        <f>'BIO DATA'!I253</f>
        <v>1</v>
      </c>
      <c r="K192" s="47">
        <f>'BIO DATA'!J253</f>
        <v>1</v>
      </c>
      <c r="L192" s="9" t="str">
        <f>'BIO DATA'!S253</f>
        <v>Jl.Perambaian III Gg.Nangka 1 No.29A - Sungai Ulin - Kota Banjarbaru- Kalimantan Selatan</v>
      </c>
      <c r="M192" s="9" t="str">
        <f>'BIO DATA'!U253</f>
        <v>Sungai Ulin</v>
      </c>
      <c r="N192" s="9" t="str">
        <f>'BIO DATA'!V253</f>
        <v>Banjarbaru Utara</v>
      </c>
      <c r="O192" s="9" t="str">
        <f>'BIO DATA'!W253</f>
        <v>Kota Banjarbaru</v>
      </c>
      <c r="P192" s="9" t="str">
        <f>'BIO DATA'!X253</f>
        <v>Kalimantan Selatan</v>
      </c>
      <c r="Q192" s="9" t="str">
        <f>'BIO DATA'!Y253</f>
        <v>SD Muhammadiyah Hj.Nuriyah</v>
      </c>
      <c r="R192" s="9" t="str">
        <f>'BIO DATA'!Z253</f>
        <v>Komplek masjid Hj.Nuriyah Jl.A.Yani Km 32 Loktabat Utara- Kota Banjarbaru Kalimantan Selatan</v>
      </c>
      <c r="S192" s="9">
        <f>'BIO DATA'!AA253</f>
        <v>0</v>
      </c>
      <c r="T192" s="9" t="str">
        <f>'BIO DATA'!AB253</f>
        <v>Dwi Wahyu Cahyono</v>
      </c>
      <c r="U192" s="9" t="str">
        <f>'BIO DATA'!AC253</f>
        <v>Islam</v>
      </c>
      <c r="V192" s="9" t="str">
        <f>'BIO DATA'!AD253</f>
        <v>S1</v>
      </c>
      <c r="W192" s="9" t="str">
        <f>'BIO DATA'!AE253</f>
        <v>TNI/Polri</v>
      </c>
      <c r="X192" s="9">
        <f>'BIO DATA'!AF253</f>
        <v>0</v>
      </c>
      <c r="Y192" s="144" t="str">
        <f>'BIO DATA'!AG253</f>
        <v>081220971612</v>
      </c>
      <c r="Z192" s="9">
        <f>'BIO DATA'!AH253</f>
        <v>0</v>
      </c>
      <c r="AA192" s="9" t="str">
        <f>'BIO DATA'!AI253</f>
        <v>Heryuntari Dian Cahyani</v>
      </c>
      <c r="AB192" s="9" t="str">
        <f>'BIO DATA'!AJ253</f>
        <v>Islam</v>
      </c>
      <c r="AC192" s="9" t="str">
        <f>'BIO DATA'!AK253</f>
        <v>S2</v>
      </c>
      <c r="AD192" s="9" t="str">
        <f>'BIO DATA'!AL253</f>
        <v>Dokter/Bidan/Perawat</v>
      </c>
      <c r="AE192" s="9">
        <f>'BIO DATA'!AM253</f>
        <v>0</v>
      </c>
      <c r="AF192" s="49" t="str">
        <f>'BIO DATA'!AN253</f>
        <v>081348606161</v>
      </c>
      <c r="AG192" s="9">
        <f>'BIO DATA'!AO253</f>
        <v>0</v>
      </c>
      <c r="AH192" s="9">
        <f>'BIO DATA'!AY253</f>
        <v>0</v>
      </c>
      <c r="AI192" s="9">
        <f>'BIO DATA'!AZ253</f>
        <v>0</v>
      </c>
      <c r="AJ192" s="9">
        <f>'BIO DATA'!BA253</f>
        <v>0</v>
      </c>
      <c r="AK192" s="9">
        <f>'BIO DATA'!BB253</f>
        <v>0</v>
      </c>
      <c r="AL192" s="9">
        <f>'BIO DATA'!BC253</f>
        <v>0</v>
      </c>
      <c r="AM192" s="9">
        <f>'BIO DATA'!BD253</f>
        <v>0</v>
      </c>
      <c r="AN192" s="9">
        <f>'BIO DATA'!BE253</f>
        <v>0</v>
      </c>
      <c r="AO192" s="9">
        <f>'BIO DATA'!BF253</f>
        <v>0</v>
      </c>
      <c r="AP192" s="50" t="str">
        <f>'BIO DATA'!BG253</f>
        <v>Muhammad Faisal Fakhrurozi, S.Pd.</v>
      </c>
    </row>
    <row r="193" spans="1:42" s="57" customFormat="1" ht="20.100000000000001" customHeight="1" thickBot="1">
      <c r="A193" s="14" t="s">
        <v>143</v>
      </c>
      <c r="B193">
        <v>92</v>
      </c>
      <c r="C193" s="116">
        <f>'BIO DATA'!C192</f>
        <v>12549</v>
      </c>
      <c r="D193" s="116" t="str">
        <f>'BIO DATA'!D192</f>
        <v>0133299661</v>
      </c>
      <c r="E193" s="115" t="str">
        <f>'BIO DATA'!E192</f>
        <v>Fatih Shuja Arkana</v>
      </c>
      <c r="F193" s="46" t="str">
        <f>'BIO DATA'!L192</f>
        <v>Laki-laki</v>
      </c>
      <c r="G193" s="9" t="str">
        <f>'BIO DATA'!M192</f>
        <v>Purworejo</v>
      </c>
      <c r="H193" s="48">
        <f>'BIO DATA'!O192</f>
        <v>41386</v>
      </c>
      <c r="I193" s="46" t="str">
        <f>'BIO DATA'!R192</f>
        <v>Islam</v>
      </c>
      <c r="J193" s="47">
        <f>'BIO DATA'!I192</f>
        <v>1</v>
      </c>
      <c r="K193" s="47">
        <f>'BIO DATA'!J192</f>
        <v>0</v>
      </c>
      <c r="L193" s="9" t="str">
        <f>'BIO DATA'!S192</f>
        <v>Cabean, Panggungharjo, Sewon, Bantul</v>
      </c>
      <c r="M193" s="9" t="str">
        <f>'BIO DATA'!U192</f>
        <v>Panggungharjo</v>
      </c>
      <c r="N193" s="9" t="str">
        <f>'BIO DATA'!V192</f>
        <v>Sewon</v>
      </c>
      <c r="O193" s="9" t="str">
        <f>'BIO DATA'!W192</f>
        <v>Bantul</v>
      </c>
      <c r="P193" s="9" t="str">
        <f>'BIO DATA'!X192</f>
        <v>DIY</v>
      </c>
      <c r="Q193" s="9" t="str">
        <f>'BIO DATA'!Y192</f>
        <v>SDIT Salsabila 4 Jetis</v>
      </c>
      <c r="R193" s="9" t="str">
        <f>'BIO DATA'!Z192</f>
        <v>Dusun Pangkah, Sumberagung, Kecamatan Jetis, Kabupaten Bantul, DI.Yogyakarta</v>
      </c>
      <c r="S193" s="9">
        <f>'BIO DATA'!AA192</f>
        <v>0</v>
      </c>
      <c r="T193" s="9" t="str">
        <f>'BIO DATA'!AB192</f>
        <v>Wachid Agus Wijiantoro</v>
      </c>
      <c r="U193" s="9" t="str">
        <f>'BIO DATA'!AC192</f>
        <v>Islam</v>
      </c>
      <c r="V193" s="9" t="str">
        <f>'BIO DATA'!AD192</f>
        <v>S1</v>
      </c>
      <c r="W193" s="9" t="str">
        <f>'BIO DATA'!AE192</f>
        <v>Pegawai Swasta</v>
      </c>
      <c r="X193" s="9" t="str">
        <f>'BIO DATA'!AF192</f>
        <v>1jt-3jt</v>
      </c>
      <c r="Y193" s="144" t="str">
        <f>'BIO DATA'!AG192</f>
        <v>081216949204</v>
      </c>
      <c r="Z193" s="9">
        <f>'BIO DATA'!AH192</f>
        <v>0</v>
      </c>
      <c r="AA193" s="9" t="str">
        <f>'BIO DATA'!AI192</f>
        <v>Desi Indriasari</v>
      </c>
      <c r="AB193" s="9" t="str">
        <f>'BIO DATA'!AJ192</f>
        <v>Islam</v>
      </c>
      <c r="AC193" s="9" t="str">
        <f>'BIO DATA'!AK192</f>
        <v>S1</v>
      </c>
      <c r="AD193" s="9" t="str">
        <f>'BIO DATA'!AL192</f>
        <v>Guru/Dosen</v>
      </c>
      <c r="AE193" s="9" t="str">
        <f>'BIO DATA'!AM192</f>
        <v>500-1jt</v>
      </c>
      <c r="AF193" s="49" t="str">
        <f>'BIO DATA'!AN192</f>
        <v>085643788989</v>
      </c>
      <c r="AG193" s="9">
        <f>'BIO DATA'!AO192</f>
        <v>0</v>
      </c>
      <c r="AH193" s="9">
        <f>'BIO DATA'!AY192</f>
        <v>0</v>
      </c>
      <c r="AI193" s="9">
        <f>'BIO DATA'!AZ192</f>
        <v>0</v>
      </c>
      <c r="AJ193" s="9">
        <f>'BIO DATA'!BA192</f>
        <v>0</v>
      </c>
      <c r="AK193" s="9">
        <f>'BIO DATA'!BB192</f>
        <v>0</v>
      </c>
      <c r="AL193" s="9">
        <f>'BIO DATA'!BC192</f>
        <v>0</v>
      </c>
      <c r="AM193" s="9">
        <f>'BIO DATA'!BD192</f>
        <v>0</v>
      </c>
      <c r="AN193" s="9">
        <f>'BIO DATA'!BE192</f>
        <v>0</v>
      </c>
      <c r="AO193" s="9">
        <f>'BIO DATA'!BF192</f>
        <v>0</v>
      </c>
      <c r="AP193" s="50" t="str">
        <f>'BIO DATA'!BG192</f>
        <v>Lilik Wijayanto, S.Pd.</v>
      </c>
    </row>
    <row r="194" spans="1:42" s="51" customFormat="1" ht="20.100000000000001" customHeight="1" thickBot="1">
      <c r="A194" s="14" t="s">
        <v>143</v>
      </c>
      <c r="B194">
        <v>106</v>
      </c>
      <c r="C194" s="116">
        <f>'BIO DATA'!C193</f>
        <v>12569</v>
      </c>
      <c r="D194" s="116">
        <f>'BIO DATA'!D193</f>
        <v>3144307094</v>
      </c>
      <c r="E194" s="115" t="str">
        <f>'BIO DATA'!E193</f>
        <v>Hilmi Ar Raihan</v>
      </c>
      <c r="F194" s="46" t="str">
        <f>'BIO DATA'!L193</f>
        <v>Laki-laki</v>
      </c>
      <c r="G194" s="9" t="str">
        <f>'BIO DATA'!M193</f>
        <v>Bekasi</v>
      </c>
      <c r="H194" s="48">
        <f>'BIO DATA'!O193</f>
        <v>41845</v>
      </c>
      <c r="I194" s="46" t="str">
        <f>'BIO DATA'!R193</f>
        <v>Islam</v>
      </c>
      <c r="J194" s="47">
        <f>'BIO DATA'!I193</f>
        <v>3</v>
      </c>
      <c r="K194" s="47">
        <f>'BIO DATA'!J193</f>
        <v>2</v>
      </c>
      <c r="L194" s="9" t="str">
        <f>'BIO DATA'!S193</f>
        <v>Perum Metland Cibitung Blok AF 1 No 1 RT 002 RW 022 Telagamurni Cikarang Barat Bekasi Jawa Barat</v>
      </c>
      <c r="M194" s="9" t="str">
        <f>'BIO DATA'!U193</f>
        <v>Telagamurni</v>
      </c>
      <c r="N194" s="9" t="str">
        <f>'BIO DATA'!V193</f>
        <v>Cikarang Barat</v>
      </c>
      <c r="O194" s="9" t="str">
        <f>'BIO DATA'!W193</f>
        <v>Bekasi</v>
      </c>
      <c r="P194" s="9" t="str">
        <f>'BIO DATA'!X193</f>
        <v>Jawa Barat</v>
      </c>
      <c r="Q194" s="9" t="str">
        <f>'BIO DATA'!Y193</f>
        <v>MIS. Mathlaul Ulum</v>
      </c>
      <c r="R194" s="9" t="str">
        <f>'BIO DATA'!Z193</f>
        <v>Ds Telagamurni RT 001/009 Cikarang Barat bekasi</v>
      </c>
      <c r="S194" s="9">
        <f>'BIO DATA'!AA193</f>
        <v>0</v>
      </c>
      <c r="T194" s="9" t="str">
        <f>'BIO DATA'!AB193</f>
        <v>Gunawan Budianto</v>
      </c>
      <c r="U194" s="9" t="str">
        <f>'BIO DATA'!AC193</f>
        <v>Islam</v>
      </c>
      <c r="V194" s="9" t="str">
        <f>'BIO DATA'!AD193</f>
        <v>S1</v>
      </c>
      <c r="W194" s="9" t="str">
        <f>'BIO DATA'!AE193</f>
        <v>Pegawai Swasta</v>
      </c>
      <c r="X194" s="9" t="str">
        <f>'BIO DATA'!AF193</f>
        <v>&gt;10jt</v>
      </c>
      <c r="Y194" s="144" t="str">
        <f>'BIO DATA'!AG193</f>
        <v>081281027205</v>
      </c>
      <c r="Z194" s="9">
        <f>'BIO DATA'!AH193</f>
        <v>0</v>
      </c>
      <c r="AA194" s="9" t="str">
        <f>'BIO DATA'!AI193</f>
        <v>Dr. Murtaqiatusholihat</v>
      </c>
      <c r="AB194" s="9" t="str">
        <f>'BIO DATA'!AJ193</f>
        <v>Islam</v>
      </c>
      <c r="AC194" s="9" t="str">
        <f>'BIO DATA'!AK193</f>
        <v>S3</v>
      </c>
      <c r="AD194" s="9" t="str">
        <f>'BIO DATA'!AL193</f>
        <v>Guru/Dosen</v>
      </c>
      <c r="AE194" s="9" t="str">
        <f>'BIO DATA'!AM193</f>
        <v>5jt-10jt</v>
      </c>
      <c r="AF194" s="49" t="str">
        <f>'BIO DATA'!AN193</f>
        <v>087787620884</v>
      </c>
      <c r="AG194" s="9">
        <f>'BIO DATA'!AO193</f>
        <v>0</v>
      </c>
      <c r="AH194" s="9">
        <f>'BIO DATA'!AY193</f>
        <v>0</v>
      </c>
      <c r="AI194" s="9">
        <f>'BIO DATA'!AZ193</f>
        <v>0</v>
      </c>
      <c r="AJ194" s="9">
        <f>'BIO DATA'!BA193</f>
        <v>0</v>
      </c>
      <c r="AK194" s="9">
        <f>'BIO DATA'!BB193</f>
        <v>0</v>
      </c>
      <c r="AL194" s="9">
        <f>'BIO DATA'!BC193</f>
        <v>0</v>
      </c>
      <c r="AM194" s="9">
        <f>'BIO DATA'!BD193</f>
        <v>0</v>
      </c>
      <c r="AN194" s="9">
        <f>'BIO DATA'!BE193</f>
        <v>0</v>
      </c>
      <c r="AO194" s="9">
        <f>'BIO DATA'!BF193</f>
        <v>0</v>
      </c>
      <c r="AP194" s="50" t="str">
        <f>'BIO DATA'!BG193</f>
        <v>Lilik Wijayanto, S.Pd.</v>
      </c>
    </row>
    <row r="195" spans="1:42" s="51" customFormat="1" ht="20.100000000000001" customHeight="1" thickBot="1">
      <c r="A195" s="14" t="s">
        <v>143</v>
      </c>
      <c r="B195">
        <v>117</v>
      </c>
      <c r="C195" s="116">
        <f>'BIO DATA'!C194</f>
        <v>12570</v>
      </c>
      <c r="D195" s="116" t="str">
        <f>'BIO DATA'!D194</f>
        <v>0136496374</v>
      </c>
      <c r="E195" s="115" t="str">
        <f>'BIO DATA'!E194</f>
        <v>Hisyam Aufa Syarif</v>
      </c>
      <c r="F195" s="46" t="str">
        <f>'BIO DATA'!L194</f>
        <v>Laki-laki</v>
      </c>
      <c r="G195" s="9" t="str">
        <f>'BIO DATA'!M194</f>
        <v>Surabaya</v>
      </c>
      <c r="H195" s="48">
        <f>'BIO DATA'!O194</f>
        <v>41446</v>
      </c>
      <c r="I195" s="46" t="str">
        <f>'BIO DATA'!R194</f>
        <v>Islam</v>
      </c>
      <c r="J195" s="47">
        <f>'BIO DATA'!I194</f>
        <v>1</v>
      </c>
      <c r="K195" s="47">
        <f>'BIO DATA'!J194</f>
        <v>2</v>
      </c>
      <c r="L195" s="9" t="str">
        <f>'BIO DATA'!S194</f>
        <v>Jl. Genting 3 no. 15 RT 002 RW 003 Genting Kalianak Asemrowo Kota Surabaya Jawa Timur</v>
      </c>
      <c r="M195" s="9" t="str">
        <f>'BIO DATA'!U194</f>
        <v>Genting Kalianak</v>
      </c>
      <c r="N195" s="9" t="str">
        <f>'BIO DATA'!V194</f>
        <v>Asemrowo</v>
      </c>
      <c r="O195" s="9" t="str">
        <f>'BIO DATA'!W194</f>
        <v>Kota Surabaya</v>
      </c>
      <c r="P195" s="9" t="str">
        <f>'BIO DATA'!X194</f>
        <v>Jawa Timur</v>
      </c>
      <c r="Q195" s="9" t="str">
        <f>'BIO DATA'!Y194</f>
        <v>SD Muhammadiyah 11 Surabaya</v>
      </c>
      <c r="R195" s="9" t="str">
        <f>'BIO DATA'!Z194</f>
        <v>Jl Dupak Bangunsari 35-41 Surabaya</v>
      </c>
      <c r="S195" s="9">
        <f>'BIO DATA'!AA194</f>
        <v>0</v>
      </c>
      <c r="T195" s="9" t="str">
        <f>'BIO DATA'!AB194</f>
        <v>Fauzi Oktavima</v>
      </c>
      <c r="U195" s="9" t="str">
        <f>'BIO DATA'!AC194</f>
        <v>Islam</v>
      </c>
      <c r="V195" s="9" t="str">
        <f>'BIO DATA'!AD194</f>
        <v>DIPLOMA</v>
      </c>
      <c r="W195" s="9" t="str">
        <f>'BIO DATA'!AE194</f>
        <v>Pegawai Swasta</v>
      </c>
      <c r="X195" s="9" t="str">
        <f>'BIO DATA'!AF194</f>
        <v>5jt-10jt</v>
      </c>
      <c r="Y195" s="144" t="str">
        <f>'BIO DATA'!AG194</f>
        <v>081331991696</v>
      </c>
      <c r="Z195" s="9">
        <f>'BIO DATA'!AH194</f>
        <v>0</v>
      </c>
      <c r="AA195" s="9" t="str">
        <f>'BIO DATA'!AI194</f>
        <v>Ria Putri Wulandari</v>
      </c>
      <c r="AB195" s="9" t="str">
        <f>'BIO DATA'!AJ194</f>
        <v>Islam</v>
      </c>
      <c r="AC195" s="9" t="str">
        <f>'BIO DATA'!AK194</f>
        <v>DIPLOMA</v>
      </c>
      <c r="AD195" s="9" t="str">
        <f>'BIO DATA'!AL194</f>
        <v>Wiraswasta</v>
      </c>
      <c r="AE195" s="9" t="str">
        <f>'BIO DATA'!AM194</f>
        <v>500-1jt</v>
      </c>
      <c r="AF195" s="49" t="str">
        <f>'BIO DATA'!AN194</f>
        <v>08563326584</v>
      </c>
      <c r="AG195" s="9">
        <f>'BIO DATA'!AO194</f>
        <v>0</v>
      </c>
      <c r="AH195" s="9">
        <f>'BIO DATA'!AY194</f>
        <v>0</v>
      </c>
      <c r="AI195" s="9">
        <f>'BIO DATA'!AZ194</f>
        <v>0</v>
      </c>
      <c r="AJ195" s="9">
        <f>'BIO DATA'!BA194</f>
        <v>0</v>
      </c>
      <c r="AK195" s="9">
        <f>'BIO DATA'!BB194</f>
        <v>0</v>
      </c>
      <c r="AL195" s="9">
        <f>'BIO DATA'!BC194</f>
        <v>0</v>
      </c>
      <c r="AM195" s="9">
        <f>'BIO DATA'!BD194</f>
        <v>0</v>
      </c>
      <c r="AN195" s="9">
        <f>'BIO DATA'!BE194</f>
        <v>0</v>
      </c>
      <c r="AO195" s="9">
        <f>'BIO DATA'!BF194</f>
        <v>0</v>
      </c>
      <c r="AP195" s="50" t="str">
        <f>'BIO DATA'!BG194</f>
        <v>Lilik Wijayanto, S.Pd.</v>
      </c>
    </row>
    <row r="196" spans="1:42" s="51" customFormat="1" ht="20.100000000000001" customHeight="1" thickBot="1">
      <c r="A196" s="14" t="s">
        <v>143</v>
      </c>
      <c r="B196">
        <v>136</v>
      </c>
      <c r="C196" s="116">
        <f>'BIO DATA'!C195</f>
        <v>12595</v>
      </c>
      <c r="D196" s="116" t="str">
        <f>'BIO DATA'!D195</f>
        <v>0134314264</v>
      </c>
      <c r="E196" s="115" t="str">
        <f>'BIO DATA'!E195</f>
        <v>Lisan Shidqie</v>
      </c>
      <c r="F196" s="46" t="str">
        <f>'BIO DATA'!L195</f>
        <v>Laki-laki</v>
      </c>
      <c r="G196" s="9" t="str">
        <f>'BIO DATA'!M195</f>
        <v>Semarang</v>
      </c>
      <c r="H196" s="48">
        <f>'BIO DATA'!O195</f>
        <v>41477</v>
      </c>
      <c r="I196" s="46" t="str">
        <f>'BIO DATA'!R195</f>
        <v>Islam</v>
      </c>
      <c r="J196" s="47">
        <f>'BIO DATA'!I195</f>
        <v>1</v>
      </c>
      <c r="K196" s="47">
        <f>'BIO DATA'!J195</f>
        <v>1</v>
      </c>
      <c r="L196" s="9" t="str">
        <f>'BIO DATA'!S195</f>
        <v>Perum Green Village 25 RT 08 RW 03 Ngijo Gunungpati Kota Semarang Jawa Tengah 50228</v>
      </c>
      <c r="M196" s="9" t="str">
        <f>'BIO DATA'!U195</f>
        <v>Ngijo</v>
      </c>
      <c r="N196" s="9" t="str">
        <f>'BIO DATA'!V195</f>
        <v>Gunungpati</v>
      </c>
      <c r="O196" s="9" t="str">
        <f>'BIO DATA'!W195</f>
        <v>Kota Semarang</v>
      </c>
      <c r="P196" s="9" t="str">
        <f>'BIO DATA'!X195</f>
        <v>Jawa Tengah</v>
      </c>
      <c r="Q196" s="9" t="str">
        <f>'BIO DATA'!Y195</f>
        <v>SDIT Mutiara Hati Semarang</v>
      </c>
      <c r="R196" s="9" t="str">
        <f>'BIO DATA'!Z195</f>
        <v>SDIT Mutiara Hati Semarang, Jl Koesbijono Tjondrowibowo RT 01 Rw 05 Patemon Gunungpati Kota Semarang</v>
      </c>
      <c r="S196" s="9">
        <f>'BIO DATA'!AA195</f>
        <v>0</v>
      </c>
      <c r="T196" s="9" t="str">
        <f>'BIO DATA'!AB195</f>
        <v>Amri Hana Muhammad</v>
      </c>
      <c r="U196" s="9" t="str">
        <f>'BIO DATA'!AC195</f>
        <v>Islam</v>
      </c>
      <c r="V196" s="9" t="str">
        <f>'BIO DATA'!AD195</f>
        <v>S2</v>
      </c>
      <c r="W196" s="9" t="str">
        <f>'BIO DATA'!AE195</f>
        <v>PNS</v>
      </c>
      <c r="X196" s="9" t="str">
        <f>'BIO DATA'!AF195</f>
        <v>5jt-10jt</v>
      </c>
      <c r="Y196" s="144" t="str">
        <f>'BIO DATA'!AG195</f>
        <v>085641111175</v>
      </c>
      <c r="Z196" s="9">
        <f>'BIO DATA'!AH195</f>
        <v>0</v>
      </c>
      <c r="AA196" s="9" t="str">
        <f>'BIO DATA'!AI195</f>
        <v>Dian Kamalia Kholidah</v>
      </c>
      <c r="AB196" s="9" t="str">
        <f>'BIO DATA'!AJ195</f>
        <v>Islam</v>
      </c>
      <c r="AC196" s="9" t="str">
        <f>'BIO DATA'!AK195</f>
        <v>S1</v>
      </c>
      <c r="AD196" s="9" t="str">
        <f>'BIO DATA'!AL195</f>
        <v>Pegawai Swasta</v>
      </c>
      <c r="AE196" s="9" t="str">
        <f>'BIO DATA'!AM195</f>
        <v>3jt-5jt</v>
      </c>
      <c r="AF196" s="49" t="str">
        <f>'BIO DATA'!AN195</f>
        <v>08562946477</v>
      </c>
      <c r="AG196" s="9">
        <f>'BIO DATA'!AO195</f>
        <v>0</v>
      </c>
      <c r="AH196" s="9">
        <f>'BIO DATA'!AY195</f>
        <v>0</v>
      </c>
      <c r="AI196" s="9">
        <f>'BIO DATA'!AZ195</f>
        <v>0</v>
      </c>
      <c r="AJ196" s="9">
        <f>'BIO DATA'!BA195</f>
        <v>0</v>
      </c>
      <c r="AK196" s="9">
        <f>'BIO DATA'!BB195</f>
        <v>0</v>
      </c>
      <c r="AL196" s="9">
        <f>'BIO DATA'!BC195</f>
        <v>0</v>
      </c>
      <c r="AM196" s="9">
        <f>'BIO DATA'!BD195</f>
        <v>0</v>
      </c>
      <c r="AN196" s="9">
        <f>'BIO DATA'!BE195</f>
        <v>0</v>
      </c>
      <c r="AO196" s="9">
        <f>'BIO DATA'!BF195</f>
        <v>0</v>
      </c>
      <c r="AP196" s="50" t="str">
        <f>'BIO DATA'!BG195</f>
        <v>Lilik Wijayanto, S.Pd.</v>
      </c>
    </row>
    <row r="197" spans="1:42" s="51" customFormat="1" ht="20.100000000000001" customHeight="1" thickBot="1">
      <c r="A197" s="14" t="s">
        <v>143</v>
      </c>
      <c r="B197">
        <v>139</v>
      </c>
      <c r="C197" s="116">
        <f>'BIO DATA'!C196</f>
        <v>12604</v>
      </c>
      <c r="D197" s="116">
        <f>'BIO DATA'!D196</f>
        <v>235</v>
      </c>
      <c r="E197" s="115" t="str">
        <f>'BIO DATA'!E196</f>
        <v>Mochammad Fauzan Wardana</v>
      </c>
      <c r="F197" s="46" t="str">
        <f>'BIO DATA'!L196</f>
        <v>Laki-laki</v>
      </c>
      <c r="G197" s="9" t="str">
        <f>'BIO DATA'!M196</f>
        <v>Surakarta</v>
      </c>
      <c r="H197" s="48">
        <f>'BIO DATA'!O196</f>
        <v>41568</v>
      </c>
      <c r="I197" s="46" t="str">
        <f>'BIO DATA'!R196</f>
        <v>Islam</v>
      </c>
      <c r="J197" s="47">
        <f>'BIO DATA'!I196</f>
        <v>2</v>
      </c>
      <c r="K197" s="47">
        <f>'BIO DATA'!J196</f>
        <v>1</v>
      </c>
      <c r="L197" s="9" t="str">
        <f>'BIO DATA'!S196</f>
        <v>Perumahan graha mitra berseri Blok D3 wonorejo gondangrejo karanganyar Jawa Tengah</v>
      </c>
      <c r="M197" s="9" t="str">
        <f>'BIO DATA'!U196</f>
        <v>Wonorejo</v>
      </c>
      <c r="N197" s="9" t="str">
        <f>'BIO DATA'!V196</f>
        <v>Gondangrejo</v>
      </c>
      <c r="O197" s="9" t="str">
        <f>'BIO DATA'!W196</f>
        <v>Katanganyar</v>
      </c>
      <c r="P197" s="9" t="str">
        <f>'BIO DATA'!X196</f>
        <v>Jawa Tengah</v>
      </c>
      <c r="Q197" s="9" t="str">
        <f>'BIO DATA'!Y196</f>
        <v>SDIT Alifsmart Surakarta</v>
      </c>
      <c r="R197" s="9" t="str">
        <f>'BIO DATA'!Z196</f>
        <v>Clolo RT 01 RW 05, Kel. Banjarsari, Kec. Banjarsari, Surakarta</v>
      </c>
      <c r="S197" s="9">
        <f>'BIO DATA'!AA196</f>
        <v>0</v>
      </c>
      <c r="T197" s="9" t="str">
        <f>'BIO DATA'!AB196</f>
        <v>Mochamad Taufik Nur Sapto Wardono</v>
      </c>
      <c r="U197" s="9" t="str">
        <f>'BIO DATA'!AC196</f>
        <v>Islam</v>
      </c>
      <c r="V197" s="9" t="str">
        <f>'BIO DATA'!AD196</f>
        <v>S2</v>
      </c>
      <c r="W197" s="9" t="str">
        <f>'BIO DATA'!AE196</f>
        <v>Pegawai Swasta</v>
      </c>
      <c r="X197" s="9" t="str">
        <f>'BIO DATA'!AF196</f>
        <v>5jt-10jt</v>
      </c>
      <c r="Y197" s="144" t="str">
        <f>'BIO DATA'!AG196</f>
        <v>081392203798</v>
      </c>
      <c r="Z197" s="9">
        <f>'BIO DATA'!AH196</f>
        <v>0</v>
      </c>
      <c r="AA197" s="9" t="str">
        <f>'BIO DATA'!AI196</f>
        <v>Tri Mulyowati S.KM.M.Sc</v>
      </c>
      <c r="AB197" s="9" t="str">
        <f>'BIO DATA'!AJ196</f>
        <v>Islam</v>
      </c>
      <c r="AC197" s="9" t="str">
        <f>'BIO DATA'!AK196</f>
        <v>S2</v>
      </c>
      <c r="AD197" s="9" t="str">
        <f>'BIO DATA'!AL196</f>
        <v>Guru/Dosen</v>
      </c>
      <c r="AE197" s="9" t="str">
        <f>'BIO DATA'!AM196</f>
        <v>5jt-10jt</v>
      </c>
      <c r="AF197" s="49" t="str">
        <f>'BIO DATA'!AN196</f>
        <v>087836880232</v>
      </c>
      <c r="AG197" s="9">
        <f>'BIO DATA'!AO196</f>
        <v>0</v>
      </c>
      <c r="AH197" s="9">
        <f>'BIO DATA'!AY196</f>
        <v>0</v>
      </c>
      <c r="AI197" s="9">
        <f>'BIO DATA'!AZ196</f>
        <v>0</v>
      </c>
      <c r="AJ197" s="9">
        <f>'BIO DATA'!BA196</f>
        <v>0</v>
      </c>
      <c r="AK197" s="9">
        <f>'BIO DATA'!BB196</f>
        <v>0</v>
      </c>
      <c r="AL197" s="9">
        <f>'BIO DATA'!BC196</f>
        <v>0</v>
      </c>
      <c r="AM197" s="9">
        <f>'BIO DATA'!BD196</f>
        <v>0</v>
      </c>
      <c r="AN197" s="9">
        <f>'BIO DATA'!BE196</f>
        <v>0</v>
      </c>
      <c r="AO197" s="9">
        <f>'BIO DATA'!BF196</f>
        <v>0</v>
      </c>
      <c r="AP197" s="50" t="str">
        <f>'BIO DATA'!BG196</f>
        <v>Lilik Wijayanto, S.Pd.</v>
      </c>
    </row>
    <row r="198" spans="1:42" s="51" customFormat="1" ht="20.100000000000001" customHeight="1" thickBot="1">
      <c r="A198" s="14" t="s">
        <v>143</v>
      </c>
      <c r="B198">
        <v>148</v>
      </c>
      <c r="C198" s="116">
        <f>'BIO DATA'!C197</f>
        <v>12613</v>
      </c>
      <c r="D198" s="116" t="str">
        <f>'BIO DATA'!D197</f>
        <v>0143079739</v>
      </c>
      <c r="E198" s="115" t="str">
        <f>'BIO DATA'!E197</f>
        <v>Muhammad Aksan Al Fatih</v>
      </c>
      <c r="F198" s="46" t="str">
        <f>'BIO DATA'!L197</f>
        <v>Laki-laki</v>
      </c>
      <c r="G198" s="9" t="str">
        <f>'BIO DATA'!M197</f>
        <v>Makassar</v>
      </c>
      <c r="H198" s="48">
        <f>'BIO DATA'!O197</f>
        <v>41772</v>
      </c>
      <c r="I198" s="46" t="str">
        <f>'BIO DATA'!R197</f>
        <v>Islam</v>
      </c>
      <c r="J198" s="47">
        <f>'BIO DATA'!I197</f>
        <v>1</v>
      </c>
      <c r="K198" s="47">
        <f>'BIO DATA'!J197</f>
        <v>2</v>
      </c>
      <c r="L198" s="9" t="str">
        <f>'BIO DATA'!S197</f>
        <v>Jl. Biring Romang IV Blok I No. 38 RT 002 RW 001 Manggala Manggala Kota Makassar Sulawesi Selatan 90234</v>
      </c>
      <c r="M198" s="9" t="str">
        <f>'BIO DATA'!U197</f>
        <v>Manggala</v>
      </c>
      <c r="N198" s="9" t="str">
        <f>'BIO DATA'!V197</f>
        <v>Manggala</v>
      </c>
      <c r="O198" s="9" t="str">
        <f>'BIO DATA'!W197</f>
        <v>Kota Makassar</v>
      </c>
      <c r="P198" s="9" t="str">
        <f>'BIO DATA'!X197</f>
        <v>Sulawesi Selatan</v>
      </c>
      <c r="Q198" s="9" t="str">
        <f>'BIO DATA'!Y197</f>
        <v>MI Arifah</v>
      </c>
      <c r="R198" s="9" t="str">
        <f>'BIO DATA'!Z197</f>
        <v>Gowa</v>
      </c>
      <c r="S198" s="9">
        <f>'BIO DATA'!AA197</f>
        <v>0</v>
      </c>
      <c r="T198" s="9" t="str">
        <f>'BIO DATA'!AB197</f>
        <v>Akbar H Aksan</v>
      </c>
      <c r="U198" s="9" t="str">
        <f>'BIO DATA'!AC197</f>
        <v>Islam</v>
      </c>
      <c r="V198" s="9" t="str">
        <f>'BIO DATA'!AD197</f>
        <v>S1</v>
      </c>
      <c r="W198" s="9" t="str">
        <f>'BIO DATA'!AE197</f>
        <v>Wiraswasta</v>
      </c>
      <c r="X198" s="9" t="str">
        <f>'BIO DATA'!AF197</f>
        <v>5jt-10jt</v>
      </c>
      <c r="Y198" s="144" t="str">
        <f>'BIO DATA'!AG197</f>
        <v>08114614977</v>
      </c>
      <c r="Z198" s="9">
        <f>'BIO DATA'!AH197</f>
        <v>0</v>
      </c>
      <c r="AA198" s="9" t="str">
        <f>'BIO DATA'!AI197</f>
        <v>Haslindayani</v>
      </c>
      <c r="AB198" s="9" t="str">
        <f>'BIO DATA'!AJ197</f>
        <v>Islam</v>
      </c>
      <c r="AC198" s="9" t="str">
        <f>'BIO DATA'!AK197</f>
        <v>Tdk Sekolah</v>
      </c>
      <c r="AD198" s="9" t="str">
        <f>'BIO DATA'!AL197</f>
        <v>Tidak Bekerja</v>
      </c>
      <c r="AE198" s="9" t="str">
        <f>'BIO DATA'!AM197</f>
        <v>&lt; 500rb</v>
      </c>
      <c r="AF198" s="49" t="str">
        <f>'BIO DATA'!AN197</f>
        <v>08114613789</v>
      </c>
      <c r="AG198" s="9">
        <f>'BIO DATA'!AO197</f>
        <v>0</v>
      </c>
      <c r="AH198" s="9">
        <f>'BIO DATA'!AY197</f>
        <v>0</v>
      </c>
      <c r="AI198" s="9">
        <f>'BIO DATA'!AZ197</f>
        <v>0</v>
      </c>
      <c r="AJ198" s="9">
        <f>'BIO DATA'!BA197</f>
        <v>0</v>
      </c>
      <c r="AK198" s="9">
        <f>'BIO DATA'!BB197</f>
        <v>0</v>
      </c>
      <c r="AL198" s="9">
        <f>'BIO DATA'!BC197</f>
        <v>0</v>
      </c>
      <c r="AM198" s="9">
        <f>'BIO DATA'!BD197</f>
        <v>0</v>
      </c>
      <c r="AN198" s="9">
        <f>'BIO DATA'!BE197</f>
        <v>0</v>
      </c>
      <c r="AO198" s="9">
        <f>'BIO DATA'!BF197</f>
        <v>0</v>
      </c>
      <c r="AP198" s="50" t="str">
        <f>'BIO DATA'!BG197</f>
        <v>Lilik Wijayanto, S.Pd.</v>
      </c>
    </row>
    <row r="199" spans="1:42" s="51" customFormat="1" ht="20.100000000000001" customHeight="1" thickBot="1">
      <c r="A199" s="14" t="s">
        <v>143</v>
      </c>
      <c r="B199">
        <v>161</v>
      </c>
      <c r="C199" s="116">
        <f>'BIO DATA'!C198</f>
        <v>12631</v>
      </c>
      <c r="D199" s="116">
        <f>'BIO DATA'!D198</f>
        <v>3149697112</v>
      </c>
      <c r="E199" s="115" t="str">
        <f>'BIO DATA'!E198</f>
        <v>Muhammad Faeyza Alvaro Ardiansyah</v>
      </c>
      <c r="F199" s="46" t="str">
        <f>'BIO DATA'!L198</f>
        <v>Laki-laki</v>
      </c>
      <c r="G199" s="9" t="str">
        <f>'BIO DATA'!M198</f>
        <v>Purwakarta</v>
      </c>
      <c r="H199" s="48">
        <f>'BIO DATA'!O198</f>
        <v>41670</v>
      </c>
      <c r="I199" s="46" t="str">
        <f>'BIO DATA'!R198</f>
        <v>Islam</v>
      </c>
      <c r="J199" s="47">
        <f>'BIO DATA'!I198</f>
        <v>1</v>
      </c>
      <c r="K199" s="47">
        <f>'BIO DATA'!J198</f>
        <v>2</v>
      </c>
      <c r="L199" s="9" t="str">
        <f>'BIO DATA'!S198</f>
        <v>Kp Purnawarman Selatan RT 18 RW 13 kelurahan Sindang kasih kecamatan Purwakarta kabupaten Purwakarta</v>
      </c>
      <c r="M199" s="9" t="str">
        <f>'BIO DATA'!U198</f>
        <v>Sindang Kasih</v>
      </c>
      <c r="N199" s="9" t="str">
        <f>'BIO DATA'!V198</f>
        <v>Purwakarta</v>
      </c>
      <c r="O199" s="9" t="str">
        <f>'BIO DATA'!W198</f>
        <v>Purwakarta</v>
      </c>
      <c r="P199" s="9" t="str">
        <f>'BIO DATA'!X198</f>
        <v>Jawa Barat</v>
      </c>
      <c r="Q199" s="9" t="str">
        <f>'BIO DATA'!Y198</f>
        <v>SDIT NURUL HIKMAH 3 PURWAKARTA</v>
      </c>
      <c r="R199" s="9" t="str">
        <f>'BIO DATA'!Z198</f>
        <v>GG ciung RT 09 RW 10 kelurahan Nagri kidul kecamatan Purwakarta kabupaten Purwakarta Jawa Barat</v>
      </c>
      <c r="S199" s="9">
        <f>'BIO DATA'!AA198</f>
        <v>0</v>
      </c>
      <c r="T199" s="9" t="str">
        <f>'BIO DATA'!AB198</f>
        <v>Deki Ardiansyah</v>
      </c>
      <c r="U199" s="9" t="str">
        <f>'BIO DATA'!AC198</f>
        <v>Islam</v>
      </c>
      <c r="V199" s="9" t="str">
        <f>'BIO DATA'!AD198</f>
        <v>SMA/SMK/MA</v>
      </c>
      <c r="W199" s="9" t="str">
        <f>'BIO DATA'!AE198</f>
        <v>Pegawai Swasta</v>
      </c>
      <c r="X199" s="9" t="str">
        <f>'BIO DATA'!AF198</f>
        <v>&gt;10jt</v>
      </c>
      <c r="Y199" s="144" t="str">
        <f>'BIO DATA'!AG198</f>
        <v>087786577331</v>
      </c>
      <c r="Z199" s="9">
        <f>'BIO DATA'!AH198</f>
        <v>0</v>
      </c>
      <c r="AA199" s="9" t="str">
        <f>'BIO DATA'!AI198</f>
        <v>Windi Astuti</v>
      </c>
      <c r="AB199" s="9" t="str">
        <f>'BIO DATA'!AJ198</f>
        <v>Islam</v>
      </c>
      <c r="AC199" s="9" t="str">
        <f>'BIO DATA'!AK198</f>
        <v>SMA/SMK/MA</v>
      </c>
      <c r="AD199" s="9" t="str">
        <f>'BIO DATA'!AL198</f>
        <v>Pegawai Swasta</v>
      </c>
      <c r="AE199" s="9" t="str">
        <f>'BIO DATA'!AM198</f>
        <v>&gt;10jt</v>
      </c>
      <c r="AF199" s="49" t="str">
        <f>'BIO DATA'!AN198</f>
        <v>087779994188</v>
      </c>
      <c r="AG199" s="9">
        <f>'BIO DATA'!AO198</f>
        <v>0</v>
      </c>
      <c r="AH199" s="9">
        <f>'BIO DATA'!AY198</f>
        <v>0</v>
      </c>
      <c r="AI199" s="9">
        <f>'BIO DATA'!AZ198</f>
        <v>0</v>
      </c>
      <c r="AJ199" s="9">
        <f>'BIO DATA'!BA198</f>
        <v>0</v>
      </c>
      <c r="AK199" s="9">
        <f>'BIO DATA'!BB198</f>
        <v>0</v>
      </c>
      <c r="AL199" s="9">
        <f>'BIO DATA'!BC198</f>
        <v>0</v>
      </c>
      <c r="AM199" s="9">
        <f>'BIO DATA'!BD198</f>
        <v>0</v>
      </c>
      <c r="AN199" s="9">
        <f>'BIO DATA'!BE198</f>
        <v>0</v>
      </c>
      <c r="AO199" s="9">
        <f>'BIO DATA'!BF198</f>
        <v>0</v>
      </c>
      <c r="AP199" s="50" t="str">
        <f>'BIO DATA'!BG198</f>
        <v>Lilik Wijayanto, S.Pd.</v>
      </c>
    </row>
    <row r="200" spans="1:42" s="51" customFormat="1" ht="20.100000000000001" customHeight="1" thickBot="1">
      <c r="A200" s="14" t="s">
        <v>143</v>
      </c>
      <c r="B200">
        <v>162</v>
      </c>
      <c r="C200" s="116">
        <f>'BIO DATA'!C199</f>
        <v>12645</v>
      </c>
      <c r="D200" s="116" t="str">
        <f>'BIO DATA'!D199</f>
        <v>0132780482</v>
      </c>
      <c r="E200" s="115" t="str">
        <f>'BIO DATA'!E199</f>
        <v>Muhammad Marselin Seto Jovanka</v>
      </c>
      <c r="F200" s="46" t="str">
        <f>'BIO DATA'!L199</f>
        <v>Laki-laki</v>
      </c>
      <c r="G200" s="9" t="str">
        <f>'BIO DATA'!M199</f>
        <v>Kulonprogo</v>
      </c>
      <c r="H200" s="48">
        <f>'BIO DATA'!O199</f>
        <v>41549</v>
      </c>
      <c r="I200" s="46" t="str">
        <f>'BIO DATA'!R199</f>
        <v>Islam</v>
      </c>
      <c r="J200" s="47">
        <f>'BIO DATA'!I199</f>
        <v>1</v>
      </c>
      <c r="K200" s="47">
        <f>'BIO DATA'!J199</f>
        <v>1</v>
      </c>
      <c r="L200" s="9" t="str">
        <f>'BIO DATA'!S199</f>
        <v>Pedukuhan VII Ngaran Lor Bojong RT 06 RW 013 Panjatan Kulon Progo DIY</v>
      </c>
      <c r="M200" s="9" t="str">
        <f>'BIO DATA'!U199</f>
        <v>Bojong</v>
      </c>
      <c r="N200" s="9" t="str">
        <f>'BIO DATA'!V199</f>
        <v>Panjatan</v>
      </c>
      <c r="O200" s="9" t="str">
        <f>'BIO DATA'!W199</f>
        <v>Kulon Progo</v>
      </c>
      <c r="P200" s="9" t="str">
        <f>'BIO DATA'!X199</f>
        <v>DIY</v>
      </c>
      <c r="Q200" s="9" t="str">
        <f>'BIO DATA'!Y199</f>
        <v>SD MUHAMMADIYYAH MUTIAN WATES</v>
      </c>
      <c r="R200" s="9" t="str">
        <f>'BIO DATA'!Z199</f>
        <v>SD MUHAMMADIYYAH MUTIAN ALAMAT WONOSIDO LOR WATES, KULON PROGO, YOGYAKARTA</v>
      </c>
      <c r="S200" s="9">
        <f>'BIO DATA'!AA199</f>
        <v>0</v>
      </c>
      <c r="T200" s="9" t="str">
        <f>'BIO DATA'!AB199</f>
        <v>Sigit Santoso</v>
      </c>
      <c r="U200" s="9" t="str">
        <f>'BIO DATA'!AC199</f>
        <v>Islam</v>
      </c>
      <c r="V200" s="9" t="str">
        <f>'BIO DATA'!AD199</f>
        <v>SMA/SMK/MA</v>
      </c>
      <c r="W200" s="9" t="str">
        <f>'BIO DATA'!AE199</f>
        <v>Wiraswasta</v>
      </c>
      <c r="X200" s="9" t="str">
        <f>'BIO DATA'!AF199</f>
        <v>1jt-3jt</v>
      </c>
      <c r="Y200" s="144" t="str">
        <f>'BIO DATA'!AG199</f>
        <v>088226907071</v>
      </c>
      <c r="Z200" s="9">
        <f>'BIO DATA'!AH199</f>
        <v>0</v>
      </c>
      <c r="AA200" s="9" t="str">
        <f>'BIO DATA'!AI199</f>
        <v>Fitri Atmani</v>
      </c>
      <c r="AB200" s="9" t="str">
        <f>'BIO DATA'!AJ199</f>
        <v>Islam</v>
      </c>
      <c r="AC200" s="9" t="str">
        <f>'BIO DATA'!AK199</f>
        <v>S1</v>
      </c>
      <c r="AD200" s="9" t="str">
        <f>'BIO DATA'!AL199</f>
        <v>Wiraswasta</v>
      </c>
      <c r="AE200" s="9" t="str">
        <f>'BIO DATA'!AM199</f>
        <v>5jt-10jt</v>
      </c>
      <c r="AF200" s="49" t="str">
        <f>'BIO DATA'!AN199</f>
        <v>081227180332</v>
      </c>
      <c r="AG200" s="9">
        <f>'BIO DATA'!AO199</f>
        <v>0</v>
      </c>
      <c r="AH200" s="9">
        <f>'BIO DATA'!AY199</f>
        <v>0</v>
      </c>
      <c r="AI200" s="9">
        <f>'BIO DATA'!AZ199</f>
        <v>0</v>
      </c>
      <c r="AJ200" s="9">
        <f>'BIO DATA'!BA199</f>
        <v>0</v>
      </c>
      <c r="AK200" s="9">
        <f>'BIO DATA'!BB199</f>
        <v>0</v>
      </c>
      <c r="AL200" s="9">
        <f>'BIO DATA'!BC199</f>
        <v>0</v>
      </c>
      <c r="AM200" s="9">
        <f>'BIO DATA'!BD199</f>
        <v>0</v>
      </c>
      <c r="AN200" s="9">
        <f>'BIO DATA'!BE199</f>
        <v>0</v>
      </c>
      <c r="AO200" s="9">
        <f>'BIO DATA'!BF199</f>
        <v>0</v>
      </c>
      <c r="AP200" s="50" t="str">
        <f>'BIO DATA'!BG199</f>
        <v>Lilik Wijayanto, S.Pd.</v>
      </c>
    </row>
    <row r="201" spans="1:42" s="51" customFormat="1" ht="20.100000000000001" customHeight="1" thickBot="1">
      <c r="A201" s="14" t="s">
        <v>143</v>
      </c>
      <c r="B201">
        <v>166</v>
      </c>
      <c r="C201" s="116">
        <f>'BIO DATA'!C200</f>
        <v>12648</v>
      </c>
      <c r="D201" s="116" t="str">
        <f>'BIO DATA'!D200</f>
        <v>0138653220</v>
      </c>
      <c r="E201" s="115" t="str">
        <f>'BIO DATA'!E200</f>
        <v>Muhammad Nur Bilal</v>
      </c>
      <c r="F201" s="46" t="str">
        <f>'BIO DATA'!L200</f>
        <v>Laki-laki</v>
      </c>
      <c r="G201" s="9" t="str">
        <f>'BIO DATA'!M200</f>
        <v>Yogyakarta</v>
      </c>
      <c r="H201" s="48">
        <f>'BIO DATA'!O200</f>
        <v>41551</v>
      </c>
      <c r="I201" s="46" t="str">
        <f>'BIO DATA'!R200</f>
        <v>Islam</v>
      </c>
      <c r="J201" s="47">
        <f>'BIO DATA'!I200</f>
        <v>2</v>
      </c>
      <c r="K201" s="47">
        <f>'BIO DATA'!J200</f>
        <v>2</v>
      </c>
      <c r="L201" s="9" t="str">
        <f>'BIO DATA'!S200</f>
        <v>Wirobrajan RT 40 RW 09, Yogyakarta</v>
      </c>
      <c r="M201" s="9" t="str">
        <f>'BIO DATA'!U200</f>
        <v>Wirobrajan</v>
      </c>
      <c r="N201" s="9" t="str">
        <f>'BIO DATA'!V200</f>
        <v>Wirobrajan</v>
      </c>
      <c r="O201" s="9" t="str">
        <f>'BIO DATA'!W200</f>
        <v>Kota Yogyakarta</v>
      </c>
      <c r="P201" s="9" t="str">
        <f>'BIO DATA'!X200</f>
        <v>DIY</v>
      </c>
      <c r="Q201" s="9" t="str">
        <f>'BIO DATA'!Y200</f>
        <v>SD Muhammadiyah wirobrajan 3</v>
      </c>
      <c r="R201" s="9">
        <f>'BIO DATA'!Z200</f>
        <v>0</v>
      </c>
      <c r="S201" s="9">
        <f>'BIO DATA'!AA200</f>
        <v>0</v>
      </c>
      <c r="T201" s="9" t="str">
        <f>'BIO DATA'!AB200</f>
        <v>Triagus Setiawan</v>
      </c>
      <c r="U201" s="9" t="str">
        <f>'BIO DATA'!AC200</f>
        <v>Islam</v>
      </c>
      <c r="V201" s="9" t="str">
        <f>'BIO DATA'!AD200</f>
        <v>SLTA</v>
      </c>
      <c r="W201" s="9" t="str">
        <f>'BIO DATA'!AE200</f>
        <v>Karyawan Swasta</v>
      </c>
      <c r="X201" s="9">
        <f>'BIO DATA'!AF200</f>
        <v>0</v>
      </c>
      <c r="Y201" s="144" t="str">
        <f>'BIO DATA'!AG200</f>
        <v>087713599438</v>
      </c>
      <c r="Z201" s="9">
        <f>'BIO DATA'!AH200</f>
        <v>0</v>
      </c>
      <c r="AA201" s="9" t="str">
        <f>'BIO DATA'!AI200</f>
        <v>Wulan Pangestu Ningsih</v>
      </c>
      <c r="AB201" s="9" t="str">
        <f>'BIO DATA'!AJ200</f>
        <v>Islam</v>
      </c>
      <c r="AC201" s="9" t="str">
        <f>'BIO DATA'!AK200</f>
        <v>SLTA</v>
      </c>
      <c r="AD201" s="9" t="str">
        <f>'BIO DATA'!AL200</f>
        <v>Wiraswasta</v>
      </c>
      <c r="AE201" s="9">
        <f>'BIO DATA'!AM200</f>
        <v>0</v>
      </c>
      <c r="AF201" s="49" t="str">
        <f>'BIO DATA'!AN200</f>
        <v>087713599438</v>
      </c>
      <c r="AG201" s="9">
        <f>'BIO DATA'!AO200</f>
        <v>0</v>
      </c>
      <c r="AH201" s="9">
        <f>'BIO DATA'!AY200</f>
        <v>0</v>
      </c>
      <c r="AI201" s="9">
        <f>'BIO DATA'!AZ200</f>
        <v>0</v>
      </c>
      <c r="AJ201" s="9">
        <f>'BIO DATA'!BA200</f>
        <v>0</v>
      </c>
      <c r="AK201" s="9">
        <f>'BIO DATA'!BB200</f>
        <v>0</v>
      </c>
      <c r="AL201" s="9">
        <f>'BIO DATA'!BC200</f>
        <v>0</v>
      </c>
      <c r="AM201" s="9">
        <f>'BIO DATA'!BD200</f>
        <v>0</v>
      </c>
      <c r="AN201" s="9">
        <f>'BIO DATA'!BE200</f>
        <v>0</v>
      </c>
      <c r="AO201" s="9">
        <f>'BIO DATA'!BF200</f>
        <v>0</v>
      </c>
      <c r="AP201" s="50" t="str">
        <f>'BIO DATA'!BG200</f>
        <v>Lilik Wijayanto, S.Pd.</v>
      </c>
    </row>
    <row r="202" spans="1:42" s="51" customFormat="1" ht="20.100000000000001" customHeight="1" thickBot="1">
      <c r="A202" s="14" t="s">
        <v>143</v>
      </c>
      <c r="B202">
        <v>168</v>
      </c>
      <c r="C202" s="116">
        <f>'BIO DATA'!C201</f>
        <v>12649</v>
      </c>
      <c r="D202" s="116" t="str">
        <f>'BIO DATA'!D201</f>
        <v>0148185802</v>
      </c>
      <c r="E202" s="115" t="str">
        <f>'BIO DATA'!E201</f>
        <v>Muhammad Ozil</v>
      </c>
      <c r="F202" s="46" t="str">
        <f>'BIO DATA'!L201</f>
        <v>Laki-laki</v>
      </c>
      <c r="G202" s="9" t="str">
        <f>'BIO DATA'!M201</f>
        <v>Jakarta</v>
      </c>
      <c r="H202" s="48">
        <f>'BIO DATA'!O201</f>
        <v>41679</v>
      </c>
      <c r="I202" s="46" t="str">
        <f>'BIO DATA'!R201</f>
        <v>Islam</v>
      </c>
      <c r="J202" s="47">
        <f>'BIO DATA'!I201</f>
        <v>1</v>
      </c>
      <c r="K202" s="47">
        <f>'BIO DATA'!J201</f>
        <v>3</v>
      </c>
      <c r="L202" s="9" t="str">
        <f>'BIO DATA'!S201</f>
        <v>Pondok Permai Tamantirta 2, Cluster 1 blok C37, Bangunjiwo, Kasihan, Bantul DIY</v>
      </c>
      <c r="M202" s="9" t="str">
        <f>'BIO DATA'!U201</f>
        <v>Bangunjiwo</v>
      </c>
      <c r="N202" s="9" t="str">
        <f>'BIO DATA'!V201</f>
        <v>Kasihan</v>
      </c>
      <c r="O202" s="9" t="str">
        <f>'BIO DATA'!W201</f>
        <v>Bantul</v>
      </c>
      <c r="P202" s="9" t="str">
        <f>'BIO DATA'!X201</f>
        <v>DIY</v>
      </c>
      <c r="Q202" s="9" t="str">
        <f>'BIO DATA'!Y201</f>
        <v>SD Muhammadiyah Purwodiningratan</v>
      </c>
      <c r="R202" s="9" t="str">
        <f>'BIO DATA'!Z201</f>
        <v>Kp. Purwodiningratan, Ngupasan, Yogyakarta</v>
      </c>
      <c r="S202" s="9">
        <f>'BIO DATA'!AA201</f>
        <v>0</v>
      </c>
      <c r="T202" s="9" t="str">
        <f>'BIO DATA'!AB201</f>
        <v>Afrizal</v>
      </c>
      <c r="U202" s="9" t="str">
        <f>'BIO DATA'!AC201</f>
        <v>Islam</v>
      </c>
      <c r="V202" s="9" t="str">
        <f>'BIO DATA'!AD201</f>
        <v>S1</v>
      </c>
      <c r="W202" s="9" t="str">
        <f>'BIO DATA'!AE201</f>
        <v>Pegawai Swasta</v>
      </c>
      <c r="X202" s="9" t="str">
        <f>'BIO DATA'!AF201</f>
        <v>&gt;10jt</v>
      </c>
      <c r="Y202" s="144" t="str">
        <f>'BIO DATA'!AG201</f>
        <v>085697495551</v>
      </c>
      <c r="Z202" s="9">
        <f>'BIO DATA'!AH201</f>
        <v>0</v>
      </c>
      <c r="AA202" s="9" t="str">
        <f>'BIO DATA'!AI201</f>
        <v>Rahmi</v>
      </c>
      <c r="AB202" s="9" t="str">
        <f>'BIO DATA'!AJ201</f>
        <v>Islam</v>
      </c>
      <c r="AC202" s="9" t="str">
        <f>'BIO DATA'!AK201</f>
        <v>S1</v>
      </c>
      <c r="AD202" s="9" t="str">
        <f>'BIO DATA'!AL201</f>
        <v>Lain-lain</v>
      </c>
      <c r="AE202" s="9" t="str">
        <f>'BIO DATA'!AM201</f>
        <v>3jt-5jt</v>
      </c>
      <c r="AF202" s="49" t="str">
        <f>'BIO DATA'!AN201</f>
        <v>085693431317</v>
      </c>
      <c r="AG202" s="9">
        <f>'BIO DATA'!AO201</f>
        <v>0</v>
      </c>
      <c r="AH202" s="9">
        <f>'BIO DATA'!AY201</f>
        <v>0</v>
      </c>
      <c r="AI202" s="9">
        <f>'BIO DATA'!AZ201</f>
        <v>0</v>
      </c>
      <c r="AJ202" s="9">
        <f>'BIO DATA'!BA201</f>
        <v>0</v>
      </c>
      <c r="AK202" s="9">
        <f>'BIO DATA'!BB201</f>
        <v>0</v>
      </c>
      <c r="AL202" s="9">
        <f>'BIO DATA'!BC201</f>
        <v>0</v>
      </c>
      <c r="AM202" s="9">
        <f>'BIO DATA'!BD201</f>
        <v>0</v>
      </c>
      <c r="AN202" s="9">
        <f>'BIO DATA'!BE201</f>
        <v>0</v>
      </c>
      <c r="AO202" s="9">
        <f>'BIO DATA'!BF201</f>
        <v>0</v>
      </c>
      <c r="AP202" s="50" t="str">
        <f>'BIO DATA'!BG201</f>
        <v>Lilik Wijayanto, S.Pd.</v>
      </c>
    </row>
    <row r="203" spans="1:42" s="51" customFormat="1" ht="20.100000000000001" customHeight="1" thickBot="1">
      <c r="A203" s="14" t="s">
        <v>143</v>
      </c>
      <c r="B203">
        <v>173</v>
      </c>
      <c r="C203" s="116">
        <f>'BIO DATA'!C202</f>
        <v>12650</v>
      </c>
      <c r="D203" s="116">
        <f>'BIO DATA'!D202</f>
        <v>3136913270</v>
      </c>
      <c r="E203" s="115" t="str">
        <f>'BIO DATA'!E202</f>
        <v>Muhammad Qoidun Nafi' Al Murtadho</v>
      </c>
      <c r="F203" s="46" t="str">
        <f>'BIO DATA'!L202</f>
        <v>Laki-laki</v>
      </c>
      <c r="G203" s="9" t="str">
        <f>'BIO DATA'!M202</f>
        <v>Sleman</v>
      </c>
      <c r="H203" s="48">
        <f>'BIO DATA'!O202</f>
        <v>41599</v>
      </c>
      <c r="I203" s="46" t="str">
        <f>'BIO DATA'!R202</f>
        <v>Islam</v>
      </c>
      <c r="J203" s="47">
        <f>'BIO DATA'!I202</f>
        <v>3</v>
      </c>
      <c r="K203" s="47">
        <f>'BIO DATA'!J202</f>
        <v>4</v>
      </c>
      <c r="L203" s="9" t="str">
        <f>'BIO DATA'!S202</f>
        <v>Sunggingan RT 03 RW 12, Sendangrejo, Minggir, Sleman, Yogyakarta</v>
      </c>
      <c r="M203" s="9" t="str">
        <f>'BIO DATA'!U202</f>
        <v>Sendangrejo</v>
      </c>
      <c r="N203" s="9" t="str">
        <f>'BIO DATA'!V202</f>
        <v>Minggir</v>
      </c>
      <c r="O203" s="9" t="str">
        <f>'BIO DATA'!W202</f>
        <v>Sleman</v>
      </c>
      <c r="P203" s="9" t="str">
        <f>'BIO DATA'!X202</f>
        <v>DIY</v>
      </c>
      <c r="Q203" s="9" t="str">
        <f>'BIO DATA'!Y202</f>
        <v>Sekolah Al Qur'an Insan Quantum</v>
      </c>
      <c r="R203" s="9" t="str">
        <f>'BIO DATA'!Z202</f>
        <v>JARAKAN, SENDANG REJO, MINGGIR SLEMAN, YOGYAKARTA</v>
      </c>
      <c r="S203" s="9">
        <f>'BIO DATA'!AA202</f>
        <v>0</v>
      </c>
      <c r="T203" s="9" t="str">
        <f>'BIO DATA'!AB202</f>
        <v>Sunarto</v>
      </c>
      <c r="U203" s="9" t="str">
        <f>'BIO DATA'!AC202</f>
        <v>Islam</v>
      </c>
      <c r="V203" s="9" t="str">
        <f>'BIO DATA'!AD202</f>
        <v>S1</v>
      </c>
      <c r="W203" s="9" t="str">
        <f>'BIO DATA'!AE202</f>
        <v>Guru/Dosen</v>
      </c>
      <c r="X203" s="9" t="str">
        <f>'BIO DATA'!AF202</f>
        <v>1jt-3jt</v>
      </c>
      <c r="Y203" s="144" t="str">
        <f>'BIO DATA'!AG202</f>
        <v>0895363577599</v>
      </c>
      <c r="Z203" s="9">
        <f>'BIO DATA'!AH202</f>
        <v>0</v>
      </c>
      <c r="AA203" s="9" t="str">
        <f>'BIO DATA'!AI202</f>
        <v>Surip Safutri</v>
      </c>
      <c r="AB203" s="9" t="str">
        <f>'BIO DATA'!AJ202</f>
        <v>Islam</v>
      </c>
      <c r="AC203" s="9" t="str">
        <f>'BIO DATA'!AK202</f>
        <v>S1</v>
      </c>
      <c r="AD203" s="9" t="str">
        <f>'BIO DATA'!AL202</f>
        <v>Tidak Bekerja</v>
      </c>
      <c r="AE203" s="9" t="str">
        <f>'BIO DATA'!AM202</f>
        <v>&lt; 500rb</v>
      </c>
      <c r="AF203" s="49" t="str">
        <f>'BIO DATA'!AN202</f>
        <v>089652951221</v>
      </c>
      <c r="AG203" s="9">
        <f>'BIO DATA'!AO202</f>
        <v>0</v>
      </c>
      <c r="AH203" s="9">
        <f>'BIO DATA'!AY202</f>
        <v>0</v>
      </c>
      <c r="AI203" s="9">
        <f>'BIO DATA'!AZ202</f>
        <v>0</v>
      </c>
      <c r="AJ203" s="9">
        <f>'BIO DATA'!BA202</f>
        <v>0</v>
      </c>
      <c r="AK203" s="9">
        <f>'BIO DATA'!BB202</f>
        <v>0</v>
      </c>
      <c r="AL203" s="9">
        <f>'BIO DATA'!BC202</f>
        <v>0</v>
      </c>
      <c r="AM203" s="9">
        <f>'BIO DATA'!BD202</f>
        <v>0</v>
      </c>
      <c r="AN203" s="9">
        <f>'BIO DATA'!BE202</f>
        <v>0</v>
      </c>
      <c r="AO203" s="9">
        <f>'BIO DATA'!BF202</f>
        <v>0</v>
      </c>
      <c r="AP203" s="50" t="str">
        <f>'BIO DATA'!BG202</f>
        <v>Lilik Wijayanto, S.Pd.</v>
      </c>
    </row>
    <row r="204" spans="1:42" s="51" customFormat="1" ht="20.100000000000001" customHeight="1" thickBot="1">
      <c r="A204" s="14" t="s">
        <v>143</v>
      </c>
      <c r="B204">
        <v>174</v>
      </c>
      <c r="C204" s="116">
        <f>'BIO DATA'!C203</f>
        <v>12656</v>
      </c>
      <c r="D204" s="116">
        <f>'BIO DATA'!D203</f>
        <v>3149344710</v>
      </c>
      <c r="E204" s="115" t="str">
        <f>'BIO DATA'!E203</f>
        <v>Muhammad Syauqi Chusairi</v>
      </c>
      <c r="F204" s="46" t="str">
        <f>'BIO DATA'!L203</f>
        <v>Laki-laki</v>
      </c>
      <c r="G204" s="9" t="str">
        <f>'BIO DATA'!M203</f>
        <v>Sleman</v>
      </c>
      <c r="H204" s="48">
        <f>'BIO DATA'!O203</f>
        <v>41415</v>
      </c>
      <c r="I204" s="46" t="str">
        <f>'BIO DATA'!R203</f>
        <v>Islam</v>
      </c>
      <c r="J204" s="47">
        <f>'BIO DATA'!I203</f>
        <v>2</v>
      </c>
      <c r="K204" s="47">
        <f>'BIO DATA'!J203</f>
        <v>1</v>
      </c>
      <c r="L204" s="9" t="str">
        <f>'BIO DATA'!S203</f>
        <v>Bandut Kidul Rt 40 Argorejo Sedayu Bantul</v>
      </c>
      <c r="M204" s="9" t="str">
        <f>'BIO DATA'!U203</f>
        <v>Argorejo</v>
      </c>
      <c r="N204" s="9" t="str">
        <f>'BIO DATA'!V203</f>
        <v>Sedayu</v>
      </c>
      <c r="O204" s="9" t="str">
        <f>'BIO DATA'!W203</f>
        <v>Bantul</v>
      </c>
      <c r="P204" s="9" t="str">
        <f>'BIO DATA'!X203</f>
        <v>DIY</v>
      </c>
      <c r="Q204" s="9" t="str">
        <f>'BIO DATA'!Y203</f>
        <v>SD Budi Mulia Dua Sedayu</v>
      </c>
      <c r="R204" s="9" t="str">
        <f>'BIO DATA'!Z203</f>
        <v>Jln wates km 10,argomulyo,sedayu bantul55753</v>
      </c>
      <c r="S204" s="9">
        <f>'BIO DATA'!AA203</f>
        <v>0</v>
      </c>
      <c r="T204" s="9" t="str">
        <f>'BIO DATA'!AB203</f>
        <v>Moh Shoim Khusyairi</v>
      </c>
      <c r="U204" s="9" t="str">
        <f>'BIO DATA'!AC203</f>
        <v>Islam</v>
      </c>
      <c r="V204" s="9" t="str">
        <f>'BIO DATA'!AD203</f>
        <v>SMA/SMK/MA</v>
      </c>
      <c r="W204" s="9" t="str">
        <f>'BIO DATA'!AE203</f>
        <v>Pegawai Swasta</v>
      </c>
      <c r="X204" s="9" t="str">
        <f>'BIO DATA'!AF203</f>
        <v>1jt-3jt</v>
      </c>
      <c r="Y204" s="144" t="str">
        <f>'BIO DATA'!AG203</f>
        <v>081328727977</v>
      </c>
      <c r="Z204" s="9">
        <f>'BIO DATA'!AH203</f>
        <v>0</v>
      </c>
      <c r="AA204" s="9" t="str">
        <f>'BIO DATA'!AI203</f>
        <v>Anna Nurkhaeni</v>
      </c>
      <c r="AB204" s="9" t="str">
        <f>'BIO DATA'!AJ203</f>
        <v>Islam</v>
      </c>
      <c r="AC204" s="9" t="str">
        <f>'BIO DATA'!AK203</f>
        <v>DIPLOMA</v>
      </c>
      <c r="AD204" s="9" t="str">
        <f>'BIO DATA'!AL203</f>
        <v>Pegawai Swasta</v>
      </c>
      <c r="AE204" s="9" t="str">
        <f>'BIO DATA'!AM203</f>
        <v>3jt-5jt</v>
      </c>
      <c r="AF204" s="49" t="str">
        <f>'BIO DATA'!AN203</f>
        <v>081228407810</v>
      </c>
      <c r="AG204" s="9">
        <f>'BIO DATA'!AO203</f>
        <v>0</v>
      </c>
      <c r="AH204" s="9">
        <f>'BIO DATA'!AY203</f>
        <v>0</v>
      </c>
      <c r="AI204" s="9">
        <f>'BIO DATA'!AZ203</f>
        <v>0</v>
      </c>
      <c r="AJ204" s="9">
        <f>'BIO DATA'!BA203</f>
        <v>0</v>
      </c>
      <c r="AK204" s="9">
        <f>'BIO DATA'!BB203</f>
        <v>0</v>
      </c>
      <c r="AL204" s="9">
        <f>'BIO DATA'!BC203</f>
        <v>0</v>
      </c>
      <c r="AM204" s="9">
        <f>'BIO DATA'!BD203</f>
        <v>0</v>
      </c>
      <c r="AN204" s="9">
        <f>'BIO DATA'!BE203</f>
        <v>0</v>
      </c>
      <c r="AO204" s="9">
        <f>'BIO DATA'!BF203</f>
        <v>0</v>
      </c>
      <c r="AP204" s="50" t="str">
        <f>'BIO DATA'!BG203</f>
        <v>Lilik Wijayanto, S.Pd.</v>
      </c>
    </row>
    <row r="205" spans="1:42" s="51" customFormat="1" ht="20.100000000000001" customHeight="1" thickBot="1">
      <c r="A205" s="14" t="s">
        <v>143</v>
      </c>
      <c r="B205">
        <v>203</v>
      </c>
      <c r="C205" s="116">
        <f>'BIO DATA'!C204</f>
        <v>12657</v>
      </c>
      <c r="D205" s="116" t="str">
        <f>'BIO DATA'!D204</f>
        <v>0144899890</v>
      </c>
      <c r="E205" s="115" t="str">
        <f>'BIO DATA'!E204</f>
        <v>Muhammad Tsaqib Azizan Rabbani</v>
      </c>
      <c r="F205" s="46" t="str">
        <f>'BIO DATA'!L204</f>
        <v>Laki-laki</v>
      </c>
      <c r="G205" s="9" t="str">
        <f>'BIO DATA'!M204</f>
        <v>Banjarmasin</v>
      </c>
      <c r="H205" s="48">
        <f>'BIO DATA'!O204</f>
        <v>41717</v>
      </c>
      <c r="I205" s="46" t="str">
        <f>'BIO DATA'!R204</f>
        <v>Islam</v>
      </c>
      <c r="J205" s="47">
        <f>'BIO DATA'!I204</f>
        <v>1</v>
      </c>
      <c r="K205" s="47">
        <f>'BIO DATA'!J204</f>
        <v>0</v>
      </c>
      <c r="L205" s="9" t="str">
        <f>'BIO DATA'!S204</f>
        <v>Jl. Sutoyo S Gg Purnawirawan No. 78 Rt.15 Rw. 001, Kelurahan Pelambuan Banjarmasin 70118</v>
      </c>
      <c r="M205" s="9" t="str">
        <f>'BIO DATA'!U204</f>
        <v>Pelambuan</v>
      </c>
      <c r="N205" s="9" t="str">
        <f>'BIO DATA'!V204</f>
        <v>Banjarmasin Barat</v>
      </c>
      <c r="O205" s="9" t="str">
        <f>'BIO DATA'!W204</f>
        <v>Kota Banjarmasin</v>
      </c>
      <c r="P205" s="9" t="str">
        <f>'BIO DATA'!X204</f>
        <v>Kalimantan Selatan</v>
      </c>
      <c r="Q205" s="9" t="str">
        <f>'BIO DATA'!Y204</f>
        <v>SDIT Nurul Fikri Banjarmasin</v>
      </c>
      <c r="R205" s="9" t="str">
        <f>'BIO DATA'!Z204</f>
        <v>Jl. Cempaka Raya Komplek Agraria Gang 03 Perum Wijaya Lestari I - Basirih, Banjarmasin Barat, Kota Banjarmasin 70245</v>
      </c>
      <c r="S205" s="9">
        <f>'BIO DATA'!AA204</f>
        <v>0</v>
      </c>
      <c r="T205" s="9" t="str">
        <f>'BIO DATA'!AB204</f>
        <v>Byna Susanto</v>
      </c>
      <c r="U205" s="9" t="str">
        <f>'BIO DATA'!AC204</f>
        <v>Islam</v>
      </c>
      <c r="V205" s="9" t="str">
        <f>'BIO DATA'!AD204</f>
        <v>S1</v>
      </c>
      <c r="W205" s="9" t="str">
        <f>'BIO DATA'!AE204</f>
        <v>Pegawai Swasta</v>
      </c>
      <c r="X205" s="9" t="str">
        <f>'BIO DATA'!AF204</f>
        <v>5jt-10jt</v>
      </c>
      <c r="Y205" s="144" t="str">
        <f>'BIO DATA'!AG204</f>
        <v>08115114855</v>
      </c>
      <c r="Z205" s="9">
        <f>'BIO DATA'!AH204</f>
        <v>0</v>
      </c>
      <c r="AA205" s="9" t="str">
        <f>'BIO DATA'!AI204</f>
        <v>Arry Widya Purnamasari</v>
      </c>
      <c r="AB205" s="9" t="str">
        <f>'BIO DATA'!AJ204</f>
        <v>Islam</v>
      </c>
      <c r="AC205" s="9" t="str">
        <f>'BIO DATA'!AK204</f>
        <v>S2</v>
      </c>
      <c r="AD205" s="9" t="str">
        <f>'BIO DATA'!AL204</f>
        <v>PNS</v>
      </c>
      <c r="AE205" s="9" t="str">
        <f>'BIO DATA'!AM204</f>
        <v>5jt-10jt</v>
      </c>
      <c r="AF205" s="49" t="str">
        <f>'BIO DATA'!AN204</f>
        <v>081251969990</v>
      </c>
      <c r="AG205" s="9">
        <f>'BIO DATA'!AO204</f>
        <v>0</v>
      </c>
      <c r="AH205" s="9">
        <f>'BIO DATA'!AY204</f>
        <v>0</v>
      </c>
      <c r="AI205" s="9">
        <f>'BIO DATA'!AZ204</f>
        <v>0</v>
      </c>
      <c r="AJ205" s="9">
        <f>'BIO DATA'!BA204</f>
        <v>0</v>
      </c>
      <c r="AK205" s="9">
        <f>'BIO DATA'!BB204</f>
        <v>0</v>
      </c>
      <c r="AL205" s="9">
        <f>'BIO DATA'!BC204</f>
        <v>0</v>
      </c>
      <c r="AM205" s="9">
        <f>'BIO DATA'!BD204</f>
        <v>0</v>
      </c>
      <c r="AN205" s="9">
        <f>'BIO DATA'!BE204</f>
        <v>0</v>
      </c>
      <c r="AO205" s="9">
        <f>'BIO DATA'!BF204</f>
        <v>0</v>
      </c>
      <c r="AP205" s="50" t="str">
        <f>'BIO DATA'!BG204</f>
        <v>Lilik Wijayanto, S.Pd.</v>
      </c>
    </row>
    <row r="206" spans="1:42" s="51" customFormat="1" ht="20.100000000000001" customHeight="1" thickBot="1">
      <c r="A206" s="14" t="s">
        <v>143</v>
      </c>
      <c r="B206">
        <v>215</v>
      </c>
      <c r="C206" s="116">
        <f>'BIO DATA'!C205</f>
        <v>12658</v>
      </c>
      <c r="D206" s="116" t="str">
        <f>'BIO DATA'!D205</f>
        <v>0143597976</v>
      </c>
      <c r="E206" s="115" t="str">
        <f>'BIO DATA'!E205</f>
        <v>Muhammad Yafik Ubaidillah</v>
      </c>
      <c r="F206" s="46" t="str">
        <f>'BIO DATA'!L205</f>
        <v>Laki-laki</v>
      </c>
      <c r="G206" s="9" t="str">
        <f>'BIO DATA'!M205</f>
        <v>Banjarnegara</v>
      </c>
      <c r="H206" s="48">
        <f>'BIO DATA'!O205</f>
        <v>41644</v>
      </c>
      <c r="I206" s="46" t="str">
        <f>'BIO DATA'!R205</f>
        <v>Islam</v>
      </c>
      <c r="J206" s="47">
        <f>'BIO DATA'!I205</f>
        <v>1</v>
      </c>
      <c r="K206" s="47">
        <f>'BIO DATA'!J205</f>
        <v>1</v>
      </c>
      <c r="L206" s="9" t="str">
        <f>'BIO DATA'!S205</f>
        <v>Panggisari Rt 05 Rw 01 kec. Mandiraja Kab. Banjarnegara Jawa Tengah</v>
      </c>
      <c r="M206" s="9" t="str">
        <f>'BIO DATA'!U205</f>
        <v>Panggisari</v>
      </c>
      <c r="N206" s="9" t="str">
        <f>'BIO DATA'!V205</f>
        <v>Mandiraja</v>
      </c>
      <c r="O206" s="9" t="str">
        <f>'BIO DATA'!W205</f>
        <v>Banjarnegara</v>
      </c>
      <c r="P206" s="9" t="str">
        <f>'BIO DATA'!X205</f>
        <v>Jawa Tengah</v>
      </c>
      <c r="Q206" s="9" t="str">
        <f>'BIO DATA'!Y205</f>
        <v>SD IT Mutiara Hati Purworejo Klampok Banjarnegara</v>
      </c>
      <c r="R206" s="9" t="str">
        <f>'BIO DATA'!Z205</f>
        <v>Purwareja Klampok, Kec. Purwareja Klampok, Kab. Banjarnegara, Jawa Tengah.</v>
      </c>
      <c r="S206" s="9">
        <f>'BIO DATA'!AA205</f>
        <v>0</v>
      </c>
      <c r="T206" s="9" t="str">
        <f>'BIO DATA'!AB205</f>
        <v>Setyo Eko Widodo</v>
      </c>
      <c r="U206" s="9" t="str">
        <f>'BIO DATA'!AC205</f>
        <v>Islam</v>
      </c>
      <c r="V206" s="9" t="str">
        <f>'BIO DATA'!AD205</f>
        <v>S1</v>
      </c>
      <c r="W206" s="9" t="str">
        <f>'BIO DATA'!AE205</f>
        <v>Guru/Dosen</v>
      </c>
      <c r="X206" s="9" t="str">
        <f>'BIO DATA'!AF205</f>
        <v>5jt-10jt</v>
      </c>
      <c r="Y206" s="144" t="str">
        <f>'BIO DATA'!AG205</f>
        <v>082315556189</v>
      </c>
      <c r="Z206" s="9">
        <f>'BIO DATA'!AH205</f>
        <v>0</v>
      </c>
      <c r="AA206" s="9" t="str">
        <f>'BIO DATA'!AI205</f>
        <v>Alin Sri Endar Puspitawati Suprihatingsing</v>
      </c>
      <c r="AB206" s="9" t="str">
        <f>'BIO DATA'!AJ205</f>
        <v>Islam</v>
      </c>
      <c r="AC206" s="9" t="str">
        <f>'BIO DATA'!AK205</f>
        <v>S1</v>
      </c>
      <c r="AD206" s="9" t="str">
        <f>'BIO DATA'!AL205</f>
        <v>Pegawai Swasta</v>
      </c>
      <c r="AE206" s="9" t="str">
        <f>'BIO DATA'!AM205</f>
        <v>1jt-3jt</v>
      </c>
      <c r="AF206" s="49" t="str">
        <f>'BIO DATA'!AN205</f>
        <v>081326465064</v>
      </c>
      <c r="AG206" s="9">
        <f>'BIO DATA'!AO205</f>
        <v>0</v>
      </c>
      <c r="AH206" s="9">
        <f>'BIO DATA'!AY205</f>
        <v>0</v>
      </c>
      <c r="AI206" s="9">
        <f>'BIO DATA'!AZ205</f>
        <v>0</v>
      </c>
      <c r="AJ206" s="9">
        <f>'BIO DATA'!BA205</f>
        <v>0</v>
      </c>
      <c r="AK206" s="9">
        <f>'BIO DATA'!BB205</f>
        <v>0</v>
      </c>
      <c r="AL206" s="9">
        <f>'BIO DATA'!BC205</f>
        <v>0</v>
      </c>
      <c r="AM206" s="9">
        <f>'BIO DATA'!BD205</f>
        <v>0</v>
      </c>
      <c r="AN206" s="9">
        <f>'BIO DATA'!BE205</f>
        <v>0</v>
      </c>
      <c r="AO206" s="9">
        <f>'BIO DATA'!BF205</f>
        <v>0</v>
      </c>
      <c r="AP206" s="50" t="str">
        <f>'BIO DATA'!BG205</f>
        <v>Lilik Wijayanto, S.Pd.</v>
      </c>
    </row>
    <row r="207" spans="1:42" s="51" customFormat="1" ht="20.100000000000001" customHeight="1" thickBot="1">
      <c r="A207" s="14" t="s">
        <v>143</v>
      </c>
      <c r="B207">
        <v>217</v>
      </c>
      <c r="C207" s="116">
        <f>'BIO DATA'!C206</f>
        <v>12676</v>
      </c>
      <c r="D207" s="116">
        <f>'BIO DATA'!D206</f>
        <v>3147802581</v>
      </c>
      <c r="E207" s="115" t="str">
        <f>'BIO DATA'!E206</f>
        <v>Primadona Apriliano Putra Budianto</v>
      </c>
      <c r="F207" s="46" t="str">
        <f>'BIO DATA'!L206</f>
        <v>Laki-laki</v>
      </c>
      <c r="G207" s="9" t="str">
        <f>'BIO DATA'!M206</f>
        <v>Kab. Bantul</v>
      </c>
      <c r="H207" s="48">
        <f>'BIO DATA'!O206</f>
        <v>41753</v>
      </c>
      <c r="I207" s="46" t="str">
        <f>'BIO DATA'!R206</f>
        <v>Islam</v>
      </c>
      <c r="J207" s="47">
        <f>'BIO DATA'!I206</f>
        <v>1</v>
      </c>
      <c r="K207" s="47">
        <f>'BIO DATA'!J206</f>
        <v>0</v>
      </c>
      <c r="L207" s="9" t="str">
        <f>'BIO DATA'!S206</f>
        <v>Puri wirokerten asri b14 glondong wirokerten Banguntapan Bantul</v>
      </c>
      <c r="M207" s="9" t="str">
        <f>'BIO DATA'!U206</f>
        <v>Wirokerten</v>
      </c>
      <c r="N207" s="9" t="str">
        <f>'BIO DATA'!V206</f>
        <v>Banguntapan</v>
      </c>
      <c r="O207" s="9" t="str">
        <f>'BIO DATA'!W206</f>
        <v>Bantul</v>
      </c>
      <c r="P207" s="9" t="str">
        <f>'BIO DATA'!X206</f>
        <v>DIY</v>
      </c>
      <c r="Q207" s="9" t="str">
        <f>'BIO DATA'!Y206</f>
        <v>PKBM STQ Telaga Ilmu</v>
      </c>
      <c r="R207" s="9" t="str">
        <f>'BIO DATA'!Z206</f>
        <v>Gg. Ganyong No.3, RT.002/RW.kertopaten, Kepuh Kulon, Wirokerten, Kec. Banguntapan, Kabupaten Bantul, Daerah Istimewa Yogyakarta 55194</v>
      </c>
      <c r="S207" s="9">
        <f>'BIO DATA'!AA206</f>
        <v>0</v>
      </c>
      <c r="T207" s="9" t="str">
        <f>'BIO DATA'!AB206</f>
        <v>Eko Budianto</v>
      </c>
      <c r="U207" s="9" t="str">
        <f>'BIO DATA'!AC206</f>
        <v>Islam</v>
      </c>
      <c r="V207" s="9" t="str">
        <f>'BIO DATA'!AD206</f>
        <v>S1</v>
      </c>
      <c r="W207" s="9" t="str">
        <f>'BIO DATA'!AE206</f>
        <v>Pegawai Swasta</v>
      </c>
      <c r="X207" s="9" t="str">
        <f>'BIO DATA'!AF206</f>
        <v>3jt-5jt</v>
      </c>
      <c r="Y207" s="144" t="str">
        <f>'BIO DATA'!AG206</f>
        <v>087838511752</v>
      </c>
      <c r="Z207" s="9">
        <f>'BIO DATA'!AH206</f>
        <v>0</v>
      </c>
      <c r="AA207" s="9" t="str">
        <f>'BIO DATA'!AI206</f>
        <v>Umi Habibah</v>
      </c>
      <c r="AB207" s="9" t="str">
        <f>'BIO DATA'!AJ206</f>
        <v>Islam</v>
      </c>
      <c r="AC207" s="9" t="str">
        <f>'BIO DATA'!AK206</f>
        <v>S1</v>
      </c>
      <c r="AD207" s="9" t="str">
        <f>'BIO DATA'!AL206</f>
        <v>Pegawai Swasta</v>
      </c>
      <c r="AE207" s="9" t="str">
        <f>'BIO DATA'!AM206</f>
        <v>3jt-5jt</v>
      </c>
      <c r="AF207" s="49" t="str">
        <f>'BIO DATA'!AN206</f>
        <v>081227035559</v>
      </c>
      <c r="AG207" s="9">
        <f>'BIO DATA'!AO206</f>
        <v>0</v>
      </c>
      <c r="AH207" s="9">
        <f>'BIO DATA'!AY206</f>
        <v>0</v>
      </c>
      <c r="AI207" s="9">
        <f>'BIO DATA'!AZ206</f>
        <v>0</v>
      </c>
      <c r="AJ207" s="9">
        <f>'BIO DATA'!BA206</f>
        <v>0</v>
      </c>
      <c r="AK207" s="9">
        <f>'BIO DATA'!BB206</f>
        <v>0</v>
      </c>
      <c r="AL207" s="9">
        <f>'BIO DATA'!BC206</f>
        <v>0</v>
      </c>
      <c r="AM207" s="9">
        <f>'BIO DATA'!BD206</f>
        <v>0</v>
      </c>
      <c r="AN207" s="9">
        <f>'BIO DATA'!BE206</f>
        <v>0</v>
      </c>
      <c r="AO207" s="9">
        <f>'BIO DATA'!BF206</f>
        <v>0</v>
      </c>
      <c r="AP207" s="50" t="str">
        <f>'BIO DATA'!BG206</f>
        <v>Lilik Wijayanto, S.Pd.</v>
      </c>
    </row>
    <row r="208" spans="1:42" s="51" customFormat="1" ht="20.100000000000001" customHeight="1" thickBot="1">
      <c r="A208" s="14" t="s">
        <v>143</v>
      </c>
      <c r="B208">
        <v>234</v>
      </c>
      <c r="C208" s="116">
        <f>'BIO DATA'!C207</f>
        <v>12680</v>
      </c>
      <c r="D208" s="116" t="str">
        <f>'BIO DATA'!D207</f>
        <v>0131352101</v>
      </c>
      <c r="E208" s="115" t="str">
        <f>'BIO DATA'!E207</f>
        <v>Raditya Candra Arsakha</v>
      </c>
      <c r="F208" s="46" t="str">
        <f>'BIO DATA'!L207</f>
        <v>Laki-laki</v>
      </c>
      <c r="G208" s="9" t="str">
        <f>'BIO DATA'!M207</f>
        <v>Wonosobo</v>
      </c>
      <c r="H208" s="48">
        <f>'BIO DATA'!O207</f>
        <v>41442</v>
      </c>
      <c r="I208" s="46" t="str">
        <f>'BIO DATA'!R207</f>
        <v>Islam</v>
      </c>
      <c r="J208" s="47">
        <f>'BIO DATA'!I207</f>
        <v>2</v>
      </c>
      <c r="K208" s="47">
        <f>'BIO DATA'!J207</f>
        <v>1</v>
      </c>
      <c r="L208" s="9" t="str">
        <f>'BIO DATA'!S207</f>
        <v>Sribit Rt 3 Rw 3 Desa Wonolelo Kec Wonosobo Kab Wonosobo Jawa Tengah</v>
      </c>
      <c r="M208" s="9" t="str">
        <f>'BIO DATA'!U207</f>
        <v>Wonolelo</v>
      </c>
      <c r="N208" s="9" t="str">
        <f>'BIO DATA'!V207</f>
        <v>Wonosobo</v>
      </c>
      <c r="O208" s="9" t="str">
        <f>'BIO DATA'!W207</f>
        <v>Wonosobo</v>
      </c>
      <c r="P208" s="9" t="str">
        <f>'BIO DATA'!X207</f>
        <v>Jawa Tengah</v>
      </c>
      <c r="Q208" s="9" t="str">
        <f>'BIO DATA'!Y207</f>
        <v>SD Muhammadiyah Sudagaran Wonosobo</v>
      </c>
      <c r="R208" s="9" t="str">
        <f>'BIO DATA'!Z207</f>
        <v>Sudagaran wonosobo jawa tengah</v>
      </c>
      <c r="S208" s="9">
        <f>'BIO DATA'!AA207</f>
        <v>0</v>
      </c>
      <c r="T208" s="9" t="str">
        <f>'BIO DATA'!AB207</f>
        <v>Sukur</v>
      </c>
      <c r="U208" s="9" t="str">
        <f>'BIO DATA'!AC207</f>
        <v>Islam</v>
      </c>
      <c r="V208" s="9" t="str">
        <f>'BIO DATA'!AD207</f>
        <v>S1</v>
      </c>
      <c r="W208" s="9" t="str">
        <f>'BIO DATA'!AE207</f>
        <v>Wiraswasta</v>
      </c>
      <c r="X208" s="9" t="str">
        <f>'BIO DATA'!AF207</f>
        <v>5jt-10jt</v>
      </c>
      <c r="Y208" s="144" t="str">
        <f>'BIO DATA'!AG207</f>
        <v>081327220418</v>
      </c>
      <c r="Z208" s="9">
        <f>'BIO DATA'!AH207</f>
        <v>0</v>
      </c>
      <c r="AA208" s="9" t="str">
        <f>'BIO DATA'!AI207</f>
        <v>Ismiyati</v>
      </c>
      <c r="AB208" s="9" t="str">
        <f>'BIO DATA'!AJ207</f>
        <v>Islam</v>
      </c>
      <c r="AC208" s="9" t="str">
        <f>'BIO DATA'!AK207</f>
        <v>SMA/SMK/MA</v>
      </c>
      <c r="AD208" s="9" t="str">
        <f>'BIO DATA'!AL207</f>
        <v>Tidak Bekerja</v>
      </c>
      <c r="AE208" s="9" t="str">
        <f>'BIO DATA'!AM207</f>
        <v>&lt; 500rb</v>
      </c>
      <c r="AF208" s="49" t="str">
        <f>'BIO DATA'!AN207</f>
        <v>085292168456</v>
      </c>
      <c r="AG208" s="9">
        <f>'BIO DATA'!AO207</f>
        <v>0</v>
      </c>
      <c r="AH208" s="9">
        <f>'BIO DATA'!AY207</f>
        <v>0</v>
      </c>
      <c r="AI208" s="9">
        <f>'BIO DATA'!AZ207</f>
        <v>0</v>
      </c>
      <c r="AJ208" s="9">
        <f>'BIO DATA'!BA207</f>
        <v>0</v>
      </c>
      <c r="AK208" s="9">
        <f>'BIO DATA'!BB207</f>
        <v>0</v>
      </c>
      <c r="AL208" s="9">
        <f>'BIO DATA'!BC207</f>
        <v>0</v>
      </c>
      <c r="AM208" s="9">
        <f>'BIO DATA'!BD207</f>
        <v>0</v>
      </c>
      <c r="AN208" s="9">
        <f>'BIO DATA'!BE207</f>
        <v>0</v>
      </c>
      <c r="AO208" s="9">
        <f>'BIO DATA'!BF207</f>
        <v>0</v>
      </c>
      <c r="AP208" s="50" t="str">
        <f>'BIO DATA'!BG207</f>
        <v>Lilik Wijayanto, S.Pd.</v>
      </c>
    </row>
    <row r="209" spans="1:42" s="51" customFormat="1" ht="20.100000000000001" customHeight="1" thickBot="1">
      <c r="A209" s="14" t="s">
        <v>143</v>
      </c>
      <c r="B209">
        <v>238</v>
      </c>
      <c r="C209" s="116">
        <f>'BIO DATA'!C208</f>
        <v>12692</v>
      </c>
      <c r="D209" s="116" t="str">
        <f>'BIO DATA'!D208</f>
        <v>0138990611</v>
      </c>
      <c r="E209" s="115" t="str">
        <f>'BIO DATA'!E208</f>
        <v>Ravindra Putra Pramudya</v>
      </c>
      <c r="F209" s="46" t="str">
        <f>'BIO DATA'!L208</f>
        <v>Laki-laki</v>
      </c>
      <c r="G209" s="9" t="str">
        <f>'BIO DATA'!M208</f>
        <v>Wonosobo</v>
      </c>
      <c r="H209" s="48">
        <f>'BIO DATA'!O208</f>
        <v>41586</v>
      </c>
      <c r="I209" s="46" t="str">
        <f>'BIO DATA'!R208</f>
        <v>Islam</v>
      </c>
      <c r="J209" s="47">
        <f>'BIO DATA'!I208</f>
        <v>2</v>
      </c>
      <c r="K209" s="47">
        <f>'BIO DATA'!J208</f>
        <v>2</v>
      </c>
      <c r="L209" s="9" t="str">
        <f>'BIO DATA'!S208</f>
        <v>Krasak mojotengah Wonosobo Jawa Tengah</v>
      </c>
      <c r="M209" s="9" t="str">
        <f>'BIO DATA'!U208</f>
        <v>Krasak</v>
      </c>
      <c r="N209" s="9" t="str">
        <f>'BIO DATA'!V208</f>
        <v>Mojotengah</v>
      </c>
      <c r="O209" s="9" t="str">
        <f>'BIO DATA'!W208</f>
        <v>Wonosobo</v>
      </c>
      <c r="P209" s="9" t="str">
        <f>'BIO DATA'!X208</f>
        <v>Jawa Tengah</v>
      </c>
      <c r="Q209" s="9" t="str">
        <f>'BIO DATA'!Y208</f>
        <v>SD Muhammadiyah Sudagaran Wonosobo</v>
      </c>
      <c r="R209" s="9" t="str">
        <f>'BIO DATA'!Z208</f>
        <v>Sudagaran Wonosobo</v>
      </c>
      <c r="S209" s="9">
        <f>'BIO DATA'!AA208</f>
        <v>0</v>
      </c>
      <c r="T209" s="9" t="str">
        <f>'BIO DATA'!AB208</f>
        <v>Febriyanto</v>
      </c>
      <c r="U209" s="9" t="str">
        <f>'BIO DATA'!AC208</f>
        <v>Islam</v>
      </c>
      <c r="V209" s="9" t="str">
        <f>'BIO DATA'!AD208</f>
        <v>SMA/SMK/MA</v>
      </c>
      <c r="W209" s="9" t="str">
        <f>'BIO DATA'!AE208</f>
        <v>Pegawai Swasta</v>
      </c>
      <c r="X209" s="9" t="str">
        <f>'BIO DATA'!AF208</f>
        <v>3jt-5jt</v>
      </c>
      <c r="Y209" s="144" t="str">
        <f>'BIO DATA'!AG208</f>
        <v>082323897270</v>
      </c>
      <c r="Z209" s="9">
        <f>'BIO DATA'!AH208</f>
        <v>0</v>
      </c>
      <c r="AA209" s="9" t="str">
        <f>'BIO DATA'!AI208</f>
        <v>Dina Oktiana</v>
      </c>
      <c r="AB209" s="9" t="str">
        <f>'BIO DATA'!AJ208</f>
        <v>Islam</v>
      </c>
      <c r="AC209" s="9" t="str">
        <f>'BIO DATA'!AK208</f>
        <v>SMA/SMK/MA</v>
      </c>
      <c r="AD209" s="9" t="str">
        <f>'BIO DATA'!AL208</f>
        <v>Wiraswasta</v>
      </c>
      <c r="AE209" s="9" t="str">
        <f>'BIO DATA'!AM208</f>
        <v>3jt-5jt</v>
      </c>
      <c r="AF209" s="49" t="str">
        <f>'BIO DATA'!AN208</f>
        <v>085225195315</v>
      </c>
      <c r="AG209" s="9">
        <f>'BIO DATA'!AO208</f>
        <v>0</v>
      </c>
      <c r="AH209" s="9">
        <f>'BIO DATA'!AY208</f>
        <v>0</v>
      </c>
      <c r="AI209" s="9">
        <f>'BIO DATA'!AZ208</f>
        <v>0</v>
      </c>
      <c r="AJ209" s="9">
        <f>'BIO DATA'!BA208</f>
        <v>0</v>
      </c>
      <c r="AK209" s="9">
        <f>'BIO DATA'!BB208</f>
        <v>0</v>
      </c>
      <c r="AL209" s="9">
        <f>'BIO DATA'!BC208</f>
        <v>0</v>
      </c>
      <c r="AM209" s="9">
        <f>'BIO DATA'!BD208</f>
        <v>0</v>
      </c>
      <c r="AN209" s="9">
        <f>'BIO DATA'!BE208</f>
        <v>0</v>
      </c>
      <c r="AO209" s="9">
        <f>'BIO DATA'!BF208</f>
        <v>0</v>
      </c>
      <c r="AP209" s="50" t="str">
        <f>'BIO DATA'!BG208</f>
        <v>Lilik Wijayanto, S.Pd.</v>
      </c>
    </row>
    <row r="210" spans="1:42" s="51" customFormat="1" ht="20.100000000000001" customHeight="1" thickBot="1">
      <c r="A210" s="14" t="s">
        <v>143</v>
      </c>
      <c r="B210">
        <v>242</v>
      </c>
      <c r="C210" s="116">
        <f>'BIO DATA'!C209</f>
        <v>12697</v>
      </c>
      <c r="D210" s="116" t="str">
        <f>'BIO DATA'!D209</f>
        <v>0149834368</v>
      </c>
      <c r="E210" s="115" t="str">
        <f>'BIO DATA'!E209</f>
        <v>Riffat Ahsan Al Ghifari</v>
      </c>
      <c r="F210" s="46" t="str">
        <f>'BIO DATA'!L209</f>
        <v>Laki-laki</v>
      </c>
      <c r="G210" s="9" t="str">
        <f>'BIO DATA'!M209</f>
        <v>Kendal</v>
      </c>
      <c r="H210" s="48">
        <f>'BIO DATA'!O209</f>
        <v>41731</v>
      </c>
      <c r="I210" s="46" t="str">
        <f>'BIO DATA'!R209</f>
        <v>Islam</v>
      </c>
      <c r="J210" s="47">
        <f>'BIO DATA'!I209</f>
        <v>2</v>
      </c>
      <c r="K210" s="47">
        <f>'BIO DATA'!J209</f>
        <v>2</v>
      </c>
      <c r="L210" s="9" t="str">
        <f>'BIO DATA'!S209</f>
        <v>Sekopek Wetan Rt 08/Rw 01 Ds. Sarirejo Kec. Kaliwungu Kab. Kendal</v>
      </c>
      <c r="M210" s="9" t="str">
        <f>'BIO DATA'!U209</f>
        <v>Sarirejo</v>
      </c>
      <c r="N210" s="9" t="str">
        <f>'BIO DATA'!V209</f>
        <v>Kaliwungu</v>
      </c>
      <c r="O210" s="9" t="str">
        <f>'BIO DATA'!W209</f>
        <v>Kendal</v>
      </c>
      <c r="P210" s="9" t="str">
        <f>'BIO DATA'!X209</f>
        <v>Jawa Tengah</v>
      </c>
      <c r="Q210" s="9" t="str">
        <f>'BIO DATA'!Y209</f>
        <v>SDIT AL Kautsar Tosari Brangsong Kendal</v>
      </c>
      <c r="R210" s="9" t="str">
        <f>'BIO DATA'!Z209</f>
        <v>Tosari RT.03 RW. 02, Kecamatan Brangsong Kab. Kendal</v>
      </c>
      <c r="S210" s="9">
        <f>'BIO DATA'!AA209</f>
        <v>0</v>
      </c>
      <c r="T210" s="9" t="str">
        <f>'BIO DATA'!AB209</f>
        <v>Mohammad Taufani Sofa Raharja</v>
      </c>
      <c r="U210" s="9" t="str">
        <f>'BIO DATA'!AC209</f>
        <v>Islam</v>
      </c>
      <c r="V210" s="9" t="str">
        <f>'BIO DATA'!AD209</f>
        <v>S1</v>
      </c>
      <c r="W210" s="9" t="str">
        <f>'BIO DATA'!AE209</f>
        <v>Wiraswasta</v>
      </c>
      <c r="X210" s="9" t="str">
        <f>'BIO DATA'!AF209</f>
        <v>5jt-10jt</v>
      </c>
      <c r="Y210" s="144" t="str">
        <f>'BIO DATA'!AG209</f>
        <v>081225414827</v>
      </c>
      <c r="Z210" s="9">
        <f>'BIO DATA'!AH209</f>
        <v>0</v>
      </c>
      <c r="AA210" s="9" t="str">
        <f>'BIO DATA'!AI209</f>
        <v>Ima Nurfajriyah</v>
      </c>
      <c r="AB210" s="9" t="str">
        <f>'BIO DATA'!AJ209</f>
        <v>Islam</v>
      </c>
      <c r="AC210" s="9" t="str">
        <f>'BIO DATA'!AK209</f>
        <v>S1</v>
      </c>
      <c r="AD210" s="9" t="str">
        <f>'BIO DATA'!AL209</f>
        <v>Wiraswasta</v>
      </c>
      <c r="AE210" s="9" t="str">
        <f>'BIO DATA'!AM209</f>
        <v>3jt-5jt</v>
      </c>
      <c r="AF210" s="49" t="str">
        <f>'BIO DATA'!AN209</f>
        <v>081328917845</v>
      </c>
      <c r="AG210" s="9">
        <f>'BIO DATA'!AO209</f>
        <v>0</v>
      </c>
      <c r="AH210" s="9">
        <f>'BIO DATA'!AY209</f>
        <v>0</v>
      </c>
      <c r="AI210" s="9">
        <f>'BIO DATA'!AZ209</f>
        <v>0</v>
      </c>
      <c r="AJ210" s="9">
        <f>'BIO DATA'!BA209</f>
        <v>0</v>
      </c>
      <c r="AK210" s="9">
        <f>'BIO DATA'!BB209</f>
        <v>0</v>
      </c>
      <c r="AL210" s="9">
        <f>'BIO DATA'!BC209</f>
        <v>0</v>
      </c>
      <c r="AM210" s="9">
        <f>'BIO DATA'!BD209</f>
        <v>0</v>
      </c>
      <c r="AN210" s="9">
        <f>'BIO DATA'!BE209</f>
        <v>0</v>
      </c>
      <c r="AO210" s="9">
        <f>'BIO DATA'!BF209</f>
        <v>0</v>
      </c>
      <c r="AP210" s="50" t="str">
        <f>'BIO DATA'!BG209</f>
        <v>Lilik Wijayanto, S.Pd.</v>
      </c>
    </row>
    <row r="211" spans="1:42" s="51" customFormat="1" ht="20.100000000000001" customHeight="1" thickBot="1">
      <c r="A211" s="14" t="s">
        <v>143</v>
      </c>
      <c r="B211">
        <v>246</v>
      </c>
      <c r="C211" s="116">
        <f>'BIO DATA'!C210</f>
        <v>12704</v>
      </c>
      <c r="D211" s="116" t="str">
        <f>'BIO DATA'!D210</f>
        <v>0138648562</v>
      </c>
      <c r="E211" s="115" t="str">
        <f>'BIO DATA'!E210</f>
        <v>Sultan Fizhansyah Fauzi</v>
      </c>
      <c r="F211" s="46" t="str">
        <f>'BIO DATA'!L210</f>
        <v>Laki-laki</v>
      </c>
      <c r="G211" s="9" t="str">
        <f>'BIO DATA'!M210</f>
        <v>Timika</v>
      </c>
      <c r="H211" s="48">
        <f>'BIO DATA'!O210</f>
        <v>41514</v>
      </c>
      <c r="I211" s="46" t="str">
        <f>'BIO DATA'!R210</f>
        <v>Islam</v>
      </c>
      <c r="J211" s="47">
        <f>'BIO DATA'!I210</f>
        <v>2</v>
      </c>
      <c r="K211" s="47">
        <f>'BIO DATA'!J210</f>
        <v>1</v>
      </c>
      <c r="L211" s="9" t="str">
        <f>'BIO DATA'!S210</f>
        <v>Dususn gayam RT.38 Argosari, Sedayu, Bantul, DIY</v>
      </c>
      <c r="M211" s="9" t="str">
        <f>'BIO DATA'!U210</f>
        <v>Argosari</v>
      </c>
      <c r="N211" s="9" t="str">
        <f>'BIO DATA'!V210</f>
        <v>Sedayu</v>
      </c>
      <c r="O211" s="9" t="str">
        <f>'BIO DATA'!W210</f>
        <v>Bantul</v>
      </c>
      <c r="P211" s="9" t="str">
        <f>'BIO DATA'!X210</f>
        <v>DIY</v>
      </c>
      <c r="Q211" s="9" t="str">
        <f>'BIO DATA'!Y210</f>
        <v>SDIT Anak Sholeh Sedayu</v>
      </c>
      <c r="R211" s="9" t="str">
        <f>'BIO DATA'!Z210</f>
        <v>Gunung Bulu, Bandut Lor, Argorejo, Sedayu, Bantul, D.I. Yogyakarta</v>
      </c>
      <c r="S211" s="9">
        <f>'BIO DATA'!AA210</f>
        <v>0</v>
      </c>
      <c r="T211" s="9" t="str">
        <f>'BIO DATA'!AB210</f>
        <v>Fauzi Firmansyah</v>
      </c>
      <c r="U211" s="9" t="str">
        <f>'BIO DATA'!AC210</f>
        <v>Islam</v>
      </c>
      <c r="V211" s="9" t="str">
        <f>'BIO DATA'!AD210</f>
        <v>S1</v>
      </c>
      <c r="W211" s="9" t="str">
        <f>'BIO DATA'!AE210</f>
        <v>PNS</v>
      </c>
      <c r="X211" s="9" t="str">
        <f>'BIO DATA'!AF210</f>
        <v>3jt-5jt</v>
      </c>
      <c r="Y211" s="144" t="str">
        <f>'BIO DATA'!AG210</f>
        <v>082226688626</v>
      </c>
      <c r="Z211" s="9">
        <f>'BIO DATA'!AH210</f>
        <v>0</v>
      </c>
      <c r="AA211" s="9" t="str">
        <f>'BIO DATA'!AI210</f>
        <v>Anna Widiasari</v>
      </c>
      <c r="AB211" s="9" t="str">
        <f>'BIO DATA'!AJ210</f>
        <v>Islam</v>
      </c>
      <c r="AC211" s="9" t="str">
        <f>'BIO DATA'!AK210</f>
        <v>S1</v>
      </c>
      <c r="AD211" s="9" t="str">
        <f>'BIO DATA'!AL210</f>
        <v>PNS</v>
      </c>
      <c r="AE211" s="9" t="str">
        <f>'BIO DATA'!AM210</f>
        <v>3jt-5jt</v>
      </c>
      <c r="AF211" s="49" t="str">
        <f>'BIO DATA'!AN210</f>
        <v>081288803507</v>
      </c>
      <c r="AG211" s="9">
        <f>'BIO DATA'!AO210</f>
        <v>0</v>
      </c>
      <c r="AH211" s="9">
        <f>'BIO DATA'!AY210</f>
        <v>0</v>
      </c>
      <c r="AI211" s="9">
        <f>'BIO DATA'!AZ210</f>
        <v>0</v>
      </c>
      <c r="AJ211" s="9">
        <f>'BIO DATA'!BA210</f>
        <v>0</v>
      </c>
      <c r="AK211" s="9">
        <f>'BIO DATA'!BB210</f>
        <v>0</v>
      </c>
      <c r="AL211" s="9">
        <f>'BIO DATA'!BC210</f>
        <v>0</v>
      </c>
      <c r="AM211" s="9">
        <f>'BIO DATA'!BD210</f>
        <v>0</v>
      </c>
      <c r="AN211" s="9">
        <f>'BIO DATA'!BE210</f>
        <v>0</v>
      </c>
      <c r="AO211" s="9">
        <f>'BIO DATA'!BF210</f>
        <v>0</v>
      </c>
      <c r="AP211" s="50" t="str">
        <f>'BIO DATA'!BG210</f>
        <v>Lilik Wijayanto, S.Pd.</v>
      </c>
    </row>
    <row r="212" spans="1:42" s="51" customFormat="1" ht="20.100000000000001" customHeight="1" thickBot="1">
      <c r="A212" s="14" t="s">
        <v>143</v>
      </c>
      <c r="B212">
        <v>251</v>
      </c>
      <c r="C212" s="116">
        <f>'BIO DATA'!C211</f>
        <v>12705</v>
      </c>
      <c r="D212" s="116" t="str">
        <f>'BIO DATA'!D211</f>
        <v>0148834993</v>
      </c>
      <c r="E212" s="115" t="str">
        <f>'BIO DATA'!E211</f>
        <v>Sulthan Alfaraby Abduh</v>
      </c>
      <c r="F212" s="46" t="str">
        <f>'BIO DATA'!L211</f>
        <v>Laki-laki</v>
      </c>
      <c r="G212" s="9" t="str">
        <f>'BIO DATA'!M211</f>
        <v>Tangerang</v>
      </c>
      <c r="H212" s="48">
        <f>'BIO DATA'!O211</f>
        <v>41650</v>
      </c>
      <c r="I212" s="46" t="str">
        <f>'BIO DATA'!R211</f>
        <v>Islam</v>
      </c>
      <c r="J212" s="47">
        <f>'BIO DATA'!I211</f>
        <v>1</v>
      </c>
      <c r="K212" s="47">
        <f>'BIO DATA'!J211</f>
        <v>1</v>
      </c>
      <c r="L212" s="9" t="str">
        <f>'BIO DATA'!S211</f>
        <v>Perum Sebening Embun RT 003 RW 0002 Tegalurung Bulu Temanggung Jawa Tengah</v>
      </c>
      <c r="M212" s="9" t="str">
        <f>'BIO DATA'!U211</f>
        <v>Tegalurung</v>
      </c>
      <c r="N212" s="9" t="str">
        <f>'BIO DATA'!V211</f>
        <v>Bulu</v>
      </c>
      <c r="O212" s="9" t="str">
        <f>'BIO DATA'!W211</f>
        <v>Temanggung</v>
      </c>
      <c r="P212" s="9" t="str">
        <f>'BIO DATA'!X211</f>
        <v>Jawa Tengah</v>
      </c>
      <c r="Q212" s="9" t="str">
        <f>'BIO DATA'!Y211</f>
        <v>SD Muhammadiyah Parakan Temanggung</v>
      </c>
      <c r="R212" s="9" t="str">
        <f>'BIO DATA'!Z211</f>
        <v>jl raya kedu- parakan km 2, kalisat , sawah . gandurejo , kec bulu ,kab temanggung, jawa tengah</v>
      </c>
      <c r="S212" s="9">
        <f>'BIO DATA'!AA211</f>
        <v>0</v>
      </c>
      <c r="T212" s="9" t="str">
        <f>'BIO DATA'!AB211</f>
        <v>Berianto laoli</v>
      </c>
      <c r="U212" s="9" t="str">
        <f>'BIO DATA'!AC211</f>
        <v>Islam</v>
      </c>
      <c r="V212" s="9" t="str">
        <f>'BIO DATA'!AD211</f>
        <v>SMA/SMK/MA</v>
      </c>
      <c r="W212" s="9" t="str">
        <f>'BIO DATA'!AE211</f>
        <v>Wiraswasta</v>
      </c>
      <c r="X212" s="9" t="str">
        <f>'BIO DATA'!AF211</f>
        <v>5jt-10jt</v>
      </c>
      <c r="Y212" s="144" t="str">
        <f>'BIO DATA'!AG211</f>
        <v>085210492270</v>
      </c>
      <c r="Z212" s="9">
        <f>'BIO DATA'!AH211</f>
        <v>0</v>
      </c>
      <c r="AA212" s="9" t="str">
        <f>'BIO DATA'!AI211</f>
        <v>dr. Mecca Lestina Arsy, MARS</v>
      </c>
      <c r="AB212" s="9" t="str">
        <f>'BIO DATA'!AJ211</f>
        <v>Islam</v>
      </c>
      <c r="AC212" s="9" t="str">
        <f>'BIO DATA'!AK211</f>
        <v>S2</v>
      </c>
      <c r="AD212" s="9" t="str">
        <f>'BIO DATA'!AL211</f>
        <v>Dokter/Bidan/Perawat</v>
      </c>
      <c r="AE212" s="9" t="str">
        <f>'BIO DATA'!AM211</f>
        <v>5jt-10jt</v>
      </c>
      <c r="AF212" s="49" t="str">
        <f>'BIO DATA'!AN211</f>
        <v>085278883550</v>
      </c>
      <c r="AG212" s="9">
        <f>'BIO DATA'!AO211</f>
        <v>0</v>
      </c>
      <c r="AH212" s="9">
        <f>'BIO DATA'!AY211</f>
        <v>0</v>
      </c>
      <c r="AI212" s="9">
        <f>'BIO DATA'!AZ211</f>
        <v>0</v>
      </c>
      <c r="AJ212" s="9">
        <f>'BIO DATA'!BA211</f>
        <v>0</v>
      </c>
      <c r="AK212" s="9">
        <f>'BIO DATA'!BB211</f>
        <v>0</v>
      </c>
      <c r="AL212" s="9">
        <f>'BIO DATA'!BC211</f>
        <v>0</v>
      </c>
      <c r="AM212" s="9">
        <f>'BIO DATA'!BD211</f>
        <v>0</v>
      </c>
      <c r="AN212" s="9">
        <f>'BIO DATA'!BE211</f>
        <v>0</v>
      </c>
      <c r="AO212" s="9">
        <f>'BIO DATA'!BF211</f>
        <v>0</v>
      </c>
      <c r="AP212" s="50" t="str">
        <f>'BIO DATA'!BG211</f>
        <v>Lilik Wijayanto, S.Pd.</v>
      </c>
    </row>
    <row r="213" spans="1:42" s="51" customFormat="1" ht="20.100000000000001" customHeight="1" thickBot="1">
      <c r="A213" s="14" t="s">
        <v>143</v>
      </c>
      <c r="B213">
        <v>254</v>
      </c>
      <c r="C213" s="116">
        <f>'BIO DATA'!C212</f>
        <v>12709</v>
      </c>
      <c r="D213" s="116" t="str">
        <f>'BIO DATA'!D212</f>
        <v>0141331002</v>
      </c>
      <c r="E213" s="115" t="str">
        <f>'BIO DATA'!E212</f>
        <v>Taj Azri Akmal</v>
      </c>
      <c r="F213" s="46" t="str">
        <f>'BIO DATA'!L212</f>
        <v>Laki-laki</v>
      </c>
      <c r="G213" s="9" t="str">
        <f>'BIO DATA'!M212</f>
        <v>Aceh Teanggara</v>
      </c>
      <c r="H213" s="48">
        <f>'BIO DATA'!O212</f>
        <v>41695</v>
      </c>
      <c r="I213" s="46" t="str">
        <f>'BIO DATA'!R212</f>
        <v>Islam</v>
      </c>
      <c r="J213" s="47">
        <f>'BIO DATA'!I212</f>
        <v>2</v>
      </c>
      <c r="K213" s="47">
        <f>'BIO DATA'!J212</f>
        <v>3</v>
      </c>
      <c r="L213" s="9" t="str">
        <f>'BIO DATA'!S212</f>
        <v>lingk 1 strak pisang jl.a.yani no 14 Kota kutacane Babussalam Aceh Tenggara Aceh</v>
      </c>
      <c r="M213" s="9" t="str">
        <f>'BIO DATA'!U212</f>
        <v>Kota Kutacane</v>
      </c>
      <c r="N213" s="9" t="str">
        <f>'BIO DATA'!V212</f>
        <v>Babussalam</v>
      </c>
      <c r="O213" s="9" t="str">
        <f>'BIO DATA'!W212</f>
        <v>Aceh Tenggara</v>
      </c>
      <c r="P213" s="9" t="str">
        <f>'BIO DATA'!X212</f>
        <v>Aceh</v>
      </c>
      <c r="Q213" s="9" t="str">
        <f>'BIO DATA'!Y212</f>
        <v>SDS Muhamadiyah</v>
      </c>
      <c r="R213" s="9" t="str">
        <f>'BIO DATA'!Z212</f>
        <v>jl. A. Yani Gg. Mesjid Marhamah Lingk. I Desa Terandam Kec. Babussalam Kab. Aceh Tenggara 24651</v>
      </c>
      <c r="S213" s="9">
        <f>'BIO DATA'!AA212</f>
        <v>0</v>
      </c>
      <c r="T213" s="9" t="str">
        <f>'BIO DATA'!AB212</f>
        <v>Rinaldi Dinar</v>
      </c>
      <c r="U213" s="9" t="str">
        <f>'BIO DATA'!AC212</f>
        <v>Islam</v>
      </c>
      <c r="V213" s="9" t="str">
        <f>'BIO DATA'!AD212</f>
        <v>SMA/SMK/MA</v>
      </c>
      <c r="W213" s="9" t="str">
        <f>'BIO DATA'!AE212</f>
        <v>Wiraswasta</v>
      </c>
      <c r="X213" s="9" t="str">
        <f>'BIO DATA'!AF212</f>
        <v>5jt-10jt</v>
      </c>
      <c r="Y213" s="144" t="str">
        <f>'BIO DATA'!AG212</f>
        <v>081973123269</v>
      </c>
      <c r="Z213" s="9">
        <f>'BIO DATA'!AH212</f>
        <v>0</v>
      </c>
      <c r="AA213" s="9" t="str">
        <f>'BIO DATA'!AI212</f>
        <v>Siti Rohmah</v>
      </c>
      <c r="AB213" s="9" t="str">
        <f>'BIO DATA'!AJ212</f>
        <v>Islam</v>
      </c>
      <c r="AC213" s="9" t="str">
        <f>'BIO DATA'!AK212</f>
        <v>SMA/SMK/MA</v>
      </c>
      <c r="AD213" s="9" t="str">
        <f>'BIO DATA'!AL212</f>
        <v>Tidak Bekerja</v>
      </c>
      <c r="AE213" s="9" t="str">
        <f>'BIO DATA'!AM212</f>
        <v>500-1jt</v>
      </c>
      <c r="AF213" s="49" t="str">
        <f>'BIO DATA'!AN212</f>
        <v>081265498333</v>
      </c>
      <c r="AG213" s="9">
        <f>'BIO DATA'!AO212</f>
        <v>0</v>
      </c>
      <c r="AH213" s="9">
        <f>'BIO DATA'!AY212</f>
        <v>0</v>
      </c>
      <c r="AI213" s="9">
        <f>'BIO DATA'!AZ212</f>
        <v>0</v>
      </c>
      <c r="AJ213" s="9">
        <f>'BIO DATA'!BA212</f>
        <v>0</v>
      </c>
      <c r="AK213" s="9">
        <f>'BIO DATA'!BB212</f>
        <v>0</v>
      </c>
      <c r="AL213" s="9">
        <f>'BIO DATA'!BC212</f>
        <v>0</v>
      </c>
      <c r="AM213" s="9">
        <f>'BIO DATA'!BD212</f>
        <v>0</v>
      </c>
      <c r="AN213" s="9">
        <f>'BIO DATA'!BE212</f>
        <v>0</v>
      </c>
      <c r="AO213" s="9">
        <f>'BIO DATA'!BF212</f>
        <v>0</v>
      </c>
      <c r="AP213" s="50" t="str">
        <f>'BIO DATA'!BG212</f>
        <v>Lilik Wijayanto, S.Pd.</v>
      </c>
    </row>
    <row r="214" spans="1:42" s="51" customFormat="1" ht="20.100000000000001" customHeight="1" thickBot="1">
      <c r="A214" s="14" t="s">
        <v>143</v>
      </c>
      <c r="B214">
        <v>294</v>
      </c>
      <c r="C214" s="116">
        <f>'BIO DATA'!C213</f>
        <v>12717</v>
      </c>
      <c r="D214" s="116" t="str">
        <f>'BIO DATA'!D213</f>
        <v>0132968411</v>
      </c>
      <c r="E214" s="115" t="str">
        <f>'BIO DATA'!E213</f>
        <v>Yudhistira Putra Prabowo</v>
      </c>
      <c r="F214" s="46" t="str">
        <f>'BIO DATA'!L213</f>
        <v>Laki-laki</v>
      </c>
      <c r="G214" s="9" t="str">
        <f>'BIO DATA'!M213</f>
        <v>Bekasi</v>
      </c>
      <c r="H214" s="48">
        <f>'BIO DATA'!O213</f>
        <v>41297</v>
      </c>
      <c r="I214" s="46" t="str">
        <f>'BIO DATA'!R213</f>
        <v>Islam</v>
      </c>
      <c r="J214" s="47">
        <f>'BIO DATA'!I213</f>
        <v>1</v>
      </c>
      <c r="K214" s="47">
        <f>'BIO DATA'!J213</f>
        <v>2</v>
      </c>
      <c r="L214" s="9" t="str">
        <f>'BIO DATA'!S213</f>
        <v>Griya Pinus Lestari Blok G.3 Loktabat utara, Banjarbaru Utara, Kota Banjarbaru kalimantan Selatan</v>
      </c>
      <c r="M214" s="9" t="str">
        <f>'BIO DATA'!U213</f>
        <v>Loktabat Utara</v>
      </c>
      <c r="N214" s="9" t="str">
        <f>'BIO DATA'!V213</f>
        <v>Banjarbaru Utara</v>
      </c>
      <c r="O214" s="9" t="str">
        <f>'BIO DATA'!W213</f>
        <v>Kota Banjarbaru</v>
      </c>
      <c r="P214" s="9" t="str">
        <f>'BIO DATA'!X213</f>
        <v>Kalimantan Selatan</v>
      </c>
      <c r="Q214" s="9" t="str">
        <f>'BIO DATA'!Y213</f>
        <v>SD Muhammadiyah Hajjah Nuriyah</v>
      </c>
      <c r="R214" s="9" t="str">
        <f>'BIO DATA'!Z213</f>
        <v>Jl. A. Yani, Loktabat Utara, Kec. Banjarbaru Utara, Kota Banjar Baru, Kalimantan Selatan 70714</v>
      </c>
      <c r="S214" s="9">
        <f>'BIO DATA'!AA213</f>
        <v>0</v>
      </c>
      <c r="T214" s="9" t="str">
        <f>'BIO DATA'!AB213</f>
        <v>Ari Prabowo</v>
      </c>
      <c r="U214" s="9" t="str">
        <f>'BIO DATA'!AC213</f>
        <v>Islam</v>
      </c>
      <c r="V214" s="9" t="str">
        <f>'BIO DATA'!AD213</f>
        <v>DIPLOMA</v>
      </c>
      <c r="W214" s="9" t="str">
        <f>'BIO DATA'!AE213</f>
        <v>Pegawai Swasta</v>
      </c>
      <c r="X214" s="9" t="str">
        <f>'BIO DATA'!AF213</f>
        <v>&gt;10jt</v>
      </c>
      <c r="Y214" s="144" t="str">
        <f>'BIO DATA'!AG213</f>
        <v>082124298836</v>
      </c>
      <c r="Z214" s="9">
        <f>'BIO DATA'!AH213</f>
        <v>0</v>
      </c>
      <c r="AA214" s="9" t="str">
        <f>'BIO DATA'!AI213</f>
        <v>Richana Asih Susilo</v>
      </c>
      <c r="AB214" s="9" t="str">
        <f>'BIO DATA'!AJ213</f>
        <v>Islam</v>
      </c>
      <c r="AC214" s="9" t="str">
        <f>'BIO DATA'!AK213</f>
        <v>DIPLOMA</v>
      </c>
      <c r="AD214" s="9" t="str">
        <f>'BIO DATA'!AL213</f>
        <v>Tidak Bekerja</v>
      </c>
      <c r="AE214" s="9" t="str">
        <f>'BIO DATA'!AM213</f>
        <v>&lt; 500rb</v>
      </c>
      <c r="AF214" s="49" t="str">
        <f>'BIO DATA'!AN213</f>
        <v>085695780009</v>
      </c>
      <c r="AG214" s="9">
        <f>'BIO DATA'!AO213</f>
        <v>0</v>
      </c>
      <c r="AH214" s="9">
        <f>'BIO DATA'!AY213</f>
        <v>0</v>
      </c>
      <c r="AI214" s="9">
        <f>'BIO DATA'!AZ213</f>
        <v>0</v>
      </c>
      <c r="AJ214" s="9">
        <f>'BIO DATA'!BA213</f>
        <v>0</v>
      </c>
      <c r="AK214" s="9">
        <f>'BIO DATA'!BB213</f>
        <v>0</v>
      </c>
      <c r="AL214" s="9">
        <f>'BIO DATA'!BC213</f>
        <v>0</v>
      </c>
      <c r="AM214" s="9">
        <f>'BIO DATA'!BD213</f>
        <v>0</v>
      </c>
      <c r="AN214" s="9">
        <f>'BIO DATA'!BE213</f>
        <v>0</v>
      </c>
      <c r="AO214" s="9">
        <f>'BIO DATA'!BF213</f>
        <v>0</v>
      </c>
      <c r="AP214" s="50" t="str">
        <f>'BIO DATA'!BG213</f>
        <v>Lilik Wijayanto, S.Pd.</v>
      </c>
    </row>
    <row r="215" spans="1:42" s="51" customFormat="1" ht="20.100000000000001" customHeight="1" thickBot="1">
      <c r="A215" s="18" t="s">
        <v>224</v>
      </c>
      <c r="B215">
        <v>312</v>
      </c>
      <c r="C215" s="116">
        <f>'BIO DATA'!C214</f>
        <v>12461</v>
      </c>
      <c r="D215" s="116" t="str">
        <f>'BIO DATA'!D214</f>
        <v>0142571651</v>
      </c>
      <c r="E215" s="115" t="str">
        <f>'BIO DATA'!E214</f>
        <v>Abid Tsaqif Atha Jati</v>
      </c>
      <c r="F215" s="46" t="str">
        <f>'BIO DATA'!L214</f>
        <v>Laki-laki</v>
      </c>
      <c r="G215" s="9" t="str">
        <f>'BIO DATA'!M214</f>
        <v>Yogyakarta</v>
      </c>
      <c r="H215" s="48">
        <f>'BIO DATA'!O214</f>
        <v>41720</v>
      </c>
      <c r="I215" s="46" t="str">
        <f>'BIO DATA'!R214</f>
        <v>Islam</v>
      </c>
      <c r="J215" s="47">
        <f>'BIO DATA'!I214</f>
        <v>1</v>
      </c>
      <c r="K215" s="47">
        <f>'BIO DATA'!J214</f>
        <v>0</v>
      </c>
      <c r="L215" s="9" t="str">
        <f>'BIO DATA'!S214</f>
        <v>Perumahan Bunga Alam Residence Blok D14 Kebumen Jawa Tengah</v>
      </c>
      <c r="M215" s="9" t="str">
        <f>'BIO DATA'!U214</f>
        <v>Kembaran</v>
      </c>
      <c r="N215" s="9" t="str">
        <f>'BIO DATA'!V214</f>
        <v>Kebumen</v>
      </c>
      <c r="O215" s="9" t="str">
        <f>'BIO DATA'!W214</f>
        <v>Kebumen</v>
      </c>
      <c r="P215" s="9" t="str">
        <f>'BIO DATA'!X214</f>
        <v>Jawa Tengah</v>
      </c>
      <c r="Q215" s="9" t="str">
        <f>'BIO DATA'!Y214</f>
        <v>SDIT Al-Madinah Kebumen Jawa Tengah</v>
      </c>
      <c r="R215" s="9" t="str">
        <f>'BIO DATA'!Z214</f>
        <v>Jl. Tentara Pelajar 48 Kompleks Islamic Center Kembaran Kebumen Jawa Tengah</v>
      </c>
      <c r="S215" s="9">
        <f>'BIO DATA'!AA214</f>
        <v>0</v>
      </c>
      <c r="T215" s="9" t="str">
        <f>'BIO DATA'!AB214</f>
        <v>Arianom Jati Pamungkas</v>
      </c>
      <c r="U215" s="9" t="str">
        <f>'BIO DATA'!AC214</f>
        <v>Islam</v>
      </c>
      <c r="V215" s="9" t="str">
        <f>'BIO DATA'!AD214</f>
        <v>S1</v>
      </c>
      <c r="W215" s="9" t="str">
        <f>'BIO DATA'!AE214</f>
        <v>Wiraswasta</v>
      </c>
      <c r="X215" s="9" t="str">
        <f>'BIO DATA'!AF214</f>
        <v>3jt-5jt</v>
      </c>
      <c r="Y215" s="144" t="str">
        <f>'BIO DATA'!AG214</f>
        <v>081578781906</v>
      </c>
      <c r="Z215" s="9">
        <f>'BIO DATA'!AH214</f>
        <v>0</v>
      </c>
      <c r="AA215" s="9" t="str">
        <f>'BIO DATA'!AI214</f>
        <v>Dian Sinta Anggraini</v>
      </c>
      <c r="AB215" s="9" t="str">
        <f>'BIO DATA'!AJ214</f>
        <v>Islam</v>
      </c>
      <c r="AC215" s="9" t="str">
        <f>'BIO DATA'!AK214</f>
        <v>S1</v>
      </c>
      <c r="AD215" s="9" t="str">
        <f>'BIO DATA'!AL214</f>
        <v>Pegawai Swasta</v>
      </c>
      <c r="AE215" s="9" t="str">
        <f>'BIO DATA'!AM214</f>
        <v>5jt-10jt</v>
      </c>
      <c r="AF215" s="49" t="str">
        <f>'BIO DATA'!AN214</f>
        <v>08122789934</v>
      </c>
      <c r="AG215" s="9">
        <f>'BIO DATA'!AO214</f>
        <v>0</v>
      </c>
      <c r="AH215" s="9">
        <f>'BIO DATA'!AY214</f>
        <v>0</v>
      </c>
      <c r="AI215" s="9">
        <f>'BIO DATA'!AZ214</f>
        <v>0</v>
      </c>
      <c r="AJ215" s="9">
        <f>'BIO DATA'!BA214</f>
        <v>0</v>
      </c>
      <c r="AK215" s="9">
        <f>'BIO DATA'!BB214</f>
        <v>0</v>
      </c>
      <c r="AL215" s="9">
        <f>'BIO DATA'!BC214</f>
        <v>0</v>
      </c>
      <c r="AM215" s="9">
        <f>'BIO DATA'!BD214</f>
        <v>0</v>
      </c>
      <c r="AN215" s="9">
        <f>'BIO DATA'!BE214</f>
        <v>0</v>
      </c>
      <c r="AO215" s="9">
        <f>'BIO DATA'!BF214</f>
        <v>0</v>
      </c>
      <c r="AP215" s="50" t="str">
        <f>'BIO DATA'!BG214</f>
        <v>Syahda Agustian Supriyanto, S.Pd.</v>
      </c>
    </row>
    <row r="216" spans="1:42" s="51" customFormat="1" ht="20.100000000000001" customHeight="1" thickBot="1">
      <c r="A216" s="18" t="s">
        <v>224</v>
      </c>
      <c r="B216">
        <v>30</v>
      </c>
      <c r="C216" s="116">
        <f>'BIO DATA'!C215</f>
        <v>12482</v>
      </c>
      <c r="D216" s="116" t="str">
        <f>'BIO DATA'!D215</f>
        <v>0138780394</v>
      </c>
      <c r="E216" s="115" t="str">
        <f>'BIO DATA'!E215</f>
        <v>Ahza Danish Fahreza</v>
      </c>
      <c r="F216" s="46" t="str">
        <f>'BIO DATA'!L215</f>
        <v>Laki-laki</v>
      </c>
      <c r="G216" s="9" t="str">
        <f>'BIO DATA'!M215</f>
        <v>Yogyakarta</v>
      </c>
      <c r="H216" s="48">
        <f>'BIO DATA'!O215</f>
        <v>41594</v>
      </c>
      <c r="I216" s="46" t="str">
        <f>'BIO DATA'!R215</f>
        <v>Islam</v>
      </c>
      <c r="J216" s="47">
        <f>'BIO DATA'!I215</f>
        <v>2</v>
      </c>
      <c r="K216" s="47">
        <f>'BIO DATA'!J215</f>
        <v>2</v>
      </c>
      <c r="L216" s="9" t="str">
        <f>'BIO DATA'!S215</f>
        <v>Jomblangan RT 12 BLOK C No 20 Banguntapan Bantul DIY</v>
      </c>
      <c r="M216" s="9" t="str">
        <f>'BIO DATA'!U215</f>
        <v>NO</v>
      </c>
      <c r="N216" s="9" t="str">
        <f>'BIO DATA'!V215</f>
        <v>Banguntapan</v>
      </c>
      <c r="O216" s="9" t="str">
        <f>'BIO DATA'!W215</f>
        <v>Bantul</v>
      </c>
      <c r="P216" s="9" t="str">
        <f>'BIO DATA'!X215</f>
        <v>DIY</v>
      </c>
      <c r="Q216" s="9" t="str">
        <f>'BIO DATA'!Y215</f>
        <v>SD Muh Sokonandi</v>
      </c>
      <c r="R216" s="9" t="str">
        <f>'BIO DATA'!Z215</f>
        <v>Jl. Kapas No 5A Semaki, Umbulharjo, Yogyakarta</v>
      </c>
      <c r="S216" s="9">
        <f>'BIO DATA'!AA215</f>
        <v>0</v>
      </c>
      <c r="T216" s="9" t="str">
        <f>'BIO DATA'!AB215</f>
        <v>Sunarto Wakit</v>
      </c>
      <c r="U216" s="9" t="str">
        <f>'BIO DATA'!AC215</f>
        <v>Islam</v>
      </c>
      <c r="V216" s="9" t="str">
        <f>'BIO DATA'!AD215</f>
        <v>S1</v>
      </c>
      <c r="W216" s="9" t="str">
        <f>'BIO DATA'!AE215</f>
        <v>Wiraswasta</v>
      </c>
      <c r="X216" s="9" t="str">
        <f>'BIO DATA'!AF215</f>
        <v>5jt-10jt</v>
      </c>
      <c r="Y216" s="144" t="str">
        <f>'BIO DATA'!AG215</f>
        <v>085743038072</v>
      </c>
      <c r="Z216" s="9">
        <f>'BIO DATA'!AH215</f>
        <v>0</v>
      </c>
      <c r="AA216" s="9" t="str">
        <f>'BIO DATA'!AI215</f>
        <v>Muthmainah Fajar</v>
      </c>
      <c r="AB216" s="9" t="str">
        <f>'BIO DATA'!AJ215</f>
        <v>Islam</v>
      </c>
      <c r="AC216" s="9" t="str">
        <f>'BIO DATA'!AK215</f>
        <v>S1</v>
      </c>
      <c r="AD216" s="9" t="str">
        <f>'BIO DATA'!AL215</f>
        <v>Tidak Bekerja</v>
      </c>
      <c r="AE216" s="9" t="str">
        <f>'BIO DATA'!AM215</f>
        <v>1jt-3jt</v>
      </c>
      <c r="AF216" s="49" t="str">
        <f>'BIO DATA'!AN215</f>
        <v>085719552381</v>
      </c>
      <c r="AG216" s="9">
        <f>'BIO DATA'!AO215</f>
        <v>0</v>
      </c>
      <c r="AH216" s="9">
        <f>'BIO DATA'!AY215</f>
        <v>0</v>
      </c>
      <c r="AI216" s="9">
        <f>'BIO DATA'!AZ215</f>
        <v>0</v>
      </c>
      <c r="AJ216" s="9">
        <f>'BIO DATA'!BA215</f>
        <v>0</v>
      </c>
      <c r="AK216" s="9">
        <f>'BIO DATA'!BB215</f>
        <v>0</v>
      </c>
      <c r="AL216" s="9">
        <f>'BIO DATA'!BC215</f>
        <v>0</v>
      </c>
      <c r="AM216" s="9">
        <f>'BIO DATA'!BD215</f>
        <v>0</v>
      </c>
      <c r="AN216" s="9">
        <f>'BIO DATA'!BE215</f>
        <v>0</v>
      </c>
      <c r="AO216" s="9">
        <f>'BIO DATA'!BF215</f>
        <v>0</v>
      </c>
      <c r="AP216" s="50" t="str">
        <f>'BIO DATA'!BG215</f>
        <v>Syahda Agustian Supriyanto, S.Pd.</v>
      </c>
    </row>
    <row r="217" spans="1:42" s="51" customFormat="1" ht="20.100000000000001" customHeight="1" thickBot="1">
      <c r="A217" s="18" t="s">
        <v>224</v>
      </c>
      <c r="B217">
        <v>37</v>
      </c>
      <c r="C217" s="116">
        <f>'BIO DATA'!C216</f>
        <v>12483</v>
      </c>
      <c r="D217" s="116" t="str">
        <f>'BIO DATA'!D216</f>
        <v>0142991389</v>
      </c>
      <c r="E217" s="115" t="str">
        <f>'BIO DATA'!E216</f>
        <v>Akhtar Haidar Arief</v>
      </c>
      <c r="F217" s="46" t="str">
        <f>'BIO DATA'!L216</f>
        <v>Laki-laki</v>
      </c>
      <c r="G217" s="9" t="str">
        <f>'BIO DATA'!M216</f>
        <v>Wonosobo</v>
      </c>
      <c r="H217" s="48">
        <f>'BIO DATA'!O216</f>
        <v>41732</v>
      </c>
      <c r="I217" s="46" t="str">
        <f>'BIO DATA'!R216</f>
        <v>Islam</v>
      </c>
      <c r="J217" s="47">
        <f>'BIO DATA'!I216</f>
        <v>1</v>
      </c>
      <c r="K217" s="47">
        <f>'BIO DATA'!J216</f>
        <v>0</v>
      </c>
      <c r="L217" s="9" t="str">
        <f>'BIO DATA'!S216</f>
        <v>Kapulogo Tengah Rt 07/ Rw 03, Kapulogo, Kepil, Wonosobo</v>
      </c>
      <c r="M217" s="9" t="str">
        <f>'BIO DATA'!U216</f>
        <v>Kapulogo</v>
      </c>
      <c r="N217" s="9" t="str">
        <f>'BIO DATA'!V216</f>
        <v>Kepil</v>
      </c>
      <c r="O217" s="9" t="str">
        <f>'BIO DATA'!W216</f>
        <v>Wonosobo</v>
      </c>
      <c r="P217" s="9" t="str">
        <f>'BIO DATA'!X216</f>
        <v>Jawa Tengah</v>
      </c>
      <c r="Q217" s="9" t="str">
        <f>'BIO DATA'!Y216</f>
        <v>SD Negeri 1 Gadingrejo</v>
      </c>
      <c r="R217" s="9" t="str">
        <f>'BIO DATA'!Z216</f>
        <v>Dompon, Gadingrejo, Kepil</v>
      </c>
      <c r="S217" s="9">
        <f>'BIO DATA'!AA216</f>
        <v>0</v>
      </c>
      <c r="T217" s="9" t="str">
        <f>'BIO DATA'!AB216</f>
        <v>Arif Biyanto</v>
      </c>
      <c r="U217" s="9" t="str">
        <f>'BIO DATA'!AC216</f>
        <v>Islam</v>
      </c>
      <c r="V217" s="9" t="str">
        <f>'BIO DATA'!AD216</f>
        <v>S1</v>
      </c>
      <c r="W217" s="9" t="str">
        <f>'BIO DATA'!AE216</f>
        <v>Lain-lain</v>
      </c>
      <c r="X217" s="9">
        <f>'BIO DATA'!AF216</f>
        <v>0</v>
      </c>
      <c r="Y217" s="144" t="str">
        <f>'BIO DATA'!AG216</f>
        <v>081391042679</v>
      </c>
      <c r="Z217" s="9">
        <f>'BIO DATA'!AH216</f>
        <v>0</v>
      </c>
      <c r="AA217" s="9" t="str">
        <f>'BIO DATA'!AI216</f>
        <v>Amin Khoirul Musliana</v>
      </c>
      <c r="AB217" s="9" t="str">
        <f>'BIO DATA'!AJ216</f>
        <v>Islam</v>
      </c>
      <c r="AC217" s="9" t="str">
        <f>'BIO DATA'!AK216</f>
        <v>S2</v>
      </c>
      <c r="AD217" s="9" t="str">
        <f>'BIO DATA'!AL216</f>
        <v>Guru/Dosen</v>
      </c>
      <c r="AE217" s="9">
        <f>'BIO DATA'!AM216</f>
        <v>0</v>
      </c>
      <c r="AF217" s="49" t="str">
        <f>'BIO DATA'!AN216</f>
        <v>085293611700</v>
      </c>
      <c r="AG217" s="9">
        <f>'BIO DATA'!AO216</f>
        <v>0</v>
      </c>
      <c r="AH217" s="9">
        <f>'BIO DATA'!AY216</f>
        <v>0</v>
      </c>
      <c r="AI217" s="9">
        <f>'BIO DATA'!AZ216</f>
        <v>0</v>
      </c>
      <c r="AJ217" s="9">
        <f>'BIO DATA'!BA216</f>
        <v>0</v>
      </c>
      <c r="AK217" s="9">
        <f>'BIO DATA'!BB216</f>
        <v>0</v>
      </c>
      <c r="AL217" s="9">
        <f>'BIO DATA'!BC216</f>
        <v>0</v>
      </c>
      <c r="AM217" s="9">
        <f>'BIO DATA'!BD216</f>
        <v>0</v>
      </c>
      <c r="AN217" s="9">
        <f>'BIO DATA'!BE216</f>
        <v>0</v>
      </c>
      <c r="AO217" s="9">
        <f>'BIO DATA'!BF216</f>
        <v>0</v>
      </c>
      <c r="AP217" s="50" t="str">
        <f>'BIO DATA'!BG216</f>
        <v>Syahda Agustian Supriyanto, S.Pd.</v>
      </c>
    </row>
    <row r="218" spans="1:42" s="51" customFormat="1" ht="20.100000000000001" customHeight="1" thickBot="1">
      <c r="A218" s="18" t="s">
        <v>224</v>
      </c>
      <c r="B218">
        <v>52</v>
      </c>
      <c r="C218" s="116">
        <f>'BIO DATA'!C217</f>
        <v>12491</v>
      </c>
      <c r="D218" s="116">
        <f>'BIO DATA'!D217</f>
        <v>3145662291</v>
      </c>
      <c r="E218" s="115" t="str">
        <f>'BIO DATA'!E217</f>
        <v>Andik Dwi Prayoga</v>
      </c>
      <c r="F218" s="46" t="str">
        <f>'BIO DATA'!L217</f>
        <v>Laki-laki</v>
      </c>
      <c r="G218" s="9" t="str">
        <f>'BIO DATA'!M217</f>
        <v>Bantul</v>
      </c>
      <c r="H218" s="48">
        <f>'BIO DATA'!O217</f>
        <v>41792</v>
      </c>
      <c r="I218" s="46" t="str">
        <f>'BIO DATA'!R217</f>
        <v>Islam</v>
      </c>
      <c r="J218" s="47">
        <f>'BIO DATA'!I217</f>
        <v>1</v>
      </c>
      <c r="K218" s="47">
        <f>'BIO DATA'!J217</f>
        <v>2</v>
      </c>
      <c r="L218" s="9" t="str">
        <f>'BIO DATA'!S217</f>
        <v>Prembulan Rt.18/Rw.08, Pandowan, Galur, Kulonprogo, DI Yogyakarta</v>
      </c>
      <c r="M218" s="9" t="str">
        <f>'BIO DATA'!U217</f>
        <v>Pandowan</v>
      </c>
      <c r="N218" s="9" t="str">
        <f>'BIO DATA'!V217</f>
        <v>Galur</v>
      </c>
      <c r="O218" s="9" t="str">
        <f>'BIO DATA'!W217</f>
        <v>Kulon Progo</v>
      </c>
      <c r="P218" s="9" t="str">
        <f>'BIO DATA'!X217</f>
        <v>DIY</v>
      </c>
      <c r="Q218" s="9" t="str">
        <f>'BIO DATA'!Y217</f>
        <v>SD Unggulan 'Aisyiyah Pandak</v>
      </c>
      <c r="R218" s="9" t="str">
        <f>'BIO DATA'!Z217</f>
        <v>37HG+M48, Ngabean, Triharjo, Kec. Pandak, Kabupaten Bantul, Daerah Istimewa Yogyakarta</v>
      </c>
      <c r="S218" s="9">
        <f>'BIO DATA'!AA217</f>
        <v>0</v>
      </c>
      <c r="T218" s="9" t="str">
        <f>'BIO DATA'!AB217</f>
        <v>Amir Suprapto</v>
      </c>
      <c r="U218" s="9" t="str">
        <f>'BIO DATA'!AC217</f>
        <v>Islam</v>
      </c>
      <c r="V218" s="9" t="str">
        <f>'BIO DATA'!AD217</f>
        <v>SMA/SMK/MA</v>
      </c>
      <c r="W218" s="9" t="str">
        <f>'BIO DATA'!AE217</f>
        <v>Wiraswasta</v>
      </c>
      <c r="X218" s="9">
        <f>'BIO DATA'!AF217</f>
        <v>0</v>
      </c>
      <c r="Y218" s="144" t="str">
        <f>'BIO DATA'!AG217</f>
        <v>081229074334</v>
      </c>
      <c r="Z218" s="9">
        <f>'BIO DATA'!AH217</f>
        <v>0</v>
      </c>
      <c r="AA218" s="9" t="str">
        <f>'BIO DATA'!AI217</f>
        <v>Suprapti</v>
      </c>
      <c r="AB218" s="9" t="str">
        <f>'BIO DATA'!AJ217</f>
        <v>Islam</v>
      </c>
      <c r="AC218" s="9" t="str">
        <f>'BIO DATA'!AK217</f>
        <v>SMP/MTs</v>
      </c>
      <c r="AD218" s="9" t="str">
        <f>'BIO DATA'!AL217</f>
        <v>Wiraswasta</v>
      </c>
      <c r="AE218" s="9">
        <f>'BIO DATA'!AM217</f>
        <v>0</v>
      </c>
      <c r="AF218" s="49" t="str">
        <f>'BIO DATA'!AN217</f>
        <v>081390390057</v>
      </c>
      <c r="AG218" s="9">
        <f>'BIO DATA'!AO217</f>
        <v>0</v>
      </c>
      <c r="AH218" s="9">
        <f>'BIO DATA'!AY217</f>
        <v>0</v>
      </c>
      <c r="AI218" s="9">
        <f>'BIO DATA'!AZ217</f>
        <v>0</v>
      </c>
      <c r="AJ218" s="9">
        <f>'BIO DATA'!BA217</f>
        <v>0</v>
      </c>
      <c r="AK218" s="9">
        <f>'BIO DATA'!BB217</f>
        <v>0</v>
      </c>
      <c r="AL218" s="9">
        <f>'BIO DATA'!BC217</f>
        <v>0</v>
      </c>
      <c r="AM218" s="9">
        <f>'BIO DATA'!BD217</f>
        <v>0</v>
      </c>
      <c r="AN218" s="9">
        <f>'BIO DATA'!BE217</f>
        <v>0</v>
      </c>
      <c r="AO218" s="9">
        <f>'BIO DATA'!BF217</f>
        <v>0</v>
      </c>
      <c r="AP218" s="50" t="str">
        <f>'BIO DATA'!BG217</f>
        <v>Syahda Agustian Supriyanto, S.Pd.</v>
      </c>
    </row>
    <row r="219" spans="1:42" s="51" customFormat="1" ht="20.100000000000001" customHeight="1" thickBot="1">
      <c r="A219" s="18" t="s">
        <v>224</v>
      </c>
      <c r="B219">
        <v>59</v>
      </c>
      <c r="C219" s="116">
        <f>'BIO DATA'!C218</f>
        <v>12514</v>
      </c>
      <c r="D219" s="116">
        <f>'BIO DATA'!D218</f>
        <v>3131203489</v>
      </c>
      <c r="E219" s="115" t="str">
        <f>'BIO DATA'!E218</f>
        <v>Bilal Abdurrohman Sholih</v>
      </c>
      <c r="F219" s="46" t="str">
        <f>'BIO DATA'!L218</f>
        <v>Laki-laki</v>
      </c>
      <c r="G219" s="9" t="str">
        <f>'BIO DATA'!M218</f>
        <v>Sleman</v>
      </c>
      <c r="H219" s="48">
        <f>'BIO DATA'!O218</f>
        <v>41407</v>
      </c>
      <c r="I219" s="46" t="str">
        <f>'BIO DATA'!R218</f>
        <v>Islam</v>
      </c>
      <c r="J219" s="47">
        <f>'BIO DATA'!I218</f>
        <v>1</v>
      </c>
      <c r="K219" s="47">
        <f>'BIO DATA'!J218</f>
        <v>0</v>
      </c>
      <c r="L219" s="9" t="str">
        <f>'BIO DATA'!S218</f>
        <v>Maredan RT 004 RW 040 , Sendangtirto Berbah Sleman DIY</v>
      </c>
      <c r="M219" s="9" t="str">
        <f>'BIO DATA'!U218</f>
        <v>Sendangtirto</v>
      </c>
      <c r="N219" s="9" t="str">
        <f>'BIO DATA'!V218</f>
        <v>Berbah</v>
      </c>
      <c r="O219" s="9" t="str">
        <f>'BIO DATA'!W218</f>
        <v>Sleman</v>
      </c>
      <c r="P219" s="9" t="str">
        <f>'BIO DATA'!X218</f>
        <v>DIY</v>
      </c>
      <c r="Q219" s="9" t="str">
        <f>'BIO DATA'!Y218</f>
        <v>SDIT Al Muthiin</v>
      </c>
      <c r="R219" s="9" t="str">
        <f>'BIO DATA'!Z218</f>
        <v>di Jl. Cendrawasih Rt 14 Rw 27, Banguntapan, Kec. Banguntapan, Kab. Bantul, D.I. Yogyakarta.</v>
      </c>
      <c r="S219" s="9">
        <f>'BIO DATA'!AA218</f>
        <v>0</v>
      </c>
      <c r="T219" s="9" t="str">
        <f>'BIO DATA'!AB218</f>
        <v>Almarhum Shaleh Achmad S</v>
      </c>
      <c r="U219" s="9" t="str">
        <f>'BIO DATA'!AC218</f>
        <v>Islam</v>
      </c>
      <c r="V219" s="9" t="str">
        <f>'BIO DATA'!AD218</f>
        <v>SMA/SMK/MA</v>
      </c>
      <c r="W219" s="9" t="str">
        <f>'BIO DATA'!AE218</f>
        <v>Lain-lain</v>
      </c>
      <c r="X219" s="9">
        <f>'BIO DATA'!AF218</f>
        <v>0</v>
      </c>
      <c r="Y219" s="144" t="str">
        <f>'BIO DATA'!AG218</f>
        <v>089528239705</v>
      </c>
      <c r="Z219" s="9">
        <f>'BIO DATA'!AH218</f>
        <v>0</v>
      </c>
      <c r="AA219" s="9" t="str">
        <f>'BIO DATA'!AI218</f>
        <v>Dian Siti Komariyah</v>
      </c>
      <c r="AB219" s="9" t="str">
        <f>'BIO DATA'!AJ218</f>
        <v>Islam</v>
      </c>
      <c r="AC219" s="9" t="str">
        <f>'BIO DATA'!AK218</f>
        <v>S1</v>
      </c>
      <c r="AD219" s="9" t="str">
        <f>'BIO DATA'!AL218</f>
        <v>Pegawai Swasta</v>
      </c>
      <c r="AE219" s="9">
        <f>'BIO DATA'!AM218</f>
        <v>0</v>
      </c>
      <c r="AF219" s="49" t="str">
        <f>'BIO DATA'!AN218</f>
        <v>089528239705</v>
      </c>
      <c r="AG219" s="9">
        <f>'BIO DATA'!AO218</f>
        <v>0</v>
      </c>
      <c r="AH219" s="9">
        <f>'BIO DATA'!AY218</f>
        <v>0</v>
      </c>
      <c r="AI219" s="9">
        <f>'BIO DATA'!AZ218</f>
        <v>0</v>
      </c>
      <c r="AJ219" s="9">
        <f>'BIO DATA'!BA218</f>
        <v>0</v>
      </c>
      <c r="AK219" s="9">
        <f>'BIO DATA'!BB218</f>
        <v>0</v>
      </c>
      <c r="AL219" s="9">
        <f>'BIO DATA'!BC218</f>
        <v>0</v>
      </c>
      <c r="AM219" s="9">
        <f>'BIO DATA'!BD218</f>
        <v>0</v>
      </c>
      <c r="AN219" s="9">
        <f>'BIO DATA'!BE218</f>
        <v>0</v>
      </c>
      <c r="AO219" s="9">
        <f>'BIO DATA'!BF218</f>
        <v>0</v>
      </c>
      <c r="AP219" s="50" t="str">
        <f>'BIO DATA'!BG218</f>
        <v>Syahda Agustian Supriyanto, S.Pd.</v>
      </c>
    </row>
    <row r="220" spans="1:42" s="51" customFormat="1" ht="20.100000000000001" customHeight="1" thickBot="1">
      <c r="A220" s="18" t="s">
        <v>224</v>
      </c>
      <c r="B220">
        <v>67</v>
      </c>
      <c r="C220" s="116">
        <f>'BIO DATA'!C219</f>
        <v>12523</v>
      </c>
      <c r="D220" s="116" t="str">
        <f>'BIO DATA'!D219</f>
        <v>0145961987</v>
      </c>
      <c r="E220" s="115" t="str">
        <f>'BIO DATA'!E219</f>
        <v>Daffa Saad Rafie</v>
      </c>
      <c r="F220" s="46" t="str">
        <f>'BIO DATA'!L219</f>
        <v>Laki-laki</v>
      </c>
      <c r="G220" s="9" t="str">
        <f>'BIO DATA'!M219</f>
        <v>Banjarmasin</v>
      </c>
      <c r="H220" s="48">
        <f>'BIO DATA'!O219</f>
        <v>41739</v>
      </c>
      <c r="I220" s="46" t="str">
        <f>'BIO DATA'!R219</f>
        <v>Islam</v>
      </c>
      <c r="J220" s="47">
        <f>'BIO DATA'!I219</f>
        <v>1</v>
      </c>
      <c r="K220" s="47">
        <f>'BIO DATA'!J219</f>
        <v>0</v>
      </c>
      <c r="L220" s="9" t="str">
        <f>'BIO DATA'!S219</f>
        <v>Jalan Melati No 59 RT 29 RW 03 Kel. Selat Tengah Kec. Selat Kuala Kapuas</v>
      </c>
      <c r="M220" s="9" t="str">
        <f>'BIO DATA'!U219</f>
        <v>Selat Tengah</v>
      </c>
      <c r="N220" s="9" t="str">
        <f>'BIO DATA'!V219</f>
        <v>Selat</v>
      </c>
      <c r="O220" s="9" t="str">
        <f>'BIO DATA'!W219</f>
        <v>Kapuas</v>
      </c>
      <c r="P220" s="9" t="str">
        <f>'BIO DATA'!X219</f>
        <v>Kalimantan Tengah</v>
      </c>
      <c r="Q220" s="9" t="str">
        <f>'BIO DATA'!Y219</f>
        <v>SDIT Al-Amin Kuala Kapuas</v>
      </c>
      <c r="R220" s="9" t="str">
        <f>'BIO DATA'!Z219</f>
        <v>Jl. Pemuda Km 1,5 Gg 2</v>
      </c>
      <c r="S220" s="9">
        <f>'BIO DATA'!AA219</f>
        <v>0</v>
      </c>
      <c r="T220" s="9" t="str">
        <f>'BIO DATA'!AB219</f>
        <v>Alm Irfan Syarif Wahyudi</v>
      </c>
      <c r="U220" s="9" t="str">
        <f>'BIO DATA'!AC219</f>
        <v>Islam</v>
      </c>
      <c r="V220" s="9" t="str">
        <f>'BIO DATA'!AD219</f>
        <v>S2</v>
      </c>
      <c r="W220" s="9" t="str">
        <f>'BIO DATA'!AE219</f>
        <v>Lain-lain</v>
      </c>
      <c r="X220" s="9">
        <f>'BIO DATA'!AF219</f>
        <v>0</v>
      </c>
      <c r="Y220" s="144" t="str">
        <f>'BIO DATA'!AG219</f>
        <v>085251512992</v>
      </c>
      <c r="Z220" s="9">
        <f>'BIO DATA'!AH219</f>
        <v>0</v>
      </c>
      <c r="AA220" s="9" t="str">
        <f>'BIO DATA'!AI219</f>
        <v>Aulia Madina</v>
      </c>
      <c r="AB220" s="9" t="str">
        <f>'BIO DATA'!AJ219</f>
        <v>Islam</v>
      </c>
      <c r="AC220" s="9" t="str">
        <f>'BIO DATA'!AK219</f>
        <v>S2</v>
      </c>
      <c r="AD220" s="9" t="str">
        <f>'BIO DATA'!AL219</f>
        <v>Wiraswasta</v>
      </c>
      <c r="AE220" s="9">
        <f>'BIO DATA'!AM219</f>
        <v>0</v>
      </c>
      <c r="AF220" s="49" t="str">
        <f>'BIO DATA'!AN219</f>
        <v>085251512992</v>
      </c>
      <c r="AG220" s="9">
        <f>'BIO DATA'!AO219</f>
        <v>0</v>
      </c>
      <c r="AH220" s="9">
        <f>'BIO DATA'!AY219</f>
        <v>0</v>
      </c>
      <c r="AI220" s="9">
        <f>'BIO DATA'!AZ219</f>
        <v>0</v>
      </c>
      <c r="AJ220" s="9">
        <f>'BIO DATA'!BA219</f>
        <v>0</v>
      </c>
      <c r="AK220" s="9">
        <f>'BIO DATA'!BB219</f>
        <v>0</v>
      </c>
      <c r="AL220" s="9">
        <f>'BIO DATA'!BC219</f>
        <v>0</v>
      </c>
      <c r="AM220" s="9">
        <f>'BIO DATA'!BD219</f>
        <v>0</v>
      </c>
      <c r="AN220" s="9">
        <f>'BIO DATA'!BE219</f>
        <v>0</v>
      </c>
      <c r="AO220" s="9">
        <f>'BIO DATA'!BF219</f>
        <v>0</v>
      </c>
      <c r="AP220" s="50" t="str">
        <f>'BIO DATA'!BG219</f>
        <v>Syahda Agustian Supriyanto, S.Pd.</v>
      </c>
    </row>
    <row r="221" spans="1:42" s="51" customFormat="1" ht="20.100000000000001" customHeight="1" thickBot="1">
      <c r="A221" s="18" t="s">
        <v>224</v>
      </c>
      <c r="B221">
        <v>68</v>
      </c>
      <c r="C221" s="116">
        <f>'BIO DATA'!C220</f>
        <v>12524</v>
      </c>
      <c r="D221" s="116" t="str">
        <f>'BIO DATA'!D220</f>
        <v>0149219254</v>
      </c>
      <c r="E221" s="115" t="str">
        <f>'BIO DATA'!E220</f>
        <v>Danendra Athallah Zaheen</v>
      </c>
      <c r="F221" s="46" t="str">
        <f>'BIO DATA'!L220</f>
        <v>Laki-laki</v>
      </c>
      <c r="G221" s="9" t="str">
        <f>'BIO DATA'!M220</f>
        <v>Cilacap</v>
      </c>
      <c r="H221" s="48">
        <f>'BIO DATA'!O220</f>
        <v>41821</v>
      </c>
      <c r="I221" s="46" t="str">
        <f>'BIO DATA'!R220</f>
        <v>Islam</v>
      </c>
      <c r="J221" s="47">
        <f>'BIO DATA'!I220</f>
        <v>2</v>
      </c>
      <c r="K221" s="47">
        <f>'BIO DATA'!J220</f>
        <v>1</v>
      </c>
      <c r="L221" s="9" t="str">
        <f>'BIO DATA'!S220</f>
        <v>Perumahan Pertamina Donan Jl.Klandasan IV no.71 Cilacap, Jateng 53221</v>
      </c>
      <c r="M221" s="9" t="str">
        <f>'BIO DATA'!U220</f>
        <v>Sidanegara</v>
      </c>
      <c r="N221" s="9" t="str">
        <f>'BIO DATA'!V220</f>
        <v>Cilacap Tengah</v>
      </c>
      <c r="O221" s="9" t="str">
        <f>'BIO DATA'!W220</f>
        <v>Cilacap</v>
      </c>
      <c r="P221" s="9" t="str">
        <f>'BIO DATA'!X220</f>
        <v>Jawa Tengah</v>
      </c>
      <c r="Q221" s="9" t="str">
        <f>'BIO DATA'!Y220</f>
        <v>SDIT BIAS Cilacap</v>
      </c>
      <c r="R221" s="9" t="str">
        <f>'BIO DATA'!Z220</f>
        <v>Jl.Masjid no.4 Sidanegara, Cilacap</v>
      </c>
      <c r="S221" s="9">
        <f>'BIO DATA'!AA220</f>
        <v>0</v>
      </c>
      <c r="T221" s="9">
        <f>'BIO DATA'!AB220</f>
        <v>0</v>
      </c>
      <c r="U221" s="9" t="str">
        <f>'BIO DATA'!AC220</f>
        <v>Islam</v>
      </c>
      <c r="V221" s="9" t="str">
        <f>'BIO DATA'!AD220</f>
        <v>S1</v>
      </c>
      <c r="W221" s="9" t="str">
        <f>'BIO DATA'!AE220</f>
        <v>Lain-lain</v>
      </c>
      <c r="X221" s="9">
        <f>'BIO DATA'!AF220</f>
        <v>0</v>
      </c>
      <c r="Y221" s="144" t="str">
        <f>'BIO DATA'!AG220</f>
        <v>085647711611</v>
      </c>
      <c r="Z221" s="9">
        <f>'BIO DATA'!AH220</f>
        <v>0</v>
      </c>
      <c r="AA221" s="9" t="str">
        <f>'BIO DATA'!AI220</f>
        <v>Ayu Wenning Gayatrie</v>
      </c>
      <c r="AB221" s="9" t="str">
        <f>'BIO DATA'!AJ220</f>
        <v>Islam</v>
      </c>
      <c r="AC221" s="9" t="str">
        <f>'BIO DATA'!AK220</f>
        <v>S1</v>
      </c>
      <c r="AD221" s="9" t="str">
        <f>'BIO DATA'!AL220</f>
        <v>Tidak Bekerja</v>
      </c>
      <c r="AE221" s="9">
        <f>'BIO DATA'!AM220</f>
        <v>0</v>
      </c>
      <c r="AF221" s="49" t="str">
        <f>'BIO DATA'!AN220</f>
        <v>085647647666</v>
      </c>
      <c r="AG221" s="9">
        <f>'BIO DATA'!AO220</f>
        <v>0</v>
      </c>
      <c r="AH221" s="9">
        <f>'BIO DATA'!AY220</f>
        <v>0</v>
      </c>
      <c r="AI221" s="9">
        <f>'BIO DATA'!AZ220</f>
        <v>0</v>
      </c>
      <c r="AJ221" s="9">
        <f>'BIO DATA'!BA220</f>
        <v>0</v>
      </c>
      <c r="AK221" s="9">
        <f>'BIO DATA'!BB220</f>
        <v>0</v>
      </c>
      <c r="AL221" s="9">
        <f>'BIO DATA'!BC220</f>
        <v>0</v>
      </c>
      <c r="AM221" s="9">
        <f>'BIO DATA'!BD220</f>
        <v>0</v>
      </c>
      <c r="AN221" s="9">
        <f>'BIO DATA'!BE220</f>
        <v>0</v>
      </c>
      <c r="AO221" s="9">
        <f>'BIO DATA'!BF220</f>
        <v>0</v>
      </c>
      <c r="AP221" s="50" t="str">
        <f>'BIO DATA'!BG220</f>
        <v>Syahda Agustian Supriyanto, S.Pd.</v>
      </c>
    </row>
    <row r="222" spans="1:42" s="51" customFormat="1" ht="20.100000000000001" customHeight="1" thickBot="1">
      <c r="A222" s="18" t="s">
        <v>224</v>
      </c>
      <c r="B222">
        <v>123</v>
      </c>
      <c r="C222" s="116">
        <f>'BIO DATA'!C221</f>
        <v>12533</v>
      </c>
      <c r="D222" s="116" t="str">
        <f>'BIO DATA'!D221</f>
        <v>0143753655</v>
      </c>
      <c r="E222" s="115" t="str">
        <f>'BIO DATA'!E221</f>
        <v>Excellendra Azka Raffaza</v>
      </c>
      <c r="F222" s="46" t="str">
        <f>'BIO DATA'!L221</f>
        <v>Laki-laki</v>
      </c>
      <c r="G222" s="9" t="str">
        <f>'BIO DATA'!M221</f>
        <v>SLEMAN</v>
      </c>
      <c r="H222" s="48">
        <f>'BIO DATA'!O221</f>
        <v>41759</v>
      </c>
      <c r="I222" s="46" t="str">
        <f>'BIO DATA'!R221</f>
        <v>Islam</v>
      </c>
      <c r="J222" s="47">
        <f>'BIO DATA'!I221</f>
        <v>1</v>
      </c>
      <c r="K222" s="47">
        <f>'BIO DATA'!J221</f>
        <v>3</v>
      </c>
      <c r="L222" s="9" t="str">
        <f>'BIO DATA'!S221</f>
        <v>Karangmloko RT 3 RW 18 Sariharjo Ngaglik Sleman DIY</v>
      </c>
      <c r="M222" s="9" t="str">
        <f>'BIO DATA'!U221</f>
        <v>Sariharjo</v>
      </c>
      <c r="N222" s="9" t="str">
        <f>'BIO DATA'!V221</f>
        <v>Ngaglik</v>
      </c>
      <c r="O222" s="9" t="str">
        <f>'BIO DATA'!W221</f>
        <v>Sleman</v>
      </c>
      <c r="P222" s="9" t="str">
        <f>'BIO DATA'!X221</f>
        <v>DIY</v>
      </c>
      <c r="Q222" s="9" t="str">
        <f>'BIO DATA'!Y221</f>
        <v>SD Muhamadiyah Sleman</v>
      </c>
      <c r="R222" s="9" t="str">
        <f>'BIO DATA'!Z221</f>
        <v>JL. KENARI NO.10, SRIMULYO, TRIHARJO, SLEMAN, YOGYAKARTA</v>
      </c>
      <c r="S222" s="9">
        <f>'BIO DATA'!AA221</f>
        <v>0</v>
      </c>
      <c r="T222" s="9" t="str">
        <f>'BIO DATA'!AB221</f>
        <v>Kresna Andri Wibowo</v>
      </c>
      <c r="U222" s="9" t="str">
        <f>'BIO DATA'!AC221</f>
        <v>Islam</v>
      </c>
      <c r="V222" s="9" t="str">
        <f>'BIO DATA'!AD221</f>
        <v>S1</v>
      </c>
      <c r="W222" s="9" t="str">
        <f>'BIO DATA'!AE221</f>
        <v>TNI/Polri</v>
      </c>
      <c r="X222" s="9">
        <f>'BIO DATA'!AF221</f>
        <v>0</v>
      </c>
      <c r="Y222" s="144" t="str">
        <f>'BIO DATA'!AG221</f>
        <v>081227505150</v>
      </c>
      <c r="Z222" s="9">
        <f>'BIO DATA'!AH221</f>
        <v>0</v>
      </c>
      <c r="AA222" s="9" t="str">
        <f>'BIO DATA'!AI221</f>
        <v>Beti Nur Anggraini</v>
      </c>
      <c r="AB222" s="9" t="str">
        <f>'BIO DATA'!AJ221</f>
        <v>Islam</v>
      </c>
      <c r="AC222" s="9" t="str">
        <f>'BIO DATA'!AK221</f>
        <v>S2</v>
      </c>
      <c r="AD222" s="9" t="str">
        <f>'BIO DATA'!AL221</f>
        <v>Wiraswasta</v>
      </c>
      <c r="AE222" s="9">
        <f>'BIO DATA'!AM221</f>
        <v>0</v>
      </c>
      <c r="AF222" s="49" t="str">
        <f>'BIO DATA'!AN221</f>
        <v>08112997268</v>
      </c>
      <c r="AG222" s="9">
        <f>'BIO DATA'!AO221</f>
        <v>0</v>
      </c>
      <c r="AH222" s="9">
        <f>'BIO DATA'!AY221</f>
        <v>0</v>
      </c>
      <c r="AI222" s="9">
        <f>'BIO DATA'!AZ221</f>
        <v>0</v>
      </c>
      <c r="AJ222" s="9">
        <f>'BIO DATA'!BA221</f>
        <v>0</v>
      </c>
      <c r="AK222" s="9">
        <f>'BIO DATA'!BB221</f>
        <v>0</v>
      </c>
      <c r="AL222" s="9">
        <f>'BIO DATA'!BC221</f>
        <v>0</v>
      </c>
      <c r="AM222" s="9">
        <f>'BIO DATA'!BD221</f>
        <v>0</v>
      </c>
      <c r="AN222" s="9">
        <f>'BIO DATA'!BE221</f>
        <v>0</v>
      </c>
      <c r="AO222" s="9">
        <f>'BIO DATA'!BF221</f>
        <v>0</v>
      </c>
      <c r="AP222" s="50" t="str">
        <f>'BIO DATA'!BG221</f>
        <v>Syahda Agustian Supriyanto, S.Pd.</v>
      </c>
    </row>
    <row r="223" spans="1:42" s="51" customFormat="1" ht="20.100000000000001" customHeight="1" thickBot="1">
      <c r="A223" s="18" t="s">
        <v>224</v>
      </c>
      <c r="B223">
        <v>124</v>
      </c>
      <c r="C223" s="116">
        <f>'BIO DATA'!C222</f>
        <v>12543</v>
      </c>
      <c r="D223" s="116" t="str">
        <f>'BIO DATA'!D222</f>
        <v>0144850481</v>
      </c>
      <c r="E223" s="115" t="str">
        <f>'BIO DATA'!E222</f>
        <v>Fajri Fakhri IW</v>
      </c>
      <c r="F223" s="46" t="str">
        <f>'BIO DATA'!L222</f>
        <v>Laki-laki</v>
      </c>
      <c r="G223" s="9" t="str">
        <f>'BIO DATA'!M222</f>
        <v>Jakarta</v>
      </c>
      <c r="H223" s="48">
        <f>'BIO DATA'!O222</f>
        <v>41738</v>
      </c>
      <c r="I223" s="46" t="str">
        <f>'BIO DATA'!R222</f>
        <v>Islam</v>
      </c>
      <c r="J223" s="47">
        <f>'BIO DATA'!I222</f>
        <v>2</v>
      </c>
      <c r="K223" s="47">
        <f>'BIO DATA'!J222</f>
        <v>1</v>
      </c>
      <c r="L223" s="9" t="str">
        <f>'BIO DATA'!S222</f>
        <v>Griya Sakinah 2 / B2 Karanganyar Gedongan Colomadu Karanganyar Jawa Tengah</v>
      </c>
      <c r="M223" s="9" t="str">
        <f>'BIO DATA'!U222</f>
        <v>Gedongan</v>
      </c>
      <c r="N223" s="9" t="str">
        <f>'BIO DATA'!V222</f>
        <v>Colomadu</v>
      </c>
      <c r="O223" s="9" t="str">
        <f>'BIO DATA'!W222</f>
        <v>Karanganyar</v>
      </c>
      <c r="P223" s="9" t="str">
        <f>'BIO DATA'!X222</f>
        <v>Jawa Tengah</v>
      </c>
      <c r="Q223" s="9" t="str">
        <f>'BIO DATA'!Y222</f>
        <v>SDTQ Al Abidin Surakarta</v>
      </c>
      <c r="R223" s="9" t="str">
        <f>'BIO DATA'!Z222</f>
        <v>SDTQ AL ABIDIN SURAKARTA Jl. Tarumanegara Gg. Galuh 1 Banyuanyar Banjarsari Surakarta</v>
      </c>
      <c r="S223" s="9">
        <f>'BIO DATA'!AA222</f>
        <v>0</v>
      </c>
      <c r="T223" s="9" t="str">
        <f>'BIO DATA'!AB222</f>
        <v>Soleh Ismuni</v>
      </c>
      <c r="U223" s="9" t="str">
        <f>'BIO DATA'!AC222</f>
        <v>Islam</v>
      </c>
      <c r="V223" s="9" t="str">
        <f>'BIO DATA'!AD222</f>
        <v>SMA/SMK/MA</v>
      </c>
      <c r="W223" s="9" t="str">
        <f>'BIO DATA'!AE222</f>
        <v>Pegawai Swasta</v>
      </c>
      <c r="X223" s="9">
        <f>'BIO DATA'!AF222</f>
        <v>0</v>
      </c>
      <c r="Y223" s="144" t="str">
        <f>'BIO DATA'!AG222</f>
        <v>081218279950</v>
      </c>
      <c r="Z223" s="9">
        <f>'BIO DATA'!AH222</f>
        <v>0</v>
      </c>
      <c r="AA223" s="9" t="str">
        <f>'BIO DATA'!AI222</f>
        <v>Bina Sugiyanti</v>
      </c>
      <c r="AB223" s="9" t="str">
        <f>'BIO DATA'!AJ222</f>
        <v>Islam</v>
      </c>
      <c r="AC223" s="9" t="str">
        <f>'BIO DATA'!AK222</f>
        <v>SMA/SMK/MA</v>
      </c>
      <c r="AD223" s="9" t="str">
        <f>'BIO DATA'!AL222</f>
        <v>Lain-lain</v>
      </c>
      <c r="AE223" s="9">
        <f>'BIO DATA'!AM222</f>
        <v>0</v>
      </c>
      <c r="AF223" s="49" t="str">
        <f>'BIO DATA'!AN222</f>
        <v>081226299474</v>
      </c>
      <c r="AG223" s="9">
        <f>'BIO DATA'!AO222</f>
        <v>0</v>
      </c>
      <c r="AH223" s="9">
        <f>'BIO DATA'!AY222</f>
        <v>0</v>
      </c>
      <c r="AI223" s="9">
        <f>'BIO DATA'!AZ222</f>
        <v>0</v>
      </c>
      <c r="AJ223" s="9">
        <f>'BIO DATA'!BA222</f>
        <v>0</v>
      </c>
      <c r="AK223" s="9">
        <f>'BIO DATA'!BB222</f>
        <v>0</v>
      </c>
      <c r="AL223" s="9">
        <f>'BIO DATA'!BC222</f>
        <v>0</v>
      </c>
      <c r="AM223" s="9">
        <f>'BIO DATA'!BD222</f>
        <v>0</v>
      </c>
      <c r="AN223" s="9">
        <f>'BIO DATA'!BE222</f>
        <v>0</v>
      </c>
      <c r="AO223" s="9">
        <f>'BIO DATA'!BF222</f>
        <v>0</v>
      </c>
      <c r="AP223" s="50" t="str">
        <f>'BIO DATA'!BG222</f>
        <v>Syahda Agustian Supriyanto, S.Pd.</v>
      </c>
    </row>
    <row r="224" spans="1:42" s="51" customFormat="1" ht="20.100000000000001" customHeight="1" thickBot="1">
      <c r="A224" s="18" t="s">
        <v>224</v>
      </c>
      <c r="B224">
        <v>143</v>
      </c>
      <c r="C224" s="116">
        <f>'BIO DATA'!C223</f>
        <v>12553</v>
      </c>
      <c r="D224" s="116" t="str">
        <f>'BIO DATA'!D223</f>
        <v>0134079176</v>
      </c>
      <c r="E224" s="115" t="str">
        <f>'BIO DATA'!E223</f>
        <v>Fikri Nur Fauzan</v>
      </c>
      <c r="F224" s="46" t="str">
        <f>'BIO DATA'!L223</f>
        <v>Laki-laki</v>
      </c>
      <c r="G224" s="9" t="str">
        <f>'BIO DATA'!M223</f>
        <v>Karanganyar</v>
      </c>
      <c r="H224" s="48">
        <f>'BIO DATA'!O223</f>
        <v>41538</v>
      </c>
      <c r="I224" s="46" t="str">
        <f>'BIO DATA'!R223</f>
        <v>Islam</v>
      </c>
      <c r="J224" s="47">
        <f>'BIO DATA'!I223</f>
        <v>1</v>
      </c>
      <c r="K224" s="47">
        <f>'BIO DATA'!J223</f>
        <v>0</v>
      </c>
      <c r="L224" s="9" t="str">
        <f>'BIO DATA'!S223</f>
        <v>Mlandang Rt 03/06, Kedungjeruk, Mojogedang, Karanganyar Jawa Tengah</v>
      </c>
      <c r="M224" s="9" t="str">
        <f>'BIO DATA'!U223</f>
        <v>Kedungjeruk</v>
      </c>
      <c r="N224" s="9" t="str">
        <f>'BIO DATA'!V223</f>
        <v>Mojogedang</v>
      </c>
      <c r="O224" s="9" t="str">
        <f>'BIO DATA'!W223</f>
        <v>Karanganyar</v>
      </c>
      <c r="P224" s="9" t="str">
        <f>'BIO DATA'!X223</f>
        <v>Jawa Tengah</v>
      </c>
      <c r="Q224" s="9" t="str">
        <f>'BIO DATA'!Y223</f>
        <v>MI Sudirman Munggur</v>
      </c>
      <c r="R224" s="9">
        <f>'BIO DATA'!Z223</f>
        <v>0</v>
      </c>
      <c r="S224" s="9">
        <f>'BIO DATA'!AA223</f>
        <v>0</v>
      </c>
      <c r="T224" s="9" t="str">
        <f>'BIO DATA'!AB223</f>
        <v>Nuryadi</v>
      </c>
      <c r="U224" s="9" t="str">
        <f>'BIO DATA'!AC223</f>
        <v>Islam</v>
      </c>
      <c r="V224" s="9" t="str">
        <f>'BIO DATA'!AD223</f>
        <v>DIPLOMA</v>
      </c>
      <c r="W224" s="9" t="str">
        <f>'BIO DATA'!AE223</f>
        <v>Wiraswasta</v>
      </c>
      <c r="X224" s="9">
        <f>'BIO DATA'!AF223</f>
        <v>0</v>
      </c>
      <c r="Y224" s="144">
        <f>'BIO DATA'!AG223</f>
        <v>0</v>
      </c>
      <c r="Z224" s="9">
        <f>'BIO DATA'!AH223</f>
        <v>0</v>
      </c>
      <c r="AA224" s="9" t="str">
        <f>'BIO DATA'!AI223</f>
        <v>Aulia Nuriyana, SE</v>
      </c>
      <c r="AB224" s="9" t="str">
        <f>'BIO DATA'!AJ223</f>
        <v>Islam</v>
      </c>
      <c r="AC224" s="9" t="str">
        <f>'BIO DATA'!AK223</f>
        <v>S1</v>
      </c>
      <c r="AD224" s="9" t="str">
        <f>'BIO DATA'!AL223</f>
        <v>Karyawan Swasta</v>
      </c>
      <c r="AE224" s="9">
        <f>'BIO DATA'!AM223</f>
        <v>0</v>
      </c>
      <c r="AF224" s="49">
        <f>'BIO DATA'!AN223</f>
        <v>0</v>
      </c>
      <c r="AG224" s="9">
        <f>'BIO DATA'!AO223</f>
        <v>0</v>
      </c>
      <c r="AH224" s="9">
        <f>'BIO DATA'!AY223</f>
        <v>0</v>
      </c>
      <c r="AI224" s="9">
        <f>'BIO DATA'!AZ223</f>
        <v>0</v>
      </c>
      <c r="AJ224" s="9">
        <f>'BIO DATA'!BA223</f>
        <v>0</v>
      </c>
      <c r="AK224" s="9">
        <f>'BIO DATA'!BB223</f>
        <v>0</v>
      </c>
      <c r="AL224" s="9">
        <f>'BIO DATA'!BC223</f>
        <v>0</v>
      </c>
      <c r="AM224" s="9">
        <f>'BIO DATA'!BD223</f>
        <v>0</v>
      </c>
      <c r="AN224" s="9">
        <f>'BIO DATA'!BE223</f>
        <v>0</v>
      </c>
      <c r="AO224" s="9">
        <f>'BIO DATA'!BF223</f>
        <v>0</v>
      </c>
      <c r="AP224" s="50" t="str">
        <f>'BIO DATA'!BG223</f>
        <v>Syahda Agustian Supriyanto, S.Pd.</v>
      </c>
    </row>
    <row r="225" spans="1:42" s="51" customFormat="1" ht="20.100000000000001" customHeight="1" thickBot="1">
      <c r="A225" s="18" t="s">
        <v>224</v>
      </c>
      <c r="B225">
        <v>144</v>
      </c>
      <c r="C225" s="116">
        <f>'BIO DATA'!C224</f>
        <v>12616</v>
      </c>
      <c r="D225" s="116" t="str">
        <f>'BIO DATA'!D224</f>
        <v>0145768647</v>
      </c>
      <c r="E225" s="115" t="str">
        <f>'BIO DATA'!E224</f>
        <v>Muhammad Alfath Arroyyan</v>
      </c>
      <c r="F225" s="46" t="str">
        <f>'BIO DATA'!L224</f>
        <v>Laki-laki</v>
      </c>
      <c r="G225" s="9" t="str">
        <f>'BIO DATA'!M224</f>
        <v>Sampit</v>
      </c>
      <c r="H225" s="48">
        <f>'BIO DATA'!O224</f>
        <v>41727</v>
      </c>
      <c r="I225" s="46" t="str">
        <f>'BIO DATA'!R224</f>
        <v>Islam</v>
      </c>
      <c r="J225" s="47">
        <f>'BIO DATA'!I224</f>
        <v>2</v>
      </c>
      <c r="K225" s="47">
        <f>'BIO DATA'!J224</f>
        <v>2</v>
      </c>
      <c r="L225" s="9" t="str">
        <f>'BIO DATA'!S224</f>
        <v>Jln. Dr. Adam Malik Kel. Kuala Pembuang II Kec. Seruyan Hilir Kab. Seruyan Kalimantan Tengah</v>
      </c>
      <c r="M225" s="9" t="str">
        <f>'BIO DATA'!U224</f>
        <v>Kuala Pembuang II</v>
      </c>
      <c r="N225" s="9" t="str">
        <f>'BIO DATA'!V224</f>
        <v>Seruyan Hilir</v>
      </c>
      <c r="O225" s="9" t="str">
        <f>'BIO DATA'!W224</f>
        <v>Seruyan</v>
      </c>
      <c r="P225" s="9" t="str">
        <f>'BIO DATA'!X224</f>
        <v>Kalimantan Tengah</v>
      </c>
      <c r="Q225" s="9" t="str">
        <f>'BIO DATA'!Y224</f>
        <v>SDIT Annajiyah</v>
      </c>
      <c r="R225" s="9" t="str">
        <f>'BIO DATA'!Z224</f>
        <v>Jl. Budi Utomo Kel. Kuala Pembuang 2 Kec. Seruyan Hilir Kab. Seruyan Kalteng</v>
      </c>
      <c r="S225" s="9">
        <f>'BIO DATA'!AA224</f>
        <v>0</v>
      </c>
      <c r="T225" s="9" t="str">
        <f>'BIO DATA'!AB224</f>
        <v>Edy Suryono</v>
      </c>
      <c r="U225" s="9" t="str">
        <f>'BIO DATA'!AC224</f>
        <v>Islam</v>
      </c>
      <c r="V225" s="9" t="str">
        <f>'BIO DATA'!AD224</f>
        <v>S1</v>
      </c>
      <c r="W225" s="9" t="str">
        <f>'BIO DATA'!AE224</f>
        <v>PNS</v>
      </c>
      <c r="X225" s="9">
        <f>'BIO DATA'!AF224</f>
        <v>0</v>
      </c>
      <c r="Y225" s="144" t="str">
        <f>'BIO DATA'!AG224</f>
        <v>085247691010</v>
      </c>
      <c r="Z225" s="9">
        <f>'BIO DATA'!AH224</f>
        <v>0</v>
      </c>
      <c r="AA225" s="9" t="str">
        <f>'BIO DATA'!AI224</f>
        <v>Desy Embun Kejora</v>
      </c>
      <c r="AB225" s="9" t="str">
        <f>'BIO DATA'!AJ224</f>
        <v>Islam</v>
      </c>
      <c r="AC225" s="9" t="str">
        <f>'BIO DATA'!AK224</f>
        <v>S1</v>
      </c>
      <c r="AD225" s="9" t="str">
        <f>'BIO DATA'!AL224</f>
        <v>PNS</v>
      </c>
      <c r="AE225" s="9">
        <f>'BIO DATA'!AM224</f>
        <v>0</v>
      </c>
      <c r="AF225" s="49" t="str">
        <f>'BIO DATA'!AN224</f>
        <v>085251719666</v>
      </c>
      <c r="AG225" s="9">
        <f>'BIO DATA'!AO224</f>
        <v>0</v>
      </c>
      <c r="AH225" s="9">
        <f>'BIO DATA'!AY224</f>
        <v>0</v>
      </c>
      <c r="AI225" s="9">
        <f>'BIO DATA'!AZ224</f>
        <v>0</v>
      </c>
      <c r="AJ225" s="9">
        <f>'BIO DATA'!BA224</f>
        <v>0</v>
      </c>
      <c r="AK225" s="9">
        <f>'BIO DATA'!BB224</f>
        <v>0</v>
      </c>
      <c r="AL225" s="9">
        <f>'BIO DATA'!BC224</f>
        <v>0</v>
      </c>
      <c r="AM225" s="9">
        <f>'BIO DATA'!BD224</f>
        <v>0</v>
      </c>
      <c r="AN225" s="9">
        <f>'BIO DATA'!BE224</f>
        <v>0</v>
      </c>
      <c r="AO225" s="9">
        <f>'BIO DATA'!BF224</f>
        <v>0</v>
      </c>
      <c r="AP225" s="50" t="str">
        <f>'BIO DATA'!BG224</f>
        <v>Syahda Agustian Supriyanto, S.Pd.</v>
      </c>
    </row>
    <row r="226" spans="1:42" s="51" customFormat="1" ht="20.100000000000001" customHeight="1" thickBot="1">
      <c r="A226" s="18" t="s">
        <v>224</v>
      </c>
      <c r="B226">
        <v>149</v>
      </c>
      <c r="C226" s="116">
        <f>'BIO DATA'!C226</f>
        <v>12666</v>
      </c>
      <c r="D226" s="116">
        <f>'BIO DATA'!D226</f>
        <v>3149343910</v>
      </c>
      <c r="E226" s="115" t="str">
        <f>'BIO DATA'!E226</f>
        <v>Nara Ganindhira Albar</v>
      </c>
      <c r="F226" s="46" t="str">
        <f>'BIO DATA'!L226</f>
        <v>Laki-laki</v>
      </c>
      <c r="G226" s="9" t="str">
        <f>'BIO DATA'!M226</f>
        <v>Brebes</v>
      </c>
      <c r="H226" s="48">
        <f>'BIO DATA'!O226</f>
        <v>41731</v>
      </c>
      <c r="I226" s="46" t="str">
        <f>'BIO DATA'!R226</f>
        <v>Islam</v>
      </c>
      <c r="J226" s="47">
        <f>'BIO DATA'!I226</f>
        <v>1</v>
      </c>
      <c r="K226" s="47">
        <f>'BIO DATA'!J226</f>
        <v>2</v>
      </c>
      <c r="L226" s="9" t="str">
        <f>'BIO DATA'!S226</f>
        <v>RT 1 RW 1 Desa Wanareja Kec Sirampog Kab Brebes Jawa Tengah 52272</v>
      </c>
      <c r="M226" s="9" t="str">
        <f>'BIO DATA'!U226</f>
        <v>Wanareja</v>
      </c>
      <c r="N226" s="9" t="str">
        <f>'BIO DATA'!V226</f>
        <v>Sirampog</v>
      </c>
      <c r="O226" s="9" t="str">
        <f>'BIO DATA'!W226</f>
        <v>Brebes</v>
      </c>
      <c r="P226" s="9" t="str">
        <f>'BIO DATA'!X226</f>
        <v>Jawa Tengah</v>
      </c>
      <c r="Q226" s="9" t="str">
        <f>'BIO DATA'!Y226</f>
        <v>SD Negeri 1 Wanareja</v>
      </c>
      <c r="R226" s="9" t="str">
        <f>'BIO DATA'!Z226</f>
        <v>Jalan Lapangan No 1 Desa Wanareja Kec Sirampog Kab Brebes Jawa Tengah 52272</v>
      </c>
      <c r="S226" s="9">
        <f>'BIO DATA'!AA226</f>
        <v>0</v>
      </c>
      <c r="T226" s="9" t="str">
        <f>'BIO DATA'!AB226</f>
        <v>Suryo Albar</v>
      </c>
      <c r="U226" s="9" t="str">
        <f>'BIO DATA'!AC226</f>
        <v>Islam</v>
      </c>
      <c r="V226" s="9" t="str">
        <f>'BIO DATA'!AD226</f>
        <v>S2</v>
      </c>
      <c r="W226" s="9" t="str">
        <f>'BIO DATA'!AE226</f>
        <v>Pegawai Swasta</v>
      </c>
      <c r="X226" s="9">
        <f>'BIO DATA'!AF226</f>
        <v>0</v>
      </c>
      <c r="Y226" s="144" t="str">
        <f>'BIO DATA'!AG226</f>
        <v>085292255551</v>
      </c>
      <c r="Z226" s="9">
        <f>'BIO DATA'!AH226</f>
        <v>0</v>
      </c>
      <c r="AA226" s="9" t="str">
        <f>'BIO DATA'!AI226</f>
        <v>Wanti Widyastuti</v>
      </c>
      <c r="AB226" s="9" t="str">
        <f>'BIO DATA'!AJ226</f>
        <v>Islam</v>
      </c>
      <c r="AC226" s="9" t="str">
        <f>'BIO DATA'!AK226</f>
        <v>SMA/SMK/MA</v>
      </c>
      <c r="AD226" s="9" t="str">
        <f>'BIO DATA'!AL226</f>
        <v>Tidak Bekerja</v>
      </c>
      <c r="AE226" s="9">
        <f>'BIO DATA'!AM226</f>
        <v>0</v>
      </c>
      <c r="AF226" s="49" t="str">
        <f>'BIO DATA'!AN226</f>
        <v>085290898235</v>
      </c>
      <c r="AG226" s="9">
        <f>'BIO DATA'!AO226</f>
        <v>0</v>
      </c>
      <c r="AH226" s="9">
        <f>'BIO DATA'!AY226</f>
        <v>0</v>
      </c>
      <c r="AI226" s="9">
        <f>'BIO DATA'!AZ226</f>
        <v>0</v>
      </c>
      <c r="AJ226" s="9">
        <f>'BIO DATA'!BA226</f>
        <v>0</v>
      </c>
      <c r="AK226" s="9">
        <f>'BIO DATA'!BB226</f>
        <v>0</v>
      </c>
      <c r="AL226" s="9">
        <f>'BIO DATA'!BC226</f>
        <v>0</v>
      </c>
      <c r="AM226" s="9">
        <f>'BIO DATA'!BD226</f>
        <v>0</v>
      </c>
      <c r="AN226" s="9">
        <f>'BIO DATA'!BE226</f>
        <v>0</v>
      </c>
      <c r="AO226" s="9">
        <f>'BIO DATA'!BF226</f>
        <v>0</v>
      </c>
      <c r="AP226" s="50" t="str">
        <f>'BIO DATA'!BG226</f>
        <v>Syahda Agustian Supriyanto, S.Pd.</v>
      </c>
    </row>
    <row r="227" spans="1:42" s="51" customFormat="1" ht="20.100000000000001" customHeight="1" thickBot="1">
      <c r="A227" s="18" t="s">
        <v>224</v>
      </c>
      <c r="B227">
        <v>155</v>
      </c>
      <c r="C227" s="116">
        <f>'BIO DATA'!C227</f>
        <v>12673</v>
      </c>
      <c r="D227" s="116" t="str">
        <f>'BIO DATA'!D227</f>
        <v>0202101751</v>
      </c>
      <c r="E227" s="115" t="str">
        <f>'BIO DATA'!E227</f>
        <v>Pangkala Fiqra El Ghazali</v>
      </c>
      <c r="F227" s="46" t="str">
        <f>'BIO DATA'!L227</f>
        <v>Laki-laki</v>
      </c>
      <c r="G227" s="9" t="str">
        <f>'BIO DATA'!M227</f>
        <v>Bogor</v>
      </c>
      <c r="H227" s="48">
        <f>'BIO DATA'!O227</f>
        <v>41438</v>
      </c>
      <c r="I227" s="46" t="str">
        <f>'BIO DATA'!R227</f>
        <v>Islam</v>
      </c>
      <c r="J227" s="47">
        <f>'BIO DATA'!I227</f>
        <v>1</v>
      </c>
      <c r="K227" s="47">
        <f>'BIO DATA'!J227</f>
        <v>2</v>
      </c>
      <c r="L227" s="9" t="str">
        <f>'BIO DATA'!S227</f>
        <v>Metland Transyogi Cluster Samara Blok TJXIB 09</v>
      </c>
      <c r="M227" s="9" t="str">
        <f>'BIO DATA'!U227</f>
        <v>Cileungsi Kidul</v>
      </c>
      <c r="N227" s="9" t="str">
        <f>'BIO DATA'!V227</f>
        <v>Cileungsi</v>
      </c>
      <c r="O227" s="9" t="str">
        <f>'BIO DATA'!W227</f>
        <v>Bogor</v>
      </c>
      <c r="P227" s="9" t="str">
        <f>'BIO DATA'!X227</f>
        <v>Jawa Barat</v>
      </c>
      <c r="Q227" s="9" t="str">
        <f>'BIO DATA'!Y227</f>
        <v>SD Muhammadiyah 1 Cileungsi</v>
      </c>
      <c r="R227" s="9" t="str">
        <f>'BIO DATA'!Z227</f>
        <v>Perum PTSC Jl. Anggrek No. 25 Cileungsi 16820 Kabupaten Bogor</v>
      </c>
      <c r="S227" s="9">
        <f>'BIO DATA'!AA227</f>
        <v>0</v>
      </c>
      <c r="T227" s="9" t="str">
        <f>'BIO DATA'!AB227</f>
        <v>Agung Rahmat Gunawan</v>
      </c>
      <c r="U227" s="9" t="str">
        <f>'BIO DATA'!AC227</f>
        <v>Islam</v>
      </c>
      <c r="V227" s="9" t="str">
        <f>'BIO DATA'!AD227</f>
        <v>S1</v>
      </c>
      <c r="W227" s="9" t="str">
        <f>'BIO DATA'!AE227</f>
        <v>Wiraswasta</v>
      </c>
      <c r="X227" s="9">
        <f>'BIO DATA'!AF227</f>
        <v>0</v>
      </c>
      <c r="Y227" s="144" t="str">
        <f>'BIO DATA'!AG227</f>
        <v>081350505806</v>
      </c>
      <c r="Z227" s="9">
        <f>'BIO DATA'!AH227</f>
        <v>0</v>
      </c>
      <c r="AA227" s="9" t="str">
        <f>'BIO DATA'!AI227</f>
        <v>Arissa</v>
      </c>
      <c r="AB227" s="9" t="str">
        <f>'BIO DATA'!AJ227</f>
        <v>Islam</v>
      </c>
      <c r="AC227" s="9" t="str">
        <f>'BIO DATA'!AK227</f>
        <v>DIPLOMA</v>
      </c>
      <c r="AD227" s="9" t="str">
        <f>'BIO DATA'!AL227</f>
        <v>Tidak Bekerja</v>
      </c>
      <c r="AE227" s="9">
        <f>'BIO DATA'!AM227</f>
        <v>0</v>
      </c>
      <c r="AF227" s="49" t="str">
        <f>'BIO DATA'!AN227</f>
        <v>082124163166</v>
      </c>
      <c r="AG227" s="9">
        <f>'BIO DATA'!AO227</f>
        <v>0</v>
      </c>
      <c r="AH227" s="9">
        <f>'BIO DATA'!AY227</f>
        <v>0</v>
      </c>
      <c r="AI227" s="9">
        <f>'BIO DATA'!AZ227</f>
        <v>0</v>
      </c>
      <c r="AJ227" s="9">
        <f>'BIO DATA'!BA227</f>
        <v>0</v>
      </c>
      <c r="AK227" s="9">
        <f>'BIO DATA'!BB227</f>
        <v>0</v>
      </c>
      <c r="AL227" s="9">
        <f>'BIO DATA'!BC227</f>
        <v>0</v>
      </c>
      <c r="AM227" s="9">
        <f>'BIO DATA'!BD227</f>
        <v>0</v>
      </c>
      <c r="AN227" s="9">
        <f>'BIO DATA'!BE227</f>
        <v>0</v>
      </c>
      <c r="AO227" s="9">
        <f>'BIO DATA'!BF227</f>
        <v>0</v>
      </c>
      <c r="AP227" s="50" t="str">
        <f>'BIO DATA'!BG227</f>
        <v>Syahda Agustian Supriyanto, S.Pd.</v>
      </c>
    </row>
    <row r="228" spans="1:42" s="51" customFormat="1" ht="20.100000000000001" customHeight="1" thickBot="1">
      <c r="A228" s="18" t="s">
        <v>224</v>
      </c>
      <c r="B228">
        <v>180</v>
      </c>
      <c r="C228" s="116">
        <f>'BIO DATA'!C228</f>
        <v>12675</v>
      </c>
      <c r="D228" s="116" t="str">
        <f>'BIO DATA'!D228</f>
        <v>0142828531</v>
      </c>
      <c r="E228" s="115" t="str">
        <f>'BIO DATA'!E228</f>
        <v>Pramudya Achsan Kamil</v>
      </c>
      <c r="F228" s="46" t="str">
        <f>'BIO DATA'!L228</f>
        <v>Laki-laki</v>
      </c>
      <c r="G228" s="9" t="str">
        <f>'BIO DATA'!M228</f>
        <v>Yogyakarta</v>
      </c>
      <c r="H228" s="48">
        <f>'BIO DATA'!O228</f>
        <v>41688</v>
      </c>
      <c r="I228" s="46" t="str">
        <f>'BIO DATA'!R228</f>
        <v>Islam</v>
      </c>
      <c r="J228" s="47">
        <f>'BIO DATA'!I228</f>
        <v>1</v>
      </c>
      <c r="K228" s="47">
        <f>'BIO DATA'!J228</f>
        <v>1</v>
      </c>
      <c r="L228" s="9" t="str">
        <f>'BIO DATA'!S228</f>
        <v>Niten DK X RT 006 Tirtonirmolo Kasihan Bantul DIY</v>
      </c>
      <c r="M228" s="9" t="str">
        <f>'BIO DATA'!U228</f>
        <v>Tirtonirmolo</v>
      </c>
      <c r="N228" s="9" t="str">
        <f>'BIO DATA'!V228</f>
        <v>Kasihan</v>
      </c>
      <c r="O228" s="9" t="str">
        <f>'BIO DATA'!W228</f>
        <v>Bantul</v>
      </c>
      <c r="P228" s="9" t="str">
        <f>'BIO DATA'!X228</f>
        <v>DIY</v>
      </c>
      <c r="Q228" s="9" t="str">
        <f>'BIO DATA'!Y228</f>
        <v>SD Muhammadiyah Karangkajen Yogyakarta</v>
      </c>
      <c r="R228" s="9" t="str">
        <f>'BIO DATA'!Z228</f>
        <v>Jalan Menukan No.2 Brontokusuman, Mergangsan, Yogyakarta</v>
      </c>
      <c r="S228" s="9">
        <f>'BIO DATA'!AA228</f>
        <v>0</v>
      </c>
      <c r="T228" s="9" t="str">
        <f>'BIO DATA'!AB228</f>
        <v>Syaiful Harjanto</v>
      </c>
      <c r="U228" s="9" t="str">
        <f>'BIO DATA'!AC228</f>
        <v>Islam</v>
      </c>
      <c r="V228" s="9" t="str">
        <f>'BIO DATA'!AD228</f>
        <v>S1</v>
      </c>
      <c r="W228" s="9" t="str">
        <f>'BIO DATA'!AE228</f>
        <v>PNS</v>
      </c>
      <c r="X228" s="9">
        <f>'BIO DATA'!AF228</f>
        <v>0</v>
      </c>
      <c r="Y228" s="144" t="str">
        <f>'BIO DATA'!AG228</f>
        <v>081386574757</v>
      </c>
      <c r="Z228" s="9">
        <f>'BIO DATA'!AH228</f>
        <v>0</v>
      </c>
      <c r="AA228" s="9" t="str">
        <f>'BIO DATA'!AI228</f>
        <v>Anna Kurniawati</v>
      </c>
      <c r="AB228" s="9" t="str">
        <f>'BIO DATA'!AJ228</f>
        <v>Islam</v>
      </c>
      <c r="AC228" s="9" t="str">
        <f>'BIO DATA'!AK228</f>
        <v>DIPLOMA</v>
      </c>
      <c r="AD228" s="9" t="str">
        <f>'BIO DATA'!AL228</f>
        <v>PNS</v>
      </c>
      <c r="AE228" s="9">
        <f>'BIO DATA'!AM228</f>
        <v>0</v>
      </c>
      <c r="AF228" s="49" t="str">
        <f>'BIO DATA'!AN228</f>
        <v>085225529409</v>
      </c>
      <c r="AG228" s="9">
        <f>'BIO DATA'!AO228</f>
        <v>0</v>
      </c>
      <c r="AH228" s="9">
        <f>'BIO DATA'!AY228</f>
        <v>0</v>
      </c>
      <c r="AI228" s="9">
        <f>'BIO DATA'!AZ228</f>
        <v>0</v>
      </c>
      <c r="AJ228" s="9">
        <f>'BIO DATA'!BA228</f>
        <v>0</v>
      </c>
      <c r="AK228" s="9">
        <f>'BIO DATA'!BB228</f>
        <v>0</v>
      </c>
      <c r="AL228" s="9">
        <f>'BIO DATA'!BC228</f>
        <v>0</v>
      </c>
      <c r="AM228" s="9">
        <f>'BIO DATA'!BD228</f>
        <v>0</v>
      </c>
      <c r="AN228" s="9">
        <f>'BIO DATA'!BE228</f>
        <v>0</v>
      </c>
      <c r="AO228" s="9">
        <f>'BIO DATA'!BF228</f>
        <v>0</v>
      </c>
      <c r="AP228" s="50" t="str">
        <f>'BIO DATA'!BG228</f>
        <v>Syahda Agustian Supriyanto, S.Pd.</v>
      </c>
    </row>
    <row r="229" spans="1:42" s="51" customFormat="1" ht="20.100000000000001" customHeight="1" thickBot="1">
      <c r="A229" s="18" t="s">
        <v>224</v>
      </c>
      <c r="B229">
        <v>190</v>
      </c>
      <c r="C229" s="116">
        <f>'BIO DATA'!C229</f>
        <v>12682</v>
      </c>
      <c r="D229" s="116" t="str">
        <f>'BIO DATA'!D229</f>
        <v>0131563783</v>
      </c>
      <c r="E229" s="115" t="str">
        <f>'BIO DATA'!E229</f>
        <v>Rafa Ulil Azmi</v>
      </c>
      <c r="F229" s="46" t="str">
        <f>'BIO DATA'!L229</f>
        <v>Laki-laki</v>
      </c>
      <c r="G229" s="9" t="str">
        <f>'BIO DATA'!M229</f>
        <v>Tangerang</v>
      </c>
      <c r="H229" s="48">
        <f>'BIO DATA'!O229</f>
        <v>41396</v>
      </c>
      <c r="I229" s="46" t="str">
        <f>'BIO DATA'!R229</f>
        <v>Islam</v>
      </c>
      <c r="J229" s="47">
        <f>'BIO DATA'!I229</f>
        <v>1</v>
      </c>
      <c r="K229" s="47">
        <f>'BIO DATA'!J229</f>
        <v>1</v>
      </c>
      <c r="L229" s="9" t="str">
        <f>'BIO DATA'!S229</f>
        <v>Jl. KH Maulana Hasanudin Gg. Gudig 2 RT 07/01 No.15 Kel. Cipondoh Kec.Cipondoh Kota Tangerang - Banten</v>
      </c>
      <c r="M229" s="9" t="str">
        <f>'BIO DATA'!U229</f>
        <v>Cipondoh</v>
      </c>
      <c r="N229" s="9" t="str">
        <f>'BIO DATA'!V229</f>
        <v>Cipondoh</v>
      </c>
      <c r="O229" s="9" t="str">
        <f>'BIO DATA'!W229</f>
        <v>Kota Tangerang</v>
      </c>
      <c r="P229" s="9" t="str">
        <f>'BIO DATA'!X229</f>
        <v>Banten</v>
      </c>
      <c r="Q229" s="9" t="str">
        <f>'BIO DATA'!Y229</f>
        <v>SD Muhammadiyah 30 Poris Jaya</v>
      </c>
      <c r="R229" s="9" t="str">
        <f>'BIO DATA'!Z229</f>
        <v>Jl. KH Maulana Hasanudin RT 003/007, Poris Jaya, Kec. Batuceper, Kota Tangerang, Banten</v>
      </c>
      <c r="S229" s="9">
        <f>'BIO DATA'!AA229</f>
        <v>0</v>
      </c>
      <c r="T229" s="9" t="str">
        <f>'BIO DATA'!AB229</f>
        <v>Daryatmo</v>
      </c>
      <c r="U229" s="9" t="str">
        <f>'BIO DATA'!AC229</f>
        <v>Islam</v>
      </c>
      <c r="V229" s="9" t="str">
        <f>'BIO DATA'!AD229</f>
        <v>S1</v>
      </c>
      <c r="W229" s="9" t="str">
        <f>'BIO DATA'!AE229</f>
        <v>Lain-lain</v>
      </c>
      <c r="X229" s="9">
        <f>'BIO DATA'!AF229</f>
        <v>0</v>
      </c>
      <c r="Y229" s="144" t="str">
        <f>'BIO DATA'!AG229</f>
        <v>081333317012</v>
      </c>
      <c r="Z229" s="9">
        <f>'BIO DATA'!AH229</f>
        <v>0</v>
      </c>
      <c r="AA229" s="9" t="str">
        <f>'BIO DATA'!AI229</f>
        <v>Yusriati Istiqomah</v>
      </c>
      <c r="AB229" s="9" t="str">
        <f>'BIO DATA'!AJ229</f>
        <v>Islam</v>
      </c>
      <c r="AC229" s="9" t="str">
        <f>'BIO DATA'!AK229</f>
        <v>S1</v>
      </c>
      <c r="AD229" s="9" t="str">
        <f>'BIO DATA'!AL229</f>
        <v>PNS</v>
      </c>
      <c r="AE229" s="9">
        <f>'BIO DATA'!AM229</f>
        <v>0</v>
      </c>
      <c r="AF229" s="49" t="str">
        <f>'BIO DATA'!AN229</f>
        <v>08974178512</v>
      </c>
      <c r="AG229" s="9">
        <f>'BIO DATA'!AO229</f>
        <v>0</v>
      </c>
      <c r="AH229" s="9">
        <f>'BIO DATA'!AY229</f>
        <v>0</v>
      </c>
      <c r="AI229" s="9">
        <f>'BIO DATA'!AZ229</f>
        <v>0</v>
      </c>
      <c r="AJ229" s="9">
        <f>'BIO DATA'!BA229</f>
        <v>0</v>
      </c>
      <c r="AK229" s="9">
        <f>'BIO DATA'!BB229</f>
        <v>0</v>
      </c>
      <c r="AL229" s="9">
        <f>'BIO DATA'!BC229</f>
        <v>0</v>
      </c>
      <c r="AM229" s="9">
        <f>'BIO DATA'!BD229</f>
        <v>0</v>
      </c>
      <c r="AN229" s="9">
        <f>'BIO DATA'!BE229</f>
        <v>0</v>
      </c>
      <c r="AO229" s="9">
        <f>'BIO DATA'!BF229</f>
        <v>0</v>
      </c>
      <c r="AP229" s="50" t="str">
        <f>'BIO DATA'!BG229</f>
        <v>Syahda Agustian Supriyanto, S.Pd.</v>
      </c>
    </row>
    <row r="230" spans="1:42" s="51" customFormat="1" ht="20.100000000000001" customHeight="1" thickBot="1">
      <c r="A230" s="18" t="s">
        <v>224</v>
      </c>
      <c r="B230">
        <v>191</v>
      </c>
      <c r="C230" s="116">
        <f>'BIO DATA'!C230</f>
        <v>12688</v>
      </c>
      <c r="D230" s="116" t="str">
        <f>'BIO DATA'!D230</f>
        <v>0134571342</v>
      </c>
      <c r="E230" s="115" t="str">
        <f>'BIO DATA'!E230</f>
        <v>Rangga prasetyo anandika</v>
      </c>
      <c r="F230" s="46" t="str">
        <f>'BIO DATA'!L230</f>
        <v>Laki-laki</v>
      </c>
      <c r="G230" s="9" t="str">
        <f>'BIO DATA'!M230</f>
        <v>Bima</v>
      </c>
      <c r="H230" s="48">
        <f>'BIO DATA'!O230</f>
        <v>41547</v>
      </c>
      <c r="I230" s="46" t="str">
        <f>'BIO DATA'!R230</f>
        <v>Islam</v>
      </c>
      <c r="J230" s="47">
        <f>'BIO DATA'!I230</f>
        <v>1</v>
      </c>
      <c r="K230" s="47">
        <f>'BIO DATA'!J230</f>
        <v>2</v>
      </c>
      <c r="L230" s="9" t="str">
        <f>'BIO DATA'!S230</f>
        <v>Jl. Letjen Sutoyo No. 5 RT 001 RW 016 Mojosongo Jebres Kota Surakarta Jawa Tengah 57127</v>
      </c>
      <c r="M230" s="9" t="str">
        <f>'BIO DATA'!U230</f>
        <v>Mojosongo</v>
      </c>
      <c r="N230" s="9" t="str">
        <f>'BIO DATA'!V230</f>
        <v>Jebres</v>
      </c>
      <c r="O230" s="9" t="str">
        <f>'BIO DATA'!W230</f>
        <v>Kota Surakarta</v>
      </c>
      <c r="P230" s="9" t="str">
        <f>'BIO DATA'!X230</f>
        <v>Jawa Tengah</v>
      </c>
      <c r="Q230" s="9">
        <f>'BIO DATA'!Y230</f>
        <v>0</v>
      </c>
      <c r="R230" s="9">
        <f>'BIO DATA'!Z230</f>
        <v>0</v>
      </c>
      <c r="S230" s="9">
        <f>'BIO DATA'!AA230</f>
        <v>0</v>
      </c>
      <c r="T230" s="9" t="str">
        <f>'BIO DATA'!AB230</f>
        <v>Wahyudin</v>
      </c>
      <c r="U230" s="9" t="str">
        <f>'BIO DATA'!AC230</f>
        <v>Islam</v>
      </c>
      <c r="V230" s="9" t="str">
        <f>'BIO DATA'!AD230</f>
        <v>S2</v>
      </c>
      <c r="W230" s="9" t="str">
        <f>'BIO DATA'!AE230</f>
        <v>Notaris</v>
      </c>
      <c r="X230" s="9">
        <f>'BIO DATA'!AF230</f>
        <v>0</v>
      </c>
      <c r="Y230" s="144" t="str">
        <f>'BIO DATA'!AG230</f>
        <v>082322606116</v>
      </c>
      <c r="Z230" s="9">
        <f>'BIO DATA'!AH230</f>
        <v>0</v>
      </c>
      <c r="AA230" s="9" t="str">
        <f>'BIO DATA'!AI230</f>
        <v>Bentika Sukmawati</v>
      </c>
      <c r="AB230" s="9" t="str">
        <f>'BIO DATA'!AJ230</f>
        <v>Islam</v>
      </c>
      <c r="AC230" s="9" t="str">
        <f>'BIO DATA'!AK230</f>
        <v>SLTA</v>
      </c>
      <c r="AD230" s="9" t="str">
        <f>'BIO DATA'!AL230</f>
        <v>Ibu Rumah Tangga</v>
      </c>
      <c r="AE230" s="9">
        <f>'BIO DATA'!AM230</f>
        <v>0</v>
      </c>
      <c r="AF230" s="49" t="str">
        <f>'BIO DATA'!AN230</f>
        <v>085336562516</v>
      </c>
      <c r="AG230" s="9">
        <f>'BIO DATA'!AO230</f>
        <v>0</v>
      </c>
      <c r="AH230" s="9">
        <f>'BIO DATA'!AY230</f>
        <v>0</v>
      </c>
      <c r="AI230" s="9">
        <f>'BIO DATA'!AZ230</f>
        <v>0</v>
      </c>
      <c r="AJ230" s="9">
        <f>'BIO DATA'!BA230</f>
        <v>0</v>
      </c>
      <c r="AK230" s="9">
        <f>'BIO DATA'!BB230</f>
        <v>0</v>
      </c>
      <c r="AL230" s="9">
        <f>'BIO DATA'!BC230</f>
        <v>0</v>
      </c>
      <c r="AM230" s="9">
        <f>'BIO DATA'!BD230</f>
        <v>0</v>
      </c>
      <c r="AN230" s="9">
        <f>'BIO DATA'!BE230</f>
        <v>0</v>
      </c>
      <c r="AO230" s="9">
        <f>'BIO DATA'!BF230</f>
        <v>0</v>
      </c>
      <c r="AP230" s="50" t="str">
        <f>'BIO DATA'!BG230</f>
        <v>Syahda Agustian Supriyanto, S.Pd.</v>
      </c>
    </row>
    <row r="231" spans="1:42" s="51" customFormat="1" ht="20.100000000000001" customHeight="1" thickBot="1">
      <c r="A231" s="18" t="s">
        <v>224</v>
      </c>
      <c r="B231">
        <v>195</v>
      </c>
      <c r="C231" s="116">
        <f>'BIO DATA'!C231</f>
        <v>12691</v>
      </c>
      <c r="D231" s="116" t="str">
        <f>'BIO DATA'!D231</f>
        <v>0139602445</v>
      </c>
      <c r="E231" s="115" t="str">
        <f>'BIO DATA'!E231</f>
        <v>Raufa Arkhan Akhtara</v>
      </c>
      <c r="F231" s="46" t="str">
        <f>'BIO DATA'!L231</f>
        <v>Laki-laki</v>
      </c>
      <c r="G231" s="9" t="str">
        <f>'BIO DATA'!M231</f>
        <v>Bandung</v>
      </c>
      <c r="H231" s="48">
        <f>'BIO DATA'!O231</f>
        <v>41483</v>
      </c>
      <c r="I231" s="46" t="str">
        <f>'BIO DATA'!R231</f>
        <v>Islam</v>
      </c>
      <c r="J231" s="47">
        <f>'BIO DATA'!I231</f>
        <v>2</v>
      </c>
      <c r="K231" s="47">
        <f>'BIO DATA'!J231</f>
        <v>2</v>
      </c>
      <c r="L231" s="9" t="str">
        <f>'BIO DATA'!S231</f>
        <v>Kavling UPI, Jl. Sukamulya Endah IV Nomor 1 RT 2 RW 3 Kampung Sukamulya Cihideung Parongpong Bandung Barat Jawa Barat</v>
      </c>
      <c r="M231" s="9" t="str">
        <f>'BIO DATA'!U231</f>
        <v>Cihideung</v>
      </c>
      <c r="N231" s="9" t="str">
        <f>'BIO DATA'!V231</f>
        <v>Parongpong</v>
      </c>
      <c r="O231" s="9" t="str">
        <f>'BIO DATA'!W231</f>
        <v>Bandung Barat</v>
      </c>
      <c r="P231" s="9" t="str">
        <f>'BIO DATA'!X231</f>
        <v>Jawa Barat</v>
      </c>
      <c r="Q231" s="9" t="str">
        <f>'BIO DATA'!Y231</f>
        <v>SD Daarut Tauhiid</v>
      </c>
      <c r="R231" s="9" t="str">
        <f>'BIO DATA'!Z231</f>
        <v>JL. Cugugur Girang No.33 Kp. Pangsor RT.03 RW.07 Ds. Cigugur Girang Kec. Parongpong Kab. Bandung Barat Prov. Jawa Barat</v>
      </c>
      <c r="S231" s="9">
        <f>'BIO DATA'!AA231</f>
        <v>0</v>
      </c>
      <c r="T231" s="9" t="str">
        <f>'BIO DATA'!AB231</f>
        <v>Yudi Yanuar</v>
      </c>
      <c r="U231" s="9" t="str">
        <f>'BIO DATA'!AC231</f>
        <v>Islam</v>
      </c>
      <c r="V231" s="9" t="str">
        <f>'BIO DATA'!AD231</f>
        <v>S3</v>
      </c>
      <c r="W231" s="9" t="str">
        <f>'BIO DATA'!AE231</f>
        <v>PNS</v>
      </c>
      <c r="X231" s="9">
        <f>'BIO DATA'!AF231</f>
        <v>0</v>
      </c>
      <c r="Y231" s="144" t="str">
        <f>'BIO DATA'!AG231</f>
        <v>08568585595</v>
      </c>
      <c r="Z231" s="9">
        <f>'BIO DATA'!AH231</f>
        <v>0</v>
      </c>
      <c r="AA231" s="9" t="str">
        <f>'BIO DATA'!AI231</f>
        <v>Puri Andarini</v>
      </c>
      <c r="AB231" s="9" t="str">
        <f>'BIO DATA'!AJ231</f>
        <v>Islam</v>
      </c>
      <c r="AC231" s="9" t="str">
        <f>'BIO DATA'!AK231</f>
        <v>S1</v>
      </c>
      <c r="AD231" s="9" t="str">
        <f>'BIO DATA'!AL231</f>
        <v>PNS</v>
      </c>
      <c r="AE231" s="9">
        <f>'BIO DATA'!AM231</f>
        <v>0</v>
      </c>
      <c r="AF231" s="49" t="str">
        <f>'BIO DATA'!AN231</f>
        <v>085695088544</v>
      </c>
      <c r="AG231" s="9">
        <f>'BIO DATA'!AO231</f>
        <v>0</v>
      </c>
      <c r="AH231" s="9">
        <f>'BIO DATA'!AY231</f>
        <v>0</v>
      </c>
      <c r="AI231" s="9">
        <f>'BIO DATA'!AZ231</f>
        <v>0</v>
      </c>
      <c r="AJ231" s="9">
        <f>'BIO DATA'!BA231</f>
        <v>0</v>
      </c>
      <c r="AK231" s="9">
        <f>'BIO DATA'!BB231</f>
        <v>0</v>
      </c>
      <c r="AL231" s="9">
        <f>'BIO DATA'!BC231</f>
        <v>0</v>
      </c>
      <c r="AM231" s="9">
        <f>'BIO DATA'!BD231</f>
        <v>0</v>
      </c>
      <c r="AN231" s="9">
        <f>'BIO DATA'!BE231</f>
        <v>0</v>
      </c>
      <c r="AO231" s="9">
        <f>'BIO DATA'!BF231</f>
        <v>0</v>
      </c>
      <c r="AP231" s="50" t="str">
        <f>'BIO DATA'!BG231</f>
        <v>Syahda Agustian Supriyanto, S.Pd.</v>
      </c>
    </row>
    <row r="232" spans="1:42" s="51" customFormat="1" ht="20.100000000000001" customHeight="1" thickBot="1">
      <c r="A232" s="17" t="s">
        <v>225</v>
      </c>
      <c r="B232">
        <v>286</v>
      </c>
      <c r="C232" s="116">
        <f>'BIO DATA'!C232</f>
        <v>12462</v>
      </c>
      <c r="D232" s="116" t="str">
        <f>'BIO DATA'!D232</f>
        <v>0135087807</v>
      </c>
      <c r="E232" s="115" t="str">
        <f>'BIO DATA'!E232</f>
        <v>Abimantrana Keitaro Jevera</v>
      </c>
      <c r="F232" s="46" t="str">
        <f>'BIO DATA'!L232</f>
        <v>Laki-laki</v>
      </c>
      <c r="G232" s="9" t="str">
        <f>'BIO DATA'!M232</f>
        <v>Temanggung</v>
      </c>
      <c r="H232" s="48">
        <f>'BIO DATA'!O232</f>
        <v>41334</v>
      </c>
      <c r="I232" s="46" t="str">
        <f>'BIO DATA'!R232</f>
        <v>Islam</v>
      </c>
      <c r="J232" s="47">
        <f>'BIO DATA'!I232</f>
        <v>1</v>
      </c>
      <c r="K232" s="47">
        <f>'BIO DATA'!J232</f>
        <v>0</v>
      </c>
      <c r="L232" s="9" t="str">
        <f>'BIO DATA'!S232</f>
        <v>Perum Banteng 3 jalan Argopuro no 45 Manukan Condong Catur Sleman Yogyakarta</v>
      </c>
      <c r="M232" s="9" t="str">
        <f>'BIO DATA'!U232</f>
        <v>Condongcatur</v>
      </c>
      <c r="N232" s="9" t="str">
        <f>'BIO DATA'!V232</f>
        <v>Depok</v>
      </c>
      <c r="O232" s="9" t="str">
        <f>'BIO DATA'!W232</f>
        <v>Sleman</v>
      </c>
      <c r="P232" s="9" t="str">
        <f>'BIO DATA'!X232</f>
        <v>DIY</v>
      </c>
      <c r="Q232" s="9" t="str">
        <f>'BIO DATA'!Y232</f>
        <v>Sdit Salsabila Klaseman</v>
      </c>
      <c r="R232" s="9" t="str">
        <f>'BIO DATA'!Z232</f>
        <v>Klaseman Sinduharjo Ngaglik Sleman</v>
      </c>
      <c r="S232" s="9">
        <f>'BIO DATA'!AA232</f>
        <v>0</v>
      </c>
      <c r="T232" s="9" t="str">
        <f>'BIO DATA'!AB232</f>
        <v>Abimanyu Agung Nugroho</v>
      </c>
      <c r="U232" s="9" t="str">
        <f>'BIO DATA'!AC232</f>
        <v>Islam</v>
      </c>
      <c r="V232" s="9" t="str">
        <f>'BIO DATA'!AD232</f>
        <v>DIPLOMA</v>
      </c>
      <c r="W232" s="9" t="str">
        <f>'BIO DATA'!AE232</f>
        <v>Wiraswasta</v>
      </c>
      <c r="X232" s="9">
        <f>'BIO DATA'!AF232</f>
        <v>0</v>
      </c>
      <c r="Y232" s="144" t="str">
        <f>'BIO DATA'!AG232</f>
        <v>0895630461499</v>
      </c>
      <c r="Z232" s="9">
        <f>'BIO DATA'!AH232</f>
        <v>0</v>
      </c>
      <c r="AA232" s="9" t="str">
        <f>'BIO DATA'!AI232</f>
        <v>Susi Wahyu Aristiyani</v>
      </c>
      <c r="AB232" s="9" t="str">
        <f>'BIO DATA'!AJ232</f>
        <v>Islam</v>
      </c>
      <c r="AC232" s="9" t="str">
        <f>'BIO DATA'!AK232</f>
        <v>S1</v>
      </c>
      <c r="AD232" s="9" t="str">
        <f>'BIO DATA'!AL232</f>
        <v>Wiraswasta</v>
      </c>
      <c r="AE232" s="9">
        <f>'BIO DATA'!AM232</f>
        <v>0</v>
      </c>
      <c r="AF232" s="49" t="str">
        <f>'BIO DATA'!AN232</f>
        <v>089519401341</v>
      </c>
      <c r="AG232" s="9">
        <f>'BIO DATA'!AO232</f>
        <v>0</v>
      </c>
      <c r="AH232" s="9">
        <f>'BIO DATA'!AY232</f>
        <v>0</v>
      </c>
      <c r="AI232" s="9">
        <f>'BIO DATA'!AZ232</f>
        <v>0</v>
      </c>
      <c r="AJ232" s="9">
        <f>'BIO DATA'!BA232</f>
        <v>0</v>
      </c>
      <c r="AK232" s="9">
        <f>'BIO DATA'!BB232</f>
        <v>0</v>
      </c>
      <c r="AL232" s="9">
        <f>'BIO DATA'!BC232</f>
        <v>0</v>
      </c>
      <c r="AM232" s="9">
        <f>'BIO DATA'!BD232</f>
        <v>0</v>
      </c>
      <c r="AN232" s="9">
        <f>'BIO DATA'!BE232</f>
        <v>0</v>
      </c>
      <c r="AO232" s="9">
        <f>'BIO DATA'!BF232</f>
        <v>0</v>
      </c>
      <c r="AP232" s="50" t="str">
        <f>'BIO DATA'!BG232</f>
        <v>Yusup Siradz, S.Pd.I., M.S.I.</v>
      </c>
    </row>
    <row r="233" spans="1:42" s="51" customFormat="1" ht="20.100000000000001" customHeight="1" thickBot="1">
      <c r="A233" s="17" t="s">
        <v>225</v>
      </c>
      <c r="B233" s="145">
        <v>33</v>
      </c>
      <c r="C233" s="116">
        <f>'BIO DATA'!C233</f>
        <v>12471</v>
      </c>
      <c r="D233" s="116">
        <f>'BIO DATA'!D233</f>
        <v>3140774931</v>
      </c>
      <c r="E233" s="115" t="str">
        <f>'BIO DATA'!E233</f>
        <v>Agha Faeyza El Rafif</v>
      </c>
      <c r="F233" s="46" t="str">
        <f>'BIO DATA'!L233</f>
        <v>Laki-laki</v>
      </c>
      <c r="G233" s="9" t="str">
        <f>'BIO DATA'!M233</f>
        <v>Tangerang</v>
      </c>
      <c r="H233" s="48">
        <f>'BIO DATA'!O233</f>
        <v>41779</v>
      </c>
      <c r="I233" s="46" t="str">
        <f>'BIO DATA'!R233</f>
        <v>Islam</v>
      </c>
      <c r="J233" s="47">
        <f>'BIO DATA'!I233</f>
        <v>1</v>
      </c>
      <c r="K233" s="47">
        <f>'BIO DATA'!J233</f>
        <v>1</v>
      </c>
      <c r="L233" s="9" t="str">
        <f>'BIO DATA'!S233</f>
        <v>Green Serua Residence Blok F2 Serua Ciputat Kota Tangerang Selatan Banten</v>
      </c>
      <c r="M233" s="9" t="str">
        <f>'BIO DATA'!U233</f>
        <v>Serua</v>
      </c>
      <c r="N233" s="9" t="str">
        <f>'BIO DATA'!V233</f>
        <v>Ciputat</v>
      </c>
      <c r="O233" s="9" t="str">
        <f>'BIO DATA'!W233</f>
        <v>Kota Tangerang Selatan</v>
      </c>
      <c r="P233" s="9" t="str">
        <f>'BIO DATA'!X233</f>
        <v>Banten</v>
      </c>
      <c r="Q233" s="9" t="str">
        <f>'BIO DATA'!Y233</f>
        <v>SD Muhammadiyah 12 Pamulang</v>
      </c>
      <c r="R233" s="9" t="str">
        <f>'BIO DATA'!Z233</f>
        <v>Jalan Suka Kencana No.29 Pamulang Barat - Pamulang - Kota Tangerang Selatan - Banten</v>
      </c>
      <c r="S233" s="9">
        <f>'BIO DATA'!AA233</f>
        <v>0</v>
      </c>
      <c r="T233" s="9" t="str">
        <f>'BIO DATA'!AB233</f>
        <v>Chairudin</v>
      </c>
      <c r="U233" s="9" t="str">
        <f>'BIO DATA'!AC233</f>
        <v>Islam</v>
      </c>
      <c r="V233" s="9" t="str">
        <f>'BIO DATA'!AD233</f>
        <v>S1</v>
      </c>
      <c r="W233" s="9" t="str">
        <f>'BIO DATA'!AE233</f>
        <v>Pegawai Swasta</v>
      </c>
      <c r="X233" s="9">
        <f>'BIO DATA'!AF233</f>
        <v>0</v>
      </c>
      <c r="Y233" s="144" t="str">
        <f>'BIO DATA'!AG233</f>
        <v>08113030344</v>
      </c>
      <c r="Z233" s="9">
        <f>'BIO DATA'!AH233</f>
        <v>0</v>
      </c>
      <c r="AA233" s="9" t="str">
        <f>'BIO DATA'!AI233</f>
        <v>Febyari Nurhayati Sofyan</v>
      </c>
      <c r="AB233" s="9" t="str">
        <f>'BIO DATA'!AJ233</f>
        <v>Islam</v>
      </c>
      <c r="AC233" s="9" t="str">
        <f>'BIO DATA'!AK233</f>
        <v>S1</v>
      </c>
      <c r="AD233" s="9" t="str">
        <f>'BIO DATA'!AL233</f>
        <v>Tidak Bekerja</v>
      </c>
      <c r="AE233" s="9">
        <f>'BIO DATA'!AM233</f>
        <v>0</v>
      </c>
      <c r="AF233" s="49" t="str">
        <f>'BIO DATA'!AN233</f>
        <v>08113030355</v>
      </c>
      <c r="AG233" s="9">
        <f>'BIO DATA'!AO233</f>
        <v>0</v>
      </c>
      <c r="AH233" s="9">
        <f>'BIO DATA'!AY233</f>
        <v>0</v>
      </c>
      <c r="AI233" s="9">
        <f>'BIO DATA'!AZ233</f>
        <v>0</v>
      </c>
      <c r="AJ233" s="9">
        <f>'BIO DATA'!BA233</f>
        <v>0</v>
      </c>
      <c r="AK233" s="9">
        <f>'BIO DATA'!BB233</f>
        <v>0</v>
      </c>
      <c r="AL233" s="9">
        <f>'BIO DATA'!BC233</f>
        <v>0</v>
      </c>
      <c r="AM233" s="9">
        <f>'BIO DATA'!BD233</f>
        <v>0</v>
      </c>
      <c r="AN233" s="9">
        <f>'BIO DATA'!BE233</f>
        <v>0</v>
      </c>
      <c r="AO233" s="9">
        <f>'BIO DATA'!BF233</f>
        <v>0</v>
      </c>
      <c r="AP233" s="50" t="str">
        <f>'BIO DATA'!BG233</f>
        <v>Yusup Siradz, S.Pd.I., M.S.I.</v>
      </c>
    </row>
    <row r="234" spans="1:42" s="171" customFormat="1" ht="20.100000000000001" customHeight="1" thickBot="1">
      <c r="A234" s="17" t="s">
        <v>225</v>
      </c>
      <c r="B234" s="145">
        <v>80</v>
      </c>
      <c r="C234" s="116">
        <f>'BIO DATA'!C234</f>
        <v>12504</v>
      </c>
      <c r="D234" s="116" t="str">
        <f>'BIO DATA'!D234</f>
        <v>013901281</v>
      </c>
      <c r="E234" s="115" t="str">
        <f>'BIO DATA'!E234</f>
        <v>Athiillaah Andharu Fatah</v>
      </c>
      <c r="F234" s="46" t="str">
        <f>'BIO DATA'!L234</f>
        <v>Laki-laki</v>
      </c>
      <c r="G234" s="9" t="str">
        <f>'BIO DATA'!M234</f>
        <v>Sleman</v>
      </c>
      <c r="H234" s="48">
        <f>'BIO DATA'!O234</f>
        <v>41370</v>
      </c>
      <c r="I234" s="46" t="str">
        <f>'BIO DATA'!R234</f>
        <v>Islam</v>
      </c>
      <c r="J234" s="47">
        <f>'BIO DATA'!I234</f>
        <v>1</v>
      </c>
      <c r="K234" s="47">
        <f>'BIO DATA'!J234</f>
        <v>2</v>
      </c>
      <c r="L234" s="9" t="str">
        <f>'BIO DATA'!S234</f>
        <v>Dsn. Jomblang RT001/RW009, Jl. H. Abu BakrinKec. Secang, Magelang, Jawa Tengah 56195</v>
      </c>
      <c r="M234" s="9" t="str">
        <f>'BIO DATA'!U234</f>
        <v>Madyocondro</v>
      </c>
      <c r="N234" s="9" t="str">
        <f>'BIO DATA'!V234</f>
        <v>Secang</v>
      </c>
      <c r="O234" s="9" t="str">
        <f>'BIO DATA'!W234</f>
        <v>Magelang</v>
      </c>
      <c r="P234" s="9" t="str">
        <f>'BIO DATA'!X234</f>
        <v>Jawa Tengah</v>
      </c>
      <c r="Q234" s="9" t="str">
        <f>'BIO DATA'!Y234</f>
        <v>SD Muhammadiyah 2 Alternatif Kota Magelang</v>
      </c>
      <c r="R234" s="9" t="str">
        <f>'BIO DATA'!Z234</f>
        <v>Jl Jeruk Selatan I No 30 A RT 05/RW 08 Sanden, Kramat Selatan, Kecamatan Magelang Utara Kota Magelang, Jawa Tengah, 56115</v>
      </c>
      <c r="S234" s="9">
        <f>'BIO DATA'!AA234</f>
        <v>0</v>
      </c>
      <c r="T234" s="9" t="str">
        <f>'BIO DATA'!AB234</f>
        <v>Sugeng Budi Solihan</v>
      </c>
      <c r="U234" s="9" t="str">
        <f>'BIO DATA'!AC234</f>
        <v>Islam</v>
      </c>
      <c r="V234" s="9" t="str">
        <f>'BIO DATA'!AD234</f>
        <v>S1</v>
      </c>
      <c r="W234" s="9" t="str">
        <f>'BIO DATA'!AE234</f>
        <v>Pegawai Swasta</v>
      </c>
      <c r="X234" s="9">
        <f>'BIO DATA'!AF234</f>
        <v>0</v>
      </c>
      <c r="Y234" s="144" t="str">
        <f>'BIO DATA'!AG234</f>
        <v>081317101353</v>
      </c>
      <c r="Z234" s="9">
        <f>'BIO DATA'!AH234</f>
        <v>0</v>
      </c>
      <c r="AA234" s="9" t="str">
        <f>'BIO DATA'!AI234</f>
        <v>Idha Nurhayati</v>
      </c>
      <c r="AB234" s="9" t="str">
        <f>'BIO DATA'!AJ234</f>
        <v>Islam</v>
      </c>
      <c r="AC234" s="9" t="str">
        <f>'BIO DATA'!AK234</f>
        <v>S1</v>
      </c>
      <c r="AD234" s="9" t="str">
        <f>'BIO DATA'!AL234</f>
        <v>Wiraswasta</v>
      </c>
      <c r="AE234" s="9">
        <f>'BIO DATA'!AM234</f>
        <v>0</v>
      </c>
      <c r="AF234" s="49" t="str">
        <f>'BIO DATA'!AN234</f>
        <v>081227759702</v>
      </c>
      <c r="AG234" s="9">
        <f>'BIO DATA'!AO234</f>
        <v>0</v>
      </c>
      <c r="AH234" s="9">
        <f>'BIO DATA'!AY234</f>
        <v>0</v>
      </c>
      <c r="AI234" s="9">
        <f>'BIO DATA'!AZ234</f>
        <v>0</v>
      </c>
      <c r="AJ234" s="9">
        <f>'BIO DATA'!BA234</f>
        <v>0</v>
      </c>
      <c r="AK234" s="9">
        <f>'BIO DATA'!BB234</f>
        <v>0</v>
      </c>
      <c r="AL234" s="9">
        <f>'BIO DATA'!BC234</f>
        <v>0</v>
      </c>
      <c r="AM234" s="9">
        <f>'BIO DATA'!BD234</f>
        <v>0</v>
      </c>
      <c r="AN234" s="9">
        <f>'BIO DATA'!BE234</f>
        <v>0</v>
      </c>
      <c r="AO234" s="9">
        <f>'BIO DATA'!BF234</f>
        <v>0</v>
      </c>
      <c r="AP234" s="50" t="str">
        <f>'BIO DATA'!BG234</f>
        <v>Yusup Siradz, S.Pd.I., M.S.I.</v>
      </c>
    </row>
    <row r="235" spans="1:42" s="51" customFormat="1" ht="20.100000000000001" customHeight="1" thickBot="1">
      <c r="A235" s="17" t="s">
        <v>225</v>
      </c>
      <c r="B235">
        <v>94</v>
      </c>
      <c r="C235" s="116">
        <f>'BIO DATA'!C235</f>
        <v>12522</v>
      </c>
      <c r="D235" s="116" t="str">
        <f>'BIO DATA'!D235</f>
        <v>0135763892</v>
      </c>
      <c r="E235" s="115" t="str">
        <f>'BIO DATA'!E235</f>
        <v>Daffa Mibras Ghosan</v>
      </c>
      <c r="F235" s="46" t="str">
        <f>'BIO DATA'!L235</f>
        <v>Laki-laki</v>
      </c>
      <c r="G235" s="9" t="str">
        <f>'BIO DATA'!M235</f>
        <v>Wonosobo</v>
      </c>
      <c r="H235" s="48">
        <f>'BIO DATA'!O235</f>
        <v>41529</v>
      </c>
      <c r="I235" s="46" t="str">
        <f>'BIO DATA'!R235</f>
        <v>Islam</v>
      </c>
      <c r="J235" s="47">
        <f>'BIO DATA'!I235</f>
        <v>2</v>
      </c>
      <c r="K235" s="47">
        <f>'BIO DATA'!J235</f>
        <v>2</v>
      </c>
      <c r="L235" s="9" t="str">
        <f>'BIO DATA'!S235</f>
        <v>Garung rt 14 rw 05 butuh kalikajar Wonosobo Jawa Tengah</v>
      </c>
      <c r="M235" s="9" t="str">
        <f>'BIO DATA'!U235</f>
        <v>Butuh</v>
      </c>
      <c r="N235" s="9" t="str">
        <f>'BIO DATA'!V235</f>
        <v>Kalikajar</v>
      </c>
      <c r="O235" s="9" t="str">
        <f>'BIO DATA'!W235</f>
        <v>Wonosobo</v>
      </c>
      <c r="P235" s="9" t="str">
        <f>'BIO DATA'!X235</f>
        <v>Jawa Tengah</v>
      </c>
      <c r="Q235" s="9" t="str">
        <f>'BIO DATA'!Y235</f>
        <v>SD MBF Al Adzkiya wonosobo</v>
      </c>
      <c r="R235" s="9" t="str">
        <f>'BIO DATA'!Z235</f>
        <v>Jln.Pasukan Ronggolawe,Pager kukuh,Wonosobo 56311</v>
      </c>
      <c r="S235" s="9">
        <f>'BIO DATA'!AA235</f>
        <v>0</v>
      </c>
      <c r="T235" s="9" t="str">
        <f>'BIO DATA'!AB235</f>
        <v>Edy Kuswoyo</v>
      </c>
      <c r="U235" s="9" t="str">
        <f>'BIO DATA'!AC235</f>
        <v>Islam</v>
      </c>
      <c r="V235" s="9" t="str">
        <f>'BIO DATA'!AD235</f>
        <v>S1</v>
      </c>
      <c r="W235" s="9" t="str">
        <f>'BIO DATA'!AE235</f>
        <v>Pegawai Swasta</v>
      </c>
      <c r="X235" s="9">
        <f>'BIO DATA'!AF235</f>
        <v>0</v>
      </c>
      <c r="Y235" s="144" t="str">
        <f>'BIO DATA'!AG235</f>
        <v>081392118821</v>
      </c>
      <c r="Z235" s="9">
        <f>'BIO DATA'!AH235</f>
        <v>0</v>
      </c>
      <c r="AA235" s="9" t="str">
        <f>'BIO DATA'!AI235</f>
        <v>Efi Novarita</v>
      </c>
      <c r="AB235" s="9" t="str">
        <f>'BIO DATA'!AJ235</f>
        <v>Islam</v>
      </c>
      <c r="AC235" s="9" t="str">
        <f>'BIO DATA'!AK235</f>
        <v>SMA/SMK/MA</v>
      </c>
      <c r="AD235" s="9" t="str">
        <f>'BIO DATA'!AL235</f>
        <v>Wiraswasta</v>
      </c>
      <c r="AE235" s="9">
        <f>'BIO DATA'!AM235</f>
        <v>0</v>
      </c>
      <c r="AF235" s="49" t="str">
        <f>'BIO DATA'!AN235</f>
        <v>081327575683</v>
      </c>
      <c r="AG235" s="9">
        <f>'BIO DATA'!AO235</f>
        <v>0</v>
      </c>
      <c r="AH235" s="9">
        <f>'BIO DATA'!AY235</f>
        <v>0</v>
      </c>
      <c r="AI235" s="9">
        <f>'BIO DATA'!AZ235</f>
        <v>0</v>
      </c>
      <c r="AJ235" s="9">
        <f>'BIO DATA'!BA235</f>
        <v>0</v>
      </c>
      <c r="AK235" s="9">
        <f>'BIO DATA'!BB235</f>
        <v>0</v>
      </c>
      <c r="AL235" s="9">
        <f>'BIO DATA'!BC235</f>
        <v>0</v>
      </c>
      <c r="AM235" s="9">
        <f>'BIO DATA'!BD235</f>
        <v>0</v>
      </c>
      <c r="AN235" s="9">
        <f>'BIO DATA'!BE235</f>
        <v>0</v>
      </c>
      <c r="AO235" s="9">
        <f>'BIO DATA'!BF235</f>
        <v>0</v>
      </c>
      <c r="AP235" s="50" t="str">
        <f>'BIO DATA'!BG235</f>
        <v>Yusup Siradz, S.Pd.I., M.S.I.</v>
      </c>
    </row>
    <row r="236" spans="1:42" s="51" customFormat="1" ht="20.100000000000001" customHeight="1" thickBot="1">
      <c r="A236" s="17" t="s">
        <v>225</v>
      </c>
      <c r="B236">
        <v>101</v>
      </c>
      <c r="C236" s="116">
        <f>'BIO DATA'!C236</f>
        <v>12546</v>
      </c>
      <c r="D236" s="116" t="str">
        <f>'BIO DATA'!D236</f>
        <v>0138894469</v>
      </c>
      <c r="E236" s="115" t="str">
        <f>'BIO DATA'!E236</f>
        <v>Fardan Althaf Firdausi</v>
      </c>
      <c r="F236" s="46" t="str">
        <f>'BIO DATA'!L236</f>
        <v>Laki-laki</v>
      </c>
      <c r="G236" s="9" t="str">
        <f>'BIO DATA'!M236</f>
        <v>Magelang</v>
      </c>
      <c r="H236" s="48">
        <f>'BIO DATA'!O236</f>
        <v>41633</v>
      </c>
      <c r="I236" s="46" t="str">
        <f>'BIO DATA'!R236</f>
        <v>Islam</v>
      </c>
      <c r="J236" s="47">
        <f>'BIO DATA'!I236</f>
        <v>2</v>
      </c>
      <c r="K236" s="47">
        <f>'BIO DATA'!J236</f>
        <v>2</v>
      </c>
      <c r="L236" s="9" t="str">
        <f>'BIO DATA'!S236</f>
        <v>Karaharjan Gunungpring Muntilan Magelang</v>
      </c>
      <c r="M236" s="9" t="str">
        <f>'BIO DATA'!U236</f>
        <v>Gunungpring</v>
      </c>
      <c r="N236" s="9" t="str">
        <f>'BIO DATA'!V236</f>
        <v>Muntilan</v>
      </c>
      <c r="O236" s="9" t="str">
        <f>'BIO DATA'!W236</f>
        <v>Magelang</v>
      </c>
      <c r="P236" s="9" t="str">
        <f>'BIO DATA'!X236</f>
        <v>Jawa Tengah</v>
      </c>
      <c r="Q236" s="9" t="str">
        <f>'BIO DATA'!Y236</f>
        <v>Bina Anak Soleh (BIAS) Muntilan</v>
      </c>
      <c r="R236" s="9" t="str">
        <f>'BIO DATA'!Z236</f>
        <v>Jl. Puskesmas no 130 Tamanagung Muntilan</v>
      </c>
      <c r="S236" s="9">
        <f>'BIO DATA'!AA236</f>
        <v>0</v>
      </c>
      <c r="T236" s="9" t="str">
        <f>'BIO DATA'!AB236</f>
        <v>Muhammad Husni Sholikhin</v>
      </c>
      <c r="U236" s="9" t="str">
        <f>'BIO DATA'!AC236</f>
        <v>Islam</v>
      </c>
      <c r="V236" s="9" t="str">
        <f>'BIO DATA'!AD236</f>
        <v>DIPLOMA</v>
      </c>
      <c r="W236" s="9" t="str">
        <f>'BIO DATA'!AE236</f>
        <v>Pegawai Swasta</v>
      </c>
      <c r="X236" s="9">
        <f>'BIO DATA'!AF236</f>
        <v>0</v>
      </c>
      <c r="Y236" s="144" t="str">
        <f>'BIO DATA'!AG236</f>
        <v>085728111551</v>
      </c>
      <c r="Z236" s="9">
        <f>'BIO DATA'!AH236</f>
        <v>0</v>
      </c>
      <c r="AA236" s="9" t="str">
        <f>'BIO DATA'!AI236</f>
        <v>Citra Ningrum Agustina</v>
      </c>
      <c r="AB236" s="9" t="str">
        <f>'BIO DATA'!AJ236</f>
        <v>Islam</v>
      </c>
      <c r="AC236" s="9" t="str">
        <f>'BIO DATA'!AK236</f>
        <v>S1</v>
      </c>
      <c r="AD236" s="9" t="str">
        <f>'BIO DATA'!AL236</f>
        <v>Pegawai Swasta</v>
      </c>
      <c r="AE236" s="9">
        <f>'BIO DATA'!AM236</f>
        <v>0</v>
      </c>
      <c r="AF236" s="49" t="str">
        <f>'BIO DATA'!AN236</f>
        <v>081210167778</v>
      </c>
      <c r="AG236" s="9">
        <f>'BIO DATA'!AO236</f>
        <v>0</v>
      </c>
      <c r="AH236" s="9">
        <f>'BIO DATA'!AY236</f>
        <v>0</v>
      </c>
      <c r="AI236" s="9">
        <f>'BIO DATA'!AZ236</f>
        <v>0</v>
      </c>
      <c r="AJ236" s="9">
        <f>'BIO DATA'!BA236</f>
        <v>0</v>
      </c>
      <c r="AK236" s="9">
        <f>'BIO DATA'!BB236</f>
        <v>0</v>
      </c>
      <c r="AL236" s="9">
        <f>'BIO DATA'!BC236</f>
        <v>0</v>
      </c>
      <c r="AM236" s="9">
        <f>'BIO DATA'!BD236</f>
        <v>0</v>
      </c>
      <c r="AN236" s="9">
        <f>'BIO DATA'!BE236</f>
        <v>0</v>
      </c>
      <c r="AO236" s="9">
        <f>'BIO DATA'!BF236</f>
        <v>0</v>
      </c>
      <c r="AP236" s="50" t="str">
        <f>'BIO DATA'!BG236</f>
        <v>Yusup Siradz, S.Pd.I., M.S.I.</v>
      </c>
    </row>
    <row r="237" spans="1:42" s="51" customFormat="1" ht="20.100000000000001" customHeight="1" thickBot="1">
      <c r="A237" s="17" t="s">
        <v>225</v>
      </c>
      <c r="B237">
        <v>111</v>
      </c>
      <c r="C237" s="116">
        <f>'BIO DATA'!C237</f>
        <v>12555</v>
      </c>
      <c r="D237" s="116" t="str">
        <f>'BIO DATA'!D237</f>
        <v>0131528503</v>
      </c>
      <c r="E237" s="115" t="str">
        <f>'BIO DATA'!E237</f>
        <v>Gaza Raditya Sagoro</v>
      </c>
      <c r="F237" s="46" t="str">
        <f>'BIO DATA'!L237</f>
        <v>Laki-laki</v>
      </c>
      <c r="G237" s="9" t="str">
        <f>'BIO DATA'!M237</f>
        <v>Banyumas</v>
      </c>
      <c r="H237" s="48">
        <f>'BIO DATA'!O237</f>
        <v>41512</v>
      </c>
      <c r="I237" s="46" t="str">
        <f>'BIO DATA'!R237</f>
        <v>Islam</v>
      </c>
      <c r="J237" s="47">
        <f>'BIO DATA'!I237</f>
        <v>2</v>
      </c>
      <c r="K237" s="47">
        <f>'BIO DATA'!J237</f>
        <v>2</v>
      </c>
      <c r="L237" s="9" t="str">
        <f>'BIO DATA'!S237</f>
        <v>Perum Limbangan Baru Jl Sedap Malam No 1 Sokanandi Banjarnegara Jawa Tengah</v>
      </c>
      <c r="M237" s="9" t="str">
        <f>'BIO DATA'!U237</f>
        <v>Sokanandi</v>
      </c>
      <c r="N237" s="9" t="str">
        <f>'BIO DATA'!V237</f>
        <v>Banjarnegara</v>
      </c>
      <c r="O237" s="9" t="str">
        <f>'BIO DATA'!W237</f>
        <v>Banjarnegara</v>
      </c>
      <c r="P237" s="9" t="str">
        <f>'BIO DATA'!X237</f>
        <v>Jawa Tengah</v>
      </c>
      <c r="Q237" s="9" t="str">
        <f>'BIO DATA'!Y237</f>
        <v>SD Adzkia Banjarnegara</v>
      </c>
      <c r="R237" s="9" t="str">
        <f>'BIO DATA'!Z237</f>
        <v>Kelurahan Wangon RT 02/04 Banjarnegara</v>
      </c>
      <c r="S237" s="9">
        <f>'BIO DATA'!AA237</f>
        <v>0</v>
      </c>
      <c r="T237" s="9" t="str">
        <f>'BIO DATA'!AB237</f>
        <v>Heryudhanto Sagoro</v>
      </c>
      <c r="U237" s="9" t="str">
        <f>'BIO DATA'!AC237</f>
        <v>Islam</v>
      </c>
      <c r="V237" s="9" t="str">
        <f>'BIO DATA'!AD237</f>
        <v>S1</v>
      </c>
      <c r="W237" s="9" t="str">
        <f>'BIO DATA'!AE237</f>
        <v>Lain-lain</v>
      </c>
      <c r="X237" s="9">
        <f>'BIO DATA'!AF237</f>
        <v>0</v>
      </c>
      <c r="Y237" s="144" t="str">
        <f>'BIO DATA'!AG237</f>
        <v>081226652886</v>
      </c>
      <c r="Z237" s="9">
        <f>'BIO DATA'!AH237</f>
        <v>0</v>
      </c>
      <c r="AA237" s="9" t="str">
        <f>'BIO DATA'!AI237</f>
        <v>Ari Eka Fisri</v>
      </c>
      <c r="AB237" s="9" t="str">
        <f>'BIO DATA'!AJ237</f>
        <v>Islam</v>
      </c>
      <c r="AC237" s="9" t="str">
        <f>'BIO DATA'!AK237</f>
        <v>S1</v>
      </c>
      <c r="AD237" s="9" t="str">
        <f>'BIO DATA'!AL237</f>
        <v>PNS</v>
      </c>
      <c r="AE237" s="9">
        <f>'BIO DATA'!AM237</f>
        <v>0</v>
      </c>
      <c r="AF237" s="49" t="str">
        <f>'BIO DATA'!AN237</f>
        <v>08122759752</v>
      </c>
      <c r="AG237" s="9">
        <f>'BIO DATA'!AO237</f>
        <v>0</v>
      </c>
      <c r="AH237" s="9">
        <f>'BIO DATA'!AY237</f>
        <v>0</v>
      </c>
      <c r="AI237" s="9">
        <f>'BIO DATA'!AZ237</f>
        <v>0</v>
      </c>
      <c r="AJ237" s="9">
        <f>'BIO DATA'!BA237</f>
        <v>0</v>
      </c>
      <c r="AK237" s="9">
        <f>'BIO DATA'!BB237</f>
        <v>0</v>
      </c>
      <c r="AL237" s="9">
        <f>'BIO DATA'!BC237</f>
        <v>0</v>
      </c>
      <c r="AM237" s="9">
        <f>'BIO DATA'!BD237</f>
        <v>0</v>
      </c>
      <c r="AN237" s="9">
        <f>'BIO DATA'!BE237</f>
        <v>0</v>
      </c>
      <c r="AO237" s="9">
        <f>'BIO DATA'!BF237</f>
        <v>0</v>
      </c>
      <c r="AP237" s="50" t="str">
        <f>'BIO DATA'!BG237</f>
        <v>Yusup Siradz, S.Pd.I., M.S.I.</v>
      </c>
    </row>
    <row r="238" spans="1:42" s="51" customFormat="1" ht="20.100000000000001" customHeight="1" thickBot="1">
      <c r="A238" s="17" t="s">
        <v>225</v>
      </c>
      <c r="B238">
        <v>118</v>
      </c>
      <c r="C238" s="116">
        <f>'BIO DATA'!C238</f>
        <v>12563</v>
      </c>
      <c r="D238" s="116" t="str">
        <f>'BIO DATA'!D238</f>
        <v>0148519799</v>
      </c>
      <c r="E238" s="115" t="str">
        <f>'BIO DATA'!E238</f>
        <v>Haldis Ghazain Rafay Arif</v>
      </c>
      <c r="F238" s="46" t="str">
        <f>'BIO DATA'!L238</f>
        <v>Laki-laki</v>
      </c>
      <c r="G238" s="9" t="str">
        <f>'BIO DATA'!M238</f>
        <v>Kota Madiun</v>
      </c>
      <c r="H238" s="48">
        <f>'BIO DATA'!O238</f>
        <v>41707</v>
      </c>
      <c r="I238" s="46" t="str">
        <f>'BIO DATA'!R238</f>
        <v>Islam</v>
      </c>
      <c r="J238" s="47">
        <f>'BIO DATA'!I238</f>
        <v>1</v>
      </c>
      <c r="K238" s="47">
        <f>'BIO DATA'!J238</f>
        <v>0</v>
      </c>
      <c r="L238" s="9" t="str">
        <f>'BIO DATA'!S238</f>
        <v>Perum Omah Banjar A3 Banjarejo Kecamatan Taman Kota Madiun Jawa Timur</v>
      </c>
      <c r="M238" s="9" t="str">
        <f>'BIO DATA'!U238</f>
        <v>Banjarejo</v>
      </c>
      <c r="N238" s="9" t="str">
        <f>'BIO DATA'!V238</f>
        <v>Taman Kuto</v>
      </c>
      <c r="O238" s="9" t="str">
        <f>'BIO DATA'!W238</f>
        <v>Kota Madiun</v>
      </c>
      <c r="P238" s="9" t="str">
        <f>'BIO DATA'!X238</f>
        <v>Jawa Timur</v>
      </c>
      <c r="Q238" s="9" t="str">
        <f>'BIO DATA'!Y238</f>
        <v>SD Muhammadiyah Kota Madiun</v>
      </c>
      <c r="R238" s="9" t="str">
        <f>'BIO DATA'!Z238</f>
        <v>Jl. Raya Ponorogo - Madiun No.3, Josenan, Kec. Taman, Kota Madiun, Jawa Timur 63135</v>
      </c>
      <c r="S238" s="9">
        <f>'BIO DATA'!AA238</f>
        <v>0</v>
      </c>
      <c r="T238" s="9" t="str">
        <f>'BIO DATA'!AB238</f>
        <v>Arif Sugianto</v>
      </c>
      <c r="U238" s="9" t="str">
        <f>'BIO DATA'!AC238</f>
        <v>Islam</v>
      </c>
      <c r="V238" s="9" t="str">
        <f>'BIO DATA'!AD238</f>
        <v>S2</v>
      </c>
      <c r="W238" s="9" t="str">
        <f>'BIO DATA'!AE238</f>
        <v>Dosen</v>
      </c>
      <c r="X238" s="9">
        <f>'BIO DATA'!AF238</f>
        <v>0</v>
      </c>
      <c r="Y238" s="144" t="str">
        <f>'BIO DATA'!AG238</f>
        <v>082116000076</v>
      </c>
      <c r="Z238" s="9">
        <f>'BIO DATA'!AH238</f>
        <v>0</v>
      </c>
      <c r="AA238" s="9" t="str">
        <f>'BIO DATA'!AI238</f>
        <v>Pita Anjarsari</v>
      </c>
      <c r="AB238" s="9" t="str">
        <f>'BIO DATA'!AJ238</f>
        <v>Islam</v>
      </c>
      <c r="AC238" s="9" t="str">
        <f>'BIO DATA'!AK238</f>
        <v>S2</v>
      </c>
      <c r="AD238" s="9" t="str">
        <f>'BIO DATA'!AL238</f>
        <v>Karyawan Swasta</v>
      </c>
      <c r="AE238" s="9">
        <f>'BIO DATA'!AM238</f>
        <v>0</v>
      </c>
      <c r="AF238" s="49" t="str">
        <f>'BIO DATA'!AN238</f>
        <v>082143219119</v>
      </c>
      <c r="AG238" s="9">
        <f>'BIO DATA'!AO238</f>
        <v>0</v>
      </c>
      <c r="AH238" s="9">
        <f>'BIO DATA'!AY238</f>
        <v>0</v>
      </c>
      <c r="AI238" s="9">
        <f>'BIO DATA'!AZ238</f>
        <v>0</v>
      </c>
      <c r="AJ238" s="9">
        <f>'BIO DATA'!BA238</f>
        <v>0</v>
      </c>
      <c r="AK238" s="9">
        <f>'BIO DATA'!BB238</f>
        <v>0</v>
      </c>
      <c r="AL238" s="9">
        <f>'BIO DATA'!BC238</f>
        <v>0</v>
      </c>
      <c r="AM238" s="9">
        <f>'BIO DATA'!BD238</f>
        <v>0</v>
      </c>
      <c r="AN238" s="9">
        <f>'BIO DATA'!BE238</f>
        <v>0</v>
      </c>
      <c r="AO238" s="9">
        <f>'BIO DATA'!BF238</f>
        <v>0</v>
      </c>
      <c r="AP238" s="50" t="str">
        <f>'BIO DATA'!BG238</f>
        <v>Yusup Siradz, S.Pd.I., M.S.I.</v>
      </c>
    </row>
    <row r="239" spans="1:42" s="51" customFormat="1" ht="20.100000000000001" customHeight="1" thickBot="1">
      <c r="A239" s="17" t="s">
        <v>225</v>
      </c>
      <c r="B239">
        <v>131</v>
      </c>
      <c r="C239" s="116">
        <f>'BIO DATA'!C239</f>
        <v>12581</v>
      </c>
      <c r="D239" s="116" t="str">
        <f>'BIO DATA'!D239</f>
        <v>0147235018</v>
      </c>
      <c r="E239" s="115" t="str">
        <f>'BIO DATA'!E239</f>
        <v>Kai Raska Ibrahim</v>
      </c>
      <c r="F239" s="46" t="str">
        <f>'BIO DATA'!L239</f>
        <v>Laki-laki</v>
      </c>
      <c r="G239" s="9" t="str">
        <f>'BIO DATA'!M239</f>
        <v>Salatiga</v>
      </c>
      <c r="H239" s="48">
        <f>'BIO DATA'!O239</f>
        <v>41697</v>
      </c>
      <c r="I239" s="46" t="str">
        <f>'BIO DATA'!R239</f>
        <v>Islam</v>
      </c>
      <c r="J239" s="47">
        <f>'BIO DATA'!I239</f>
        <v>1</v>
      </c>
      <c r="K239" s="47">
        <f>'BIO DATA'!J239</f>
        <v>2</v>
      </c>
      <c r="L239" s="9" t="str">
        <f>'BIO DATA'!S239</f>
        <v>Banyumudal, RT02 RW 07, Moga, Pemalang Jawa Tengah</v>
      </c>
      <c r="M239" s="9" t="str">
        <f>'BIO DATA'!U239</f>
        <v>Banyumudal</v>
      </c>
      <c r="N239" s="9" t="str">
        <f>'BIO DATA'!V239</f>
        <v>Moga</v>
      </c>
      <c r="O239" s="9" t="str">
        <f>'BIO DATA'!W239</f>
        <v>Pemalang</v>
      </c>
      <c r="P239" s="9" t="str">
        <f>'BIO DATA'!X239</f>
        <v>Jawa Tengah</v>
      </c>
      <c r="Q239" s="9" t="str">
        <f>'BIO DATA'!Y239</f>
        <v>MI Muhammadiyah Banyumudal</v>
      </c>
      <c r="R239" s="9" t="str">
        <f>'BIO DATA'!Z239</f>
        <v>Banyumudal, Moga, Pemalang</v>
      </c>
      <c r="S239" s="9">
        <f>'BIO DATA'!AA239</f>
        <v>0</v>
      </c>
      <c r="T239" s="9" t="str">
        <f>'BIO DATA'!AB239</f>
        <v>Muhammad Tirta Kusuma</v>
      </c>
      <c r="U239" s="9" t="str">
        <f>'BIO DATA'!AC239</f>
        <v>Islam</v>
      </c>
      <c r="V239" s="9" t="str">
        <f>'BIO DATA'!AD239</f>
        <v>S1</v>
      </c>
      <c r="W239" s="9" t="str">
        <f>'BIO DATA'!AE239</f>
        <v>Wiraswasta</v>
      </c>
      <c r="X239" s="9">
        <f>'BIO DATA'!AF239</f>
        <v>0</v>
      </c>
      <c r="Y239" s="144" t="str">
        <f>'BIO DATA'!AG239</f>
        <v>08562556060</v>
      </c>
      <c r="Z239" s="9">
        <f>'BIO DATA'!AH239</f>
        <v>0</v>
      </c>
      <c r="AA239" s="9" t="str">
        <f>'BIO DATA'!AI239</f>
        <v>Okky Oktavia</v>
      </c>
      <c r="AB239" s="9" t="str">
        <f>'BIO DATA'!AJ239</f>
        <v>Islam</v>
      </c>
      <c r="AC239" s="9" t="str">
        <f>'BIO DATA'!AK239</f>
        <v>S1</v>
      </c>
      <c r="AD239" s="9" t="str">
        <f>'BIO DATA'!AL239</f>
        <v>Wiraswasta</v>
      </c>
      <c r="AE239" s="9">
        <f>'BIO DATA'!AM239</f>
        <v>0</v>
      </c>
      <c r="AF239" s="49" t="str">
        <f>'BIO DATA'!AN239</f>
        <v>085842749426</v>
      </c>
      <c r="AG239" s="9">
        <f>'BIO DATA'!AO239</f>
        <v>0</v>
      </c>
      <c r="AH239" s="9">
        <f>'BIO DATA'!AY239</f>
        <v>0</v>
      </c>
      <c r="AI239" s="9">
        <f>'BIO DATA'!AZ239</f>
        <v>0</v>
      </c>
      <c r="AJ239" s="9">
        <f>'BIO DATA'!BA239</f>
        <v>0</v>
      </c>
      <c r="AK239" s="9">
        <f>'BIO DATA'!BB239</f>
        <v>0</v>
      </c>
      <c r="AL239" s="9">
        <f>'BIO DATA'!BC239</f>
        <v>0</v>
      </c>
      <c r="AM239" s="9">
        <f>'BIO DATA'!BD239</f>
        <v>0</v>
      </c>
      <c r="AN239" s="9">
        <f>'BIO DATA'!BE239</f>
        <v>0</v>
      </c>
      <c r="AO239" s="9">
        <f>'BIO DATA'!BF239</f>
        <v>0</v>
      </c>
      <c r="AP239" s="50" t="str">
        <f>'BIO DATA'!BG239</f>
        <v>Yusup Siradz, S.Pd.I., M.S.I.</v>
      </c>
    </row>
    <row r="240" spans="1:42" s="51" customFormat="1" ht="20.100000000000001" customHeight="1" thickBot="1">
      <c r="A240" s="17" t="s">
        <v>225</v>
      </c>
      <c r="B240">
        <v>134</v>
      </c>
      <c r="C240" s="116">
        <f>'BIO DATA'!C240</f>
        <v>12583</v>
      </c>
      <c r="D240" s="116">
        <f>'BIO DATA'!D240</f>
        <v>3134994929</v>
      </c>
      <c r="E240" s="115" t="str">
        <f>'BIO DATA'!E240</f>
        <v>Kareem Abraham</v>
      </c>
      <c r="F240" s="46" t="str">
        <f>'BIO DATA'!L240</f>
        <v>Laki-laki</v>
      </c>
      <c r="G240" s="9" t="str">
        <f>'BIO DATA'!M240</f>
        <v>Jakarta</v>
      </c>
      <c r="H240" s="48">
        <f>'BIO DATA'!O240</f>
        <v>41608</v>
      </c>
      <c r="I240" s="46" t="str">
        <f>'BIO DATA'!R240</f>
        <v>Islam</v>
      </c>
      <c r="J240" s="47">
        <f>'BIO DATA'!I240</f>
        <v>1</v>
      </c>
      <c r="K240" s="47">
        <f>'BIO DATA'!J240</f>
        <v>1</v>
      </c>
      <c r="L240" s="9" t="str">
        <f>'BIO DATA'!S240</f>
        <v>Jl. Jafar 99F RT9 RW2 Balekambang Kramat Jati Jakarta Timur DKI Jakarta</v>
      </c>
      <c r="M240" s="9" t="str">
        <f>'BIO DATA'!U240</f>
        <v>Balekambang</v>
      </c>
      <c r="N240" s="9" t="str">
        <f>'BIO DATA'!V240</f>
        <v>Kramat Jati</v>
      </c>
      <c r="O240" s="9" t="str">
        <f>'BIO DATA'!W240</f>
        <v>Kota Jakarta Timur</v>
      </c>
      <c r="P240" s="9" t="str">
        <f>'BIO DATA'!X240</f>
        <v>DKI Jakarta</v>
      </c>
      <c r="Q240" s="9" t="str">
        <f>'BIO DATA'!Y240</f>
        <v>SDS Muhammadiyah 06 Tebet Jakarta Selatan</v>
      </c>
      <c r="R240" s="9" t="str">
        <f>'BIO DATA'!Z240</f>
        <v>Jl. Tebet Timur Raya No.565 Tebet Jaksel</v>
      </c>
      <c r="S240" s="9">
        <f>'BIO DATA'!AA240</f>
        <v>0</v>
      </c>
      <c r="T240" s="9" t="str">
        <f>'BIO DATA'!AB240</f>
        <v>Prasetiya Aditama</v>
      </c>
      <c r="U240" s="9" t="str">
        <f>'BIO DATA'!AC240</f>
        <v>Islam</v>
      </c>
      <c r="V240" s="9" t="str">
        <f>'BIO DATA'!AD240</f>
        <v>S2</v>
      </c>
      <c r="W240" s="9" t="str">
        <f>'BIO DATA'!AE240</f>
        <v>PNS</v>
      </c>
      <c r="X240" s="9">
        <f>'BIO DATA'!AF240</f>
        <v>0</v>
      </c>
      <c r="Y240" s="144" t="str">
        <f>'BIO DATA'!AG240</f>
        <v>082118211339</v>
      </c>
      <c r="Z240" s="9">
        <f>'BIO DATA'!AH240</f>
        <v>0</v>
      </c>
      <c r="AA240" s="9" t="str">
        <f>'BIO DATA'!AI240</f>
        <v>Annisa Daniati</v>
      </c>
      <c r="AB240" s="9" t="str">
        <f>'BIO DATA'!AJ240</f>
        <v>Islam</v>
      </c>
      <c r="AC240" s="9" t="str">
        <f>'BIO DATA'!AK240</f>
        <v>S2</v>
      </c>
      <c r="AD240" s="9" t="str">
        <f>'BIO DATA'!AL240</f>
        <v>PNS</v>
      </c>
      <c r="AE240" s="9">
        <f>'BIO DATA'!AM240</f>
        <v>0</v>
      </c>
      <c r="AF240" s="49" t="str">
        <f>'BIO DATA'!AN240</f>
        <v>081390400301</v>
      </c>
      <c r="AG240" s="9">
        <f>'BIO DATA'!AO240</f>
        <v>0</v>
      </c>
      <c r="AH240" s="9">
        <f>'BIO DATA'!AY240</f>
        <v>0</v>
      </c>
      <c r="AI240" s="9">
        <f>'BIO DATA'!AZ240</f>
        <v>0</v>
      </c>
      <c r="AJ240" s="9">
        <f>'BIO DATA'!BA240</f>
        <v>0</v>
      </c>
      <c r="AK240" s="9">
        <f>'BIO DATA'!BB240</f>
        <v>0</v>
      </c>
      <c r="AL240" s="9">
        <f>'BIO DATA'!BC240</f>
        <v>0</v>
      </c>
      <c r="AM240" s="9">
        <f>'BIO DATA'!BD240</f>
        <v>0</v>
      </c>
      <c r="AN240" s="9">
        <f>'BIO DATA'!BE240</f>
        <v>0</v>
      </c>
      <c r="AO240" s="9">
        <f>'BIO DATA'!BF240</f>
        <v>0</v>
      </c>
      <c r="AP240" s="50" t="str">
        <f>'BIO DATA'!BG240</f>
        <v>Yusup Siradz, S.Pd.I., M.S.I.</v>
      </c>
    </row>
    <row r="241" spans="1:42" s="51" customFormat="1" ht="20.100000000000001" customHeight="1" thickBot="1">
      <c r="A241" s="17" t="s">
        <v>225</v>
      </c>
      <c r="B241">
        <v>178</v>
      </c>
      <c r="C241" s="116">
        <f>'BIO DATA'!C241</f>
        <v>12619</v>
      </c>
      <c r="D241" s="116" t="str">
        <f>'BIO DATA'!D241</f>
        <v>0135306186</v>
      </c>
      <c r="E241" s="115" t="str">
        <f>'BIO DATA'!E241</f>
        <v>Muhammad Arizar Reezqyandra</v>
      </c>
      <c r="F241" s="46" t="str">
        <f>'BIO DATA'!L241</f>
        <v>Laki-laki</v>
      </c>
      <c r="G241" s="9" t="str">
        <f>'BIO DATA'!M241</f>
        <v>Banjarmasin</v>
      </c>
      <c r="H241" s="48">
        <f>'BIO DATA'!O241</f>
        <v>41633</v>
      </c>
      <c r="I241" s="46" t="str">
        <f>'BIO DATA'!R241</f>
        <v>Islam</v>
      </c>
      <c r="J241" s="47">
        <f>'BIO DATA'!I241</f>
        <v>1</v>
      </c>
      <c r="K241" s="47">
        <f>'BIO DATA'!J241</f>
        <v>0</v>
      </c>
      <c r="L241" s="9" t="str">
        <f>'BIO DATA'!S241</f>
        <v>Jl Padat Karya Komplek Griya Bumi Selatan No. 10 RT 10. Kel Pembataan Kec Murung Pudak Kab Tabalong, Kalimantan Selatan</v>
      </c>
      <c r="M241" s="9" t="str">
        <f>'BIO DATA'!U241</f>
        <v>Pembataan</v>
      </c>
      <c r="N241" s="9" t="str">
        <f>'BIO DATA'!V241</f>
        <v>Murung Pudak</v>
      </c>
      <c r="O241" s="9" t="str">
        <f>'BIO DATA'!W241</f>
        <v>Tabalong</v>
      </c>
      <c r="P241" s="9" t="str">
        <f>'BIO DATA'!X241</f>
        <v>Kalimantan Selatan</v>
      </c>
      <c r="Q241" s="9" t="str">
        <f>'BIO DATA'!Y241</f>
        <v>SD Hasbunallah</v>
      </c>
      <c r="R241" s="9" t="str">
        <f>'BIO DATA'!Z241</f>
        <v>Komplek Swadharma Lestari Indah No. 1 RT. IX Kelurahan Mabu'un Kecamatan Murung Pudak Kabupaten Tabalong, Kalimantan Selatan</v>
      </c>
      <c r="S241" s="9">
        <f>'BIO DATA'!AA241</f>
        <v>0</v>
      </c>
      <c r="T241" s="9" t="str">
        <f>'BIO DATA'!AB241</f>
        <v>Yunizarrahman</v>
      </c>
      <c r="U241" s="9" t="str">
        <f>'BIO DATA'!AC241</f>
        <v>Islam</v>
      </c>
      <c r="V241" s="9" t="str">
        <f>'BIO DATA'!AD241</f>
        <v>S2</v>
      </c>
      <c r="W241" s="9" t="str">
        <f>'BIO DATA'!AE241</f>
        <v>PNS</v>
      </c>
      <c r="X241" s="9">
        <f>'BIO DATA'!AF241</f>
        <v>0</v>
      </c>
      <c r="Y241" s="144" t="str">
        <f>'BIO DATA'!AG241</f>
        <v>081154502479</v>
      </c>
      <c r="Z241" s="9">
        <f>'BIO DATA'!AH241</f>
        <v>0</v>
      </c>
      <c r="AA241" s="9" t="str">
        <f>'BIO DATA'!AI241</f>
        <v>Rima Noor Indah</v>
      </c>
      <c r="AB241" s="9" t="str">
        <f>'BIO DATA'!AJ241</f>
        <v>Islam</v>
      </c>
      <c r="AC241" s="9" t="str">
        <f>'BIO DATA'!AK241</f>
        <v>S1</v>
      </c>
      <c r="AD241" s="9" t="str">
        <f>'BIO DATA'!AL241</f>
        <v>Dokter/Bidan/Perawat</v>
      </c>
      <c r="AE241" s="9">
        <f>'BIO DATA'!AM241</f>
        <v>0</v>
      </c>
      <c r="AF241" s="49" t="str">
        <f>'BIO DATA'!AN241</f>
        <v>081349700483</v>
      </c>
      <c r="AG241" s="9">
        <f>'BIO DATA'!AO241</f>
        <v>0</v>
      </c>
      <c r="AH241" s="9">
        <f>'BIO DATA'!AY241</f>
        <v>0</v>
      </c>
      <c r="AI241" s="9">
        <f>'BIO DATA'!AZ241</f>
        <v>0</v>
      </c>
      <c r="AJ241" s="9">
        <f>'BIO DATA'!BA241</f>
        <v>0</v>
      </c>
      <c r="AK241" s="9">
        <f>'BIO DATA'!BB241</f>
        <v>0</v>
      </c>
      <c r="AL241" s="9">
        <f>'BIO DATA'!BC241</f>
        <v>0</v>
      </c>
      <c r="AM241" s="9">
        <f>'BIO DATA'!BD241</f>
        <v>0</v>
      </c>
      <c r="AN241" s="9">
        <f>'BIO DATA'!BE241</f>
        <v>0</v>
      </c>
      <c r="AO241" s="9">
        <f>'BIO DATA'!BF241</f>
        <v>0</v>
      </c>
      <c r="AP241" s="50" t="str">
        <f>'BIO DATA'!BG241</f>
        <v>Yusup Siradz, S.Pd.I., M.S.I.</v>
      </c>
    </row>
    <row r="242" spans="1:42" s="51" customFormat="1" ht="20.100000000000001" customHeight="1" thickBot="1">
      <c r="A242" s="17" t="s">
        <v>225</v>
      </c>
      <c r="B242">
        <v>179</v>
      </c>
      <c r="C242" s="116">
        <f>'BIO DATA'!C242</f>
        <v>12636</v>
      </c>
      <c r="D242" s="116" t="str">
        <f>'BIO DATA'!D242</f>
        <v>0135855421</v>
      </c>
      <c r="E242" s="115" t="str">
        <f>'BIO DATA'!E242</f>
        <v>Muhammad Haekal Abdullah Andreago</v>
      </c>
      <c r="F242" s="46" t="str">
        <f>'BIO DATA'!L242</f>
        <v>Laki-laki</v>
      </c>
      <c r="G242" s="9" t="str">
        <f>'BIO DATA'!M242</f>
        <v>Yogyakarta</v>
      </c>
      <c r="H242" s="48">
        <f>'BIO DATA'!O242</f>
        <v>41553</v>
      </c>
      <c r="I242" s="46" t="str">
        <f>'BIO DATA'!R242</f>
        <v>Islam</v>
      </c>
      <c r="J242" s="47">
        <f>'BIO DATA'!I242</f>
        <v>3</v>
      </c>
      <c r="K242" s="47">
        <f>'BIO DATA'!J242</f>
        <v>5</v>
      </c>
      <c r="L242" s="9" t="str">
        <f>'BIO DATA'!S242</f>
        <v>Jl.Kauman No.44 RT:45 RW:12 Ngupasan Gondomanan Kota Yogyakarta DIY</v>
      </c>
      <c r="M242" s="9" t="str">
        <f>'BIO DATA'!U242</f>
        <v>Ngupasan</v>
      </c>
      <c r="N242" s="9" t="str">
        <f>'BIO DATA'!V242</f>
        <v>Gondomanan</v>
      </c>
      <c r="O242" s="9" t="str">
        <f>'BIO DATA'!W242</f>
        <v>Kota Yogyakarta</v>
      </c>
      <c r="P242" s="9" t="str">
        <f>'BIO DATA'!X242</f>
        <v>DIY</v>
      </c>
      <c r="Q242" s="9" t="str">
        <f>'BIO DATA'!Y242</f>
        <v>SD Muhammadiyah Kauman Yogyakarta</v>
      </c>
      <c r="R242" s="9" t="str">
        <f>'BIO DATA'!Z242</f>
        <v>Kauman GM I / NO:374 Ngupasan Gondomanan 55122</v>
      </c>
      <c r="S242" s="9">
        <f>'BIO DATA'!AA242</f>
        <v>0</v>
      </c>
      <c r="T242" s="9" t="str">
        <f>'BIO DATA'!AB242</f>
        <v>Muhammad Fuad,. S.E,. MSc</v>
      </c>
      <c r="U242" s="9" t="str">
        <f>'BIO DATA'!AC242</f>
        <v>Islam</v>
      </c>
      <c r="V242" s="9" t="str">
        <f>'BIO DATA'!AD242</f>
        <v>S2</v>
      </c>
      <c r="W242" s="9" t="str">
        <f>'BIO DATA'!AE242</f>
        <v>Wiraswasta</v>
      </c>
      <c r="X242" s="9">
        <f>'BIO DATA'!AF242</f>
        <v>0</v>
      </c>
      <c r="Y242" s="144" t="str">
        <f>'BIO DATA'!AG242</f>
        <v>08176441999</v>
      </c>
      <c r="Z242" s="9">
        <f>'BIO DATA'!AH242</f>
        <v>0</v>
      </c>
      <c r="AA242" s="9" t="str">
        <f>'BIO DATA'!AI242</f>
        <v>Nuril Frida Beta,. S.E</v>
      </c>
      <c r="AB242" s="9" t="str">
        <f>'BIO DATA'!AJ242</f>
        <v>Islam</v>
      </c>
      <c r="AC242" s="9" t="str">
        <f>'BIO DATA'!AK242</f>
        <v>S1</v>
      </c>
      <c r="AD242" s="9" t="str">
        <f>'BIO DATA'!AL242</f>
        <v>Tidak Bekerja</v>
      </c>
      <c r="AE242" s="9">
        <f>'BIO DATA'!AM242</f>
        <v>0</v>
      </c>
      <c r="AF242" s="49" t="str">
        <f>'BIO DATA'!AN242</f>
        <v>0817534421</v>
      </c>
      <c r="AG242" s="9">
        <f>'BIO DATA'!AO242</f>
        <v>0</v>
      </c>
      <c r="AH242" s="9">
        <f>'BIO DATA'!AY242</f>
        <v>0</v>
      </c>
      <c r="AI242" s="9">
        <f>'BIO DATA'!AZ242</f>
        <v>0</v>
      </c>
      <c r="AJ242" s="9">
        <f>'BIO DATA'!BA242</f>
        <v>0</v>
      </c>
      <c r="AK242" s="9">
        <f>'BIO DATA'!BB242</f>
        <v>0</v>
      </c>
      <c r="AL242" s="9">
        <f>'BIO DATA'!BC242</f>
        <v>0</v>
      </c>
      <c r="AM242" s="9">
        <f>'BIO DATA'!BD242</f>
        <v>0</v>
      </c>
      <c r="AN242" s="9">
        <f>'BIO DATA'!BE242</f>
        <v>0</v>
      </c>
      <c r="AO242" s="9">
        <f>'BIO DATA'!BF242</f>
        <v>0</v>
      </c>
      <c r="AP242" s="50" t="str">
        <f>'BIO DATA'!BG242</f>
        <v>Yusup Siradz, S.Pd.I., M.S.I.</v>
      </c>
    </row>
    <row r="243" spans="1:42" s="51" customFormat="1" ht="20.100000000000001" customHeight="1" thickBot="1">
      <c r="A243" s="17" t="s">
        <v>225</v>
      </c>
      <c r="B243">
        <v>188</v>
      </c>
      <c r="C243" s="116">
        <f>'BIO DATA'!C243</f>
        <v>12651</v>
      </c>
      <c r="D243" s="116" t="str">
        <f>'BIO DATA'!D243</f>
        <v>0145287117</v>
      </c>
      <c r="E243" s="115" t="str">
        <f>'BIO DATA'!E243</f>
        <v>Muhammad Raffi Ayman Shah</v>
      </c>
      <c r="F243" s="46" t="str">
        <f>'BIO DATA'!L243</f>
        <v>Laki-laki</v>
      </c>
      <c r="G243" s="9" t="str">
        <f>'BIO DATA'!M243</f>
        <v>Magelang</v>
      </c>
      <c r="H243" s="48">
        <f>'BIO DATA'!O243</f>
        <v>41708</v>
      </c>
      <c r="I243" s="46" t="str">
        <f>'BIO DATA'!R243</f>
        <v>Islam</v>
      </c>
      <c r="J243" s="47">
        <f>'BIO DATA'!I243</f>
        <v>2</v>
      </c>
      <c r="K243" s="47">
        <f>'BIO DATA'!J243</f>
        <v>1</v>
      </c>
      <c r="L243" s="9" t="str">
        <f>'BIO DATA'!S243</f>
        <v>Jln.Dirham rt 06 rw 07 Jetis Pancuranmas Secang Magelang</v>
      </c>
      <c r="M243" s="9" t="str">
        <f>'BIO DATA'!U243</f>
        <v>Pancuranmas</v>
      </c>
      <c r="N243" s="9" t="str">
        <f>'BIO DATA'!V243</f>
        <v>Secang</v>
      </c>
      <c r="O243" s="9" t="str">
        <f>'BIO DATA'!W243</f>
        <v>Magelang</v>
      </c>
      <c r="P243" s="9" t="str">
        <f>'BIO DATA'!X243</f>
        <v>Jawa Tengah</v>
      </c>
      <c r="Q243" s="9" t="str">
        <f>'BIO DATA'!Y243</f>
        <v>SDIT Ihsanul Fikri 1 kota Magelang</v>
      </c>
      <c r="R243" s="9" t="str">
        <f>'BIO DATA'!Z243</f>
        <v>Jl Jeruk Timur V Sanden Kramat Selatan,Magelang Utara Kota Magelang</v>
      </c>
      <c r="S243" s="9">
        <f>'BIO DATA'!AA243</f>
        <v>0</v>
      </c>
      <c r="T243" s="9" t="str">
        <f>'BIO DATA'!AB243</f>
        <v>Dharma Subrata</v>
      </c>
      <c r="U243" s="9" t="str">
        <f>'BIO DATA'!AC243</f>
        <v>Islam</v>
      </c>
      <c r="V243" s="9" t="str">
        <f>'BIO DATA'!AD243</f>
        <v>S1</v>
      </c>
      <c r="W243" s="9" t="str">
        <f>'BIO DATA'!AE243</f>
        <v>Pegawai Swasta</v>
      </c>
      <c r="X243" s="9">
        <f>'BIO DATA'!AF243</f>
        <v>0</v>
      </c>
      <c r="Y243" s="144" t="str">
        <f>'BIO DATA'!AG243</f>
        <v>081255502077</v>
      </c>
      <c r="Z243" s="9">
        <f>'BIO DATA'!AH243</f>
        <v>0</v>
      </c>
      <c r="AA243" s="9" t="str">
        <f>'BIO DATA'!AI243</f>
        <v>Yetti Fitriyana</v>
      </c>
      <c r="AB243" s="9" t="str">
        <f>'BIO DATA'!AJ243</f>
        <v>Islam</v>
      </c>
      <c r="AC243" s="9" t="str">
        <f>'BIO DATA'!AK243</f>
        <v>DIPLOMA</v>
      </c>
      <c r="AD243" s="9" t="str">
        <f>'BIO DATA'!AL243</f>
        <v>Tidak Bekerja</v>
      </c>
      <c r="AE243" s="9">
        <f>'BIO DATA'!AM243</f>
        <v>0</v>
      </c>
      <c r="AF243" s="49" t="str">
        <f>'BIO DATA'!AN243</f>
        <v>081255502077</v>
      </c>
      <c r="AG243" s="9">
        <f>'BIO DATA'!AO243</f>
        <v>0</v>
      </c>
      <c r="AH243" s="9">
        <f>'BIO DATA'!AY243</f>
        <v>0</v>
      </c>
      <c r="AI243" s="9">
        <f>'BIO DATA'!AZ243</f>
        <v>0</v>
      </c>
      <c r="AJ243" s="9">
        <f>'BIO DATA'!BA243</f>
        <v>0</v>
      </c>
      <c r="AK243" s="9">
        <f>'BIO DATA'!BB243</f>
        <v>0</v>
      </c>
      <c r="AL243" s="9">
        <f>'BIO DATA'!BC243</f>
        <v>0</v>
      </c>
      <c r="AM243" s="9">
        <f>'BIO DATA'!BD243</f>
        <v>0</v>
      </c>
      <c r="AN243" s="9">
        <f>'BIO DATA'!BE243</f>
        <v>0</v>
      </c>
      <c r="AO243" s="9">
        <f>'BIO DATA'!BF243</f>
        <v>0</v>
      </c>
      <c r="AP243" s="50" t="str">
        <f>'BIO DATA'!BG243</f>
        <v>Yusup Siradz, S.Pd.I., M.S.I.</v>
      </c>
    </row>
    <row r="244" spans="1:42" s="51" customFormat="1" ht="20.100000000000001" customHeight="1" thickBot="1">
      <c r="A244" s="17" t="s">
        <v>225</v>
      </c>
      <c r="B244">
        <v>194</v>
      </c>
      <c r="C244" s="116">
        <f>'BIO DATA'!C244</f>
        <v>12665</v>
      </c>
      <c r="D244" s="116">
        <f>'BIO DATA'!D244</f>
        <v>3134240292</v>
      </c>
      <c r="E244" s="115" t="str">
        <f>'BIO DATA'!E244</f>
        <v>Najmussyafi' Zimamul Haq</v>
      </c>
      <c r="F244" s="46" t="str">
        <f>'BIO DATA'!L244</f>
        <v>Laki-laki</v>
      </c>
      <c r="G244" s="9" t="str">
        <f>'BIO DATA'!M244</f>
        <v>Kisaran</v>
      </c>
      <c r="H244" s="48">
        <f>'BIO DATA'!O244</f>
        <v>41557</v>
      </c>
      <c r="I244" s="46" t="str">
        <f>'BIO DATA'!R244</f>
        <v>Islam</v>
      </c>
      <c r="J244" s="47">
        <f>'BIO DATA'!I244</f>
        <v>1</v>
      </c>
      <c r="K244" s="47">
        <f>'BIO DATA'!J244</f>
        <v>1</v>
      </c>
      <c r="L244" s="9" t="str">
        <f>'BIO DATA'!S244</f>
        <v>Komplek Buaran Baru Jl. Kobra II No F2 Duren Sawit Jakarta Timur DKI Jakarta</v>
      </c>
      <c r="M244" s="9" t="str">
        <f>'BIO DATA'!U244</f>
        <v>Duren Sawit</v>
      </c>
      <c r="N244" s="9" t="str">
        <f>'BIO DATA'!V244</f>
        <v>Duren Sawit</v>
      </c>
      <c r="O244" s="9" t="str">
        <f>'BIO DATA'!W244</f>
        <v>Kota Jakarta Timur</v>
      </c>
      <c r="P244" s="9" t="str">
        <f>'BIO DATA'!X244</f>
        <v>DKI Jakarta</v>
      </c>
      <c r="Q244" s="9" t="str">
        <f>'BIO DATA'!Y244</f>
        <v>SDIT Ar Rahmah Jakarta</v>
      </c>
      <c r="R244" s="9" t="str">
        <f>'BIO DATA'!Z244</f>
        <v>Jl. Duren Sawit Barat II No.2 Blok F Komplek PTB Duren Sawit</v>
      </c>
      <c r="S244" s="9">
        <f>'BIO DATA'!AA244</f>
        <v>0</v>
      </c>
      <c r="T244" s="9" t="str">
        <f>'BIO DATA'!AB244</f>
        <v>Dimas Aryo Wibisono</v>
      </c>
      <c r="U244" s="9" t="str">
        <f>'BIO DATA'!AC244</f>
        <v>Islam</v>
      </c>
      <c r="V244" s="9" t="str">
        <f>'BIO DATA'!AD244</f>
        <v>S1</v>
      </c>
      <c r="W244" s="9" t="str">
        <f>'BIO DATA'!AE244</f>
        <v>Pegawai Swasta</v>
      </c>
      <c r="X244" s="9">
        <f>'BIO DATA'!AF244</f>
        <v>0</v>
      </c>
      <c r="Y244" s="144" t="str">
        <f>'BIO DATA'!AG244</f>
        <v>085216097337</v>
      </c>
      <c r="Z244" s="9">
        <f>'BIO DATA'!AH244</f>
        <v>0</v>
      </c>
      <c r="AA244" s="9" t="str">
        <f>'BIO DATA'!AI244</f>
        <v>Tiara Yuko Astagini</v>
      </c>
      <c r="AB244" s="9" t="str">
        <f>'BIO DATA'!AJ244</f>
        <v>Islam</v>
      </c>
      <c r="AC244" s="9" t="str">
        <f>'BIO DATA'!AK244</f>
        <v>S1</v>
      </c>
      <c r="AD244" s="9" t="str">
        <f>'BIO DATA'!AL244</f>
        <v>PNS</v>
      </c>
      <c r="AE244" s="9">
        <f>'BIO DATA'!AM244</f>
        <v>0</v>
      </c>
      <c r="AF244" s="49" t="str">
        <f>'BIO DATA'!AN244</f>
        <v>08116927788</v>
      </c>
      <c r="AG244" s="9">
        <f>'BIO DATA'!AO244</f>
        <v>0</v>
      </c>
      <c r="AH244" s="9">
        <f>'BIO DATA'!AY244</f>
        <v>0</v>
      </c>
      <c r="AI244" s="9">
        <f>'BIO DATA'!AZ244</f>
        <v>0</v>
      </c>
      <c r="AJ244" s="9">
        <f>'BIO DATA'!BA244</f>
        <v>0</v>
      </c>
      <c r="AK244" s="9">
        <f>'BIO DATA'!BB244</f>
        <v>0</v>
      </c>
      <c r="AL244" s="9">
        <f>'BIO DATA'!BC244</f>
        <v>0</v>
      </c>
      <c r="AM244" s="9">
        <f>'BIO DATA'!BD244</f>
        <v>0</v>
      </c>
      <c r="AN244" s="9">
        <f>'BIO DATA'!BE244</f>
        <v>0</v>
      </c>
      <c r="AO244" s="9">
        <f>'BIO DATA'!BF244</f>
        <v>0</v>
      </c>
      <c r="AP244" s="50" t="str">
        <f>'BIO DATA'!BG244</f>
        <v>Yusup Siradz, S.Pd.I., M.S.I.</v>
      </c>
    </row>
    <row r="245" spans="1:42" s="51" customFormat="1" ht="20.100000000000001" customHeight="1" thickBot="1">
      <c r="A245" s="17" t="s">
        <v>225</v>
      </c>
      <c r="B245">
        <v>198</v>
      </c>
      <c r="C245" s="116">
        <f>'BIO DATA'!C245</f>
        <v>12690</v>
      </c>
      <c r="D245" s="116" t="str">
        <f>'BIO DATA'!D245</f>
        <v>0144252996</v>
      </c>
      <c r="E245" s="115" t="str">
        <f>'BIO DATA'!E245</f>
        <v>Rauf Hilmi Munajad</v>
      </c>
      <c r="F245" s="46" t="str">
        <f>'BIO DATA'!L245</f>
        <v>Laki-laki</v>
      </c>
      <c r="G245" s="9" t="str">
        <f>'BIO DATA'!M245</f>
        <v>Semarang</v>
      </c>
      <c r="H245" s="48">
        <f>'BIO DATA'!O245</f>
        <v>41881</v>
      </c>
      <c r="I245" s="46" t="str">
        <f>'BIO DATA'!R245</f>
        <v>Islam</v>
      </c>
      <c r="J245" s="47">
        <f>'BIO DATA'!I245</f>
        <v>1</v>
      </c>
      <c r="K245" s="47">
        <f>'BIO DATA'!J245</f>
        <v>1</v>
      </c>
      <c r="L245" s="9" t="str">
        <f>'BIO DATA'!S245</f>
        <v>Jl Cemara Raya no 5 rt 1 rw 17. Padangsari Banyumanik Semarang 50267</v>
      </c>
      <c r="M245" s="9" t="str">
        <f>'BIO DATA'!U245</f>
        <v>Padangsari</v>
      </c>
      <c r="N245" s="9" t="str">
        <f>'BIO DATA'!V245</f>
        <v>Banyumanik</v>
      </c>
      <c r="O245" s="9" t="str">
        <f>'BIO DATA'!W245</f>
        <v>Kota Semarang</v>
      </c>
      <c r="P245" s="9" t="str">
        <f>'BIO DATA'!X245</f>
        <v>Jawa Tengah</v>
      </c>
      <c r="Q245" s="9" t="str">
        <f>'BIO DATA'!Y245</f>
        <v>SD Islam Hidayatullah</v>
      </c>
      <c r="R245" s="9" t="str">
        <f>'BIO DATA'!Z245</f>
        <v>Jl Durian Selatan I/6 Srondol Wetan Banyumanik Semarang 50235</v>
      </c>
      <c r="S245" s="9">
        <f>'BIO DATA'!AA245</f>
        <v>0</v>
      </c>
      <c r="T245" s="9" t="str">
        <f>'BIO DATA'!AB245</f>
        <v>Choir Munajad</v>
      </c>
      <c r="U245" s="9" t="str">
        <f>'BIO DATA'!AC245</f>
        <v>Islam</v>
      </c>
      <c r="V245" s="9" t="str">
        <f>'BIO DATA'!AD245</f>
        <v>S1</v>
      </c>
      <c r="W245" s="9" t="str">
        <f>'BIO DATA'!AE245</f>
        <v>Wiraswasta</v>
      </c>
      <c r="X245" s="9">
        <f>'BIO DATA'!AF245</f>
        <v>0</v>
      </c>
      <c r="Y245" s="144" t="str">
        <f>'BIO DATA'!AG245</f>
        <v>085713395355</v>
      </c>
      <c r="Z245" s="9">
        <f>'BIO DATA'!AH245</f>
        <v>0</v>
      </c>
      <c r="AA245" s="9" t="str">
        <f>'BIO DATA'!AI245</f>
        <v>Hanum Maharsi Narhadini</v>
      </c>
      <c r="AB245" s="9" t="str">
        <f>'BIO DATA'!AJ245</f>
        <v>Islam</v>
      </c>
      <c r="AC245" s="9" t="str">
        <f>'BIO DATA'!AK245</f>
        <v>S1</v>
      </c>
      <c r="AD245" s="9" t="str">
        <f>'BIO DATA'!AL245</f>
        <v>PNS</v>
      </c>
      <c r="AE245" s="9">
        <f>'BIO DATA'!AM245</f>
        <v>0</v>
      </c>
      <c r="AF245" s="49" t="str">
        <f>'BIO DATA'!AN245</f>
        <v>081226250090</v>
      </c>
      <c r="AG245" s="9">
        <f>'BIO DATA'!AO245</f>
        <v>0</v>
      </c>
      <c r="AH245" s="9">
        <f>'BIO DATA'!AY245</f>
        <v>0</v>
      </c>
      <c r="AI245" s="9">
        <f>'BIO DATA'!AZ245</f>
        <v>0</v>
      </c>
      <c r="AJ245" s="9">
        <f>'BIO DATA'!BA245</f>
        <v>0</v>
      </c>
      <c r="AK245" s="9">
        <f>'BIO DATA'!BB245</f>
        <v>0</v>
      </c>
      <c r="AL245" s="9">
        <f>'BIO DATA'!BC245</f>
        <v>0</v>
      </c>
      <c r="AM245" s="9">
        <f>'BIO DATA'!BD245</f>
        <v>0</v>
      </c>
      <c r="AN245" s="9">
        <f>'BIO DATA'!BE245</f>
        <v>0</v>
      </c>
      <c r="AO245" s="9">
        <f>'BIO DATA'!BF245</f>
        <v>0</v>
      </c>
      <c r="AP245" s="50" t="str">
        <f>'BIO DATA'!BG245</f>
        <v>Yusup Siradz, S.Pd.I., M.S.I.</v>
      </c>
    </row>
    <row r="246" spans="1:42" s="51" customFormat="1" ht="20.100000000000001" customHeight="1" thickBot="1">
      <c r="A246" s="17" t="s">
        <v>225</v>
      </c>
      <c r="B246">
        <v>229</v>
      </c>
      <c r="C246" s="116">
        <f>'BIO DATA'!C246</f>
        <v>12699</v>
      </c>
      <c r="D246" s="116">
        <f>'BIO DATA'!D246</f>
        <v>3133132873</v>
      </c>
      <c r="E246" s="115" t="str">
        <f>'BIO DATA'!E246</f>
        <v>Ryuuta Mikan Abdullah</v>
      </c>
      <c r="F246" s="46" t="str">
        <f>'BIO DATA'!L246</f>
        <v>Laki-laki</v>
      </c>
      <c r="G246" s="9" t="str">
        <f>'BIO DATA'!M246</f>
        <v>Bantul</v>
      </c>
      <c r="H246" s="48">
        <f>'BIO DATA'!O246</f>
        <v>41425</v>
      </c>
      <c r="I246" s="46" t="str">
        <f>'BIO DATA'!R246</f>
        <v>Islam</v>
      </c>
      <c r="J246" s="47">
        <f>'BIO DATA'!I246</f>
        <v>1</v>
      </c>
      <c r="K246" s="47">
        <f>'BIO DATA'!J246</f>
        <v>1</v>
      </c>
      <c r="L246" s="9" t="str">
        <f>'BIO DATA'!S246</f>
        <v>Manding Kidul Rt 07 Trirenggo Bantul</v>
      </c>
      <c r="M246" s="9" t="str">
        <f>'BIO DATA'!U246</f>
        <v>Kidul</v>
      </c>
      <c r="N246" s="9">
        <f>'BIO DATA'!V246</f>
        <v>0</v>
      </c>
      <c r="O246" s="9">
        <f>'BIO DATA'!W246</f>
        <v>0</v>
      </c>
      <c r="P246" s="9">
        <f>'BIO DATA'!X246</f>
        <v>0</v>
      </c>
      <c r="Q246" s="9" t="str">
        <f>'BIO DATA'!Y246</f>
        <v>SD Islam Al Azhar 38 Bantul</v>
      </c>
      <c r="R246" s="9" t="str">
        <f>'BIO DATA'!Z246</f>
        <v>GEMAHAN RINGINHARJO BANTUL</v>
      </c>
      <c r="S246" s="9">
        <f>'BIO DATA'!AA246</f>
        <v>0</v>
      </c>
      <c r="T246" s="9" t="str">
        <f>'BIO DATA'!AB246</f>
        <v>Nugroho Danisworo</v>
      </c>
      <c r="U246" s="9" t="str">
        <f>'BIO DATA'!AC246</f>
        <v>Islam</v>
      </c>
      <c r="V246" s="9" t="str">
        <f>'BIO DATA'!AD246</f>
        <v>DIPLOMA</v>
      </c>
      <c r="W246" s="9" t="str">
        <f>'BIO DATA'!AE246</f>
        <v>Petani/Peternak</v>
      </c>
      <c r="X246" s="9">
        <f>'BIO DATA'!AF246</f>
        <v>0</v>
      </c>
      <c r="Y246" s="144" t="str">
        <f>'BIO DATA'!AG246</f>
        <v>085807225855</v>
      </c>
      <c r="Z246" s="9">
        <f>'BIO DATA'!AH246</f>
        <v>0</v>
      </c>
      <c r="AA246" s="9" t="str">
        <f>'BIO DATA'!AI246</f>
        <v>Hesty Purwaningdyah Linggarjati</v>
      </c>
      <c r="AB246" s="9" t="str">
        <f>'BIO DATA'!AJ246</f>
        <v>Islam</v>
      </c>
      <c r="AC246" s="9" t="str">
        <f>'BIO DATA'!AK246</f>
        <v>S1</v>
      </c>
      <c r="AD246" s="9" t="str">
        <f>'BIO DATA'!AL246</f>
        <v>PNS</v>
      </c>
      <c r="AE246" s="9">
        <f>'BIO DATA'!AM246</f>
        <v>0</v>
      </c>
      <c r="AF246" s="49" t="str">
        <f>'BIO DATA'!AN246</f>
        <v>08121571126</v>
      </c>
      <c r="AG246" s="9">
        <f>'BIO DATA'!AO246</f>
        <v>0</v>
      </c>
      <c r="AH246" s="9">
        <f>'BIO DATA'!AY246</f>
        <v>0</v>
      </c>
      <c r="AI246" s="9">
        <f>'BIO DATA'!AZ246</f>
        <v>0</v>
      </c>
      <c r="AJ246" s="9">
        <f>'BIO DATA'!BA246</f>
        <v>0</v>
      </c>
      <c r="AK246" s="9">
        <f>'BIO DATA'!BB246</f>
        <v>0</v>
      </c>
      <c r="AL246" s="9">
        <f>'BIO DATA'!BC246</f>
        <v>0</v>
      </c>
      <c r="AM246" s="9">
        <f>'BIO DATA'!BD246</f>
        <v>0</v>
      </c>
      <c r="AN246" s="9">
        <f>'BIO DATA'!BE246</f>
        <v>0</v>
      </c>
      <c r="AO246" s="9">
        <f>'BIO DATA'!BF246</f>
        <v>0</v>
      </c>
      <c r="AP246" s="50" t="str">
        <f>'BIO DATA'!BG246</f>
        <v>Yusup Siradz, S.Pd.I., M.S.I.</v>
      </c>
    </row>
    <row r="247" spans="1:42" s="51" customFormat="1" ht="20.100000000000001" customHeight="1" thickBot="1">
      <c r="A247" s="17" t="s">
        <v>225</v>
      </c>
      <c r="B247">
        <v>248</v>
      </c>
      <c r="C247" s="116">
        <f>'BIO DATA'!C247</f>
        <v>12703</v>
      </c>
      <c r="D247" s="116" t="str">
        <f>'BIO DATA'!D247</f>
        <v>0133821645</v>
      </c>
      <c r="E247" s="115" t="str">
        <f>'BIO DATA'!E247</f>
        <v>Sayyaf Maulavi Barra Al Hafsh</v>
      </c>
      <c r="F247" s="46" t="str">
        <f>'BIO DATA'!L247</f>
        <v>Laki-laki</v>
      </c>
      <c r="G247" s="9" t="str">
        <f>'BIO DATA'!M247</f>
        <v>Yogyakarta</v>
      </c>
      <c r="H247" s="48">
        <f>'BIO DATA'!O247</f>
        <v>41505</v>
      </c>
      <c r="I247" s="46" t="str">
        <f>'BIO DATA'!R247</f>
        <v>Islam</v>
      </c>
      <c r="J247" s="47">
        <f>'BIO DATA'!I247</f>
        <v>1</v>
      </c>
      <c r="K247" s="47">
        <f>'BIO DATA'!J247</f>
        <v>2</v>
      </c>
      <c r="L247" s="9" t="str">
        <f>'BIO DATA'!S247</f>
        <v>Jl. Pandeyan No.11 Umbulharjo Yogyakarta 55161</v>
      </c>
      <c r="M247" s="9" t="str">
        <f>'BIO DATA'!U247</f>
        <v>Pandeyan</v>
      </c>
      <c r="N247" s="9" t="str">
        <f>'BIO DATA'!V247</f>
        <v>Umbulharjo</v>
      </c>
      <c r="O247" s="9" t="str">
        <f>'BIO DATA'!W247</f>
        <v>Kota Yogyakarta</v>
      </c>
      <c r="P247" s="9" t="str">
        <f>'BIO DATA'!X247</f>
        <v>DIY</v>
      </c>
      <c r="Q247" s="9" t="str">
        <f>'BIO DATA'!Y247</f>
        <v>SDIT Al Khairaat Yogyakarta</v>
      </c>
      <c r="R247" s="9" t="str">
        <f>'BIO DATA'!Z247</f>
        <v>Jl. Veteran Gg. Madukoro, Umbulharjo, Yogyakarta</v>
      </c>
      <c r="S247" s="9">
        <f>'BIO DATA'!AA247</f>
        <v>0</v>
      </c>
      <c r="T247" s="9" t="str">
        <f>'BIO DATA'!AB247</f>
        <v>Fadlun Amin</v>
      </c>
      <c r="U247" s="9" t="str">
        <f>'BIO DATA'!AC247</f>
        <v>Islam</v>
      </c>
      <c r="V247" s="9" t="str">
        <f>'BIO DATA'!AD247</f>
        <v>S2</v>
      </c>
      <c r="W247" s="9" t="str">
        <f>'BIO DATA'!AE247</f>
        <v>Wiraswasta</v>
      </c>
      <c r="X247" s="9">
        <f>'BIO DATA'!AF247</f>
        <v>0</v>
      </c>
      <c r="Y247" s="144" t="str">
        <f>'BIO DATA'!AG247</f>
        <v>082221231226</v>
      </c>
      <c r="Z247" s="9">
        <f>'BIO DATA'!AH247</f>
        <v>0</v>
      </c>
      <c r="AA247" s="9" t="str">
        <f>'BIO DATA'!AI247</f>
        <v>Fatiya Malik</v>
      </c>
      <c r="AB247" s="9" t="str">
        <f>'BIO DATA'!AJ247</f>
        <v>Islam</v>
      </c>
      <c r="AC247" s="9" t="str">
        <f>'BIO DATA'!AK247</f>
        <v>S2</v>
      </c>
      <c r="AD247" s="9" t="str">
        <f>'BIO DATA'!AL247</f>
        <v>Dokter/Bidan/Perawat</v>
      </c>
      <c r="AE247" s="9">
        <f>'BIO DATA'!AM247</f>
        <v>0</v>
      </c>
      <c r="AF247" s="49" t="str">
        <f>'BIO DATA'!AN247</f>
        <v>081226026026</v>
      </c>
      <c r="AG247" s="9">
        <f>'BIO DATA'!AO247</f>
        <v>0</v>
      </c>
      <c r="AH247" s="9">
        <f>'BIO DATA'!AY247</f>
        <v>0</v>
      </c>
      <c r="AI247" s="9">
        <f>'BIO DATA'!AZ247</f>
        <v>0</v>
      </c>
      <c r="AJ247" s="9">
        <f>'BIO DATA'!BA247</f>
        <v>0</v>
      </c>
      <c r="AK247" s="9">
        <f>'BIO DATA'!BB247</f>
        <v>0</v>
      </c>
      <c r="AL247" s="9">
        <f>'BIO DATA'!BC247</f>
        <v>0</v>
      </c>
      <c r="AM247" s="9">
        <f>'BIO DATA'!BD247</f>
        <v>0</v>
      </c>
      <c r="AN247" s="9">
        <f>'BIO DATA'!BE247</f>
        <v>0</v>
      </c>
      <c r="AO247" s="9">
        <f>'BIO DATA'!BF247</f>
        <v>0</v>
      </c>
      <c r="AP247" s="50" t="str">
        <f>'BIO DATA'!BG247</f>
        <v>Yusup Siradz, S.Pd.I., M.S.I.</v>
      </c>
    </row>
    <row r="248" spans="1:42" s="51" customFormat="1" ht="20.100000000000001" customHeight="1" thickBot="1">
      <c r="A248" s="17" t="s">
        <v>225</v>
      </c>
      <c r="B248">
        <v>252</v>
      </c>
      <c r="C248" s="404">
        <v>11842</v>
      </c>
      <c r="D248" s="116" t="str">
        <f>'BIO DATA'!D250</f>
        <v>0138262745</v>
      </c>
      <c r="E248" s="115" t="str">
        <f>'BIO DATA'!E250</f>
        <v>Zaidan Arkaan Adisya</v>
      </c>
      <c r="F248" s="46" t="str">
        <f>'BIO DATA'!L246</f>
        <v>Laki-laki</v>
      </c>
      <c r="G248" s="9" t="str">
        <f>'BIO DATA'!M250</f>
        <v>Magelang</v>
      </c>
      <c r="H248" s="48">
        <f>'BIO DATA'!O250</f>
        <v>41557</v>
      </c>
      <c r="I248" s="46" t="str">
        <f>'BIO DATA'!R250</f>
        <v>Islam</v>
      </c>
      <c r="J248" s="47">
        <f>'BIO DATA'!I250</f>
        <v>4</v>
      </c>
      <c r="K248" s="47">
        <f>'BIO DATA'!J250</f>
        <v>3</v>
      </c>
      <c r="L248" s="9" t="str">
        <f>'BIO DATA'!S250</f>
        <v>Jl. Jeruk Timur III NO.16 RT.002 RW.006, Kramat Selatan Magelang Utara Kota Magelang Jawa Tengah</v>
      </c>
      <c r="M248" s="9" t="str">
        <f>'BIO DATA'!U250</f>
        <v>Kramat Selatan</v>
      </c>
      <c r="N248" s="9" t="str">
        <f>'BIO DATA'!V250</f>
        <v>Magelang Utara</v>
      </c>
      <c r="O248" s="9" t="str">
        <f>'BIO DATA'!W250</f>
        <v>Kota Magelang</v>
      </c>
      <c r="P248" s="9" t="str">
        <f>'BIO DATA'!X250</f>
        <v>Jawa Tengah</v>
      </c>
      <c r="Q248" s="9" t="str">
        <f>'BIO DATA'!Y250</f>
        <v>SD Muhammadiyah 1 Alternatif Kota Magelang</v>
      </c>
      <c r="R248" s="9" t="str">
        <f>'BIO DATA'!Z250</f>
        <v>Jl. Tidar No.21a, Magersari, Kec. Magelang Sel., Kota Magelang, Jawa Tengah</v>
      </c>
      <c r="S248" s="9">
        <f>'BIO DATA'!AA250</f>
        <v>0</v>
      </c>
      <c r="T248" s="9" t="str">
        <f>'BIO DATA'!AB250</f>
        <v>Dody Budi Prabowo</v>
      </c>
      <c r="U248" s="9" t="str">
        <f>'BIO DATA'!AC250</f>
        <v>Islam</v>
      </c>
      <c r="V248" s="9" t="str">
        <f>'BIO DATA'!AD250</f>
        <v>S1</v>
      </c>
      <c r="W248" s="9" t="str">
        <f>'BIO DATA'!AE250</f>
        <v>PNS</v>
      </c>
      <c r="X248" s="9">
        <f>'BIO DATA'!AF250</f>
        <v>0</v>
      </c>
      <c r="Y248" s="144" t="str">
        <f>'BIO DATA'!AG250</f>
        <v>087843898424</v>
      </c>
      <c r="Z248" s="9">
        <f>'BIO DATA'!AH250</f>
        <v>0</v>
      </c>
      <c r="AA248" s="9" t="str">
        <f>'BIO DATA'!AI250</f>
        <v>Hening Syafitri Sulistyoningsih</v>
      </c>
      <c r="AB248" s="9" t="str">
        <f>'BIO DATA'!AJ250</f>
        <v>Islam</v>
      </c>
      <c r="AC248" s="9" t="str">
        <f>'BIO DATA'!AK250</f>
        <v>S1</v>
      </c>
      <c r="AD248" s="9" t="str">
        <f>'BIO DATA'!AL250</f>
        <v>PNS</v>
      </c>
      <c r="AE248" s="9">
        <f>'BIO DATA'!AM250</f>
        <v>0</v>
      </c>
      <c r="AF248" s="49" t="str">
        <f>'BIO DATA'!AN250</f>
        <v>085730412362</v>
      </c>
      <c r="AG248" s="9">
        <f>'BIO DATA'!AO250</f>
        <v>0</v>
      </c>
      <c r="AH248" s="9">
        <f>'BIO DATA'!AY250</f>
        <v>0</v>
      </c>
      <c r="AI248" s="9">
        <f>'BIO DATA'!AZ250</f>
        <v>0</v>
      </c>
      <c r="AJ248" s="9">
        <f>'BIO DATA'!BA250</f>
        <v>0</v>
      </c>
      <c r="AK248" s="9">
        <f>'BIO DATA'!BB250</f>
        <v>0</v>
      </c>
      <c r="AL248" s="9">
        <f>'BIO DATA'!BC250</f>
        <v>0</v>
      </c>
      <c r="AM248" s="9">
        <f>'BIO DATA'!BD250</f>
        <v>0</v>
      </c>
      <c r="AN248" s="9">
        <f>'BIO DATA'!BE250</f>
        <v>0</v>
      </c>
      <c r="AO248" s="9">
        <f>'BIO DATA'!BF250</f>
        <v>0</v>
      </c>
      <c r="AP248" s="50" t="str">
        <f>'BIO DATA'!BG250</f>
        <v>Yusup Siradz, S.Pd.I., M.S.I.</v>
      </c>
    </row>
    <row r="249" spans="1:42" s="51" customFormat="1" ht="20.100000000000001" customHeight="1" thickBot="1">
      <c r="A249" s="21" t="s">
        <v>226</v>
      </c>
      <c r="B249">
        <v>295</v>
      </c>
      <c r="C249" s="174">
        <v>11844</v>
      </c>
      <c r="D249" s="116" t="str">
        <f>'BIO DATA'!D251</f>
        <v>0134943887</v>
      </c>
      <c r="E249" s="115" t="str">
        <f>'BIO DATA'!E251</f>
        <v>Bara Habibi Tama</v>
      </c>
      <c r="F249" s="46" t="str">
        <f>'BIO DATA'!L248</f>
        <v>Laki-laki</v>
      </c>
      <c r="G249" s="9" t="str">
        <f>'BIO DATA'!M251</f>
        <v>Bantul</v>
      </c>
      <c r="H249" s="48">
        <f>'BIO DATA'!O251</f>
        <v>41281</v>
      </c>
      <c r="I249" s="46" t="str">
        <f>'BIO DATA'!R251</f>
        <v>Islam</v>
      </c>
      <c r="J249" s="47">
        <f>'BIO DATA'!I251</f>
        <v>1</v>
      </c>
      <c r="K249" s="47">
        <f>'BIO DATA'!J251</f>
        <v>0</v>
      </c>
      <c r="L249" s="9" t="str">
        <f>'BIO DATA'!S251</f>
        <v>Ngentak Palihan Rt 02 Sidomulyo Bambanglipuro Bantul DIY</v>
      </c>
      <c r="M249" s="9" t="str">
        <f>'BIO DATA'!U251</f>
        <v>Sidomulyo</v>
      </c>
      <c r="N249" s="9" t="str">
        <f>'BIO DATA'!V251</f>
        <v>Bambanglipuro</v>
      </c>
      <c r="O249" s="9" t="str">
        <f>'BIO DATA'!W251</f>
        <v>Bantul</v>
      </c>
      <c r="P249" s="9" t="str">
        <f>'BIO DATA'!X251</f>
        <v>DIY</v>
      </c>
      <c r="Q249" s="9" t="str">
        <f>'BIO DATA'!Y251</f>
        <v>SD Unggulan Aisyiyah Bantul</v>
      </c>
      <c r="R249" s="9" t="str">
        <f>'BIO DATA'!Z251</f>
        <v>Jln. Wakhid Hasyim no.60 Bantul Yogyakarta</v>
      </c>
      <c r="S249" s="9">
        <f>'BIO DATA'!AA251</f>
        <v>0</v>
      </c>
      <c r="T249" s="9" t="str">
        <f>'BIO DATA'!AB251</f>
        <v>Kuat Robby Nugroho</v>
      </c>
      <c r="U249" s="9" t="str">
        <f>'BIO DATA'!AC251</f>
        <v>Islam</v>
      </c>
      <c r="V249" s="9" t="str">
        <f>'BIO DATA'!AD251</f>
        <v>S1</v>
      </c>
      <c r="W249" s="9" t="str">
        <f>'BIO DATA'!AE251</f>
        <v>Pegawai Swasta</v>
      </c>
      <c r="X249" s="9">
        <f>'BIO DATA'!AF251</f>
        <v>0</v>
      </c>
      <c r="Y249" s="144" t="str">
        <f>'BIO DATA'!AG251</f>
        <v>081350829292</v>
      </c>
      <c r="Z249" s="9">
        <f>'BIO DATA'!AH251</f>
        <v>0</v>
      </c>
      <c r="AA249" s="9" t="str">
        <f>'BIO DATA'!AI251</f>
        <v>Hepi Susanti</v>
      </c>
      <c r="AB249" s="9" t="str">
        <f>'BIO DATA'!AJ251</f>
        <v>Islam</v>
      </c>
      <c r="AC249" s="9" t="str">
        <f>'BIO DATA'!AK251</f>
        <v>S1</v>
      </c>
      <c r="AD249" s="9" t="str">
        <f>'BIO DATA'!AL251</f>
        <v>Guru/Dosen</v>
      </c>
      <c r="AE249" s="9">
        <f>'BIO DATA'!AM251</f>
        <v>0</v>
      </c>
      <c r="AF249" s="49" t="str">
        <f>'BIO DATA'!AN251</f>
        <v>081910766777</v>
      </c>
      <c r="AG249" s="9">
        <f>'BIO DATA'!AO251</f>
        <v>0</v>
      </c>
      <c r="AH249" s="9">
        <f>'BIO DATA'!AY251</f>
        <v>0</v>
      </c>
      <c r="AI249" s="9">
        <f>'BIO DATA'!AZ251</f>
        <v>0</v>
      </c>
      <c r="AJ249" s="9">
        <f>'BIO DATA'!BA251</f>
        <v>0</v>
      </c>
      <c r="AK249" s="9">
        <f>'BIO DATA'!BB251</f>
        <v>0</v>
      </c>
      <c r="AL249" s="9">
        <f>'BIO DATA'!BC251</f>
        <v>0</v>
      </c>
      <c r="AM249" s="9">
        <f>'BIO DATA'!BD251</f>
        <v>0</v>
      </c>
      <c r="AN249" s="9">
        <f>'BIO DATA'!BE251</f>
        <v>0</v>
      </c>
      <c r="AO249" s="9">
        <f>'BIO DATA'!BF251</f>
        <v>0</v>
      </c>
      <c r="AP249" s="50" t="str">
        <f>'BIO DATA'!BG251</f>
        <v>Muhammad Faisal Fakhrurozi, S.Pd.</v>
      </c>
    </row>
    <row r="250" spans="1:42" s="51" customFormat="1" ht="20.100000000000001" customHeight="1" thickBot="1">
      <c r="A250" s="21" t="s">
        <v>226</v>
      </c>
      <c r="B250">
        <v>297</v>
      </c>
      <c r="C250" s="174">
        <v>11845</v>
      </c>
      <c r="D250" s="116" t="str">
        <f>'BIO DATA'!D252</f>
        <v>0132201310</v>
      </c>
      <c r="E250" s="115" t="str">
        <f>'BIO DATA'!E252</f>
        <v>Bilal Geno Al Ghaisan</v>
      </c>
      <c r="F250" s="46" t="str">
        <f>'BIO DATA'!L249</f>
        <v>Laki-laki</v>
      </c>
      <c r="G250" s="9" t="str">
        <f>'BIO DATA'!M252</f>
        <v>Cilacap</v>
      </c>
      <c r="H250" s="48">
        <f>'BIO DATA'!O252</f>
        <v>41503</v>
      </c>
      <c r="I250" s="46" t="str">
        <f>'BIO DATA'!R252</f>
        <v>Islam</v>
      </c>
      <c r="J250" s="47">
        <f>'BIO DATA'!I252</f>
        <v>1</v>
      </c>
      <c r="K250" s="47">
        <f>'BIO DATA'!J252</f>
        <v>1</v>
      </c>
      <c r="L250" s="9" t="str">
        <f>'BIO DATA'!S252</f>
        <v>Perumahan Citra Merapi No F1 RT 03 RW 05, Sidanegara Cilacap Tengah Kab. Cilacap Jawa Tengah</v>
      </c>
      <c r="M250" s="9" t="str">
        <f>'BIO DATA'!U252</f>
        <v>Sidanegara</v>
      </c>
      <c r="N250" s="9" t="str">
        <f>'BIO DATA'!V252</f>
        <v>Cilacap Tengah</v>
      </c>
      <c r="O250" s="9" t="str">
        <f>'BIO DATA'!W252</f>
        <v>Cilacap</v>
      </c>
      <c r="P250" s="9" t="str">
        <f>'BIO DATA'!X252</f>
        <v>Jawa Tengah</v>
      </c>
      <c r="Q250" s="9" t="str">
        <f>'BIO DATA'!Y252</f>
        <v>SDIT Bina Anak Sholeh Cilacap</v>
      </c>
      <c r="R250" s="9" t="str">
        <f>'BIO DATA'!Z252</f>
        <v>JL MASJID NO. 04 SIDANEGARA, CILACAP</v>
      </c>
      <c r="S250" s="9">
        <f>'BIO DATA'!AA252</f>
        <v>0</v>
      </c>
      <c r="T250" s="9" t="str">
        <f>'BIO DATA'!AB252</f>
        <v>Bodan Septana Rikky</v>
      </c>
      <c r="U250" s="9" t="str">
        <f>'BIO DATA'!AC252</f>
        <v>Islam</v>
      </c>
      <c r="V250" s="9" t="str">
        <f>'BIO DATA'!AD252</f>
        <v>S2</v>
      </c>
      <c r="W250" s="9" t="str">
        <f>'BIO DATA'!AE252</f>
        <v>Pegawai Swasta</v>
      </c>
      <c r="X250" s="9">
        <f>'BIO DATA'!AF252</f>
        <v>0</v>
      </c>
      <c r="Y250" s="144" t="str">
        <f>'BIO DATA'!AG252</f>
        <v>081328006565</v>
      </c>
      <c r="Z250" s="9">
        <f>'BIO DATA'!AH252</f>
        <v>0</v>
      </c>
      <c r="AA250" s="9" t="str">
        <f>'BIO DATA'!AI252</f>
        <v>Diandra Irnantiasa</v>
      </c>
      <c r="AB250" s="9" t="str">
        <f>'BIO DATA'!AJ252</f>
        <v>Islam</v>
      </c>
      <c r="AC250" s="9" t="str">
        <f>'BIO DATA'!AK252</f>
        <v>S1</v>
      </c>
      <c r="AD250" s="9" t="str">
        <f>'BIO DATA'!AL252</f>
        <v>Wiraswasta</v>
      </c>
      <c r="AE250" s="9">
        <f>'BIO DATA'!AM252</f>
        <v>0</v>
      </c>
      <c r="AF250" s="49" t="str">
        <f>'BIO DATA'!AN252</f>
        <v>081382797342</v>
      </c>
      <c r="AG250" s="9">
        <f>'BIO DATA'!AO252</f>
        <v>0</v>
      </c>
      <c r="AH250" s="9">
        <f>'BIO DATA'!AY252</f>
        <v>0</v>
      </c>
      <c r="AI250" s="9">
        <f>'BIO DATA'!AZ252</f>
        <v>0</v>
      </c>
      <c r="AJ250" s="9">
        <f>'BIO DATA'!BA252</f>
        <v>0</v>
      </c>
      <c r="AK250" s="9">
        <f>'BIO DATA'!BB252</f>
        <v>0</v>
      </c>
      <c r="AL250" s="9">
        <f>'BIO DATA'!BC252</f>
        <v>0</v>
      </c>
      <c r="AM250" s="9">
        <f>'BIO DATA'!BD252</f>
        <v>0</v>
      </c>
      <c r="AN250" s="9">
        <f>'BIO DATA'!BE252</f>
        <v>0</v>
      </c>
      <c r="AO250" s="9">
        <f>'BIO DATA'!BF252</f>
        <v>0</v>
      </c>
      <c r="AP250" s="50" t="str">
        <f>'BIO DATA'!BG252</f>
        <v>Muhammad Faisal Fakhrurozi, S.Pd.</v>
      </c>
    </row>
    <row r="251" spans="1:42" s="51" customFormat="1" ht="20.100000000000001" customHeight="1" thickBot="1">
      <c r="A251" s="21" t="s">
        <v>226</v>
      </c>
      <c r="B251">
        <v>315</v>
      </c>
      <c r="C251" s="174">
        <v>11846</v>
      </c>
      <c r="D251" s="116" t="str">
        <f>'BIO DATA'!D254</f>
        <v>0133849476</v>
      </c>
      <c r="E251" s="115" t="str">
        <f>'BIO DATA'!E254</f>
        <v>Ibnu Hafidz Elfathin</v>
      </c>
      <c r="F251" s="46" t="str">
        <f>'BIO DATA'!L250</f>
        <v>Laki-laki</v>
      </c>
      <c r="G251" s="9" t="str">
        <f>'BIO DATA'!M254</f>
        <v>Penajam Paser Utara</v>
      </c>
      <c r="H251" s="48">
        <f>'BIO DATA'!O254</f>
        <v>41531</v>
      </c>
      <c r="I251" s="46" t="str">
        <f>'BIO DATA'!R254</f>
        <v>Islam</v>
      </c>
      <c r="J251" s="47">
        <f>'BIO DATA'!I254</f>
        <v>1</v>
      </c>
      <c r="K251" s="47">
        <f>'BIO DATA'!J254</f>
        <v>3</v>
      </c>
      <c r="L251" s="9" t="str">
        <f>'BIO DATA'!S254</f>
        <v>Jalan propinsi RT 10 Kel. Petung Kec. Penajam Kab. Penajam Paser Utara Kalimantan Timur</v>
      </c>
      <c r="M251" s="9" t="str">
        <f>'BIO DATA'!U254</f>
        <v>Petung</v>
      </c>
      <c r="N251" s="9" t="str">
        <f>'BIO DATA'!V254</f>
        <v>Penajam</v>
      </c>
      <c r="O251" s="9" t="str">
        <f>'BIO DATA'!W254</f>
        <v>Penajam Paser Utara</v>
      </c>
      <c r="P251" s="9" t="str">
        <f>'BIO DATA'!X254</f>
        <v>Kalimantan Timur</v>
      </c>
      <c r="Q251" s="9" t="str">
        <f>'BIO DATA'!Y254</f>
        <v>SDIT Nurul Hikmah</v>
      </c>
      <c r="R251" s="9" t="str">
        <f>'BIO DATA'!Z254</f>
        <v>Jl H. Tatta Km.07 Kel. Nipah-nipah Kec. Penajam Kab. Penajam Paser Utara</v>
      </c>
      <c r="S251" s="9">
        <f>'BIO DATA'!AA254</f>
        <v>0</v>
      </c>
      <c r="T251" s="9" t="str">
        <f>'BIO DATA'!AB254</f>
        <v>Ilman</v>
      </c>
      <c r="U251" s="9" t="str">
        <f>'BIO DATA'!AC254</f>
        <v>Islam</v>
      </c>
      <c r="V251" s="9" t="str">
        <f>'BIO DATA'!AD254</f>
        <v>SMA/SMK/MA</v>
      </c>
      <c r="W251" s="9" t="str">
        <f>'BIO DATA'!AE254</f>
        <v>Wiraswasta</v>
      </c>
      <c r="X251" s="9">
        <f>'BIO DATA'!AF254</f>
        <v>0</v>
      </c>
      <c r="Y251" s="144" t="str">
        <f>'BIO DATA'!AG254</f>
        <v>081258296777</v>
      </c>
      <c r="Z251" s="9">
        <f>'BIO DATA'!AH254</f>
        <v>0</v>
      </c>
      <c r="AA251" s="9" t="str">
        <f>'BIO DATA'!AI254</f>
        <v>Indrayanni</v>
      </c>
      <c r="AB251" s="9" t="str">
        <f>'BIO DATA'!AJ254</f>
        <v>Islam</v>
      </c>
      <c r="AC251" s="9" t="str">
        <f>'BIO DATA'!AK254</f>
        <v>S1</v>
      </c>
      <c r="AD251" s="9" t="str">
        <f>'BIO DATA'!AL254</f>
        <v>Lain-lain</v>
      </c>
      <c r="AE251" s="9">
        <f>'BIO DATA'!AM254</f>
        <v>0</v>
      </c>
      <c r="AF251" s="49" t="str">
        <f>'BIO DATA'!AN254</f>
        <v>085247522616</v>
      </c>
      <c r="AG251" s="9">
        <f>'BIO DATA'!AO254</f>
        <v>0</v>
      </c>
      <c r="AH251" s="9">
        <f>'BIO DATA'!AY254</f>
        <v>0</v>
      </c>
      <c r="AI251" s="9">
        <f>'BIO DATA'!AZ254</f>
        <v>0</v>
      </c>
      <c r="AJ251" s="9">
        <f>'BIO DATA'!BA254</f>
        <v>0</v>
      </c>
      <c r="AK251" s="9">
        <f>'BIO DATA'!BB254</f>
        <v>0</v>
      </c>
      <c r="AL251" s="9">
        <f>'BIO DATA'!BC254</f>
        <v>0</v>
      </c>
      <c r="AM251" s="9">
        <f>'BIO DATA'!BD254</f>
        <v>0</v>
      </c>
      <c r="AN251" s="9">
        <f>'BIO DATA'!BE254</f>
        <v>0</v>
      </c>
      <c r="AO251" s="9">
        <f>'BIO DATA'!BF254</f>
        <v>0</v>
      </c>
      <c r="AP251" s="50" t="str">
        <f>'BIO DATA'!BG254</f>
        <v>Muhammad Faisal Fakhrurozi, S.Pd.</v>
      </c>
    </row>
    <row r="252" spans="1:42" s="51" customFormat="1" ht="20.100000000000001" customHeight="1" thickBot="1">
      <c r="A252" s="21" t="s">
        <v>226</v>
      </c>
      <c r="B252">
        <v>7</v>
      </c>
      <c r="C252" s="174">
        <v>11847</v>
      </c>
      <c r="D252" s="116" t="str">
        <f>'BIO DATA'!D255</f>
        <v>0139383900</v>
      </c>
      <c r="E252" s="115" t="str">
        <f>'BIO DATA'!E255</f>
        <v>Kenzi Agil Saryoso</v>
      </c>
      <c r="F252" s="46" t="e">
        <f>'BIO DATA'!#REF!</f>
        <v>#REF!</v>
      </c>
      <c r="G252" s="9" t="str">
        <f>'BIO DATA'!M255</f>
        <v>Surakarta</v>
      </c>
      <c r="H252" s="48">
        <f>'BIO DATA'!O255</f>
        <v>41575</v>
      </c>
      <c r="I252" s="46" t="str">
        <f>'BIO DATA'!R255</f>
        <v>Islam</v>
      </c>
      <c r="J252" s="47">
        <f>'BIO DATA'!I255</f>
        <v>1</v>
      </c>
      <c r="K252" s="47">
        <f>'BIO DATA'!J255</f>
        <v>0</v>
      </c>
      <c r="L252" s="9" t="str">
        <f>'BIO DATA'!S255</f>
        <v>Jl.imogiri barat, perumahan Green Jalimbar no C11 Bibis Timbulharjo Sewon Bantul DIY</v>
      </c>
      <c r="M252" s="9" t="str">
        <f>'BIO DATA'!U255</f>
        <v>Timbulharjo</v>
      </c>
      <c r="N252" s="9" t="str">
        <f>'BIO DATA'!V255</f>
        <v>Sewon</v>
      </c>
      <c r="O252" s="9" t="str">
        <f>'BIO DATA'!W255</f>
        <v>Bantul</v>
      </c>
      <c r="P252" s="9" t="str">
        <f>'BIO DATA'!X255</f>
        <v>DIY</v>
      </c>
      <c r="Q252" s="9" t="str">
        <f>'BIO DATA'!Y255</f>
        <v>SD Muhammadiyah Pakel</v>
      </c>
      <c r="R252" s="9" t="str">
        <f>'BIO DATA'!Z255</f>
        <v>jl. Pakel Baru, Sorosutan, Umbulharjo</v>
      </c>
      <c r="S252" s="9">
        <f>'BIO DATA'!AA255</f>
        <v>0</v>
      </c>
      <c r="T252" s="9" t="str">
        <f>'BIO DATA'!AB255</f>
        <v>Ragil Saryoso</v>
      </c>
      <c r="U252" s="9" t="str">
        <f>'BIO DATA'!AC255</f>
        <v>Islam</v>
      </c>
      <c r="V252" s="9" t="str">
        <f>'BIO DATA'!AD255</f>
        <v>S1</v>
      </c>
      <c r="W252" s="9" t="str">
        <f>'BIO DATA'!AE255</f>
        <v>Pegawai Swasta</v>
      </c>
      <c r="X252" s="9">
        <f>'BIO DATA'!AF255</f>
        <v>0</v>
      </c>
      <c r="Y252" s="144" t="str">
        <f>'BIO DATA'!AG255</f>
        <v>08995933388</v>
      </c>
      <c r="Z252" s="9">
        <f>'BIO DATA'!AH255</f>
        <v>0</v>
      </c>
      <c r="AA252" s="9" t="str">
        <f>'BIO DATA'!AI255</f>
        <v>Diane Angreni Puspitasari</v>
      </c>
      <c r="AB252" s="9" t="str">
        <f>'BIO DATA'!AJ255</f>
        <v>Islam</v>
      </c>
      <c r="AC252" s="9" t="str">
        <f>'BIO DATA'!AK255</f>
        <v>SMA/SMK/MA</v>
      </c>
      <c r="AD252" s="9" t="str">
        <f>'BIO DATA'!AL255</f>
        <v>Tidak Bekerja</v>
      </c>
      <c r="AE252" s="9">
        <f>'BIO DATA'!AM255</f>
        <v>0</v>
      </c>
      <c r="AF252" s="49" t="str">
        <f>'BIO DATA'!AN255</f>
        <v>08996555550</v>
      </c>
      <c r="AG252" s="9">
        <f>'BIO DATA'!AO255</f>
        <v>0</v>
      </c>
      <c r="AH252" s="9">
        <f>'BIO DATA'!AY255</f>
        <v>0</v>
      </c>
      <c r="AI252" s="9">
        <f>'BIO DATA'!AZ255</f>
        <v>0</v>
      </c>
      <c r="AJ252" s="9">
        <f>'BIO DATA'!BA255</f>
        <v>0</v>
      </c>
      <c r="AK252" s="9">
        <f>'BIO DATA'!BB255</f>
        <v>0</v>
      </c>
      <c r="AL252" s="9">
        <f>'BIO DATA'!BC255</f>
        <v>0</v>
      </c>
      <c r="AM252" s="9">
        <f>'BIO DATA'!BD255</f>
        <v>0</v>
      </c>
      <c r="AN252" s="9">
        <f>'BIO DATA'!BE255</f>
        <v>0</v>
      </c>
      <c r="AO252" s="9">
        <f>'BIO DATA'!BF255</f>
        <v>0</v>
      </c>
      <c r="AP252" s="50" t="str">
        <f>'BIO DATA'!BG255</f>
        <v>Muhammad Faisal Fakhrurozi, S.Pd.</v>
      </c>
    </row>
    <row r="253" spans="1:42" s="51" customFormat="1" ht="20.100000000000001" customHeight="1" thickBot="1">
      <c r="A253" s="21" t="s">
        <v>226</v>
      </c>
      <c r="B253">
        <v>22</v>
      </c>
      <c r="C253" s="174">
        <v>11848</v>
      </c>
      <c r="D253" s="116">
        <f>'BIO DATA'!D256</f>
        <v>3146207336</v>
      </c>
      <c r="E253" s="115" t="str">
        <f>'BIO DATA'!E256</f>
        <v>Muhammad Afif Azizan</v>
      </c>
      <c r="F253" s="46" t="str">
        <f>'BIO DATA'!L251</f>
        <v>Laki-laki</v>
      </c>
      <c r="G253" s="9" t="str">
        <f>'BIO DATA'!M256</f>
        <v>Sendawar</v>
      </c>
      <c r="H253" s="48">
        <f>'BIO DATA'!O256</f>
        <v>41717</v>
      </c>
      <c r="I253" s="46" t="str">
        <f>'BIO DATA'!R256</f>
        <v>Islam</v>
      </c>
      <c r="J253" s="47">
        <f>'BIO DATA'!I256</f>
        <v>3</v>
      </c>
      <c r="K253" s="47">
        <f>'BIO DATA'!J256</f>
        <v>3</v>
      </c>
      <c r="L253" s="9" t="str">
        <f>'BIO DATA'!S256</f>
        <v>Perum Korpri Blok F No 15 RT 005 Kel, Sekolaq Oday Kec, Sekolaq Darat Kutai Barat Kaltim</v>
      </c>
      <c r="M253" s="9" t="str">
        <f>'BIO DATA'!U256</f>
        <v>Sekolaq Oday</v>
      </c>
      <c r="N253" s="9" t="str">
        <f>'BIO DATA'!V256</f>
        <v>Sekolaq Darat</v>
      </c>
      <c r="O253" s="9" t="str">
        <f>'BIO DATA'!W256</f>
        <v>Kutai Barat</v>
      </c>
      <c r="P253" s="9" t="str">
        <f>'BIO DATA'!X256</f>
        <v>Kalimantan Timur</v>
      </c>
      <c r="Q253" s="9" t="str">
        <f>'BIO DATA'!Y256</f>
        <v>SD Muhammadiyah 1 Melak</v>
      </c>
      <c r="R253" s="9" t="str">
        <f>'BIO DATA'!Z256</f>
        <v>Kampung Melak Kecamatan Melak Kabupaten Kutai Barat</v>
      </c>
      <c r="S253" s="9">
        <f>'BIO DATA'!AA256</f>
        <v>0</v>
      </c>
      <c r="T253" s="9" t="str">
        <f>'BIO DATA'!AB256</f>
        <v>Sasli Rais</v>
      </c>
      <c r="U253" s="9" t="str">
        <f>'BIO DATA'!AC256</f>
        <v>Islam</v>
      </c>
      <c r="V253" s="9" t="str">
        <f>'BIO DATA'!AD256</f>
        <v>S1</v>
      </c>
      <c r="W253" s="9" t="str">
        <f>'BIO DATA'!AE256</f>
        <v>PNS</v>
      </c>
      <c r="X253" s="9">
        <f>'BIO DATA'!AF256</f>
        <v>0</v>
      </c>
      <c r="Y253" s="144" t="str">
        <f>'BIO DATA'!AG256</f>
        <v>082148113883</v>
      </c>
      <c r="Z253" s="9">
        <f>'BIO DATA'!AH256</f>
        <v>0</v>
      </c>
      <c r="AA253" s="9" t="str">
        <f>'BIO DATA'!AI256</f>
        <v>Lia Indah Khatarisna</v>
      </c>
      <c r="AB253" s="9" t="str">
        <f>'BIO DATA'!AJ256</f>
        <v>Islam</v>
      </c>
      <c r="AC253" s="9" t="str">
        <f>'BIO DATA'!AK256</f>
        <v>S1</v>
      </c>
      <c r="AD253" s="9" t="str">
        <f>'BIO DATA'!AL256</f>
        <v>Pegawai Swasta</v>
      </c>
      <c r="AE253" s="9">
        <f>'BIO DATA'!AM256</f>
        <v>0</v>
      </c>
      <c r="AF253" s="49" t="str">
        <f>'BIO DATA'!AN256</f>
        <v>0812580627</v>
      </c>
      <c r="AG253" s="9">
        <f>'BIO DATA'!AO256</f>
        <v>0</v>
      </c>
      <c r="AH253" s="9">
        <f>'BIO DATA'!AY256</f>
        <v>0</v>
      </c>
      <c r="AI253" s="9">
        <f>'BIO DATA'!AZ256</f>
        <v>0</v>
      </c>
      <c r="AJ253" s="9">
        <f>'BIO DATA'!BA256</f>
        <v>0</v>
      </c>
      <c r="AK253" s="9">
        <f>'BIO DATA'!BB256</f>
        <v>0</v>
      </c>
      <c r="AL253" s="9">
        <f>'BIO DATA'!BC256</f>
        <v>0</v>
      </c>
      <c r="AM253" s="9">
        <f>'BIO DATA'!BD256</f>
        <v>0</v>
      </c>
      <c r="AN253" s="9">
        <f>'BIO DATA'!BE256</f>
        <v>0</v>
      </c>
      <c r="AO253" s="9">
        <f>'BIO DATA'!BF256</f>
        <v>0</v>
      </c>
      <c r="AP253" s="50" t="str">
        <f>'BIO DATA'!BG256</f>
        <v>Muhammad Faisal Fakhrurozi, S.Pd.</v>
      </c>
    </row>
    <row r="254" spans="1:42" s="51" customFormat="1" ht="20.100000000000001" customHeight="1" thickBot="1">
      <c r="A254" s="21" t="s">
        <v>226</v>
      </c>
      <c r="B254">
        <v>29</v>
      </c>
      <c r="C254" s="174">
        <v>11849</v>
      </c>
      <c r="D254" s="116" t="str">
        <f>'BIO DATA'!D257</f>
        <v>0145355846</v>
      </c>
      <c r="E254" s="115" t="str">
        <f>'BIO DATA'!E257</f>
        <v>Muhammad Al Fatih</v>
      </c>
      <c r="F254" s="46" t="str">
        <f>'BIO DATA'!L252</f>
        <v>Laki-laki</v>
      </c>
      <c r="G254" s="9" t="str">
        <f>'BIO DATA'!M257</f>
        <v>Sleman</v>
      </c>
      <c r="H254" s="48">
        <f>'BIO DATA'!O257</f>
        <v>41678</v>
      </c>
      <c r="I254" s="46" t="str">
        <f>'BIO DATA'!R257</f>
        <v>Islam</v>
      </c>
      <c r="J254" s="47">
        <f>'BIO DATA'!I257</f>
        <v>3</v>
      </c>
      <c r="K254" s="47">
        <f>'BIO DATA'!J257</f>
        <v>2</v>
      </c>
      <c r="L254" s="9" t="str">
        <f>'BIO DATA'!S257</f>
        <v>Jl. Melati wetan no. 26, Baciro, Gondokusuman Kota Yogyakarta DIY</v>
      </c>
      <c r="M254" s="9" t="str">
        <f>'BIO DATA'!U257</f>
        <v>Baciro</v>
      </c>
      <c r="N254" s="9" t="str">
        <f>'BIO DATA'!V257</f>
        <v>Gondokusuman</v>
      </c>
      <c r="O254" s="9" t="str">
        <f>'BIO DATA'!W257</f>
        <v>Kota Yogyakarta</v>
      </c>
      <c r="P254" s="9" t="str">
        <f>'BIO DATA'!X257</f>
        <v>DIY</v>
      </c>
      <c r="Q254" s="9" t="str">
        <f>'BIO DATA'!Y257</f>
        <v>SD Muhammadiyah Sapen Yogyakarta</v>
      </c>
      <c r="R254" s="9" t="str">
        <f>'BIO DATA'!Z257</f>
        <v>Jl. Bimokurdo no.33, kec. Gondokusuman, Yogyakarta, DIY</v>
      </c>
      <c r="S254" s="9">
        <f>'BIO DATA'!AA257</f>
        <v>0</v>
      </c>
      <c r="T254" s="9" t="str">
        <f>'BIO DATA'!AB257</f>
        <v>Umar Syarif</v>
      </c>
      <c r="U254" s="9" t="str">
        <f>'BIO DATA'!AC257</f>
        <v>Islam</v>
      </c>
      <c r="V254" s="9" t="str">
        <f>'BIO DATA'!AD257</f>
        <v>S2</v>
      </c>
      <c r="W254" s="9" t="str">
        <f>'BIO DATA'!AE257</f>
        <v>Wiraswasta</v>
      </c>
      <c r="X254" s="9">
        <f>'BIO DATA'!AF257</f>
        <v>0</v>
      </c>
      <c r="Y254" s="144" t="str">
        <f>'BIO DATA'!AG257</f>
        <v>085385409353</v>
      </c>
      <c r="Z254" s="9">
        <f>'BIO DATA'!AH257</f>
        <v>0</v>
      </c>
      <c r="AA254" s="9" t="str">
        <f>'BIO DATA'!AI257</f>
        <v>Rini astuti</v>
      </c>
      <c r="AB254" s="9" t="str">
        <f>'BIO DATA'!AJ257</f>
        <v>Islam</v>
      </c>
      <c r="AC254" s="9" t="str">
        <f>'BIO DATA'!AK257</f>
        <v>S2</v>
      </c>
      <c r="AD254" s="9" t="str">
        <f>'BIO DATA'!AL257</f>
        <v>Lain-lain</v>
      </c>
      <c r="AE254" s="9">
        <f>'BIO DATA'!AM257</f>
        <v>0</v>
      </c>
      <c r="AF254" s="49" t="str">
        <f>'BIO DATA'!AN257</f>
        <v>085540103576</v>
      </c>
      <c r="AG254" s="9">
        <f>'BIO DATA'!AO257</f>
        <v>0</v>
      </c>
      <c r="AH254" s="9">
        <f>'BIO DATA'!AY257</f>
        <v>0</v>
      </c>
      <c r="AI254" s="9">
        <f>'BIO DATA'!AZ257</f>
        <v>0</v>
      </c>
      <c r="AJ254" s="9">
        <f>'BIO DATA'!BA257</f>
        <v>0</v>
      </c>
      <c r="AK254" s="9">
        <f>'BIO DATA'!BB257</f>
        <v>0</v>
      </c>
      <c r="AL254" s="9">
        <f>'BIO DATA'!BC257</f>
        <v>0</v>
      </c>
      <c r="AM254" s="9">
        <f>'BIO DATA'!BD257</f>
        <v>0</v>
      </c>
      <c r="AN254" s="9">
        <f>'BIO DATA'!BE257</f>
        <v>0</v>
      </c>
      <c r="AO254" s="9">
        <f>'BIO DATA'!BF257</f>
        <v>0</v>
      </c>
      <c r="AP254" s="50" t="str">
        <f>'BIO DATA'!BG257</f>
        <v>Muhammad Faisal Fakhrurozi, S.Pd.</v>
      </c>
    </row>
    <row r="255" spans="1:42" s="51" customFormat="1" ht="20.100000000000001" customHeight="1" thickBot="1">
      <c r="A255" s="21" t="s">
        <v>226</v>
      </c>
      <c r="B255">
        <v>51</v>
      </c>
      <c r="C255" s="174">
        <v>11850</v>
      </c>
      <c r="D255" s="116" t="str">
        <f>'BIO DATA'!D258</f>
        <v>0146440382</v>
      </c>
      <c r="E255" s="115" t="str">
        <f>'BIO DATA'!E258</f>
        <v>Muhammad Haikal Akram</v>
      </c>
      <c r="F255" s="46" t="str">
        <f>'BIO DATA'!L254</f>
        <v>Laki-laki</v>
      </c>
      <c r="G255" s="9" t="str">
        <f>'BIO DATA'!M258</f>
        <v>Banjarmasin</v>
      </c>
      <c r="H255" s="48">
        <f>'BIO DATA'!O258</f>
        <v>41812</v>
      </c>
      <c r="I255" s="46" t="str">
        <f>'BIO DATA'!R258</f>
        <v>Islam</v>
      </c>
      <c r="J255" s="47">
        <f>'BIO DATA'!I258</f>
        <v>2</v>
      </c>
      <c r="K255" s="47">
        <f>'BIO DATA'!J258</f>
        <v>1</v>
      </c>
      <c r="L255" s="9" t="str">
        <f>'BIO DATA'!S258</f>
        <v>Jl Pramuka Komp Rahayu Pembina 3 RIL/39 RT 023 RW 002 Sungai Lulut Banjarmasin Timur Kota Banjarmasin Kalsel</v>
      </c>
      <c r="M255" s="9" t="str">
        <f>'BIO DATA'!U258</f>
        <v>Sungai Lulut</v>
      </c>
      <c r="N255" s="9" t="str">
        <f>'BIO DATA'!V258</f>
        <v>Banjarmasin Timur</v>
      </c>
      <c r="O255" s="9" t="str">
        <f>'BIO DATA'!W258</f>
        <v>Kota Banjarmasin</v>
      </c>
      <c r="P255" s="9" t="str">
        <f>'BIO DATA'!X258</f>
        <v>Kalimantan Selatan</v>
      </c>
      <c r="Q255" s="9" t="str">
        <f>'BIO DATA'!Y258</f>
        <v>SD IT Ukuwah Banjarmasin</v>
      </c>
      <c r="R255" s="9" t="str">
        <f>'BIO DATA'!Z258</f>
        <v>Jalan Bumi Mas Raya Komp Handayani Banjarmasin Kalimantan Selatan</v>
      </c>
      <c r="S255" s="9">
        <f>'BIO DATA'!AA258</f>
        <v>0</v>
      </c>
      <c r="T255" s="9" t="str">
        <f>'BIO DATA'!AB258</f>
        <v>Chairan Asyhadi</v>
      </c>
      <c r="U255" s="9" t="str">
        <f>'BIO DATA'!AC258</f>
        <v>Islam</v>
      </c>
      <c r="V255" s="9" t="str">
        <f>'BIO DATA'!AD258</f>
        <v>S1</v>
      </c>
      <c r="W255" s="9" t="str">
        <f>'BIO DATA'!AE258</f>
        <v>Pegawai Swasta</v>
      </c>
      <c r="X255" s="9">
        <f>'BIO DATA'!AF258</f>
        <v>0</v>
      </c>
      <c r="Y255" s="144" t="str">
        <f>'BIO DATA'!AG258</f>
        <v>082150000690</v>
      </c>
      <c r="Z255" s="9">
        <f>'BIO DATA'!AH258</f>
        <v>0</v>
      </c>
      <c r="AA255" s="9" t="str">
        <f>'BIO DATA'!AI258</f>
        <v>Shofia Hayati (Alm)</v>
      </c>
      <c r="AB255" s="9" t="str">
        <f>'BIO DATA'!AJ258</f>
        <v>Islam</v>
      </c>
      <c r="AC255" s="9" t="str">
        <f>'BIO DATA'!AK258</f>
        <v>S1</v>
      </c>
      <c r="AD255" s="9" t="str">
        <f>'BIO DATA'!AL258</f>
        <v>Tidak Bekerja</v>
      </c>
      <c r="AE255" s="9">
        <f>'BIO DATA'!AM258</f>
        <v>0</v>
      </c>
      <c r="AF255" s="49" t="str">
        <f>'BIO DATA'!AN258</f>
        <v>0811500690</v>
      </c>
      <c r="AG255" s="9">
        <f>'BIO DATA'!AO258</f>
        <v>0</v>
      </c>
      <c r="AH255" s="9">
        <f>'BIO DATA'!AY258</f>
        <v>0</v>
      </c>
      <c r="AI255" s="9">
        <f>'BIO DATA'!AZ258</f>
        <v>0</v>
      </c>
      <c r="AJ255" s="9">
        <f>'BIO DATA'!BA258</f>
        <v>0</v>
      </c>
      <c r="AK255" s="9">
        <f>'BIO DATA'!BB258</f>
        <v>0</v>
      </c>
      <c r="AL255" s="9">
        <f>'BIO DATA'!BC258</f>
        <v>0</v>
      </c>
      <c r="AM255" s="9">
        <f>'BIO DATA'!BD258</f>
        <v>0</v>
      </c>
      <c r="AN255" s="9">
        <f>'BIO DATA'!BE258</f>
        <v>0</v>
      </c>
      <c r="AO255" s="9">
        <f>'BIO DATA'!BF258</f>
        <v>0</v>
      </c>
      <c r="AP255" s="50" t="str">
        <f>'BIO DATA'!BG258</f>
        <v>Muhammad Faisal Fakhrurozi, S.Pd.</v>
      </c>
    </row>
    <row r="256" spans="1:42" s="51" customFormat="1" ht="20.100000000000001" customHeight="1" thickBot="1">
      <c r="A256" s="21" t="s">
        <v>226</v>
      </c>
      <c r="B256">
        <v>53</v>
      </c>
      <c r="C256" s="174">
        <v>11851</v>
      </c>
      <c r="D256" s="116" t="str">
        <f>'BIO DATA'!D259</f>
        <v>0137868105</v>
      </c>
      <c r="E256" s="115" t="str">
        <f>'BIO DATA'!E259</f>
        <v>Muhammad Khalifa Ashshiddiq</v>
      </c>
      <c r="F256" s="46" t="str">
        <f>'BIO DATA'!L255</f>
        <v>Laki-laki</v>
      </c>
      <c r="G256" s="9" t="str">
        <f>'BIO DATA'!M259</f>
        <v>kota magelang</v>
      </c>
      <c r="H256" s="48">
        <f>'BIO DATA'!O259</f>
        <v>41418</v>
      </c>
      <c r="I256" s="46" t="str">
        <f>'BIO DATA'!R259</f>
        <v>Islam</v>
      </c>
      <c r="J256" s="47">
        <f>'BIO DATA'!I259</f>
        <v>2</v>
      </c>
      <c r="K256" s="47">
        <f>'BIO DATA'!J259</f>
        <v>1</v>
      </c>
      <c r="L256" s="9" t="str">
        <f>'BIO DATA'!S259</f>
        <v>Jl. Duku 5 no 9 Perum Korpri RT002/RW010 Kramat Selatan, Magelang Utara, Kota Magelang, Jawa Tengah 56115</v>
      </c>
      <c r="M256" s="9" t="str">
        <f>'BIO DATA'!U259</f>
        <v>Kramat Selatan</v>
      </c>
      <c r="N256" s="9" t="str">
        <f>'BIO DATA'!V259</f>
        <v>Magelang Utara</v>
      </c>
      <c r="O256" s="9" t="str">
        <f>'BIO DATA'!W259</f>
        <v>Kota Magelang</v>
      </c>
      <c r="P256" s="9" t="str">
        <f>'BIO DATA'!X259</f>
        <v>Jawa Tengah</v>
      </c>
      <c r="Q256" s="9" t="str">
        <f>'BIO DATA'!Y259</f>
        <v>SDIT Tahfidzul Quran Ihsanul Fikri 2 Kota Magelang</v>
      </c>
      <c r="R256" s="9" t="str">
        <f>'BIO DATA'!Z259</f>
        <v>Jurangombo Sel., Kec. Magelang Sel., Kota Magelang, Jawa Tengah 56123</v>
      </c>
      <c r="S256" s="9">
        <f>'BIO DATA'!AA259</f>
        <v>0</v>
      </c>
      <c r="T256" s="9" t="str">
        <f>'BIO DATA'!AB259</f>
        <v>Bowo Ristiyono</v>
      </c>
      <c r="U256" s="9" t="str">
        <f>'BIO DATA'!AC259</f>
        <v>Islam</v>
      </c>
      <c r="V256" s="9" t="str">
        <f>'BIO DATA'!AD259</f>
        <v>S2</v>
      </c>
      <c r="W256" s="9" t="str">
        <f>'BIO DATA'!AE259</f>
        <v>Pegawai Swasta</v>
      </c>
      <c r="X256" s="9">
        <f>'BIO DATA'!AF259</f>
        <v>0</v>
      </c>
      <c r="Y256" s="144" t="str">
        <f>'BIO DATA'!AG259</f>
        <v>085842769323</v>
      </c>
      <c r="Z256" s="9">
        <f>'BIO DATA'!AH259</f>
        <v>0</v>
      </c>
      <c r="AA256" s="9" t="str">
        <f>'BIO DATA'!AI259</f>
        <v>Siti Nur Arbiyah</v>
      </c>
      <c r="AB256" s="9" t="str">
        <f>'BIO DATA'!AJ259</f>
        <v>Islam</v>
      </c>
      <c r="AC256" s="9" t="str">
        <f>'BIO DATA'!AK259</f>
        <v>S1</v>
      </c>
      <c r="AD256" s="9" t="str">
        <f>'BIO DATA'!AL259</f>
        <v>Tidak Bekerja</v>
      </c>
      <c r="AE256" s="9">
        <f>'BIO DATA'!AM259</f>
        <v>0</v>
      </c>
      <c r="AF256" s="49" t="str">
        <f>'BIO DATA'!AN259</f>
        <v>085842769323</v>
      </c>
      <c r="AG256" s="9">
        <f>'BIO DATA'!AO259</f>
        <v>0</v>
      </c>
      <c r="AH256" s="9">
        <f>'BIO DATA'!AY259</f>
        <v>0</v>
      </c>
      <c r="AI256" s="9">
        <f>'BIO DATA'!AZ259</f>
        <v>0</v>
      </c>
      <c r="AJ256" s="9">
        <f>'BIO DATA'!BA259</f>
        <v>0</v>
      </c>
      <c r="AK256" s="9">
        <f>'BIO DATA'!BB259</f>
        <v>0</v>
      </c>
      <c r="AL256" s="9">
        <f>'BIO DATA'!BC259</f>
        <v>0</v>
      </c>
      <c r="AM256" s="9">
        <f>'BIO DATA'!BD259</f>
        <v>0</v>
      </c>
      <c r="AN256" s="9">
        <f>'BIO DATA'!BE259</f>
        <v>0</v>
      </c>
      <c r="AO256" s="9">
        <f>'BIO DATA'!BF259</f>
        <v>0</v>
      </c>
      <c r="AP256" s="50" t="str">
        <f>'BIO DATA'!BG259</f>
        <v>Muhammad Faisal Fakhrurozi, S.Pd.</v>
      </c>
    </row>
    <row r="257" spans="1:42" s="51" customFormat="1" ht="20.100000000000001" customHeight="1" thickBot="1">
      <c r="A257" s="21" t="s">
        <v>226</v>
      </c>
      <c r="B257">
        <v>57</v>
      </c>
      <c r="C257" s="174">
        <v>11852</v>
      </c>
      <c r="D257" s="116" t="str">
        <f>'BIO DATA'!D260</f>
        <v>0149198663</v>
      </c>
      <c r="E257" s="115" t="str">
        <f>'BIO DATA'!E260</f>
        <v>Muhammad Zhafran Mumtaz Usman</v>
      </c>
      <c r="F257" s="46" t="str">
        <f>'BIO DATA'!L256</f>
        <v>Laki-laki</v>
      </c>
      <c r="G257" s="9" t="str">
        <f>'BIO DATA'!M260</f>
        <v>Denpasar</v>
      </c>
      <c r="H257" s="48">
        <f>'BIO DATA'!O260</f>
        <v>41677</v>
      </c>
      <c r="I257" s="46" t="str">
        <f>'BIO DATA'!R260</f>
        <v>Islam</v>
      </c>
      <c r="J257" s="47">
        <f>'BIO DATA'!I260</f>
        <v>3</v>
      </c>
      <c r="K257" s="47">
        <f>'BIO DATA'!J260</f>
        <v>2</v>
      </c>
      <c r="L257" s="9" t="str">
        <f>'BIO DATA'!S260</f>
        <v>Carikan RT 001 RW 002 Gondosuli Muntilan Magelang Jawa Tengah 56451</v>
      </c>
      <c r="M257" s="9" t="str">
        <f>'BIO DATA'!U260</f>
        <v>Gondosuli</v>
      </c>
      <c r="N257" s="9" t="str">
        <f>'BIO DATA'!V260</f>
        <v>Muntilan</v>
      </c>
      <c r="O257" s="9" t="str">
        <f>'BIO DATA'!W260</f>
        <v>Magelang</v>
      </c>
      <c r="P257" s="9" t="str">
        <f>'BIO DATA'!X260</f>
        <v>Jawa Tengah</v>
      </c>
      <c r="Q257" s="9">
        <f>'BIO DATA'!Y260</f>
        <v>0</v>
      </c>
      <c r="R257" s="9">
        <f>'BIO DATA'!Z260</f>
        <v>0</v>
      </c>
      <c r="S257" s="9">
        <f>'BIO DATA'!AA260</f>
        <v>0</v>
      </c>
      <c r="T257" s="9" t="str">
        <f>'BIO DATA'!AB260</f>
        <v>Usman Arif Murtopo</v>
      </c>
      <c r="U257" s="9" t="str">
        <f>'BIO DATA'!AC260</f>
        <v>Islam</v>
      </c>
      <c r="V257" s="9" t="str">
        <f>'BIO DATA'!AD260</f>
        <v>S1</v>
      </c>
      <c r="W257" s="9" t="str">
        <f>'BIO DATA'!AE260</f>
        <v>PNS</v>
      </c>
      <c r="X257" s="9">
        <f>'BIO DATA'!AF260</f>
        <v>0</v>
      </c>
      <c r="Y257" s="144" t="str">
        <f>'BIO DATA'!AG260</f>
        <v>08113500738</v>
      </c>
      <c r="Z257" s="9">
        <f>'BIO DATA'!AH260</f>
        <v>0</v>
      </c>
      <c r="AA257" s="9" t="str">
        <f>'BIO DATA'!AI260</f>
        <v>Rina Fauziah</v>
      </c>
      <c r="AB257" s="9" t="str">
        <f>'BIO DATA'!AJ260</f>
        <v>Islam</v>
      </c>
      <c r="AC257" s="9" t="str">
        <f>'BIO DATA'!AK260</f>
        <v>S1</v>
      </c>
      <c r="AD257" s="9" t="str">
        <f>'BIO DATA'!AL260</f>
        <v>PNS</v>
      </c>
      <c r="AE257" s="9">
        <f>'BIO DATA'!AM260</f>
        <v>0</v>
      </c>
      <c r="AF257" s="49" t="str">
        <f>'BIO DATA'!AN260</f>
        <v>08122742881</v>
      </c>
      <c r="AG257" s="9">
        <f>'BIO DATA'!AO260</f>
        <v>0</v>
      </c>
      <c r="AH257" s="9">
        <f>'BIO DATA'!AY260</f>
        <v>0</v>
      </c>
      <c r="AI257" s="9">
        <f>'BIO DATA'!AZ260</f>
        <v>0</v>
      </c>
      <c r="AJ257" s="9">
        <f>'BIO DATA'!BA260</f>
        <v>0</v>
      </c>
      <c r="AK257" s="9">
        <f>'BIO DATA'!BB260</f>
        <v>0</v>
      </c>
      <c r="AL257" s="9">
        <f>'BIO DATA'!BC260</f>
        <v>0</v>
      </c>
      <c r="AM257" s="9">
        <f>'BIO DATA'!BD260</f>
        <v>0</v>
      </c>
      <c r="AN257" s="9">
        <f>'BIO DATA'!BE260</f>
        <v>0</v>
      </c>
      <c r="AO257" s="9">
        <f>'BIO DATA'!BF260</f>
        <v>0</v>
      </c>
      <c r="AP257" s="50" t="str">
        <f>'BIO DATA'!BG260</f>
        <v>Muhammad Faisal Fakhrurozi, S.Pd.</v>
      </c>
    </row>
    <row r="258" spans="1:42" s="51" customFormat="1" ht="20.100000000000001" customHeight="1" thickBot="1">
      <c r="A258" s="21" t="s">
        <v>226</v>
      </c>
      <c r="B258">
        <v>79</v>
      </c>
      <c r="C258" s="174">
        <v>11853</v>
      </c>
      <c r="D258" s="116" t="str">
        <f>'BIO DATA'!D261</f>
        <v>0135614337</v>
      </c>
      <c r="E258" s="115" t="str">
        <f>'BIO DATA'!E261</f>
        <v>Naryama Ascarya Rauf</v>
      </c>
      <c r="F258" s="46" t="str">
        <f>'BIO DATA'!L257</f>
        <v>Laki-laki</v>
      </c>
      <c r="G258" s="9" t="str">
        <f>'BIO DATA'!M261</f>
        <v>Sleman</v>
      </c>
      <c r="H258" s="48">
        <f>'BIO DATA'!O261</f>
        <v>41434</v>
      </c>
      <c r="I258" s="46" t="str">
        <f>'BIO DATA'!R261</f>
        <v>Islam</v>
      </c>
      <c r="J258" s="47">
        <f>'BIO DATA'!I261</f>
        <v>2</v>
      </c>
      <c r="K258" s="47">
        <f>'BIO DATA'!J261</f>
        <v>1</v>
      </c>
      <c r="L258" s="9" t="str">
        <f>'BIO DATA'!S261</f>
        <v>Pasekan Lor RT 03 RW 03 Balecatur Gamping Sleman DIY</v>
      </c>
      <c r="M258" s="9" t="str">
        <f>'BIO DATA'!U261</f>
        <v>Balecatur</v>
      </c>
      <c r="N258" s="9" t="str">
        <f>'BIO DATA'!V261</f>
        <v>Gamping</v>
      </c>
      <c r="O258" s="9" t="str">
        <f>'BIO DATA'!W261</f>
        <v>Sleman</v>
      </c>
      <c r="P258" s="9" t="str">
        <f>'BIO DATA'!X261</f>
        <v>DIY</v>
      </c>
      <c r="Q258" s="9" t="str">
        <f>'BIO DATA'!Y261</f>
        <v>SD Muhammadiyah Wirobrajan 3</v>
      </c>
      <c r="R258" s="9" t="str">
        <f>'BIO DATA'!Z261</f>
        <v>Jalan Gatutkaca 19A Wirobrajan Yogyakarta</v>
      </c>
      <c r="S258" s="9">
        <f>'BIO DATA'!AA261</f>
        <v>0</v>
      </c>
      <c r="T258" s="9" t="str">
        <f>'BIO DATA'!AB261</f>
        <v>Agus Amin Syaifuddin</v>
      </c>
      <c r="U258" s="9" t="str">
        <f>'BIO DATA'!AC261</f>
        <v>Islam</v>
      </c>
      <c r="V258" s="9" t="str">
        <f>'BIO DATA'!AD261</f>
        <v>S2</v>
      </c>
      <c r="W258" s="9" t="str">
        <f>'BIO DATA'!AE261</f>
        <v>Wiraswasta</v>
      </c>
      <c r="X258" s="9">
        <f>'BIO DATA'!AF261</f>
        <v>0</v>
      </c>
      <c r="Y258" s="144" t="str">
        <f>'BIO DATA'!AG261</f>
        <v>082134983237</v>
      </c>
      <c r="Z258" s="9">
        <f>'BIO DATA'!AH261</f>
        <v>0</v>
      </c>
      <c r="AA258" s="9" t="str">
        <f>'BIO DATA'!AI261</f>
        <v>Nur Azizah Uswatun Hasanah</v>
      </c>
      <c r="AB258" s="9" t="str">
        <f>'BIO DATA'!AJ261</f>
        <v>Islam</v>
      </c>
      <c r="AC258" s="9" t="str">
        <f>'BIO DATA'!AK261</f>
        <v>S3</v>
      </c>
      <c r="AD258" s="9" t="str">
        <f>'BIO DATA'!AL261</f>
        <v>Guru/Dosen</v>
      </c>
      <c r="AE258" s="9">
        <f>'BIO DATA'!AM261</f>
        <v>0</v>
      </c>
      <c r="AF258" s="49" t="str">
        <f>'BIO DATA'!AN261</f>
        <v>081931769898</v>
      </c>
      <c r="AG258" s="9">
        <f>'BIO DATA'!AO261</f>
        <v>0</v>
      </c>
      <c r="AH258" s="9">
        <f>'BIO DATA'!AY261</f>
        <v>0</v>
      </c>
      <c r="AI258" s="9">
        <f>'BIO DATA'!AZ261</f>
        <v>0</v>
      </c>
      <c r="AJ258" s="9">
        <f>'BIO DATA'!BA261</f>
        <v>0</v>
      </c>
      <c r="AK258" s="9">
        <f>'BIO DATA'!BB261</f>
        <v>0</v>
      </c>
      <c r="AL258" s="9">
        <f>'BIO DATA'!BC261</f>
        <v>0</v>
      </c>
      <c r="AM258" s="9">
        <f>'BIO DATA'!BD261</f>
        <v>0</v>
      </c>
      <c r="AN258" s="9">
        <f>'BIO DATA'!BE261</f>
        <v>0</v>
      </c>
      <c r="AO258" s="9">
        <f>'BIO DATA'!BF261</f>
        <v>0</v>
      </c>
      <c r="AP258" s="50" t="str">
        <f>'BIO DATA'!BG261</f>
        <v>Muhammad Faisal Fakhrurozi, S.Pd.</v>
      </c>
    </row>
    <row r="259" spans="1:42" s="51" customFormat="1" ht="20.100000000000001" customHeight="1" thickBot="1">
      <c r="A259" s="21" t="s">
        <v>226</v>
      </c>
      <c r="B259">
        <v>85</v>
      </c>
      <c r="C259" s="174">
        <v>11854</v>
      </c>
      <c r="D259" s="116" t="str">
        <f>'BIO DATA'!D262</f>
        <v>0145346821</v>
      </c>
      <c r="E259" s="115" t="str">
        <f>'BIO DATA'!E262</f>
        <v>Naufal Ahnaf Abqary</v>
      </c>
      <c r="F259" s="46" t="str">
        <f>'BIO DATA'!L258</f>
        <v>Laki-laki</v>
      </c>
      <c r="G259" s="9" t="str">
        <f>'BIO DATA'!M262</f>
        <v>Pangkajene</v>
      </c>
      <c r="H259" s="48">
        <f>'BIO DATA'!O262</f>
        <v>41751</v>
      </c>
      <c r="I259" s="46" t="str">
        <f>'BIO DATA'!R262</f>
        <v>Islam</v>
      </c>
      <c r="J259" s="47">
        <f>'BIO DATA'!I262</f>
        <v>1</v>
      </c>
      <c r="K259" s="47">
        <f>'BIO DATA'!J262</f>
        <v>1</v>
      </c>
      <c r="L259" s="9" t="str">
        <f>'BIO DATA'!S262</f>
        <v>Jl. Matahari Padoang Doangan Pangkajene Kab. Pangkajene dan Kepualauan Sulawesi Selatan</v>
      </c>
      <c r="M259" s="9" t="str">
        <f>'BIO DATA'!U262</f>
        <v>Padoang Doangan</v>
      </c>
      <c r="N259" s="9" t="str">
        <f>'BIO DATA'!V262</f>
        <v>Pangkajene</v>
      </c>
      <c r="O259" s="9" t="str">
        <f>'BIO DATA'!W262</f>
        <v>Pangkajene dan Kepulauan (Pangkep)</v>
      </c>
      <c r="P259" s="9" t="str">
        <f>'BIO DATA'!X262</f>
        <v>Sulawesi Selatan</v>
      </c>
      <c r="Q259" s="9" t="str">
        <f>'BIO DATA'!Y262</f>
        <v>SD Islam Terpadu Al-Fatih Pangkep</v>
      </c>
      <c r="R259" s="9" t="str">
        <f>'BIO DATA'!Z262</f>
        <v>JL. Cendana Timur, Kelurahan Padoang-Doangan, Kecamatan Pangkajene, Pangkep Kabupaten Pangkajene Dan Kepulauan Provinsi Sulawesi Selatan</v>
      </c>
      <c r="S259" s="9">
        <f>'BIO DATA'!AA262</f>
        <v>0</v>
      </c>
      <c r="T259" s="9" t="str">
        <f>'BIO DATA'!AB262</f>
        <v>Mutakhir</v>
      </c>
      <c r="U259" s="9" t="str">
        <f>'BIO DATA'!AC262</f>
        <v>Islam</v>
      </c>
      <c r="V259" s="9" t="str">
        <f>'BIO DATA'!AD262</f>
        <v>S1</v>
      </c>
      <c r="W259" s="9" t="str">
        <f>'BIO DATA'!AE262</f>
        <v>Pegawai Swasta</v>
      </c>
      <c r="X259" s="9">
        <f>'BIO DATA'!AF262</f>
        <v>0</v>
      </c>
      <c r="Y259" s="144" t="str">
        <f>'BIO DATA'!AG262</f>
        <v>081299971016</v>
      </c>
      <c r="Z259" s="9">
        <f>'BIO DATA'!AH262</f>
        <v>0</v>
      </c>
      <c r="AA259" s="9" t="str">
        <f>'BIO DATA'!AI262</f>
        <v>Nur Faidah Munir</v>
      </c>
      <c r="AB259" s="9" t="str">
        <f>'BIO DATA'!AJ262</f>
        <v>Islam</v>
      </c>
      <c r="AC259" s="9" t="str">
        <f>'BIO DATA'!AK262</f>
        <v>S2</v>
      </c>
      <c r="AD259" s="9" t="str">
        <f>'BIO DATA'!AL262</f>
        <v>Guru/Dosen</v>
      </c>
      <c r="AE259" s="9">
        <f>'BIO DATA'!AM262</f>
        <v>0</v>
      </c>
      <c r="AF259" s="49" t="str">
        <f>'BIO DATA'!AN262</f>
        <v>085255668909</v>
      </c>
      <c r="AG259" s="9">
        <f>'BIO DATA'!AO262</f>
        <v>0</v>
      </c>
      <c r="AH259" s="9">
        <f>'BIO DATA'!AY262</f>
        <v>0</v>
      </c>
      <c r="AI259" s="9">
        <f>'BIO DATA'!AZ262</f>
        <v>0</v>
      </c>
      <c r="AJ259" s="9">
        <f>'BIO DATA'!BA262</f>
        <v>0</v>
      </c>
      <c r="AK259" s="9">
        <f>'BIO DATA'!BB262</f>
        <v>0</v>
      </c>
      <c r="AL259" s="9">
        <f>'BIO DATA'!BC262</f>
        <v>0</v>
      </c>
      <c r="AM259" s="9">
        <f>'BIO DATA'!BD262</f>
        <v>0</v>
      </c>
      <c r="AN259" s="9">
        <f>'BIO DATA'!BE262</f>
        <v>0</v>
      </c>
      <c r="AO259" s="9">
        <f>'BIO DATA'!BF262</f>
        <v>0</v>
      </c>
      <c r="AP259" s="50" t="str">
        <f>'BIO DATA'!BG262</f>
        <v>Muhammad Faisal Fakhrurozi, S.Pd.</v>
      </c>
    </row>
    <row r="260" spans="1:42" s="51" customFormat="1" ht="20.100000000000001" customHeight="1" thickBot="1">
      <c r="A260" s="21" t="s">
        <v>226</v>
      </c>
      <c r="B260">
        <v>86</v>
      </c>
      <c r="C260" s="174">
        <v>11855</v>
      </c>
      <c r="D260" s="116">
        <f>'BIO DATA'!D263</f>
        <v>3138038345</v>
      </c>
      <c r="E260" s="115" t="str">
        <f>'BIO DATA'!E263</f>
        <v>Nawwar Sukma</v>
      </c>
      <c r="F260" s="46" t="str">
        <f>'BIO DATA'!L259</f>
        <v>Laki-laki</v>
      </c>
      <c r="G260" s="9" t="str">
        <f>'BIO DATA'!M263</f>
        <v>Lamongan</v>
      </c>
      <c r="H260" s="48">
        <f>'BIO DATA'!O263</f>
        <v>41521</v>
      </c>
      <c r="I260" s="46" t="str">
        <f>'BIO DATA'!R263</f>
        <v>Islam</v>
      </c>
      <c r="J260" s="47">
        <f>'BIO DATA'!I263</f>
        <v>2</v>
      </c>
      <c r="K260" s="47">
        <f>'BIO DATA'!J263</f>
        <v>1</v>
      </c>
      <c r="L260" s="9" t="str">
        <f>'BIO DATA'!S263</f>
        <v>Desa Solokuro RT 001/RW 001, kecamatan Solokuro, kabupaten Lamongan, provinsi Jawa Timur</v>
      </c>
      <c r="M260" s="9" t="str">
        <f>'BIO DATA'!U263</f>
        <v>Solokuro</v>
      </c>
      <c r="N260" s="9" t="str">
        <f>'BIO DATA'!V263</f>
        <v>Solokuro</v>
      </c>
      <c r="O260" s="9" t="str">
        <f>'BIO DATA'!W263</f>
        <v>Lamongan</v>
      </c>
      <c r="P260" s="9" t="str">
        <f>'BIO DATA'!X263</f>
        <v>Jawa Timur</v>
      </c>
      <c r="Q260" s="9" t="str">
        <f>'BIO DATA'!Y263</f>
        <v>MI Muhammadiyah 02 Solokuro</v>
      </c>
      <c r="R260" s="9" t="str">
        <f>'BIO DATA'!Z263</f>
        <v>Jl.HM.Shodiq No 7 Solokuro Lamongan Jawa Timur 62265</v>
      </c>
      <c r="S260" s="9">
        <f>'BIO DATA'!AA263</f>
        <v>0</v>
      </c>
      <c r="T260" s="9" t="str">
        <f>'BIO DATA'!AB263</f>
        <v>Ali Makhfudi, S.Ag., SH</v>
      </c>
      <c r="U260" s="9" t="str">
        <f>'BIO DATA'!AC263</f>
        <v>Islam</v>
      </c>
      <c r="V260" s="9" t="str">
        <f>'BIO DATA'!AD263</f>
        <v>S2</v>
      </c>
      <c r="W260" s="9" t="str">
        <f>'BIO DATA'!AE263</f>
        <v>Wiraswasta</v>
      </c>
      <c r="X260" s="9">
        <f>'BIO DATA'!AF263</f>
        <v>0</v>
      </c>
      <c r="Y260" s="144" t="str">
        <f>'BIO DATA'!AG263</f>
        <v>081357491000</v>
      </c>
      <c r="Z260" s="9">
        <f>'BIO DATA'!AH263</f>
        <v>0</v>
      </c>
      <c r="AA260" s="9" t="str">
        <f>'BIO DATA'!AI263</f>
        <v>Munadlifah</v>
      </c>
      <c r="AB260" s="9" t="str">
        <f>'BIO DATA'!AJ263</f>
        <v>Islam</v>
      </c>
      <c r="AC260" s="9" t="str">
        <f>'BIO DATA'!AK263</f>
        <v>SMA/SMK/MA</v>
      </c>
      <c r="AD260" s="9" t="str">
        <f>'BIO DATA'!AL263</f>
        <v>Wiraswasta</v>
      </c>
      <c r="AE260" s="9">
        <f>'BIO DATA'!AM263</f>
        <v>0</v>
      </c>
      <c r="AF260" s="49" t="str">
        <f>'BIO DATA'!AN263</f>
        <v>081332288885</v>
      </c>
      <c r="AG260" s="9">
        <f>'BIO DATA'!AO263</f>
        <v>0</v>
      </c>
      <c r="AH260" s="9">
        <f>'BIO DATA'!AY263</f>
        <v>0</v>
      </c>
      <c r="AI260" s="9">
        <f>'BIO DATA'!AZ263</f>
        <v>0</v>
      </c>
      <c r="AJ260" s="9">
        <f>'BIO DATA'!BA263</f>
        <v>0</v>
      </c>
      <c r="AK260" s="9">
        <f>'BIO DATA'!BB263</f>
        <v>0</v>
      </c>
      <c r="AL260" s="9">
        <f>'BIO DATA'!BC263</f>
        <v>0</v>
      </c>
      <c r="AM260" s="9">
        <f>'BIO DATA'!BD263</f>
        <v>0</v>
      </c>
      <c r="AN260" s="9">
        <f>'BIO DATA'!BE263</f>
        <v>0</v>
      </c>
      <c r="AO260" s="9">
        <f>'BIO DATA'!BF263</f>
        <v>0</v>
      </c>
      <c r="AP260" s="50" t="str">
        <f>'BIO DATA'!BG263</f>
        <v>Muhammad Faisal Fakhrurozi, S.Pd.</v>
      </c>
    </row>
    <row r="261" spans="1:42" s="51" customFormat="1" ht="20.100000000000001" customHeight="1" thickBot="1">
      <c r="A261" s="21" t="s">
        <v>226</v>
      </c>
      <c r="B261">
        <v>98</v>
      </c>
      <c r="C261" s="174">
        <v>11856</v>
      </c>
      <c r="D261" s="116">
        <f>'BIO DATA'!D264</f>
        <v>3133388949</v>
      </c>
      <c r="E261" s="115" t="str">
        <f>'BIO DATA'!E264</f>
        <v>Prabu Airlangga Wicaksono</v>
      </c>
      <c r="F261" s="46" t="str">
        <f>'BIO DATA'!L260</f>
        <v>Laki-laki</v>
      </c>
      <c r="G261" s="9" t="str">
        <f>'BIO DATA'!M264</f>
        <v>Jakarta</v>
      </c>
      <c r="H261" s="48">
        <f>'BIO DATA'!O264</f>
        <v>41494</v>
      </c>
      <c r="I261" s="46" t="str">
        <f>'BIO DATA'!R264</f>
        <v>Islam</v>
      </c>
      <c r="J261" s="47">
        <f>'BIO DATA'!I264</f>
        <v>1</v>
      </c>
      <c r="K261" s="47">
        <f>'BIO DATA'!J264</f>
        <v>1</v>
      </c>
      <c r="L261" s="9" t="str">
        <f>'BIO DATA'!S264</f>
        <v>Talaga Bestari Cluster The Hills blok BH 10. Kabupaten Tangerang</v>
      </c>
      <c r="M261" s="9" t="str">
        <f>'BIO DATA'!U264</f>
        <v>Wanakerta</v>
      </c>
      <c r="N261" s="9" t="str">
        <f>'BIO DATA'!V264</f>
        <v>Sindang Jaya/Cikujpa</v>
      </c>
      <c r="O261" s="9" t="str">
        <f>'BIO DATA'!W264</f>
        <v>Tangerang</v>
      </c>
      <c r="P261" s="9" t="str">
        <f>'BIO DATA'!X264</f>
        <v>Banten</v>
      </c>
      <c r="Q261" s="9" t="str">
        <f>'BIO DATA'!Y264</f>
        <v>Al Azhar Syifa Budi Talaga Bestari</v>
      </c>
      <c r="R261" s="9" t="str">
        <f>'BIO DATA'!Z264</f>
        <v>Jl. Jungle Boulevard no. 1 Perum Talaga Bestari, Desa Cibadak, Kec. Cikupa, Kab. Tangerang, Banten</v>
      </c>
      <c r="S261" s="9">
        <f>'BIO DATA'!AA264</f>
        <v>0</v>
      </c>
      <c r="T261" s="9" t="str">
        <f>'BIO DATA'!AB264</f>
        <v>Handarbeni Setio Wicaksono</v>
      </c>
      <c r="U261" s="9" t="str">
        <f>'BIO DATA'!AC264</f>
        <v>Islam</v>
      </c>
      <c r="V261" s="9" t="str">
        <f>'BIO DATA'!AD264</f>
        <v>S1</v>
      </c>
      <c r="W261" s="9" t="str">
        <f>'BIO DATA'!AE264</f>
        <v>Pegawai Swasta</v>
      </c>
      <c r="X261" s="9">
        <f>'BIO DATA'!AF264</f>
        <v>0</v>
      </c>
      <c r="Y261" s="144" t="str">
        <f>'BIO DATA'!AG264</f>
        <v>081903622349</v>
      </c>
      <c r="Z261" s="9">
        <f>'BIO DATA'!AH264</f>
        <v>0</v>
      </c>
      <c r="AA261" s="9" t="str">
        <f>'BIO DATA'!AI264</f>
        <v>Nurdiyah Ratnani</v>
      </c>
      <c r="AB261" s="9" t="str">
        <f>'BIO DATA'!AJ264</f>
        <v>Islam</v>
      </c>
      <c r="AC261" s="9" t="str">
        <f>'BIO DATA'!AK264</f>
        <v>S1</v>
      </c>
      <c r="AD261" s="9" t="str">
        <f>'BIO DATA'!AL264</f>
        <v>Tidak Bekerja</v>
      </c>
      <c r="AE261" s="9">
        <f>'BIO DATA'!AM264</f>
        <v>0</v>
      </c>
      <c r="AF261" s="49" t="str">
        <f>'BIO DATA'!AN264</f>
        <v>081903622349</v>
      </c>
      <c r="AG261" s="9">
        <f>'BIO DATA'!AO264</f>
        <v>0</v>
      </c>
      <c r="AH261" s="9">
        <f>'BIO DATA'!AY264</f>
        <v>0</v>
      </c>
      <c r="AI261" s="9">
        <f>'BIO DATA'!AZ264</f>
        <v>0</v>
      </c>
      <c r="AJ261" s="9">
        <f>'BIO DATA'!BA264</f>
        <v>0</v>
      </c>
      <c r="AK261" s="9">
        <f>'BIO DATA'!BB264</f>
        <v>0</v>
      </c>
      <c r="AL261" s="9">
        <f>'BIO DATA'!BC264</f>
        <v>0</v>
      </c>
      <c r="AM261" s="9">
        <f>'BIO DATA'!BD264</f>
        <v>0</v>
      </c>
      <c r="AN261" s="9">
        <f>'BIO DATA'!BE264</f>
        <v>0</v>
      </c>
      <c r="AO261" s="9">
        <f>'BIO DATA'!BF264</f>
        <v>0</v>
      </c>
      <c r="AP261" s="50" t="str">
        <f>'BIO DATA'!BG264</f>
        <v>Muhammad Faisal Fakhrurozi, S.Pd.</v>
      </c>
    </row>
    <row r="262" spans="1:42" s="51" customFormat="1" ht="20.100000000000001" customHeight="1" thickBot="1">
      <c r="A262" s="21" t="s">
        <v>226</v>
      </c>
      <c r="B262">
        <v>99</v>
      </c>
      <c r="C262" s="174">
        <v>11857</v>
      </c>
      <c r="D262" s="116">
        <f>'BIO DATA'!D265</f>
        <v>3149073410</v>
      </c>
      <c r="E262" s="115" t="str">
        <f>'BIO DATA'!E265</f>
        <v>R. Maheswara Abiyasa Narawata</v>
      </c>
      <c r="F262" s="46" t="str">
        <f>'BIO DATA'!L261</f>
        <v>Laki-laki</v>
      </c>
      <c r="G262" s="9" t="str">
        <f>'BIO DATA'!M265</f>
        <v>Sleman</v>
      </c>
      <c r="H262" s="48">
        <f>'BIO DATA'!O265</f>
        <v>41702</v>
      </c>
      <c r="I262" s="46" t="str">
        <f>'BIO DATA'!R265</f>
        <v>Islam</v>
      </c>
      <c r="J262" s="47">
        <f>'BIO DATA'!I265</f>
        <v>2</v>
      </c>
      <c r="K262" s="47">
        <f>'BIO DATA'!J265</f>
        <v>2</v>
      </c>
      <c r="L262" s="9" t="str">
        <f>'BIO DATA'!S265</f>
        <v>Mangunan, mangunrejo, Kalikajar wonosobo Jawa Tengah</v>
      </c>
      <c r="M262" s="9" t="str">
        <f>'BIO DATA'!U265</f>
        <v>Mangunrejo</v>
      </c>
      <c r="N262" s="9" t="str">
        <f>'BIO DATA'!V265</f>
        <v>Kalikajar</v>
      </c>
      <c r="O262" s="9" t="str">
        <f>'BIO DATA'!W265</f>
        <v>Wonosobo</v>
      </c>
      <c r="P262" s="9" t="str">
        <f>'BIO DATA'!X265</f>
        <v>Jawa Tengah</v>
      </c>
      <c r="Q262" s="9" t="str">
        <f>'BIO DATA'!Y265</f>
        <v>SD MBF Al Adzkiya Wonosobo</v>
      </c>
      <c r="R262" s="9" t="str">
        <f>'BIO DATA'!Z265</f>
        <v>Jl. Pasukan Ronggolawe, Sirandu, Pagerkukuh, Kec. Wonosobo, Kabupaten Wonosobo, Jawa Tengah 56311</v>
      </c>
      <c r="S262" s="9">
        <f>'BIO DATA'!AA265</f>
        <v>0</v>
      </c>
      <c r="T262" s="9" t="str">
        <f>'BIO DATA'!AB265</f>
        <v>R. Haryo Jagad Panuntun</v>
      </c>
      <c r="U262" s="9" t="str">
        <f>'BIO DATA'!AC265</f>
        <v>Islam</v>
      </c>
      <c r="V262" s="9" t="str">
        <f>'BIO DATA'!AD265</f>
        <v>S2</v>
      </c>
      <c r="W262" s="9" t="str">
        <f>'BIO DATA'!AE265</f>
        <v>PNS</v>
      </c>
      <c r="X262" s="9">
        <f>'BIO DATA'!AF265</f>
        <v>0</v>
      </c>
      <c r="Y262" s="144" t="str">
        <f>'BIO DATA'!AG265</f>
        <v>081392552673</v>
      </c>
      <c r="Z262" s="9">
        <f>'BIO DATA'!AH265</f>
        <v>0</v>
      </c>
      <c r="AA262" s="9" t="str">
        <f>'BIO DATA'!AI265</f>
        <v>Dyah Purwaningsih</v>
      </c>
      <c r="AB262" s="9" t="str">
        <f>'BIO DATA'!AJ265</f>
        <v>Islam</v>
      </c>
      <c r="AC262" s="9" t="str">
        <f>'BIO DATA'!AK265</f>
        <v>S2</v>
      </c>
      <c r="AD262" s="9" t="str">
        <f>'BIO DATA'!AL265</f>
        <v>Pengacara/Jaksa/Hakim/Notaris</v>
      </c>
      <c r="AE262" s="9">
        <f>'BIO DATA'!AM265</f>
        <v>0</v>
      </c>
      <c r="AF262" s="49" t="str">
        <f>'BIO DATA'!AN265</f>
        <v>08112606464</v>
      </c>
      <c r="AG262" s="9">
        <f>'BIO DATA'!AO265</f>
        <v>0</v>
      </c>
      <c r="AH262" s="9">
        <f>'BIO DATA'!AY265</f>
        <v>0</v>
      </c>
      <c r="AI262" s="9">
        <f>'BIO DATA'!AZ265</f>
        <v>0</v>
      </c>
      <c r="AJ262" s="9">
        <f>'BIO DATA'!BA265</f>
        <v>0</v>
      </c>
      <c r="AK262" s="9">
        <f>'BIO DATA'!BB265</f>
        <v>0</v>
      </c>
      <c r="AL262" s="9">
        <f>'BIO DATA'!BC265</f>
        <v>0</v>
      </c>
      <c r="AM262" s="9">
        <f>'BIO DATA'!BD265</f>
        <v>0</v>
      </c>
      <c r="AN262" s="9">
        <f>'BIO DATA'!BE265</f>
        <v>0</v>
      </c>
      <c r="AO262" s="9">
        <f>'BIO DATA'!BF265</f>
        <v>0</v>
      </c>
      <c r="AP262" s="50" t="str">
        <f>'BIO DATA'!BG265</f>
        <v>Muhammad Faisal Fakhrurozi, S.Pd.</v>
      </c>
    </row>
    <row r="263" spans="1:42" s="51" customFormat="1" ht="20.100000000000001" customHeight="1" thickBot="1">
      <c r="A263" s="21" t="s">
        <v>226</v>
      </c>
      <c r="B263">
        <v>103</v>
      </c>
      <c r="C263" s="174">
        <v>11858</v>
      </c>
      <c r="D263" s="116" t="str">
        <f>'BIO DATA'!D266</f>
        <v>0137629101</v>
      </c>
      <c r="E263" s="115" t="str">
        <f>'BIO DATA'!E266</f>
        <v>Rizqi Suryanata</v>
      </c>
      <c r="F263" s="46" t="str">
        <f>'BIO DATA'!L262</f>
        <v>Laki-laki</v>
      </c>
      <c r="G263" s="9" t="str">
        <f>'BIO DATA'!M266</f>
        <v>Garut</v>
      </c>
      <c r="H263" s="48">
        <f>'BIO DATA'!O266</f>
        <v>41430</v>
      </c>
      <c r="I263" s="46" t="str">
        <f>'BIO DATA'!R266</f>
        <v>Islam</v>
      </c>
      <c r="J263" s="47">
        <f>'BIO DATA'!I266</f>
        <v>1</v>
      </c>
      <c r="K263" s="47">
        <f>'BIO DATA'!J266</f>
        <v>1</v>
      </c>
      <c r="L263" s="9" t="str">
        <f>'BIO DATA'!S266</f>
        <v>Jl. Neglasari RT 004 RW 004 Sukapada Cibeunying Kidul Kota Bandung Jawa Barat 40125</v>
      </c>
      <c r="M263" s="9" t="str">
        <f>'BIO DATA'!U266</f>
        <v>Sukapada</v>
      </c>
      <c r="N263" s="9" t="str">
        <f>'BIO DATA'!V266</f>
        <v>Cibeunying Kidul</v>
      </c>
      <c r="O263" s="9" t="str">
        <f>'BIO DATA'!W266</f>
        <v>Kota Bandung</v>
      </c>
      <c r="P263" s="9" t="str">
        <f>'BIO DATA'!X266</f>
        <v>Jawa Barat</v>
      </c>
      <c r="Q263" s="9">
        <f>'BIO DATA'!Y266</f>
        <v>0</v>
      </c>
      <c r="R263" s="9">
        <f>'BIO DATA'!Z266</f>
        <v>0</v>
      </c>
      <c r="S263" s="9">
        <f>'BIO DATA'!AA266</f>
        <v>0</v>
      </c>
      <c r="T263" s="9" t="str">
        <f>'BIO DATA'!AB266</f>
        <v>Faliq Mubarok</v>
      </c>
      <c r="U263" s="9" t="str">
        <f>'BIO DATA'!AC266</f>
        <v>Islam</v>
      </c>
      <c r="V263" s="9" t="str">
        <f>'BIO DATA'!AD266</f>
        <v>S1</v>
      </c>
      <c r="W263" s="9" t="str">
        <f>'BIO DATA'!AE266</f>
        <v>Karyawan Swasta</v>
      </c>
      <c r="X263" s="9">
        <f>'BIO DATA'!AF266</f>
        <v>0</v>
      </c>
      <c r="Y263" s="144">
        <f>'BIO DATA'!AG266</f>
        <v>0</v>
      </c>
      <c r="Z263" s="9">
        <f>'BIO DATA'!AH266</f>
        <v>0</v>
      </c>
      <c r="AA263" s="9" t="str">
        <f>'BIO DATA'!AI266</f>
        <v>Hilda Rosdiana</v>
      </c>
      <c r="AB263" s="9" t="str">
        <f>'BIO DATA'!AJ266</f>
        <v>Islam</v>
      </c>
      <c r="AC263" s="9" t="str">
        <f>'BIO DATA'!AK266</f>
        <v>S1</v>
      </c>
      <c r="AD263" s="9" t="str">
        <f>'BIO DATA'!AL266</f>
        <v>Ibu Rumah Tangga</v>
      </c>
      <c r="AE263" s="9">
        <f>'BIO DATA'!AM266</f>
        <v>0</v>
      </c>
      <c r="AF263" s="49">
        <f>'BIO DATA'!AN266</f>
        <v>0</v>
      </c>
      <c r="AG263" s="9">
        <f>'BIO DATA'!AO266</f>
        <v>0</v>
      </c>
      <c r="AH263" s="9">
        <f>'BIO DATA'!AY266</f>
        <v>0</v>
      </c>
      <c r="AI263" s="9">
        <f>'BIO DATA'!AZ266</f>
        <v>0</v>
      </c>
      <c r="AJ263" s="9">
        <f>'BIO DATA'!BA266</f>
        <v>0</v>
      </c>
      <c r="AK263" s="9">
        <f>'BIO DATA'!BB266</f>
        <v>0</v>
      </c>
      <c r="AL263" s="9">
        <f>'BIO DATA'!BC266</f>
        <v>0</v>
      </c>
      <c r="AM263" s="9">
        <f>'BIO DATA'!BD266</f>
        <v>0</v>
      </c>
      <c r="AN263" s="9">
        <f>'BIO DATA'!BE266</f>
        <v>0</v>
      </c>
      <c r="AO263" s="9">
        <f>'BIO DATA'!BF266</f>
        <v>0</v>
      </c>
      <c r="AP263" s="50" t="str">
        <f>'BIO DATA'!BG266</f>
        <v>Muhammad Faisal Fakhrurozi, S.Pd.</v>
      </c>
    </row>
    <row r="264" spans="1:42" s="51" customFormat="1" ht="20.100000000000001" customHeight="1"/>
    <row r="265" spans="1:42" s="51" customFormat="1" ht="20.100000000000001" customHeight="1"/>
    <row r="266" spans="1:42" s="51" customFormat="1" ht="20.100000000000001" customHeight="1"/>
    <row r="267" spans="1:42" s="51" customFormat="1" ht="20.100000000000001" customHeight="1"/>
    <row r="268" spans="1:42" s="51" customFormat="1" ht="20.100000000000001" customHeight="1"/>
    <row r="269" spans="1:42" s="51" customFormat="1" ht="20.100000000000001" customHeight="1"/>
    <row r="270" spans="1:42" s="51" customFormat="1" ht="20.100000000000001" customHeight="1"/>
    <row r="271" spans="1:42" s="51" customFormat="1" ht="20.100000000000001" customHeight="1"/>
    <row r="272" spans="1:42" s="51" customFormat="1" ht="20.100000000000001" customHeight="1">
      <c r="A272" s="12"/>
      <c r="B272" s="1"/>
      <c r="C272" s="12"/>
      <c r="D272" s="12"/>
      <c r="E272" s="12"/>
      <c r="F272" s="1"/>
      <c r="G272" s="5"/>
      <c r="H272" s="1"/>
      <c r="I272" s="1"/>
      <c r="J272" s="1"/>
      <c r="K272" s="1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45"/>
      <c r="Z272" s="5"/>
      <c r="AA272" s="5"/>
      <c r="AB272" s="5"/>
      <c r="AC272" s="5"/>
      <c r="AD272" s="5"/>
      <c r="AE272" s="5"/>
      <c r="AF272" s="45"/>
      <c r="AG272" s="5"/>
      <c r="AH272" s="5"/>
      <c r="AI272" s="5"/>
      <c r="AJ272" s="5"/>
      <c r="AK272" s="5"/>
      <c r="AL272" s="5"/>
      <c r="AM272" s="5"/>
      <c r="AN272" s="5"/>
      <c r="AO272" s="5"/>
      <c r="AP272" s="5"/>
    </row>
    <row r="273" spans="1:42" s="51" customFormat="1" ht="20.100000000000001" customHeight="1">
      <c r="A273" s="12"/>
      <c r="B273" s="1"/>
      <c r="C273" s="12"/>
      <c r="D273" s="12"/>
      <c r="E273" s="12"/>
      <c r="F273" s="1"/>
      <c r="G273" s="5"/>
      <c r="H273" s="1"/>
      <c r="I273" s="1"/>
      <c r="J273" s="1"/>
      <c r="K273" s="1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45"/>
      <c r="Z273" s="5"/>
      <c r="AA273" s="5"/>
      <c r="AB273" s="5"/>
      <c r="AC273" s="5"/>
      <c r="AD273" s="5"/>
      <c r="AE273" s="5"/>
      <c r="AF273" s="45"/>
      <c r="AG273" s="5"/>
      <c r="AH273" s="5"/>
      <c r="AI273" s="5"/>
      <c r="AJ273" s="5"/>
      <c r="AK273" s="5"/>
      <c r="AL273" s="5"/>
      <c r="AM273" s="5"/>
      <c r="AN273" s="5"/>
      <c r="AO273" s="5"/>
      <c r="AP273" s="5"/>
    </row>
    <row r="274" spans="1:42" s="51" customFormat="1" ht="20.100000000000001" customHeight="1">
      <c r="A274" s="12"/>
      <c r="B274" s="1"/>
      <c r="C274" s="12"/>
      <c r="D274" s="12"/>
      <c r="E274" s="12"/>
      <c r="F274" s="1"/>
      <c r="G274" s="5"/>
      <c r="H274" s="1"/>
      <c r="I274" s="1"/>
      <c r="J274" s="1"/>
      <c r="K274" s="1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45"/>
      <c r="Z274" s="5"/>
      <c r="AA274" s="5"/>
      <c r="AB274" s="5"/>
      <c r="AC274" s="5"/>
      <c r="AD274" s="5"/>
      <c r="AE274" s="5"/>
      <c r="AF274" s="45"/>
      <c r="AG274" s="5"/>
      <c r="AH274" s="5"/>
      <c r="AI274" s="5"/>
      <c r="AJ274" s="5"/>
      <c r="AK274" s="5"/>
      <c r="AL274" s="5"/>
      <c r="AM274" s="5"/>
      <c r="AN274" s="5"/>
      <c r="AO274" s="5"/>
      <c r="AP274" s="5"/>
    </row>
    <row r="275" spans="1:42" s="51" customFormat="1" ht="20.100000000000001" customHeight="1">
      <c r="A275" s="12"/>
      <c r="B275" s="1"/>
      <c r="C275" s="12"/>
      <c r="D275" s="12"/>
      <c r="E275" s="12"/>
      <c r="F275" s="1"/>
      <c r="G275" s="5"/>
      <c r="H275" s="1"/>
      <c r="I275" s="1"/>
      <c r="J275" s="1"/>
      <c r="K275" s="1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45"/>
      <c r="Z275" s="5"/>
      <c r="AA275" s="5"/>
      <c r="AB275" s="5"/>
      <c r="AC275" s="5"/>
      <c r="AD275" s="5"/>
      <c r="AE275" s="5"/>
      <c r="AF275" s="45"/>
      <c r="AG275" s="5"/>
      <c r="AH275" s="5"/>
      <c r="AI275" s="5"/>
      <c r="AJ275" s="5"/>
      <c r="AK275" s="5"/>
      <c r="AL275" s="5"/>
      <c r="AM275" s="5"/>
      <c r="AN275" s="5"/>
      <c r="AO275" s="5"/>
      <c r="AP275" s="5"/>
    </row>
    <row r="276" spans="1:42" s="51" customFormat="1" ht="20.100000000000001" customHeight="1">
      <c r="A276" s="12"/>
      <c r="B276" s="1"/>
      <c r="C276" s="12"/>
      <c r="D276" s="12"/>
      <c r="E276" s="12"/>
      <c r="F276" s="1"/>
      <c r="G276" s="5"/>
      <c r="H276" s="1"/>
      <c r="I276" s="1"/>
      <c r="J276" s="1"/>
      <c r="K276" s="1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45"/>
      <c r="Z276" s="5"/>
      <c r="AA276" s="5"/>
      <c r="AB276" s="5"/>
      <c r="AC276" s="5"/>
      <c r="AD276" s="5"/>
      <c r="AE276" s="5"/>
      <c r="AF276" s="45"/>
      <c r="AG276" s="5"/>
      <c r="AH276" s="5"/>
      <c r="AI276" s="5"/>
      <c r="AJ276" s="5"/>
      <c r="AK276" s="5"/>
      <c r="AL276" s="5"/>
      <c r="AM276" s="5"/>
      <c r="AN276" s="5"/>
      <c r="AO276" s="5"/>
      <c r="AP276" s="5"/>
    </row>
    <row r="277" spans="1:42" s="51" customFormat="1" ht="20.100000000000001" customHeight="1">
      <c r="A277" s="12"/>
      <c r="B277" s="1"/>
      <c r="C277" s="12"/>
      <c r="D277" s="12"/>
      <c r="E277" s="12"/>
      <c r="F277" s="1"/>
      <c r="G277" s="5"/>
      <c r="H277" s="1"/>
      <c r="I277" s="1"/>
      <c r="J277" s="1"/>
      <c r="K277" s="1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45"/>
      <c r="Z277" s="5"/>
      <c r="AA277" s="5"/>
      <c r="AB277" s="5"/>
      <c r="AC277" s="5"/>
      <c r="AD277" s="5"/>
      <c r="AE277" s="5"/>
      <c r="AF277" s="45"/>
      <c r="AG277" s="5"/>
      <c r="AH277" s="5"/>
      <c r="AI277" s="5"/>
      <c r="AJ277" s="5"/>
      <c r="AK277" s="5"/>
      <c r="AL277" s="5"/>
      <c r="AM277" s="5"/>
      <c r="AN277" s="5"/>
      <c r="AO277" s="5"/>
      <c r="AP277" s="5"/>
    </row>
    <row r="278" spans="1:42" s="51" customFormat="1" ht="20.100000000000001" customHeight="1">
      <c r="A278" s="12"/>
      <c r="B278" s="1"/>
      <c r="C278" s="12"/>
      <c r="D278" s="12"/>
      <c r="E278" s="12"/>
      <c r="F278" s="1"/>
      <c r="G278" s="5"/>
      <c r="H278" s="1"/>
      <c r="I278" s="1"/>
      <c r="J278" s="1"/>
      <c r="K278" s="1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45"/>
      <c r="Z278" s="5"/>
      <c r="AA278" s="5"/>
      <c r="AB278" s="5"/>
      <c r="AC278" s="5"/>
      <c r="AD278" s="5"/>
      <c r="AE278" s="5"/>
      <c r="AF278" s="45"/>
      <c r="AG278" s="5"/>
      <c r="AH278" s="5"/>
      <c r="AI278" s="5"/>
      <c r="AJ278" s="5"/>
      <c r="AK278" s="5"/>
      <c r="AL278" s="5"/>
      <c r="AM278" s="5"/>
      <c r="AN278" s="5"/>
      <c r="AO278" s="5"/>
      <c r="AP278" s="5"/>
    </row>
    <row r="279" spans="1:42" s="51" customFormat="1" ht="20.100000000000001" customHeight="1">
      <c r="A279" s="12"/>
      <c r="B279" s="1"/>
      <c r="C279" s="12"/>
      <c r="D279" s="12"/>
      <c r="E279" s="12"/>
      <c r="F279" s="1"/>
      <c r="G279" s="5"/>
      <c r="H279" s="1"/>
      <c r="I279" s="1"/>
      <c r="J279" s="1"/>
      <c r="K279" s="1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45"/>
      <c r="Z279" s="5"/>
      <c r="AA279" s="5"/>
      <c r="AB279" s="5"/>
      <c r="AC279" s="5"/>
      <c r="AD279" s="5"/>
      <c r="AE279" s="5"/>
      <c r="AF279" s="45"/>
      <c r="AG279" s="5"/>
      <c r="AH279" s="5"/>
      <c r="AI279" s="5"/>
      <c r="AJ279" s="5"/>
      <c r="AK279" s="5"/>
      <c r="AL279" s="5"/>
      <c r="AM279" s="5"/>
      <c r="AN279" s="5"/>
      <c r="AO279" s="5"/>
      <c r="AP279" s="5"/>
    </row>
    <row r="280" spans="1:42" s="51" customFormat="1" ht="20.100000000000001" customHeight="1">
      <c r="A280" s="12"/>
      <c r="B280" s="1"/>
      <c r="C280" s="12"/>
      <c r="D280" s="12"/>
      <c r="E280" s="12"/>
      <c r="F280" s="1"/>
      <c r="G280" s="5"/>
      <c r="H280" s="1"/>
      <c r="I280" s="1"/>
      <c r="J280" s="1"/>
      <c r="K280" s="1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45"/>
      <c r="Z280" s="5"/>
      <c r="AA280" s="5"/>
      <c r="AB280" s="5"/>
      <c r="AC280" s="5"/>
      <c r="AD280" s="5"/>
      <c r="AE280" s="5"/>
      <c r="AF280" s="45"/>
      <c r="AG280" s="5"/>
      <c r="AH280" s="5"/>
      <c r="AI280" s="5"/>
      <c r="AJ280" s="5"/>
      <c r="AK280" s="5"/>
      <c r="AL280" s="5"/>
      <c r="AM280" s="5"/>
      <c r="AN280" s="5"/>
      <c r="AO280" s="5"/>
      <c r="AP280" s="5"/>
    </row>
    <row r="281" spans="1:42" s="51" customFormat="1" ht="20.100000000000001" customHeight="1">
      <c r="A281" s="12"/>
      <c r="B281" s="1"/>
      <c r="C281" s="12"/>
      <c r="D281" s="12"/>
      <c r="E281" s="12"/>
      <c r="F281" s="1"/>
      <c r="G281" s="5"/>
      <c r="H281" s="1"/>
      <c r="I281" s="1"/>
      <c r="J281" s="1"/>
      <c r="K281" s="1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45"/>
      <c r="Z281" s="5"/>
      <c r="AA281" s="5"/>
      <c r="AB281" s="5"/>
      <c r="AC281" s="5"/>
      <c r="AD281" s="5"/>
      <c r="AE281" s="5"/>
      <c r="AF281" s="45"/>
      <c r="AG281" s="5"/>
      <c r="AH281" s="5"/>
      <c r="AI281" s="5"/>
      <c r="AJ281" s="5"/>
      <c r="AK281" s="5"/>
      <c r="AL281" s="5"/>
      <c r="AM281" s="5"/>
      <c r="AN281" s="5"/>
      <c r="AO281" s="5"/>
      <c r="AP281" s="5"/>
    </row>
    <row r="282" spans="1:42" s="51" customFormat="1" ht="20.100000000000001" customHeight="1">
      <c r="A282" s="12"/>
      <c r="B282" s="1"/>
      <c r="C282" s="12"/>
      <c r="D282" s="12"/>
      <c r="E282" s="12"/>
      <c r="F282" s="1"/>
      <c r="G282" s="5"/>
      <c r="H282" s="1"/>
      <c r="I282" s="1"/>
      <c r="J282" s="1"/>
      <c r="K282" s="1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45"/>
      <c r="Z282" s="5"/>
      <c r="AA282" s="5"/>
      <c r="AB282" s="5"/>
      <c r="AC282" s="5"/>
      <c r="AD282" s="5"/>
      <c r="AE282" s="5"/>
      <c r="AF282" s="45"/>
      <c r="AG282" s="5"/>
      <c r="AH282" s="5"/>
      <c r="AI282" s="5"/>
      <c r="AJ282" s="5"/>
      <c r="AK282" s="5"/>
      <c r="AL282" s="5"/>
      <c r="AM282" s="5"/>
      <c r="AN282" s="5"/>
      <c r="AO282" s="5"/>
      <c r="AP282" s="5"/>
    </row>
    <row r="283" spans="1:42" s="51" customFormat="1" ht="20.100000000000001" customHeight="1">
      <c r="A283" s="12"/>
      <c r="B283" s="1"/>
      <c r="C283" s="12"/>
      <c r="D283" s="12"/>
      <c r="E283" s="12"/>
      <c r="F283" s="1"/>
      <c r="G283" s="5"/>
      <c r="H283" s="1"/>
      <c r="I283" s="1"/>
      <c r="J283" s="1"/>
      <c r="K283" s="1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45"/>
      <c r="Z283" s="5"/>
      <c r="AA283" s="5"/>
      <c r="AB283" s="5"/>
      <c r="AC283" s="5"/>
      <c r="AD283" s="5"/>
      <c r="AE283" s="5"/>
      <c r="AF283" s="45"/>
      <c r="AG283" s="5"/>
      <c r="AH283" s="5"/>
      <c r="AI283" s="5"/>
      <c r="AJ283" s="5"/>
      <c r="AK283" s="5"/>
      <c r="AL283" s="5"/>
      <c r="AM283" s="5"/>
      <c r="AN283" s="5"/>
      <c r="AO283" s="5"/>
      <c r="AP283" s="5"/>
    </row>
    <row r="284" spans="1:42" s="51" customFormat="1" ht="20.100000000000001" customHeight="1">
      <c r="A284" s="12"/>
      <c r="B284" s="1"/>
      <c r="C284" s="12"/>
      <c r="D284" s="12"/>
      <c r="E284" s="12"/>
      <c r="F284" s="1"/>
      <c r="G284" s="5"/>
      <c r="H284" s="1"/>
      <c r="I284" s="1"/>
      <c r="J284" s="1"/>
      <c r="K284" s="1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45"/>
      <c r="Z284" s="5"/>
      <c r="AA284" s="5"/>
      <c r="AB284" s="5"/>
      <c r="AC284" s="5"/>
      <c r="AD284" s="5"/>
      <c r="AE284" s="5"/>
      <c r="AF284" s="45"/>
      <c r="AG284" s="5"/>
      <c r="AH284" s="5"/>
      <c r="AI284" s="5"/>
      <c r="AJ284" s="5"/>
      <c r="AK284" s="5"/>
      <c r="AL284" s="5"/>
      <c r="AM284" s="5"/>
      <c r="AN284" s="5"/>
      <c r="AO284" s="5"/>
      <c r="AP284" s="5"/>
    </row>
    <row r="285" spans="1:42" s="51" customFormat="1" ht="20.100000000000001" customHeight="1">
      <c r="A285" s="12"/>
      <c r="B285" s="1"/>
      <c r="C285" s="12"/>
      <c r="D285" s="12"/>
      <c r="E285" s="12"/>
      <c r="F285" s="1"/>
      <c r="G285" s="5"/>
      <c r="H285" s="1"/>
      <c r="I285" s="1"/>
      <c r="J285" s="1"/>
      <c r="K285" s="1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45"/>
      <c r="Z285" s="5"/>
      <c r="AA285" s="5"/>
      <c r="AB285" s="5"/>
      <c r="AC285" s="5"/>
      <c r="AD285" s="5"/>
      <c r="AE285" s="5"/>
      <c r="AF285" s="45"/>
      <c r="AG285" s="5"/>
      <c r="AH285" s="5"/>
      <c r="AI285" s="5"/>
      <c r="AJ285" s="5"/>
      <c r="AK285" s="5"/>
      <c r="AL285" s="5"/>
      <c r="AM285" s="5"/>
      <c r="AN285" s="5"/>
      <c r="AO285" s="5"/>
      <c r="AP285" s="5"/>
    </row>
    <row r="286" spans="1:42" s="51" customFormat="1" ht="20.100000000000001" customHeight="1">
      <c r="A286" s="12"/>
      <c r="B286" s="1"/>
      <c r="C286" s="12"/>
      <c r="D286" s="12"/>
      <c r="E286" s="12"/>
      <c r="F286" s="1"/>
      <c r="G286" s="5"/>
      <c r="H286" s="1"/>
      <c r="I286" s="1"/>
      <c r="J286" s="1"/>
      <c r="K286" s="1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45"/>
      <c r="Z286" s="5"/>
      <c r="AA286" s="5"/>
      <c r="AB286" s="5"/>
      <c r="AC286" s="5"/>
      <c r="AD286" s="5"/>
      <c r="AE286" s="5"/>
      <c r="AF286" s="45"/>
      <c r="AG286" s="5"/>
      <c r="AH286" s="5"/>
      <c r="AI286" s="5"/>
      <c r="AJ286" s="5"/>
      <c r="AK286" s="5"/>
      <c r="AL286" s="5"/>
      <c r="AM286" s="5"/>
      <c r="AN286" s="5"/>
      <c r="AO286" s="5"/>
      <c r="AP286" s="5"/>
    </row>
    <row r="287" spans="1:42" s="51" customFormat="1" ht="20.100000000000001" customHeight="1">
      <c r="A287" s="12"/>
      <c r="B287" s="1"/>
      <c r="C287" s="12"/>
      <c r="D287" s="12"/>
      <c r="E287" s="12"/>
      <c r="F287" s="1"/>
      <c r="G287" s="5"/>
      <c r="H287" s="1"/>
      <c r="I287" s="1"/>
      <c r="J287" s="1"/>
      <c r="K287" s="1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45"/>
      <c r="Z287" s="5"/>
      <c r="AA287" s="5"/>
      <c r="AB287" s="5"/>
      <c r="AC287" s="5"/>
      <c r="AD287" s="5"/>
      <c r="AE287" s="5"/>
      <c r="AF287" s="45"/>
      <c r="AG287" s="5"/>
      <c r="AH287" s="5"/>
      <c r="AI287" s="5"/>
      <c r="AJ287" s="5"/>
      <c r="AK287" s="5"/>
      <c r="AL287" s="5"/>
      <c r="AM287" s="5"/>
      <c r="AN287" s="5"/>
      <c r="AO287" s="5"/>
      <c r="AP287" s="5"/>
    </row>
    <row r="288" spans="1:42" s="51" customFormat="1" ht="20.100000000000001" customHeight="1">
      <c r="A288" s="12"/>
      <c r="B288" s="1"/>
      <c r="C288" s="12"/>
      <c r="D288" s="12"/>
      <c r="E288" s="12"/>
      <c r="F288" s="1"/>
      <c r="G288" s="5"/>
      <c r="H288" s="1"/>
      <c r="I288" s="1"/>
      <c r="J288" s="1"/>
      <c r="K288" s="1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45"/>
      <c r="Z288" s="5"/>
      <c r="AA288" s="5"/>
      <c r="AB288" s="5"/>
      <c r="AC288" s="5"/>
      <c r="AD288" s="5"/>
      <c r="AE288" s="5"/>
      <c r="AF288" s="45"/>
      <c r="AG288" s="5"/>
      <c r="AH288" s="5"/>
      <c r="AI288" s="5"/>
      <c r="AJ288" s="5"/>
      <c r="AK288" s="5"/>
      <c r="AL288" s="5"/>
      <c r="AM288" s="5"/>
      <c r="AN288" s="5"/>
      <c r="AO288" s="5"/>
      <c r="AP288" s="5"/>
    </row>
    <row r="289" spans="1:42" s="51" customFormat="1" ht="20.100000000000001" customHeight="1">
      <c r="A289" s="12"/>
      <c r="B289" s="1"/>
      <c r="C289" s="12"/>
      <c r="D289" s="12"/>
      <c r="E289" s="12"/>
      <c r="F289" s="1"/>
      <c r="G289" s="5"/>
      <c r="H289" s="1"/>
      <c r="I289" s="1"/>
      <c r="J289" s="1"/>
      <c r="K289" s="1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45"/>
      <c r="Z289" s="5"/>
      <c r="AA289" s="5"/>
      <c r="AB289" s="5"/>
      <c r="AC289" s="5"/>
      <c r="AD289" s="5"/>
      <c r="AE289" s="5"/>
      <c r="AF289" s="45"/>
      <c r="AG289" s="5"/>
      <c r="AH289" s="5"/>
      <c r="AI289" s="5"/>
      <c r="AJ289" s="5"/>
      <c r="AK289" s="5"/>
      <c r="AL289" s="5"/>
      <c r="AM289" s="5"/>
      <c r="AN289" s="5"/>
      <c r="AO289" s="5"/>
      <c r="AP289" s="5"/>
    </row>
    <row r="290" spans="1:42" s="51" customFormat="1" ht="20.100000000000001" customHeight="1">
      <c r="A290" s="12"/>
      <c r="B290" s="1"/>
      <c r="C290" s="12"/>
      <c r="D290" s="12"/>
      <c r="E290" s="12"/>
      <c r="F290" s="1"/>
      <c r="G290" s="5"/>
      <c r="H290" s="1"/>
      <c r="I290" s="1"/>
      <c r="J290" s="1"/>
      <c r="K290" s="1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45"/>
      <c r="Z290" s="5"/>
      <c r="AA290" s="5"/>
      <c r="AB290" s="5"/>
      <c r="AC290" s="5"/>
      <c r="AD290" s="5"/>
      <c r="AE290" s="5"/>
      <c r="AF290" s="45"/>
      <c r="AG290" s="5"/>
      <c r="AH290" s="5"/>
      <c r="AI290" s="5"/>
      <c r="AJ290" s="5"/>
      <c r="AK290" s="5"/>
      <c r="AL290" s="5"/>
      <c r="AM290" s="5"/>
      <c r="AN290" s="5"/>
      <c r="AO290" s="5"/>
      <c r="AP290" s="5"/>
    </row>
    <row r="291" spans="1:42" s="51" customFormat="1" ht="20.100000000000001" customHeight="1">
      <c r="A291" s="12"/>
      <c r="B291" s="1"/>
      <c r="C291" s="12"/>
      <c r="D291" s="12"/>
      <c r="E291" s="12"/>
      <c r="F291" s="1"/>
      <c r="G291" s="5"/>
      <c r="H291" s="1"/>
      <c r="I291" s="1"/>
      <c r="J291" s="1"/>
      <c r="K291" s="1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45"/>
      <c r="Z291" s="5"/>
      <c r="AA291" s="5"/>
      <c r="AB291" s="5"/>
      <c r="AC291" s="5"/>
      <c r="AD291" s="5"/>
      <c r="AE291" s="5"/>
      <c r="AF291" s="45"/>
      <c r="AG291" s="5"/>
      <c r="AH291" s="5"/>
      <c r="AI291" s="5"/>
      <c r="AJ291" s="5"/>
      <c r="AK291" s="5"/>
      <c r="AL291" s="5"/>
      <c r="AM291" s="5"/>
      <c r="AN291" s="5"/>
      <c r="AO291" s="5"/>
      <c r="AP291" s="5"/>
    </row>
    <row r="292" spans="1:42" s="51" customFormat="1" ht="20.100000000000001" customHeight="1">
      <c r="A292" s="12"/>
      <c r="B292" s="1"/>
      <c r="C292" s="12"/>
      <c r="D292" s="12"/>
      <c r="E292" s="12"/>
      <c r="F292" s="1"/>
      <c r="G292" s="5"/>
      <c r="H292" s="1"/>
      <c r="I292" s="1"/>
      <c r="J292" s="1"/>
      <c r="K292" s="1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45"/>
      <c r="Z292" s="5"/>
      <c r="AA292" s="5"/>
      <c r="AB292" s="5"/>
      <c r="AC292" s="5"/>
      <c r="AD292" s="5"/>
      <c r="AE292" s="5"/>
      <c r="AF292" s="45"/>
      <c r="AG292" s="5"/>
      <c r="AH292" s="5"/>
      <c r="AI292" s="5"/>
      <c r="AJ292" s="5"/>
      <c r="AK292" s="5"/>
      <c r="AL292" s="5"/>
      <c r="AM292" s="5"/>
      <c r="AN292" s="5"/>
      <c r="AO292" s="5"/>
      <c r="AP292" s="5"/>
    </row>
    <row r="293" spans="1:42" s="51" customFormat="1" ht="20.100000000000001" customHeight="1">
      <c r="A293" s="12"/>
      <c r="B293" s="1"/>
      <c r="C293" s="12"/>
      <c r="D293" s="12"/>
      <c r="E293" s="12"/>
      <c r="F293" s="1"/>
      <c r="G293" s="5"/>
      <c r="H293" s="1"/>
      <c r="I293" s="1"/>
      <c r="J293" s="1"/>
      <c r="K293" s="1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45"/>
      <c r="Z293" s="5"/>
      <c r="AA293" s="5"/>
      <c r="AB293" s="5"/>
      <c r="AC293" s="5"/>
      <c r="AD293" s="5"/>
      <c r="AE293" s="5"/>
      <c r="AF293" s="45"/>
      <c r="AG293" s="5"/>
      <c r="AH293" s="5"/>
      <c r="AI293" s="5"/>
      <c r="AJ293" s="5"/>
      <c r="AK293" s="5"/>
      <c r="AL293" s="5"/>
      <c r="AM293" s="5"/>
      <c r="AN293" s="5"/>
      <c r="AO293" s="5"/>
      <c r="AP293" s="5"/>
    </row>
    <row r="294" spans="1:42" s="51" customFormat="1" ht="20.100000000000001" customHeight="1">
      <c r="A294" s="12"/>
      <c r="B294" s="1"/>
      <c r="C294" s="12"/>
      <c r="D294" s="12"/>
      <c r="E294" s="12"/>
      <c r="F294" s="1"/>
      <c r="G294" s="5"/>
      <c r="H294" s="1"/>
      <c r="I294" s="1"/>
      <c r="J294" s="1"/>
      <c r="K294" s="1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45"/>
      <c r="Z294" s="5"/>
      <c r="AA294" s="5"/>
      <c r="AB294" s="5"/>
      <c r="AC294" s="5"/>
      <c r="AD294" s="5"/>
      <c r="AE294" s="5"/>
      <c r="AF294" s="45"/>
      <c r="AG294" s="5"/>
      <c r="AH294" s="5"/>
      <c r="AI294" s="5"/>
      <c r="AJ294" s="5"/>
      <c r="AK294" s="5"/>
      <c r="AL294" s="5"/>
      <c r="AM294" s="5"/>
      <c r="AN294" s="5"/>
      <c r="AO294" s="5"/>
      <c r="AP294" s="5"/>
    </row>
    <row r="295" spans="1:42" s="51" customFormat="1" ht="20.100000000000001" customHeight="1">
      <c r="A295" s="12"/>
      <c r="B295" s="1"/>
      <c r="C295" s="12"/>
      <c r="D295" s="12"/>
      <c r="E295" s="12"/>
      <c r="F295" s="1"/>
      <c r="G295" s="5"/>
      <c r="H295" s="1"/>
      <c r="I295" s="1"/>
      <c r="J295" s="1"/>
      <c r="K295" s="1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45"/>
      <c r="Z295" s="5"/>
      <c r="AA295" s="5"/>
      <c r="AB295" s="5"/>
      <c r="AC295" s="5"/>
      <c r="AD295" s="5"/>
      <c r="AE295" s="5"/>
      <c r="AF295" s="45"/>
      <c r="AG295" s="5"/>
      <c r="AH295" s="5"/>
      <c r="AI295" s="5"/>
      <c r="AJ295" s="5"/>
      <c r="AK295" s="5"/>
      <c r="AL295" s="5"/>
      <c r="AM295" s="5"/>
      <c r="AN295" s="5"/>
      <c r="AO295" s="5"/>
      <c r="AP295" s="5"/>
    </row>
    <row r="296" spans="1:42" s="51" customFormat="1" ht="20.100000000000001" customHeight="1">
      <c r="A296" s="12"/>
      <c r="B296" s="1"/>
      <c r="C296" s="12"/>
      <c r="D296" s="12"/>
      <c r="E296" s="12"/>
      <c r="F296" s="1"/>
      <c r="G296" s="5"/>
      <c r="H296" s="1"/>
      <c r="I296" s="1"/>
      <c r="J296" s="1"/>
      <c r="K296" s="1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45"/>
      <c r="Z296" s="5"/>
      <c r="AA296" s="5"/>
      <c r="AB296" s="5"/>
      <c r="AC296" s="5"/>
      <c r="AD296" s="5"/>
      <c r="AE296" s="5"/>
      <c r="AF296" s="45"/>
      <c r="AG296" s="5"/>
      <c r="AH296" s="5"/>
      <c r="AI296" s="5"/>
      <c r="AJ296" s="5"/>
      <c r="AK296" s="5"/>
      <c r="AL296" s="5"/>
      <c r="AM296" s="5"/>
      <c r="AN296" s="5"/>
      <c r="AO296" s="5"/>
      <c r="AP296" s="5"/>
    </row>
    <row r="297" spans="1:42" s="51" customFormat="1" ht="20.100000000000001" customHeight="1">
      <c r="A297" s="12"/>
      <c r="B297" s="1"/>
      <c r="C297" s="12"/>
      <c r="D297" s="12"/>
      <c r="E297" s="12"/>
      <c r="F297" s="1"/>
      <c r="G297" s="5"/>
      <c r="H297" s="1"/>
      <c r="I297" s="1"/>
      <c r="J297" s="1"/>
      <c r="K297" s="1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45"/>
      <c r="Z297" s="5"/>
      <c r="AA297" s="5"/>
      <c r="AB297" s="5"/>
      <c r="AC297" s="5"/>
      <c r="AD297" s="5"/>
      <c r="AE297" s="5"/>
      <c r="AF297" s="45"/>
      <c r="AG297" s="5"/>
      <c r="AH297" s="5"/>
      <c r="AI297" s="5"/>
      <c r="AJ297" s="5"/>
      <c r="AK297" s="5"/>
      <c r="AL297" s="5"/>
      <c r="AM297" s="5"/>
      <c r="AN297" s="5"/>
      <c r="AO297" s="5"/>
      <c r="AP297" s="5"/>
    </row>
    <row r="298" spans="1:42" s="51" customFormat="1" ht="20.100000000000001" customHeight="1">
      <c r="A298" s="12"/>
      <c r="B298" s="1"/>
      <c r="C298" s="12"/>
      <c r="D298" s="12"/>
      <c r="E298" s="12"/>
      <c r="F298" s="1"/>
      <c r="G298" s="5"/>
      <c r="H298" s="1"/>
      <c r="I298" s="1"/>
      <c r="J298" s="1"/>
      <c r="K298" s="1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45"/>
      <c r="Z298" s="5"/>
      <c r="AA298" s="5"/>
      <c r="AB298" s="5"/>
      <c r="AC298" s="5"/>
      <c r="AD298" s="5"/>
      <c r="AE298" s="5"/>
      <c r="AF298" s="45"/>
      <c r="AG298" s="5"/>
      <c r="AH298" s="5"/>
      <c r="AI298" s="5"/>
      <c r="AJ298" s="5"/>
      <c r="AK298" s="5"/>
      <c r="AL298" s="5"/>
      <c r="AM298" s="5"/>
      <c r="AN298" s="5"/>
      <c r="AO298" s="5"/>
      <c r="AP298" s="5"/>
    </row>
    <row r="299" spans="1:42" s="51" customFormat="1" ht="20.100000000000001" customHeight="1">
      <c r="A299" s="12"/>
      <c r="B299" s="1"/>
      <c r="C299" s="12"/>
      <c r="D299" s="12"/>
      <c r="E299" s="12"/>
      <c r="F299" s="1"/>
      <c r="G299" s="5"/>
      <c r="H299" s="1"/>
      <c r="I299" s="1"/>
      <c r="J299" s="1"/>
      <c r="K299" s="1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45"/>
      <c r="Z299" s="5"/>
      <c r="AA299" s="5"/>
      <c r="AB299" s="5"/>
      <c r="AC299" s="5"/>
      <c r="AD299" s="5"/>
      <c r="AE299" s="5"/>
      <c r="AF299" s="45"/>
      <c r="AG299" s="5"/>
      <c r="AH299" s="5"/>
      <c r="AI299" s="5"/>
      <c r="AJ299" s="5"/>
      <c r="AK299" s="5"/>
      <c r="AL299" s="5"/>
      <c r="AM299" s="5"/>
      <c r="AN299" s="5"/>
      <c r="AO299" s="5"/>
      <c r="AP299" s="5"/>
    </row>
    <row r="300" spans="1:42" s="51" customFormat="1" ht="20.100000000000001" customHeight="1">
      <c r="A300" s="12"/>
      <c r="B300" s="1"/>
      <c r="C300" s="12"/>
      <c r="D300" s="12"/>
      <c r="E300" s="12"/>
      <c r="F300" s="1"/>
      <c r="G300" s="5"/>
      <c r="H300" s="1"/>
      <c r="I300" s="1"/>
      <c r="J300" s="1"/>
      <c r="K300" s="1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45"/>
      <c r="Z300" s="5"/>
      <c r="AA300" s="5"/>
      <c r="AB300" s="5"/>
      <c r="AC300" s="5"/>
      <c r="AD300" s="5"/>
      <c r="AE300" s="5"/>
      <c r="AF300" s="45"/>
      <c r="AG300" s="5"/>
      <c r="AH300" s="5"/>
      <c r="AI300" s="5"/>
      <c r="AJ300" s="5"/>
      <c r="AK300" s="5"/>
      <c r="AL300" s="5"/>
      <c r="AM300" s="5"/>
      <c r="AN300" s="5"/>
      <c r="AO300" s="5"/>
      <c r="AP300" s="5"/>
    </row>
    <row r="301" spans="1:42" s="51" customFormat="1" ht="20.100000000000001" customHeight="1">
      <c r="A301" s="12"/>
      <c r="B301" s="1"/>
      <c r="C301" s="12"/>
      <c r="D301" s="12"/>
      <c r="E301" s="12"/>
      <c r="F301" s="1"/>
      <c r="G301" s="5"/>
      <c r="H301" s="1"/>
      <c r="I301" s="1"/>
      <c r="J301" s="1"/>
      <c r="K301" s="1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45"/>
      <c r="Z301" s="5"/>
      <c r="AA301" s="5"/>
      <c r="AB301" s="5"/>
      <c r="AC301" s="5"/>
      <c r="AD301" s="5"/>
      <c r="AE301" s="5"/>
      <c r="AF301" s="45"/>
      <c r="AG301" s="5"/>
      <c r="AH301" s="5"/>
      <c r="AI301" s="5"/>
      <c r="AJ301" s="5"/>
      <c r="AK301" s="5"/>
      <c r="AL301" s="5"/>
      <c r="AM301" s="5"/>
      <c r="AN301" s="5"/>
      <c r="AO301" s="5"/>
      <c r="AP301" s="5"/>
    </row>
    <row r="302" spans="1:42" s="51" customFormat="1" ht="20.100000000000001" customHeight="1">
      <c r="A302" s="12"/>
      <c r="B302" s="1"/>
      <c r="C302" s="12"/>
      <c r="D302" s="12"/>
      <c r="E302" s="12"/>
      <c r="F302" s="1"/>
      <c r="G302" s="5"/>
      <c r="H302" s="1"/>
      <c r="I302" s="1"/>
      <c r="J302" s="1"/>
      <c r="K302" s="1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45"/>
      <c r="Z302" s="5"/>
      <c r="AA302" s="5"/>
      <c r="AB302" s="5"/>
      <c r="AC302" s="5"/>
      <c r="AD302" s="5"/>
      <c r="AE302" s="5"/>
      <c r="AF302" s="45"/>
      <c r="AG302" s="5"/>
      <c r="AH302" s="5"/>
      <c r="AI302" s="5"/>
      <c r="AJ302" s="5"/>
      <c r="AK302" s="5"/>
      <c r="AL302" s="5"/>
      <c r="AM302" s="5"/>
      <c r="AN302" s="5"/>
      <c r="AO302" s="5"/>
      <c r="AP302" s="5"/>
    </row>
    <row r="303" spans="1:42" s="51" customFormat="1" ht="20.100000000000001" customHeight="1">
      <c r="A303" s="12"/>
      <c r="B303" s="1"/>
      <c r="C303" s="12"/>
      <c r="D303" s="12"/>
      <c r="E303" s="12"/>
      <c r="F303" s="1"/>
      <c r="G303" s="5"/>
      <c r="H303" s="1"/>
      <c r="I303" s="1"/>
      <c r="J303" s="1"/>
      <c r="K303" s="1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45"/>
      <c r="Z303" s="5"/>
      <c r="AA303" s="5"/>
      <c r="AB303" s="5"/>
      <c r="AC303" s="5"/>
      <c r="AD303" s="5"/>
      <c r="AE303" s="5"/>
      <c r="AF303" s="45"/>
      <c r="AG303" s="5"/>
      <c r="AH303" s="5"/>
      <c r="AI303" s="5"/>
      <c r="AJ303" s="5"/>
      <c r="AK303" s="5"/>
      <c r="AL303" s="5"/>
      <c r="AM303" s="5"/>
      <c r="AN303" s="5"/>
      <c r="AO303" s="5"/>
      <c r="AP303" s="5"/>
    </row>
    <row r="304" spans="1:42" s="51" customFormat="1" ht="20.100000000000001" customHeight="1">
      <c r="A304" s="12"/>
      <c r="B304" s="1"/>
      <c r="C304" s="12"/>
      <c r="D304" s="12"/>
      <c r="E304" s="12"/>
      <c r="F304" s="1"/>
      <c r="G304" s="5"/>
      <c r="H304" s="1"/>
      <c r="I304" s="1"/>
      <c r="J304" s="1"/>
      <c r="K304" s="1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45"/>
      <c r="Z304" s="5"/>
      <c r="AA304" s="5"/>
      <c r="AB304" s="5"/>
      <c r="AC304" s="5"/>
      <c r="AD304" s="5"/>
      <c r="AE304" s="5"/>
      <c r="AF304" s="45"/>
      <c r="AG304" s="5"/>
      <c r="AH304" s="5"/>
      <c r="AI304" s="5"/>
      <c r="AJ304" s="5"/>
      <c r="AK304" s="5"/>
      <c r="AL304" s="5"/>
      <c r="AM304" s="5"/>
      <c r="AN304" s="5"/>
      <c r="AO304" s="5"/>
      <c r="AP304" s="5"/>
    </row>
    <row r="305" spans="1:42" s="51" customFormat="1" ht="20.100000000000001" customHeight="1">
      <c r="A305" s="12"/>
      <c r="B305" s="1"/>
      <c r="C305" s="12"/>
      <c r="D305" s="12"/>
      <c r="E305" s="12"/>
      <c r="F305" s="1"/>
      <c r="G305" s="5"/>
      <c r="H305" s="1"/>
      <c r="I305" s="1"/>
      <c r="J305" s="1"/>
      <c r="K305" s="1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45"/>
      <c r="Z305" s="5"/>
      <c r="AA305" s="5"/>
      <c r="AB305" s="5"/>
      <c r="AC305" s="5"/>
      <c r="AD305" s="5"/>
      <c r="AE305" s="5"/>
      <c r="AF305" s="45"/>
      <c r="AG305" s="5"/>
      <c r="AH305" s="5"/>
      <c r="AI305" s="5"/>
      <c r="AJ305" s="5"/>
      <c r="AK305" s="5"/>
      <c r="AL305" s="5"/>
      <c r="AM305" s="5"/>
      <c r="AN305" s="5"/>
      <c r="AO305" s="5"/>
      <c r="AP305" s="5"/>
    </row>
    <row r="306" spans="1:42" s="51" customFormat="1" ht="20.100000000000001" customHeight="1">
      <c r="A306" s="12"/>
      <c r="B306" s="1"/>
      <c r="C306" s="12"/>
      <c r="D306" s="12"/>
      <c r="E306" s="12"/>
      <c r="F306" s="1"/>
      <c r="G306" s="5"/>
      <c r="H306" s="1"/>
      <c r="I306" s="1"/>
      <c r="J306" s="1"/>
      <c r="K306" s="1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45"/>
      <c r="Z306" s="5"/>
      <c r="AA306" s="5"/>
      <c r="AB306" s="5"/>
      <c r="AC306" s="5"/>
      <c r="AD306" s="5"/>
      <c r="AE306" s="5"/>
      <c r="AF306" s="45"/>
      <c r="AG306" s="5"/>
      <c r="AH306" s="5"/>
      <c r="AI306" s="5"/>
      <c r="AJ306" s="5"/>
      <c r="AK306" s="5"/>
      <c r="AL306" s="5"/>
      <c r="AM306" s="5"/>
      <c r="AN306" s="5"/>
      <c r="AO306" s="5"/>
      <c r="AP306" s="5"/>
    </row>
    <row r="307" spans="1:42" s="51" customFormat="1" ht="20.100000000000001" customHeight="1">
      <c r="A307" s="12"/>
      <c r="B307" s="1"/>
      <c r="C307" s="12"/>
      <c r="D307" s="12"/>
      <c r="E307" s="12"/>
      <c r="F307" s="1"/>
      <c r="G307" s="5"/>
      <c r="H307" s="1"/>
      <c r="I307" s="1"/>
      <c r="J307" s="1"/>
      <c r="K307" s="1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45"/>
      <c r="Z307" s="5"/>
      <c r="AA307" s="5"/>
      <c r="AB307" s="5"/>
      <c r="AC307" s="5"/>
      <c r="AD307" s="5"/>
      <c r="AE307" s="5"/>
      <c r="AF307" s="45"/>
      <c r="AG307" s="5"/>
      <c r="AH307" s="5"/>
      <c r="AI307" s="5"/>
      <c r="AJ307" s="5"/>
      <c r="AK307" s="5"/>
      <c r="AL307" s="5"/>
      <c r="AM307" s="5"/>
      <c r="AN307" s="5"/>
      <c r="AO307" s="5"/>
      <c r="AP307" s="5"/>
    </row>
    <row r="308" spans="1:42" s="51" customFormat="1" ht="20.100000000000001" customHeight="1">
      <c r="A308" s="12"/>
      <c r="B308" s="1"/>
      <c r="C308" s="12"/>
      <c r="D308" s="12"/>
      <c r="E308" s="12"/>
      <c r="F308" s="1"/>
      <c r="G308" s="5"/>
      <c r="H308" s="1"/>
      <c r="I308" s="1"/>
      <c r="J308" s="1"/>
      <c r="K308" s="1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45"/>
      <c r="Z308" s="5"/>
      <c r="AA308" s="5"/>
      <c r="AB308" s="5"/>
      <c r="AC308" s="5"/>
      <c r="AD308" s="5"/>
      <c r="AE308" s="5"/>
      <c r="AF308" s="45"/>
      <c r="AG308" s="5"/>
      <c r="AH308" s="5"/>
      <c r="AI308" s="5"/>
      <c r="AJ308" s="5"/>
      <c r="AK308" s="5"/>
      <c r="AL308" s="5"/>
      <c r="AM308" s="5"/>
      <c r="AN308" s="5"/>
      <c r="AO308" s="5"/>
      <c r="AP308" s="5"/>
    </row>
    <row r="309" spans="1:42" s="51" customFormat="1" ht="20.100000000000001" customHeight="1">
      <c r="A309" s="12"/>
      <c r="B309" s="1"/>
      <c r="C309" s="12"/>
      <c r="D309" s="12"/>
      <c r="E309" s="12"/>
      <c r="F309" s="1"/>
      <c r="G309" s="5"/>
      <c r="H309" s="1"/>
      <c r="I309" s="1"/>
      <c r="J309" s="1"/>
      <c r="K309" s="1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45"/>
      <c r="Z309" s="5"/>
      <c r="AA309" s="5"/>
      <c r="AB309" s="5"/>
      <c r="AC309" s="5"/>
      <c r="AD309" s="5"/>
      <c r="AE309" s="5"/>
      <c r="AF309" s="45"/>
      <c r="AG309" s="5"/>
      <c r="AH309" s="5"/>
      <c r="AI309" s="5"/>
      <c r="AJ309" s="5"/>
      <c r="AK309" s="5"/>
      <c r="AL309" s="5"/>
      <c r="AM309" s="5"/>
      <c r="AN309" s="5"/>
      <c r="AO309" s="5"/>
      <c r="AP309" s="5"/>
    </row>
    <row r="310" spans="1:42" s="51" customFormat="1" ht="20.100000000000001" customHeight="1">
      <c r="A310" s="12"/>
      <c r="B310" s="1"/>
      <c r="C310" s="12"/>
      <c r="D310" s="12"/>
      <c r="E310" s="12"/>
      <c r="F310" s="1"/>
      <c r="G310" s="5"/>
      <c r="H310" s="1"/>
      <c r="I310" s="1"/>
      <c r="J310" s="1"/>
      <c r="K310" s="1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45"/>
      <c r="Z310" s="5"/>
      <c r="AA310" s="5"/>
      <c r="AB310" s="5"/>
      <c r="AC310" s="5"/>
      <c r="AD310" s="5"/>
      <c r="AE310" s="5"/>
      <c r="AF310" s="45"/>
      <c r="AG310" s="5"/>
      <c r="AH310" s="5"/>
      <c r="AI310" s="5"/>
      <c r="AJ310" s="5"/>
      <c r="AK310" s="5"/>
      <c r="AL310" s="5"/>
      <c r="AM310" s="5"/>
      <c r="AN310" s="5"/>
      <c r="AO310" s="5"/>
      <c r="AP310" s="5"/>
    </row>
    <row r="311" spans="1:42" s="51" customFormat="1" ht="20.100000000000001" customHeight="1">
      <c r="A311" s="12"/>
      <c r="B311" s="1"/>
      <c r="C311" s="12"/>
      <c r="D311" s="12"/>
      <c r="E311" s="12"/>
      <c r="F311" s="1"/>
      <c r="G311" s="5"/>
      <c r="H311" s="1"/>
      <c r="I311" s="1"/>
      <c r="J311" s="1"/>
      <c r="K311" s="1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45"/>
      <c r="Z311" s="5"/>
      <c r="AA311" s="5"/>
      <c r="AB311" s="5"/>
      <c r="AC311" s="5"/>
      <c r="AD311" s="5"/>
      <c r="AE311" s="5"/>
      <c r="AF311" s="45"/>
      <c r="AG311" s="5"/>
      <c r="AH311" s="5"/>
      <c r="AI311" s="5"/>
      <c r="AJ311" s="5"/>
      <c r="AK311" s="5"/>
      <c r="AL311" s="5"/>
      <c r="AM311" s="5"/>
      <c r="AN311" s="5"/>
      <c r="AO311" s="5"/>
      <c r="AP311" s="5"/>
    </row>
    <row r="312" spans="1:42" s="51" customFormat="1" ht="20.100000000000001" customHeight="1">
      <c r="A312" s="12"/>
      <c r="B312" s="1"/>
      <c r="C312" s="12"/>
      <c r="D312" s="12"/>
      <c r="E312" s="12"/>
      <c r="F312" s="1"/>
      <c r="G312" s="5"/>
      <c r="H312" s="1"/>
      <c r="I312" s="1"/>
      <c r="J312" s="1"/>
      <c r="K312" s="1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45"/>
      <c r="Z312" s="5"/>
      <c r="AA312" s="5"/>
      <c r="AB312" s="5"/>
      <c r="AC312" s="5"/>
      <c r="AD312" s="5"/>
      <c r="AE312" s="5"/>
      <c r="AF312" s="45"/>
      <c r="AG312" s="5"/>
      <c r="AH312" s="5"/>
      <c r="AI312" s="5"/>
      <c r="AJ312" s="5"/>
      <c r="AK312" s="5"/>
      <c r="AL312" s="5"/>
      <c r="AM312" s="5"/>
      <c r="AN312" s="5"/>
      <c r="AO312" s="5"/>
      <c r="AP312" s="5"/>
    </row>
    <row r="313" spans="1:42" s="51" customFormat="1" ht="20.100000000000001" customHeight="1">
      <c r="A313" s="12"/>
      <c r="B313" s="1"/>
      <c r="C313" s="12"/>
      <c r="D313" s="12"/>
      <c r="E313" s="12"/>
      <c r="F313" s="1"/>
      <c r="G313" s="5"/>
      <c r="H313" s="1"/>
      <c r="I313" s="1"/>
      <c r="J313" s="1"/>
      <c r="K313" s="1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45"/>
      <c r="Z313" s="5"/>
      <c r="AA313" s="5"/>
      <c r="AB313" s="5"/>
      <c r="AC313" s="5"/>
      <c r="AD313" s="5"/>
      <c r="AE313" s="5"/>
      <c r="AF313" s="45"/>
      <c r="AG313" s="5"/>
      <c r="AH313" s="5"/>
      <c r="AI313" s="5"/>
      <c r="AJ313" s="5"/>
      <c r="AK313" s="5"/>
      <c r="AL313" s="5"/>
      <c r="AM313" s="5"/>
      <c r="AN313" s="5"/>
      <c r="AO313" s="5"/>
      <c r="AP313" s="5"/>
    </row>
    <row r="314" spans="1:42" s="51" customFormat="1" ht="20.100000000000001" customHeight="1">
      <c r="A314" s="12"/>
      <c r="B314" s="1"/>
      <c r="C314" s="12"/>
      <c r="D314" s="12"/>
      <c r="E314" s="12"/>
      <c r="F314" s="1"/>
      <c r="G314" s="5"/>
      <c r="H314" s="1"/>
      <c r="I314" s="1"/>
      <c r="J314" s="1"/>
      <c r="K314" s="1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45"/>
      <c r="Z314" s="5"/>
      <c r="AA314" s="5"/>
      <c r="AB314" s="5"/>
      <c r="AC314" s="5"/>
      <c r="AD314" s="5"/>
      <c r="AE314" s="5"/>
      <c r="AF314" s="45"/>
      <c r="AG314" s="5"/>
      <c r="AH314" s="5"/>
      <c r="AI314" s="5"/>
      <c r="AJ314" s="5"/>
      <c r="AK314" s="5"/>
      <c r="AL314" s="5"/>
      <c r="AM314" s="5"/>
      <c r="AN314" s="5"/>
      <c r="AO314" s="5"/>
      <c r="AP314" s="5"/>
    </row>
    <row r="315" spans="1:42" s="51" customFormat="1" ht="20.100000000000001" customHeight="1">
      <c r="A315" s="12"/>
      <c r="B315" s="1"/>
      <c r="C315" s="12"/>
      <c r="D315" s="12"/>
      <c r="E315" s="12"/>
      <c r="F315" s="1"/>
      <c r="G315" s="5"/>
      <c r="H315" s="1"/>
      <c r="I315" s="1"/>
      <c r="J315" s="1"/>
      <c r="K315" s="1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45"/>
      <c r="Z315" s="5"/>
      <c r="AA315" s="5"/>
      <c r="AB315" s="5"/>
      <c r="AC315" s="5"/>
      <c r="AD315" s="5"/>
      <c r="AE315" s="5"/>
      <c r="AF315" s="45"/>
      <c r="AG315" s="5"/>
      <c r="AH315" s="5"/>
      <c r="AI315" s="5"/>
      <c r="AJ315" s="5"/>
      <c r="AK315" s="5"/>
      <c r="AL315" s="5"/>
      <c r="AM315" s="5"/>
      <c r="AN315" s="5"/>
      <c r="AO315" s="5"/>
      <c r="AP315" s="5"/>
    </row>
    <row r="316" spans="1:42" s="51" customFormat="1" ht="20.100000000000001" customHeight="1">
      <c r="A316" s="12"/>
      <c r="B316" s="1"/>
      <c r="C316" s="12"/>
      <c r="D316" s="12"/>
      <c r="E316" s="12"/>
      <c r="F316" s="1"/>
      <c r="G316" s="5"/>
      <c r="H316" s="1"/>
      <c r="I316" s="1"/>
      <c r="J316" s="1"/>
      <c r="K316" s="1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45"/>
      <c r="Z316" s="5"/>
      <c r="AA316" s="5"/>
      <c r="AB316" s="5"/>
      <c r="AC316" s="5"/>
      <c r="AD316" s="5"/>
      <c r="AE316" s="5"/>
      <c r="AF316" s="45"/>
      <c r="AG316" s="5"/>
      <c r="AH316" s="5"/>
      <c r="AI316" s="5"/>
      <c r="AJ316" s="5"/>
      <c r="AK316" s="5"/>
      <c r="AL316" s="5"/>
      <c r="AM316" s="5"/>
      <c r="AN316" s="5"/>
      <c r="AO316" s="5"/>
      <c r="AP316" s="5"/>
    </row>
    <row r="317" spans="1:42" s="51" customFormat="1" ht="20.100000000000001" customHeight="1">
      <c r="A317" s="12"/>
      <c r="B317" s="1"/>
      <c r="C317" s="12"/>
      <c r="D317" s="12"/>
      <c r="E317" s="12"/>
      <c r="F317" s="1"/>
      <c r="G317" s="5"/>
      <c r="H317" s="1"/>
      <c r="I317" s="1"/>
      <c r="J317" s="1"/>
      <c r="K317" s="1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45"/>
      <c r="Z317" s="5"/>
      <c r="AA317" s="5"/>
      <c r="AB317" s="5"/>
      <c r="AC317" s="5"/>
      <c r="AD317" s="5"/>
      <c r="AE317" s="5"/>
      <c r="AF317" s="45"/>
      <c r="AG317" s="5"/>
      <c r="AH317" s="5"/>
      <c r="AI317" s="5"/>
      <c r="AJ317" s="5"/>
      <c r="AK317" s="5"/>
      <c r="AL317" s="5"/>
      <c r="AM317" s="5"/>
      <c r="AN317" s="5"/>
      <c r="AO317" s="5"/>
      <c r="AP317" s="5"/>
    </row>
    <row r="318" spans="1:42" s="51" customFormat="1" ht="20.100000000000001" customHeight="1">
      <c r="A318" s="12"/>
      <c r="B318" s="1"/>
      <c r="C318" s="12"/>
      <c r="D318" s="12"/>
      <c r="E318" s="12"/>
      <c r="F318" s="1"/>
      <c r="G318" s="5"/>
      <c r="H318" s="1"/>
      <c r="I318" s="1"/>
      <c r="J318" s="1"/>
      <c r="K318" s="1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45"/>
      <c r="Z318" s="5"/>
      <c r="AA318" s="5"/>
      <c r="AB318" s="5"/>
      <c r="AC318" s="5"/>
      <c r="AD318" s="5"/>
      <c r="AE318" s="5"/>
      <c r="AF318" s="45"/>
      <c r="AG318" s="5"/>
      <c r="AH318" s="5"/>
      <c r="AI318" s="5"/>
      <c r="AJ318" s="5"/>
      <c r="AK318" s="5"/>
      <c r="AL318" s="5"/>
      <c r="AM318" s="5"/>
      <c r="AN318" s="5"/>
      <c r="AO318" s="5"/>
      <c r="AP318" s="5"/>
    </row>
    <row r="319" spans="1:42" s="51" customFormat="1" ht="20.100000000000001" customHeight="1">
      <c r="A319" s="12"/>
      <c r="B319" s="1"/>
      <c r="C319" s="12"/>
      <c r="D319" s="12"/>
      <c r="E319" s="12"/>
      <c r="F319" s="1"/>
      <c r="G319" s="5"/>
      <c r="H319" s="1"/>
      <c r="I319" s="1"/>
      <c r="J319" s="1"/>
      <c r="K319" s="1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45"/>
      <c r="Z319" s="5"/>
      <c r="AA319" s="5"/>
      <c r="AB319" s="5"/>
      <c r="AC319" s="5"/>
      <c r="AD319" s="5"/>
      <c r="AE319" s="5"/>
      <c r="AF319" s="45"/>
      <c r="AG319" s="5"/>
      <c r="AH319" s="5"/>
      <c r="AI319" s="5"/>
      <c r="AJ319" s="5"/>
      <c r="AK319" s="5"/>
      <c r="AL319" s="5"/>
      <c r="AM319" s="5"/>
      <c r="AN319" s="5"/>
      <c r="AO319" s="5"/>
      <c r="AP319" s="5"/>
    </row>
    <row r="320" spans="1:42" s="51" customFormat="1" ht="20.100000000000001" customHeight="1">
      <c r="A320" s="12"/>
      <c r="B320" s="1"/>
      <c r="C320" s="12"/>
      <c r="D320" s="12"/>
      <c r="E320" s="12"/>
      <c r="F320" s="1"/>
      <c r="G320" s="5"/>
      <c r="H320" s="1"/>
      <c r="I320" s="1"/>
      <c r="J320" s="1"/>
      <c r="K320" s="1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45"/>
      <c r="Z320" s="5"/>
      <c r="AA320" s="5"/>
      <c r="AB320" s="5"/>
      <c r="AC320" s="5"/>
      <c r="AD320" s="5"/>
      <c r="AE320" s="5"/>
      <c r="AF320" s="45"/>
      <c r="AG320" s="5"/>
      <c r="AH320" s="5"/>
      <c r="AI320" s="5"/>
      <c r="AJ320" s="5"/>
      <c r="AK320" s="5"/>
      <c r="AL320" s="5"/>
      <c r="AM320" s="5"/>
      <c r="AN320" s="5"/>
      <c r="AO320" s="5"/>
      <c r="AP320" s="5"/>
    </row>
    <row r="321" spans="1:42" s="51" customFormat="1" ht="20.100000000000001" customHeight="1">
      <c r="A321" s="12"/>
      <c r="B321" s="1"/>
      <c r="C321" s="12"/>
      <c r="D321" s="12"/>
      <c r="E321" s="12"/>
      <c r="F321" s="1"/>
      <c r="G321" s="5"/>
      <c r="H321" s="1"/>
      <c r="I321" s="1"/>
      <c r="J321" s="1"/>
      <c r="K321" s="1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45"/>
      <c r="Z321" s="5"/>
      <c r="AA321" s="5"/>
      <c r="AB321" s="5"/>
      <c r="AC321" s="5"/>
      <c r="AD321" s="5"/>
      <c r="AE321" s="5"/>
      <c r="AF321" s="45"/>
      <c r="AG321" s="5"/>
      <c r="AH321" s="5"/>
      <c r="AI321" s="5"/>
      <c r="AJ321" s="5"/>
      <c r="AK321" s="5"/>
      <c r="AL321" s="5"/>
      <c r="AM321" s="5"/>
      <c r="AN321" s="5"/>
      <c r="AO321" s="5"/>
      <c r="AP321" s="5"/>
    </row>
    <row r="322" spans="1:42" s="51" customFormat="1" ht="20.100000000000001" customHeight="1">
      <c r="A322" s="12"/>
      <c r="B322" s="1"/>
      <c r="C322" s="12"/>
      <c r="D322" s="12"/>
      <c r="E322" s="12"/>
      <c r="F322" s="1"/>
      <c r="G322" s="5"/>
      <c r="H322" s="1"/>
      <c r="I322" s="1"/>
      <c r="J322" s="1"/>
      <c r="K322" s="1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45"/>
      <c r="Z322" s="5"/>
      <c r="AA322" s="5"/>
      <c r="AB322" s="5"/>
      <c r="AC322" s="5"/>
      <c r="AD322" s="5"/>
      <c r="AE322" s="5"/>
      <c r="AF322" s="45"/>
      <c r="AG322" s="5"/>
      <c r="AH322" s="5"/>
      <c r="AI322" s="5"/>
      <c r="AJ322" s="5"/>
      <c r="AK322" s="5"/>
      <c r="AL322" s="5"/>
      <c r="AM322" s="5"/>
      <c r="AN322" s="5"/>
      <c r="AO322" s="5"/>
      <c r="AP322" s="5"/>
    </row>
    <row r="323" spans="1:42" s="51" customFormat="1" ht="20.100000000000001" customHeight="1">
      <c r="A323" s="12"/>
      <c r="B323" s="1"/>
      <c r="C323" s="12"/>
      <c r="D323" s="12"/>
      <c r="E323" s="12"/>
      <c r="F323" s="1"/>
      <c r="G323" s="5"/>
      <c r="H323" s="1"/>
      <c r="I323" s="1"/>
      <c r="J323" s="1"/>
      <c r="K323" s="1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45"/>
      <c r="Z323" s="5"/>
      <c r="AA323" s="5"/>
      <c r="AB323" s="5"/>
      <c r="AC323" s="5"/>
      <c r="AD323" s="5"/>
      <c r="AE323" s="5"/>
      <c r="AF323" s="45"/>
      <c r="AG323" s="5"/>
      <c r="AH323" s="5"/>
      <c r="AI323" s="5"/>
      <c r="AJ323" s="5"/>
      <c r="AK323" s="5"/>
      <c r="AL323" s="5"/>
      <c r="AM323" s="5"/>
      <c r="AN323" s="5"/>
      <c r="AO323" s="5"/>
      <c r="AP323" s="5"/>
    </row>
    <row r="324" spans="1:42" s="51" customFormat="1" ht="20.100000000000001" customHeight="1">
      <c r="A324" s="12"/>
      <c r="B324" s="1"/>
      <c r="C324" s="12"/>
      <c r="D324" s="12"/>
      <c r="E324" s="12"/>
      <c r="F324" s="1"/>
      <c r="G324" s="5"/>
      <c r="H324" s="1"/>
      <c r="I324" s="1"/>
      <c r="J324" s="1"/>
      <c r="K324" s="1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45"/>
      <c r="Z324" s="5"/>
      <c r="AA324" s="5"/>
      <c r="AB324" s="5"/>
      <c r="AC324" s="5"/>
      <c r="AD324" s="5"/>
      <c r="AE324" s="5"/>
      <c r="AF324" s="45"/>
      <c r="AG324" s="5"/>
      <c r="AH324" s="5"/>
      <c r="AI324" s="5"/>
      <c r="AJ324" s="5"/>
      <c r="AK324" s="5"/>
      <c r="AL324" s="5"/>
      <c r="AM324" s="5"/>
      <c r="AN324" s="5"/>
      <c r="AO324" s="5"/>
      <c r="AP324" s="5"/>
    </row>
    <row r="325" spans="1:42" s="51" customFormat="1" ht="20.100000000000001" customHeight="1">
      <c r="A325" s="12"/>
      <c r="B325" s="1"/>
      <c r="C325" s="12"/>
      <c r="D325" s="12"/>
      <c r="E325" s="12"/>
      <c r="F325" s="1"/>
      <c r="G325" s="5"/>
      <c r="H325" s="1"/>
      <c r="I325" s="1"/>
      <c r="J325" s="1"/>
      <c r="K325" s="1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45"/>
      <c r="Z325" s="5"/>
      <c r="AA325" s="5"/>
      <c r="AB325" s="5"/>
      <c r="AC325" s="5"/>
      <c r="AD325" s="5"/>
      <c r="AE325" s="5"/>
      <c r="AF325" s="45"/>
      <c r="AG325" s="5"/>
      <c r="AH325" s="5"/>
      <c r="AI325" s="5"/>
      <c r="AJ325" s="5"/>
      <c r="AK325" s="5"/>
      <c r="AL325" s="5"/>
      <c r="AM325" s="5"/>
      <c r="AN325" s="5"/>
      <c r="AO325" s="5"/>
      <c r="AP325" s="5"/>
    </row>
    <row r="326" spans="1:42" s="51" customFormat="1" ht="20.100000000000001" customHeight="1">
      <c r="A326" s="12"/>
      <c r="B326" s="1"/>
      <c r="C326" s="12"/>
      <c r="D326" s="12"/>
      <c r="E326" s="12"/>
      <c r="F326" s="1"/>
      <c r="G326" s="5"/>
      <c r="H326" s="1"/>
      <c r="I326" s="1"/>
      <c r="J326" s="1"/>
      <c r="K326" s="1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45"/>
      <c r="Z326" s="5"/>
      <c r="AA326" s="5"/>
      <c r="AB326" s="5"/>
      <c r="AC326" s="5"/>
      <c r="AD326" s="5"/>
      <c r="AE326" s="5"/>
      <c r="AF326" s="45"/>
      <c r="AG326" s="5"/>
      <c r="AH326" s="5"/>
      <c r="AI326" s="5"/>
      <c r="AJ326" s="5"/>
      <c r="AK326" s="5"/>
      <c r="AL326" s="5"/>
      <c r="AM326" s="5"/>
      <c r="AN326" s="5"/>
      <c r="AO326" s="5"/>
      <c r="AP326" s="5"/>
    </row>
    <row r="327" spans="1:42" s="51" customFormat="1" ht="20.100000000000001" customHeight="1">
      <c r="A327" s="12"/>
      <c r="B327" s="1"/>
      <c r="C327" s="12"/>
      <c r="D327" s="12"/>
      <c r="E327" s="12"/>
      <c r="F327" s="1"/>
      <c r="G327" s="5"/>
      <c r="H327" s="1"/>
      <c r="I327" s="1"/>
      <c r="J327" s="1"/>
      <c r="K327" s="1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45"/>
      <c r="Z327" s="5"/>
      <c r="AA327" s="5"/>
      <c r="AB327" s="5"/>
      <c r="AC327" s="5"/>
      <c r="AD327" s="5"/>
      <c r="AE327" s="5"/>
      <c r="AF327" s="45"/>
      <c r="AG327" s="5"/>
      <c r="AH327" s="5"/>
      <c r="AI327" s="5"/>
      <c r="AJ327" s="5"/>
      <c r="AK327" s="5"/>
      <c r="AL327" s="5"/>
      <c r="AM327" s="5"/>
      <c r="AN327" s="5"/>
      <c r="AO327" s="5"/>
      <c r="AP327" s="5"/>
    </row>
    <row r="328" spans="1:42" s="51" customFormat="1" ht="20.100000000000001" customHeight="1">
      <c r="A328" s="12"/>
      <c r="B328" s="1"/>
      <c r="C328" s="12"/>
      <c r="D328" s="12"/>
      <c r="E328" s="12"/>
      <c r="F328" s="1"/>
      <c r="G328" s="5"/>
      <c r="H328" s="1"/>
      <c r="I328" s="1"/>
      <c r="J328" s="1"/>
      <c r="K328" s="1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45"/>
      <c r="Z328" s="5"/>
      <c r="AA328" s="5"/>
      <c r="AB328" s="5"/>
      <c r="AC328" s="5"/>
      <c r="AD328" s="5"/>
      <c r="AE328" s="5"/>
      <c r="AF328" s="45"/>
      <c r="AG328" s="5"/>
      <c r="AH328" s="5"/>
      <c r="AI328" s="5"/>
      <c r="AJ328" s="5"/>
      <c r="AK328" s="5"/>
      <c r="AL328" s="5"/>
      <c r="AM328" s="5"/>
      <c r="AN328" s="5"/>
      <c r="AO328" s="5"/>
      <c r="AP328" s="5"/>
    </row>
    <row r="329" spans="1:42" s="51" customFormat="1" ht="20.100000000000001" customHeight="1">
      <c r="A329" s="12"/>
      <c r="B329" s="1"/>
      <c r="C329" s="12"/>
      <c r="D329" s="12"/>
      <c r="E329" s="12"/>
      <c r="F329" s="1"/>
      <c r="G329" s="5"/>
      <c r="H329" s="1"/>
      <c r="I329" s="1"/>
      <c r="J329" s="1"/>
      <c r="K329" s="1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45"/>
      <c r="Z329" s="5"/>
      <c r="AA329" s="5"/>
      <c r="AB329" s="5"/>
      <c r="AC329" s="5"/>
      <c r="AD329" s="5"/>
      <c r="AE329" s="5"/>
      <c r="AF329" s="45"/>
      <c r="AG329" s="5"/>
      <c r="AH329" s="5"/>
      <c r="AI329" s="5"/>
      <c r="AJ329" s="5"/>
      <c r="AK329" s="5"/>
      <c r="AL329" s="5"/>
      <c r="AM329" s="5"/>
      <c r="AN329" s="5"/>
      <c r="AO329" s="5"/>
      <c r="AP329" s="5"/>
    </row>
    <row r="330" spans="1:42" s="51" customFormat="1" ht="20.100000000000001" customHeight="1">
      <c r="A330" s="12"/>
      <c r="B330" s="1"/>
      <c r="C330" s="12"/>
      <c r="D330" s="12"/>
      <c r="E330" s="12"/>
      <c r="F330" s="1"/>
      <c r="G330" s="5"/>
      <c r="H330" s="1"/>
      <c r="I330" s="1"/>
      <c r="J330" s="1"/>
      <c r="K330" s="1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45"/>
      <c r="Z330" s="5"/>
      <c r="AA330" s="5"/>
      <c r="AB330" s="5"/>
      <c r="AC330" s="5"/>
      <c r="AD330" s="5"/>
      <c r="AE330" s="5"/>
      <c r="AF330" s="45"/>
      <c r="AG330" s="5"/>
      <c r="AH330" s="5"/>
      <c r="AI330" s="5"/>
      <c r="AJ330" s="5"/>
      <c r="AK330" s="5"/>
      <c r="AL330" s="5"/>
      <c r="AM330" s="5"/>
      <c r="AN330" s="5"/>
      <c r="AO330" s="5"/>
      <c r="AP330" s="5"/>
    </row>
    <row r="331" spans="1:42" s="51" customFormat="1" ht="20.100000000000001" customHeight="1">
      <c r="A331" s="12"/>
      <c r="B331" s="1"/>
      <c r="C331" s="12"/>
      <c r="D331" s="12"/>
      <c r="E331" s="12"/>
      <c r="F331" s="1"/>
      <c r="G331" s="5"/>
      <c r="H331" s="1"/>
      <c r="I331" s="1"/>
      <c r="J331" s="1"/>
      <c r="K331" s="1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45"/>
      <c r="Z331" s="5"/>
      <c r="AA331" s="5"/>
      <c r="AB331" s="5"/>
      <c r="AC331" s="5"/>
      <c r="AD331" s="5"/>
      <c r="AE331" s="5"/>
      <c r="AF331" s="45"/>
      <c r="AG331" s="5"/>
      <c r="AH331" s="5"/>
      <c r="AI331" s="5"/>
      <c r="AJ331" s="5"/>
      <c r="AK331" s="5"/>
      <c r="AL331" s="5"/>
      <c r="AM331" s="5"/>
      <c r="AN331" s="5"/>
      <c r="AO331" s="5"/>
      <c r="AP331" s="5"/>
    </row>
    <row r="332" spans="1:42" s="51" customFormat="1" ht="20.100000000000001" customHeight="1">
      <c r="A332" s="12"/>
      <c r="B332" s="1"/>
      <c r="C332" s="12"/>
      <c r="D332" s="12"/>
      <c r="E332" s="12"/>
      <c r="F332" s="1"/>
      <c r="G332" s="5"/>
      <c r="H332" s="1"/>
      <c r="I332" s="1"/>
      <c r="J332" s="1"/>
      <c r="K332" s="1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45"/>
      <c r="Z332" s="5"/>
      <c r="AA332" s="5"/>
      <c r="AB332" s="5"/>
      <c r="AC332" s="5"/>
      <c r="AD332" s="5"/>
      <c r="AE332" s="5"/>
      <c r="AF332" s="45"/>
      <c r="AG332" s="5"/>
      <c r="AH332" s="5"/>
      <c r="AI332" s="5"/>
      <c r="AJ332" s="5"/>
      <c r="AK332" s="5"/>
      <c r="AL332" s="5"/>
      <c r="AM332" s="5"/>
      <c r="AN332" s="5"/>
      <c r="AO332" s="5"/>
      <c r="AP332" s="5"/>
    </row>
    <row r="333" spans="1:42" s="51" customFormat="1" ht="20.100000000000001" customHeight="1">
      <c r="A333" s="12"/>
      <c r="B333" s="1"/>
      <c r="C333" s="12"/>
      <c r="D333" s="12"/>
      <c r="E333" s="12"/>
      <c r="F333" s="1"/>
      <c r="G333" s="5"/>
      <c r="H333" s="1"/>
      <c r="I333" s="1"/>
      <c r="J333" s="1"/>
      <c r="K333" s="1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45"/>
      <c r="Z333" s="5"/>
      <c r="AA333" s="5"/>
      <c r="AB333" s="5"/>
      <c r="AC333" s="5"/>
      <c r="AD333" s="5"/>
      <c r="AE333" s="5"/>
      <c r="AF333" s="45"/>
      <c r="AG333" s="5"/>
      <c r="AH333" s="5"/>
      <c r="AI333" s="5"/>
      <c r="AJ333" s="5"/>
      <c r="AK333" s="5"/>
      <c r="AL333" s="5"/>
      <c r="AM333" s="5"/>
      <c r="AN333" s="5"/>
      <c r="AO333" s="5"/>
      <c r="AP333" s="5"/>
    </row>
    <row r="334" spans="1:42" s="51" customFormat="1" ht="20.100000000000001" customHeight="1">
      <c r="A334" s="12"/>
      <c r="B334" s="1"/>
      <c r="C334" s="12"/>
      <c r="D334" s="12"/>
      <c r="E334" s="12"/>
      <c r="F334" s="1"/>
      <c r="G334" s="5"/>
      <c r="H334" s="1"/>
      <c r="I334" s="1"/>
      <c r="J334" s="1"/>
      <c r="K334" s="1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45"/>
      <c r="Z334" s="5"/>
      <c r="AA334" s="5"/>
      <c r="AB334" s="5"/>
      <c r="AC334" s="5"/>
      <c r="AD334" s="5"/>
      <c r="AE334" s="5"/>
      <c r="AF334" s="45"/>
      <c r="AG334" s="5"/>
      <c r="AH334" s="5"/>
      <c r="AI334" s="5"/>
      <c r="AJ334" s="5"/>
      <c r="AK334" s="5"/>
      <c r="AL334" s="5"/>
      <c r="AM334" s="5"/>
      <c r="AN334" s="5"/>
      <c r="AO334" s="5"/>
      <c r="AP334" s="5"/>
    </row>
    <row r="335" spans="1:42" s="51" customFormat="1" ht="20.100000000000001" customHeight="1">
      <c r="A335" s="12"/>
      <c r="B335" s="1"/>
      <c r="C335" s="12"/>
      <c r="D335" s="12"/>
      <c r="E335" s="12"/>
      <c r="F335" s="1"/>
      <c r="G335" s="5"/>
      <c r="H335" s="1"/>
      <c r="I335" s="1"/>
      <c r="J335" s="1"/>
      <c r="K335" s="1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45"/>
      <c r="Z335" s="5"/>
      <c r="AA335" s="5"/>
      <c r="AB335" s="5"/>
      <c r="AC335" s="5"/>
      <c r="AD335" s="5"/>
      <c r="AE335" s="5"/>
      <c r="AF335" s="45"/>
      <c r="AG335" s="5"/>
      <c r="AH335" s="5"/>
      <c r="AI335" s="5"/>
      <c r="AJ335" s="5"/>
      <c r="AK335" s="5"/>
      <c r="AL335" s="5"/>
      <c r="AM335" s="5"/>
      <c r="AN335" s="5"/>
      <c r="AO335" s="5"/>
      <c r="AP335" s="5"/>
    </row>
    <row r="336" spans="1:42" s="51" customFormat="1" ht="20.100000000000001" customHeight="1">
      <c r="A336" s="12"/>
      <c r="B336" s="1"/>
      <c r="C336" s="12"/>
      <c r="D336" s="12"/>
      <c r="E336" s="12"/>
      <c r="F336" s="1"/>
      <c r="G336" s="5"/>
      <c r="H336" s="1"/>
      <c r="I336" s="1"/>
      <c r="J336" s="1"/>
      <c r="K336" s="1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45"/>
      <c r="Z336" s="5"/>
      <c r="AA336" s="5"/>
      <c r="AB336" s="5"/>
      <c r="AC336" s="5"/>
      <c r="AD336" s="5"/>
      <c r="AE336" s="5"/>
      <c r="AF336" s="45"/>
      <c r="AG336" s="5"/>
      <c r="AH336" s="5"/>
      <c r="AI336" s="5"/>
      <c r="AJ336" s="5"/>
      <c r="AK336" s="5"/>
      <c r="AL336" s="5"/>
      <c r="AM336" s="5"/>
      <c r="AN336" s="5"/>
      <c r="AO336" s="5"/>
      <c r="AP336" s="5"/>
    </row>
    <row r="337" spans="1:42" s="51" customFormat="1" ht="20.100000000000001" customHeight="1">
      <c r="A337" s="12"/>
      <c r="B337" s="1"/>
      <c r="C337" s="12"/>
      <c r="D337" s="12"/>
      <c r="E337" s="12"/>
      <c r="F337" s="1"/>
      <c r="G337" s="5"/>
      <c r="H337" s="1"/>
      <c r="I337" s="1"/>
      <c r="J337" s="1"/>
      <c r="K337" s="1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45"/>
      <c r="Z337" s="5"/>
      <c r="AA337" s="5"/>
      <c r="AB337" s="5"/>
      <c r="AC337" s="5"/>
      <c r="AD337" s="5"/>
      <c r="AE337" s="5"/>
      <c r="AF337" s="45"/>
      <c r="AG337" s="5"/>
      <c r="AH337" s="5"/>
      <c r="AI337" s="5"/>
      <c r="AJ337" s="5"/>
      <c r="AK337" s="5"/>
      <c r="AL337" s="5"/>
      <c r="AM337" s="5"/>
      <c r="AN337" s="5"/>
      <c r="AO337" s="5"/>
      <c r="AP337" s="5"/>
    </row>
    <row r="338" spans="1:42" s="51" customFormat="1" ht="20.100000000000001" customHeight="1">
      <c r="A338" s="12"/>
      <c r="B338" s="1"/>
      <c r="C338" s="12"/>
      <c r="D338" s="12"/>
      <c r="E338" s="12"/>
      <c r="F338" s="1"/>
      <c r="G338" s="5"/>
      <c r="H338" s="1"/>
      <c r="I338" s="1"/>
      <c r="J338" s="1"/>
      <c r="K338" s="1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45"/>
      <c r="Z338" s="5"/>
      <c r="AA338" s="5"/>
      <c r="AB338" s="5"/>
      <c r="AC338" s="5"/>
      <c r="AD338" s="5"/>
      <c r="AE338" s="5"/>
      <c r="AF338" s="45"/>
      <c r="AG338" s="5"/>
      <c r="AH338" s="5"/>
      <c r="AI338" s="5"/>
      <c r="AJ338" s="5"/>
      <c r="AK338" s="5"/>
      <c r="AL338" s="5"/>
      <c r="AM338" s="5"/>
      <c r="AN338" s="5"/>
      <c r="AO338" s="5"/>
      <c r="AP338" s="5"/>
    </row>
    <row r="339" spans="1:42" s="51" customFormat="1" ht="20.100000000000001" customHeight="1">
      <c r="A339" s="12"/>
      <c r="B339" s="1"/>
      <c r="C339" s="12"/>
      <c r="D339" s="12"/>
      <c r="E339" s="12"/>
      <c r="F339" s="1"/>
      <c r="G339" s="5"/>
      <c r="H339" s="1"/>
      <c r="I339" s="1"/>
      <c r="J339" s="1"/>
      <c r="K339" s="1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45"/>
      <c r="Z339" s="5"/>
      <c r="AA339" s="5"/>
      <c r="AB339" s="5"/>
      <c r="AC339" s="5"/>
      <c r="AD339" s="5"/>
      <c r="AE339" s="5"/>
      <c r="AF339" s="45"/>
      <c r="AG339" s="5"/>
      <c r="AH339" s="5"/>
      <c r="AI339" s="5"/>
      <c r="AJ339" s="5"/>
      <c r="AK339" s="5"/>
      <c r="AL339" s="5"/>
      <c r="AM339" s="5"/>
      <c r="AN339" s="5"/>
      <c r="AO339" s="5"/>
      <c r="AP339" s="5"/>
    </row>
    <row r="340" spans="1:42" s="51" customFormat="1" ht="20.100000000000001" customHeight="1">
      <c r="A340" s="12"/>
      <c r="B340" s="1"/>
      <c r="C340" s="12"/>
      <c r="D340" s="12"/>
      <c r="E340" s="12"/>
      <c r="F340" s="1"/>
      <c r="G340" s="5"/>
      <c r="H340" s="1"/>
      <c r="I340" s="1"/>
      <c r="J340" s="1"/>
      <c r="K340" s="1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45"/>
      <c r="Z340" s="5"/>
      <c r="AA340" s="5"/>
      <c r="AB340" s="5"/>
      <c r="AC340" s="5"/>
      <c r="AD340" s="5"/>
      <c r="AE340" s="5"/>
      <c r="AF340" s="45"/>
      <c r="AG340" s="5"/>
      <c r="AH340" s="5"/>
      <c r="AI340" s="5"/>
      <c r="AJ340" s="5"/>
      <c r="AK340" s="5"/>
      <c r="AL340" s="5"/>
      <c r="AM340" s="5"/>
      <c r="AN340" s="5"/>
      <c r="AO340" s="5"/>
      <c r="AP340" s="5"/>
    </row>
    <row r="341" spans="1:42" s="51" customFormat="1" ht="20.100000000000001" customHeight="1">
      <c r="A341" s="12"/>
      <c r="B341" s="1"/>
      <c r="C341" s="12"/>
      <c r="D341" s="12"/>
      <c r="E341" s="12"/>
      <c r="F341" s="1"/>
      <c r="G341" s="5"/>
      <c r="H341" s="1"/>
      <c r="I341" s="1"/>
      <c r="J341" s="1"/>
      <c r="K341" s="1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45"/>
      <c r="Z341" s="5"/>
      <c r="AA341" s="5"/>
      <c r="AB341" s="5"/>
      <c r="AC341" s="5"/>
      <c r="AD341" s="5"/>
      <c r="AE341" s="5"/>
      <c r="AF341" s="45"/>
      <c r="AG341" s="5"/>
      <c r="AH341" s="5"/>
      <c r="AI341" s="5"/>
      <c r="AJ341" s="5"/>
      <c r="AK341" s="5"/>
      <c r="AL341" s="5"/>
      <c r="AM341" s="5"/>
      <c r="AN341" s="5"/>
      <c r="AO341" s="5"/>
      <c r="AP341" s="5"/>
    </row>
    <row r="342" spans="1:42" s="51" customFormat="1" ht="20.100000000000001" customHeight="1">
      <c r="A342" s="12"/>
      <c r="B342" s="1"/>
      <c r="C342" s="12"/>
      <c r="D342" s="12"/>
      <c r="E342" s="12"/>
      <c r="F342" s="1"/>
      <c r="G342" s="5"/>
      <c r="H342" s="1"/>
      <c r="I342" s="1"/>
      <c r="J342" s="1"/>
      <c r="K342" s="1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45"/>
      <c r="Z342" s="5"/>
      <c r="AA342" s="5"/>
      <c r="AB342" s="5"/>
      <c r="AC342" s="5"/>
      <c r="AD342" s="5"/>
      <c r="AE342" s="5"/>
      <c r="AF342" s="45"/>
      <c r="AG342" s="5"/>
      <c r="AH342" s="5"/>
      <c r="AI342" s="5"/>
      <c r="AJ342" s="5"/>
      <c r="AK342" s="5"/>
      <c r="AL342" s="5"/>
      <c r="AM342" s="5"/>
      <c r="AN342" s="5"/>
      <c r="AO342" s="5"/>
      <c r="AP342" s="5"/>
    </row>
    <row r="343" spans="1:42" s="51" customFormat="1" ht="20.100000000000001" customHeight="1">
      <c r="A343" s="12"/>
      <c r="B343" s="1"/>
      <c r="C343" s="12"/>
      <c r="D343" s="12"/>
      <c r="E343" s="12"/>
      <c r="F343" s="1"/>
      <c r="G343" s="5"/>
      <c r="H343" s="1"/>
      <c r="I343" s="1"/>
      <c r="J343" s="1"/>
      <c r="K343" s="1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45"/>
      <c r="Z343" s="5"/>
      <c r="AA343" s="5"/>
      <c r="AB343" s="5"/>
      <c r="AC343" s="5"/>
      <c r="AD343" s="5"/>
      <c r="AE343" s="5"/>
      <c r="AF343" s="45"/>
      <c r="AG343" s="5"/>
      <c r="AH343" s="5"/>
      <c r="AI343" s="5"/>
      <c r="AJ343" s="5"/>
      <c r="AK343" s="5"/>
      <c r="AL343" s="5"/>
      <c r="AM343" s="5"/>
      <c r="AN343" s="5"/>
      <c r="AO343" s="5"/>
      <c r="AP343" s="5"/>
    </row>
    <row r="344" spans="1:42" s="51" customFormat="1" ht="20.100000000000001" customHeight="1">
      <c r="A344" s="12"/>
      <c r="B344" s="1"/>
      <c r="C344" s="12"/>
      <c r="D344" s="12"/>
      <c r="E344" s="12"/>
      <c r="F344" s="1"/>
      <c r="G344" s="5"/>
      <c r="H344" s="1"/>
      <c r="I344" s="1"/>
      <c r="J344" s="1"/>
      <c r="K344" s="1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45"/>
      <c r="Z344" s="5"/>
      <c r="AA344" s="5"/>
      <c r="AB344" s="5"/>
      <c r="AC344" s="5"/>
      <c r="AD344" s="5"/>
      <c r="AE344" s="5"/>
      <c r="AF344" s="45"/>
      <c r="AG344" s="5"/>
      <c r="AH344" s="5"/>
      <c r="AI344" s="5"/>
      <c r="AJ344" s="5"/>
      <c r="AK344" s="5"/>
      <c r="AL344" s="5"/>
      <c r="AM344" s="5"/>
      <c r="AN344" s="5"/>
      <c r="AO344" s="5"/>
      <c r="AP344" s="5"/>
    </row>
    <row r="345" spans="1:42" s="51" customFormat="1" ht="20.100000000000001" customHeight="1">
      <c r="A345" s="12"/>
      <c r="B345" s="1"/>
      <c r="C345" s="12"/>
      <c r="D345" s="12"/>
      <c r="E345" s="12"/>
      <c r="F345" s="1"/>
      <c r="G345" s="5"/>
      <c r="H345" s="1"/>
      <c r="I345" s="1"/>
      <c r="J345" s="1"/>
      <c r="K345" s="1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45"/>
      <c r="Z345" s="5"/>
      <c r="AA345" s="5"/>
      <c r="AB345" s="5"/>
      <c r="AC345" s="5"/>
      <c r="AD345" s="5"/>
      <c r="AE345" s="5"/>
      <c r="AF345" s="45"/>
      <c r="AG345" s="5"/>
      <c r="AH345" s="5"/>
      <c r="AI345" s="5"/>
      <c r="AJ345" s="5"/>
      <c r="AK345" s="5"/>
      <c r="AL345" s="5"/>
      <c r="AM345" s="5"/>
      <c r="AN345" s="5"/>
      <c r="AO345" s="5"/>
      <c r="AP345" s="5"/>
    </row>
    <row r="346" spans="1:42" s="51" customFormat="1" ht="20.100000000000001" customHeight="1">
      <c r="A346" s="12"/>
      <c r="B346" s="1"/>
      <c r="C346" s="12"/>
      <c r="D346" s="12"/>
      <c r="E346" s="12"/>
      <c r="F346" s="1"/>
      <c r="G346" s="5"/>
      <c r="H346" s="1"/>
      <c r="I346" s="1"/>
      <c r="J346" s="1"/>
      <c r="K346" s="1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45"/>
      <c r="Z346" s="5"/>
      <c r="AA346" s="5"/>
      <c r="AB346" s="5"/>
      <c r="AC346" s="5"/>
      <c r="AD346" s="5"/>
      <c r="AE346" s="5"/>
      <c r="AF346" s="45"/>
      <c r="AG346" s="5"/>
      <c r="AH346" s="5"/>
      <c r="AI346" s="5"/>
      <c r="AJ346" s="5"/>
      <c r="AK346" s="5"/>
      <c r="AL346" s="5"/>
      <c r="AM346" s="5"/>
      <c r="AN346" s="5"/>
      <c r="AO346" s="5"/>
      <c r="AP346" s="5"/>
    </row>
    <row r="347" spans="1:42" s="51" customFormat="1" ht="20.100000000000001" customHeight="1">
      <c r="A347" s="12"/>
      <c r="B347" s="1"/>
      <c r="C347" s="12"/>
      <c r="D347" s="12"/>
      <c r="E347" s="12"/>
      <c r="F347" s="1"/>
      <c r="G347" s="5"/>
      <c r="H347" s="1"/>
      <c r="I347" s="1"/>
      <c r="J347" s="1"/>
      <c r="K347" s="1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45"/>
      <c r="Z347" s="5"/>
      <c r="AA347" s="5"/>
      <c r="AB347" s="5"/>
      <c r="AC347" s="5"/>
      <c r="AD347" s="5"/>
      <c r="AE347" s="5"/>
      <c r="AF347" s="45"/>
      <c r="AG347" s="5"/>
      <c r="AH347" s="5"/>
      <c r="AI347" s="5"/>
      <c r="AJ347" s="5"/>
      <c r="AK347" s="5"/>
      <c r="AL347" s="5"/>
      <c r="AM347" s="5"/>
      <c r="AN347" s="5"/>
      <c r="AO347" s="5"/>
      <c r="AP347" s="5"/>
    </row>
    <row r="348" spans="1:42" s="51" customFormat="1" ht="20.100000000000001" customHeight="1">
      <c r="A348" s="12"/>
      <c r="B348" s="1"/>
      <c r="C348" s="12"/>
      <c r="D348" s="12"/>
      <c r="E348" s="12"/>
      <c r="F348" s="1"/>
      <c r="G348" s="5"/>
      <c r="H348" s="1"/>
      <c r="I348" s="1"/>
      <c r="J348" s="1"/>
      <c r="K348" s="1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45"/>
      <c r="Z348" s="5"/>
      <c r="AA348" s="5"/>
      <c r="AB348" s="5"/>
      <c r="AC348" s="5"/>
      <c r="AD348" s="5"/>
      <c r="AE348" s="5"/>
      <c r="AF348" s="45"/>
      <c r="AG348" s="5"/>
      <c r="AH348" s="5"/>
      <c r="AI348" s="5"/>
      <c r="AJ348" s="5"/>
      <c r="AK348" s="5"/>
      <c r="AL348" s="5"/>
      <c r="AM348" s="5"/>
      <c r="AN348" s="5"/>
      <c r="AO348" s="5"/>
      <c r="AP348" s="5"/>
    </row>
    <row r="349" spans="1:42" s="51" customFormat="1" ht="20.100000000000001" customHeight="1">
      <c r="A349" s="12"/>
      <c r="B349" s="1"/>
      <c r="C349" s="12"/>
      <c r="D349" s="12"/>
      <c r="E349" s="12"/>
      <c r="F349" s="1"/>
      <c r="G349" s="5"/>
      <c r="H349" s="1"/>
      <c r="I349" s="1"/>
      <c r="J349" s="1"/>
      <c r="K349" s="1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45"/>
      <c r="Z349" s="5"/>
      <c r="AA349" s="5"/>
      <c r="AB349" s="5"/>
      <c r="AC349" s="5"/>
      <c r="AD349" s="5"/>
      <c r="AE349" s="5"/>
      <c r="AF349" s="45"/>
      <c r="AG349" s="5"/>
      <c r="AH349" s="5"/>
      <c r="AI349" s="5"/>
      <c r="AJ349" s="5"/>
      <c r="AK349" s="5"/>
      <c r="AL349" s="5"/>
      <c r="AM349" s="5"/>
      <c r="AN349" s="5"/>
      <c r="AO349" s="5"/>
      <c r="AP349" s="5"/>
    </row>
    <row r="350" spans="1:42" s="51" customFormat="1" ht="20.100000000000001" customHeight="1">
      <c r="A350" s="12"/>
      <c r="B350" s="1"/>
      <c r="C350" s="12"/>
      <c r="D350" s="12"/>
      <c r="E350" s="12"/>
      <c r="F350" s="1"/>
      <c r="G350" s="5"/>
      <c r="H350" s="1"/>
      <c r="I350" s="1"/>
      <c r="J350" s="1"/>
      <c r="K350" s="1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45"/>
      <c r="Z350" s="5"/>
      <c r="AA350" s="5"/>
      <c r="AB350" s="5"/>
      <c r="AC350" s="5"/>
      <c r="AD350" s="5"/>
      <c r="AE350" s="5"/>
      <c r="AF350" s="45"/>
      <c r="AG350" s="5"/>
      <c r="AH350" s="5"/>
      <c r="AI350" s="5"/>
      <c r="AJ350" s="5"/>
      <c r="AK350" s="5"/>
      <c r="AL350" s="5"/>
      <c r="AM350" s="5"/>
      <c r="AN350" s="5"/>
      <c r="AO350" s="5"/>
      <c r="AP350" s="5"/>
    </row>
    <row r="351" spans="1:42" s="51" customFormat="1" ht="20.100000000000001" customHeight="1">
      <c r="A351" s="12"/>
      <c r="B351" s="1"/>
      <c r="C351" s="12"/>
      <c r="D351" s="12"/>
      <c r="E351" s="12"/>
      <c r="F351" s="1"/>
      <c r="G351" s="5"/>
      <c r="H351" s="1"/>
      <c r="I351" s="1"/>
      <c r="J351" s="1"/>
      <c r="K351" s="1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45"/>
      <c r="Z351" s="5"/>
      <c r="AA351" s="5"/>
      <c r="AB351" s="5"/>
      <c r="AC351" s="5"/>
      <c r="AD351" s="5"/>
      <c r="AE351" s="5"/>
      <c r="AF351" s="45"/>
      <c r="AG351" s="5"/>
      <c r="AH351" s="5"/>
      <c r="AI351" s="5"/>
      <c r="AJ351" s="5"/>
      <c r="AK351" s="5"/>
      <c r="AL351" s="5"/>
      <c r="AM351" s="5"/>
      <c r="AN351" s="5"/>
      <c r="AO351" s="5"/>
      <c r="AP351" s="5"/>
    </row>
    <row r="352" spans="1:42" s="51" customFormat="1" ht="20.100000000000001" customHeight="1">
      <c r="A352" s="12"/>
      <c r="B352" s="1"/>
      <c r="C352" s="12"/>
      <c r="D352" s="12"/>
      <c r="E352" s="12"/>
      <c r="F352" s="1"/>
      <c r="G352" s="5"/>
      <c r="H352" s="1"/>
      <c r="I352" s="1"/>
      <c r="J352" s="1"/>
      <c r="K352" s="1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45"/>
      <c r="Z352" s="5"/>
      <c r="AA352" s="5"/>
      <c r="AB352" s="5"/>
      <c r="AC352" s="5"/>
      <c r="AD352" s="5"/>
      <c r="AE352" s="5"/>
      <c r="AF352" s="45"/>
      <c r="AG352" s="5"/>
      <c r="AH352" s="5"/>
      <c r="AI352" s="5"/>
      <c r="AJ352" s="5"/>
      <c r="AK352" s="5"/>
      <c r="AL352" s="5"/>
      <c r="AM352" s="5"/>
      <c r="AN352" s="5"/>
      <c r="AO352" s="5"/>
      <c r="AP352" s="5"/>
    </row>
    <row r="353" spans="1:43" s="51" customFormat="1" ht="20.100000000000001" customHeight="1">
      <c r="A353" s="12"/>
      <c r="B353" s="1"/>
      <c r="C353" s="12"/>
      <c r="D353" s="12"/>
      <c r="E353" s="12"/>
      <c r="F353" s="1"/>
      <c r="G353" s="5"/>
      <c r="H353" s="1"/>
      <c r="I353" s="1"/>
      <c r="J353" s="1"/>
      <c r="K353" s="1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45"/>
      <c r="Z353" s="5"/>
      <c r="AA353" s="5"/>
      <c r="AB353" s="5"/>
      <c r="AC353" s="5"/>
      <c r="AD353" s="5"/>
      <c r="AE353" s="5"/>
      <c r="AF353" s="45"/>
      <c r="AG353" s="5"/>
      <c r="AH353" s="5"/>
      <c r="AI353" s="5"/>
      <c r="AJ353" s="5"/>
      <c r="AK353" s="5"/>
      <c r="AL353" s="5"/>
      <c r="AM353" s="5"/>
      <c r="AN353" s="5"/>
      <c r="AO353" s="5"/>
      <c r="AP353" s="5"/>
    </row>
    <row r="354" spans="1:43" s="51" customFormat="1" ht="20.100000000000001" customHeight="1">
      <c r="A354" s="12"/>
      <c r="B354" s="1"/>
      <c r="C354" s="12"/>
      <c r="D354" s="12"/>
      <c r="E354" s="12"/>
      <c r="F354" s="1"/>
      <c r="G354" s="5"/>
      <c r="H354" s="1"/>
      <c r="I354" s="1"/>
      <c r="J354" s="1"/>
      <c r="K354" s="1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45"/>
      <c r="Z354" s="5"/>
      <c r="AA354" s="5"/>
      <c r="AB354" s="5"/>
      <c r="AC354" s="5"/>
      <c r="AD354" s="5"/>
      <c r="AE354" s="5"/>
      <c r="AF354" s="45"/>
      <c r="AG354" s="5"/>
      <c r="AH354" s="5"/>
      <c r="AI354" s="5"/>
      <c r="AJ354" s="5"/>
      <c r="AK354" s="5"/>
      <c r="AL354" s="5"/>
      <c r="AM354" s="5"/>
      <c r="AN354" s="5"/>
      <c r="AO354" s="5"/>
      <c r="AP354" s="5"/>
    </row>
    <row r="355" spans="1:43" s="51" customFormat="1" ht="20.100000000000001" customHeight="1">
      <c r="A355" s="12"/>
      <c r="B355" s="1"/>
      <c r="C355" s="12"/>
      <c r="D355" s="12"/>
      <c r="E355" s="12"/>
      <c r="F355" s="1"/>
      <c r="G355" s="5"/>
      <c r="H355" s="1"/>
      <c r="I355" s="1"/>
      <c r="J355" s="1"/>
      <c r="K355" s="1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45"/>
      <c r="Z355" s="5"/>
      <c r="AA355" s="5"/>
      <c r="AB355" s="5"/>
      <c r="AC355" s="5"/>
      <c r="AD355" s="5"/>
      <c r="AE355" s="5"/>
      <c r="AF355" s="45"/>
      <c r="AG355" s="5"/>
      <c r="AH355" s="5"/>
      <c r="AI355" s="5"/>
      <c r="AJ355" s="5"/>
      <c r="AK355" s="5"/>
      <c r="AL355" s="5"/>
      <c r="AM355" s="5"/>
      <c r="AN355" s="5"/>
      <c r="AO355" s="5"/>
      <c r="AP355" s="5"/>
    </row>
    <row r="356" spans="1:43" s="51" customFormat="1" ht="20.100000000000001" customHeight="1">
      <c r="A356" s="12"/>
      <c r="B356" s="1"/>
      <c r="C356" s="12"/>
      <c r="D356" s="12"/>
      <c r="E356" s="12"/>
      <c r="F356" s="1"/>
      <c r="G356" s="5"/>
      <c r="H356" s="1"/>
      <c r="I356" s="1"/>
      <c r="J356" s="1"/>
      <c r="K356" s="1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45"/>
      <c r="Z356" s="5"/>
      <c r="AA356" s="5"/>
      <c r="AB356" s="5"/>
      <c r="AC356" s="5"/>
      <c r="AD356" s="5"/>
      <c r="AE356" s="5"/>
      <c r="AF356" s="4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</row>
    <row r="357" spans="1:43" s="51" customFormat="1" ht="20.100000000000001" customHeight="1">
      <c r="A357" s="12"/>
      <c r="B357" s="1"/>
      <c r="C357" s="12"/>
      <c r="D357" s="12"/>
      <c r="E357" s="12"/>
      <c r="F357" s="1"/>
      <c r="G357" s="5"/>
      <c r="H357" s="1"/>
      <c r="I357" s="1"/>
      <c r="J357" s="1"/>
      <c r="K357" s="1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45"/>
      <c r="Z357" s="5"/>
      <c r="AA357" s="5"/>
      <c r="AB357" s="5"/>
      <c r="AC357" s="5"/>
      <c r="AD357" s="5"/>
      <c r="AE357" s="5"/>
      <c r="AF357" s="4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</row>
    <row r="358" spans="1:43" s="51" customFormat="1" ht="20.100000000000001" customHeight="1">
      <c r="A358" s="12"/>
      <c r="B358" s="1"/>
      <c r="C358" s="12"/>
      <c r="D358" s="12"/>
      <c r="E358" s="12"/>
      <c r="F358" s="1"/>
      <c r="G358" s="5"/>
      <c r="H358" s="1"/>
      <c r="I358" s="1"/>
      <c r="J358" s="1"/>
      <c r="K358" s="1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45"/>
      <c r="Z358" s="5"/>
      <c r="AA358" s="5"/>
      <c r="AB358" s="5"/>
      <c r="AC358" s="5"/>
      <c r="AD358" s="5"/>
      <c r="AE358" s="5"/>
      <c r="AF358" s="4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</row>
    <row r="359" spans="1:43" s="51" customFormat="1" ht="20.100000000000001" customHeight="1">
      <c r="A359" s="12"/>
      <c r="B359" s="1"/>
      <c r="C359" s="12"/>
      <c r="D359" s="12"/>
      <c r="E359" s="12"/>
      <c r="F359" s="1"/>
      <c r="G359" s="5"/>
      <c r="H359" s="1"/>
      <c r="I359" s="1"/>
      <c r="J359" s="1"/>
      <c r="K359" s="1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45"/>
      <c r="Z359" s="5"/>
      <c r="AA359" s="5"/>
      <c r="AB359" s="5"/>
      <c r="AC359" s="5"/>
      <c r="AD359" s="5"/>
      <c r="AE359" s="5"/>
      <c r="AF359" s="4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</row>
    <row r="360" spans="1:43" s="51" customFormat="1" ht="20.100000000000001" customHeight="1">
      <c r="A360" s="12"/>
      <c r="B360" s="1"/>
      <c r="C360" s="12"/>
      <c r="D360" s="12"/>
      <c r="E360" s="12"/>
      <c r="F360" s="1"/>
      <c r="G360" s="5"/>
      <c r="H360" s="1"/>
      <c r="I360" s="1"/>
      <c r="J360" s="1"/>
      <c r="K360" s="1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45"/>
      <c r="Z360" s="5"/>
      <c r="AA360" s="5"/>
      <c r="AB360" s="5"/>
      <c r="AC360" s="5"/>
      <c r="AD360" s="5"/>
      <c r="AE360" s="5"/>
      <c r="AF360" s="4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</row>
    <row r="361" spans="1:43" s="51" customFormat="1" ht="20.100000000000001" customHeight="1">
      <c r="A361" s="12"/>
      <c r="B361" s="1"/>
      <c r="C361" s="12"/>
      <c r="D361" s="12"/>
      <c r="E361" s="12"/>
      <c r="F361" s="1"/>
      <c r="G361" s="5"/>
      <c r="H361" s="1"/>
      <c r="I361" s="1"/>
      <c r="J361" s="1"/>
      <c r="K361" s="1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45"/>
      <c r="Z361" s="5"/>
      <c r="AA361" s="5"/>
      <c r="AB361" s="5"/>
      <c r="AC361" s="5"/>
      <c r="AD361" s="5"/>
      <c r="AE361" s="5"/>
      <c r="AF361" s="4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</row>
    <row r="362" spans="1:43" s="51" customFormat="1" ht="20.100000000000001" customHeight="1">
      <c r="A362" s="12"/>
      <c r="B362" s="1"/>
      <c r="C362" s="12"/>
      <c r="D362" s="12"/>
      <c r="E362" s="12"/>
      <c r="F362" s="1"/>
      <c r="G362" s="5"/>
      <c r="H362" s="1"/>
      <c r="I362" s="1"/>
      <c r="J362" s="1"/>
      <c r="K362" s="1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45"/>
      <c r="Z362" s="5"/>
      <c r="AA362" s="5"/>
      <c r="AB362" s="5"/>
      <c r="AC362" s="5"/>
      <c r="AD362" s="5"/>
      <c r="AE362" s="5"/>
      <c r="AF362" s="4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</row>
    <row r="363" spans="1:43" s="51" customFormat="1" ht="20.100000000000001" customHeight="1">
      <c r="A363" s="12"/>
      <c r="B363" s="1"/>
      <c r="C363" s="12"/>
      <c r="D363" s="12"/>
      <c r="E363" s="12"/>
      <c r="F363" s="1"/>
      <c r="G363" s="5"/>
      <c r="H363" s="1"/>
      <c r="I363" s="1"/>
      <c r="J363" s="1"/>
      <c r="K363" s="1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45"/>
      <c r="Z363" s="5"/>
      <c r="AA363" s="5"/>
      <c r="AB363" s="5"/>
      <c r="AC363" s="5"/>
      <c r="AD363" s="5"/>
      <c r="AE363" s="5"/>
      <c r="AF363" s="4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</row>
  </sheetData>
  <conditionalFormatting sqref="J1:K263">
    <cfRule type="cellIs" dxfId="1" priority="2" operator="lessThan">
      <formula>0.5</formula>
    </cfRule>
  </conditionalFormatting>
  <conditionalFormatting sqref="J1:K1048576">
    <cfRule type="cellIs" dxfId="0" priority="3" operator="lessThan">
      <formula>0</formula>
    </cfRule>
  </conditionalFormatting>
  <pageMargins left="0.7" right="0.7" top="0.75" bottom="0.75" header="0.3" footer="0.3"/>
  <pageSetup paperSize="30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S478"/>
  <sheetViews>
    <sheetView tabSelected="1" zoomScale="90" zoomScaleNormal="90" workbookViewId="0">
      <pane xSplit="5" ySplit="5" topLeftCell="F39" activePane="bottomRight" state="frozen"/>
      <selection pane="topRight" activeCell="F1" sqref="F1"/>
      <selection pane="bottomLeft" activeCell="A6" sqref="A6"/>
      <selection pane="bottomRight" activeCell="J27" sqref="J27"/>
    </sheetView>
  </sheetViews>
  <sheetFormatPr defaultRowHeight="15.75"/>
  <cols>
    <col min="1" max="1" width="9.140625" style="5"/>
    <col min="2" max="2" width="5" style="1" customWidth="1"/>
    <col min="3" max="3" width="7.140625" style="1" customWidth="1"/>
    <col min="4" max="4" width="10.7109375" style="42" customWidth="1"/>
    <col min="5" max="5" width="21.7109375" style="25" customWidth="1"/>
    <col min="6" max="6" width="18.7109375" style="25" customWidth="1"/>
    <col min="7" max="7" width="6" style="6" customWidth="1"/>
    <col min="8" max="8" width="11.85546875" style="8" customWidth="1"/>
    <col min="9" max="9" width="11.42578125" style="1" customWidth="1"/>
    <col min="10" max="10" width="27.5703125" style="8" customWidth="1"/>
    <col min="11" max="11" width="13.85546875" style="25" customWidth="1"/>
    <col min="12" max="12" width="14" style="1" customWidth="1"/>
    <col min="13" max="13" width="13" style="8" customWidth="1"/>
    <col min="14" max="14" width="13.42578125" style="5" customWidth="1"/>
    <col min="15" max="15" width="11.42578125" style="8" customWidth="1"/>
    <col min="16" max="16" width="10.7109375" style="8" customWidth="1"/>
    <col min="17" max="17" width="11" style="5" customWidth="1"/>
    <col min="18" max="16384" width="9.140625" style="5"/>
  </cols>
  <sheetData>
    <row r="1" spans="2:19" s="23" customFormat="1" ht="18.75">
      <c r="B1" s="408" t="s">
        <v>197</v>
      </c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</row>
    <row r="2" spans="2:19" s="23" customFormat="1" ht="18.75">
      <c r="B2" s="408" t="s">
        <v>234</v>
      </c>
      <c r="C2" s="408"/>
      <c r="D2" s="408"/>
      <c r="E2" s="408"/>
      <c r="F2" s="408"/>
      <c r="G2" s="408"/>
      <c r="H2" s="408"/>
      <c r="I2" s="408"/>
      <c r="J2" s="408"/>
      <c r="K2" s="408"/>
      <c r="L2" s="408"/>
      <c r="M2" s="408"/>
      <c r="N2" s="408"/>
      <c r="O2" s="408"/>
      <c r="P2" s="408"/>
      <c r="Q2" s="408"/>
    </row>
    <row r="3" spans="2:19" s="23" customFormat="1" ht="18.75">
      <c r="B3" s="413" t="s">
        <v>237</v>
      </c>
      <c r="C3" s="413"/>
      <c r="D3" s="413"/>
      <c r="E3" s="413"/>
      <c r="F3" s="413"/>
      <c r="G3" s="413"/>
      <c r="H3" s="413"/>
      <c r="I3" s="413"/>
      <c r="J3" s="413"/>
      <c r="K3" s="413"/>
      <c r="L3" s="413"/>
      <c r="M3" s="413"/>
      <c r="N3" s="413"/>
      <c r="O3" s="413"/>
      <c r="P3" s="413"/>
      <c r="Q3" s="413"/>
    </row>
    <row r="4" spans="2:19" s="26" customFormat="1" ht="15.75" customHeight="1">
      <c r="B4" s="414" t="s">
        <v>0</v>
      </c>
      <c r="C4" s="415" t="s">
        <v>147</v>
      </c>
      <c r="D4" s="416" t="s">
        <v>2</v>
      </c>
      <c r="E4" s="414" t="s">
        <v>3</v>
      </c>
      <c r="F4" s="414" t="s">
        <v>8</v>
      </c>
      <c r="G4" s="414" t="s">
        <v>148</v>
      </c>
      <c r="H4" s="414" t="s">
        <v>149</v>
      </c>
      <c r="I4" s="414"/>
      <c r="J4" s="414" t="s">
        <v>6</v>
      </c>
      <c r="K4" s="417" t="s">
        <v>150</v>
      </c>
      <c r="L4" s="417"/>
      <c r="M4" s="417"/>
      <c r="N4" s="417"/>
      <c r="O4" s="414" t="s">
        <v>151</v>
      </c>
      <c r="P4" s="414"/>
      <c r="Q4" s="414" t="s">
        <v>174</v>
      </c>
    </row>
    <row r="5" spans="2:19" s="26" customFormat="1" ht="24.75" customHeight="1">
      <c r="B5" s="414"/>
      <c r="C5" s="415"/>
      <c r="D5" s="416"/>
      <c r="E5" s="414"/>
      <c r="F5" s="414"/>
      <c r="G5" s="414"/>
      <c r="H5" s="388" t="s">
        <v>153</v>
      </c>
      <c r="I5" s="388" t="s">
        <v>154</v>
      </c>
      <c r="J5" s="414"/>
      <c r="K5" s="388" t="s">
        <v>155</v>
      </c>
      <c r="L5" s="389" t="s">
        <v>155</v>
      </c>
      <c r="M5" s="388" t="s">
        <v>156</v>
      </c>
      <c r="N5" s="389" t="s">
        <v>157</v>
      </c>
      <c r="O5" s="388" t="s">
        <v>158</v>
      </c>
      <c r="P5" s="388" t="s">
        <v>159</v>
      </c>
      <c r="Q5" s="414"/>
      <c r="R5" s="27"/>
      <c r="S5" s="27"/>
    </row>
    <row r="6" spans="2:19" s="34" customFormat="1" ht="38.25">
      <c r="B6" s="28">
        <v>1</v>
      </c>
      <c r="C6" s="29">
        <f>'BIO DATA'!C2</f>
        <v>12470</v>
      </c>
      <c r="D6" s="148" t="str">
        <f>'BIO DATA'!D2</f>
        <v>0141962152</v>
      </c>
      <c r="E6" s="30" t="str">
        <f>'BIO DATA'!E2</f>
        <v>Agha Faeyza Barra</v>
      </c>
      <c r="F6" s="31" t="str">
        <f>'BIO DATA'!Y2</f>
        <v>SD Muhammadiyah Manyar</v>
      </c>
      <c r="G6" s="185">
        <f>'BIO DATA'!I2</f>
        <v>2</v>
      </c>
      <c r="H6" s="58" t="str">
        <f>'BIO DATA'!M2</f>
        <v>Gresik</v>
      </c>
      <c r="I6" s="136" t="str">
        <f>'BIO DATA'!P2</f>
        <v>17 April 2014</v>
      </c>
      <c r="J6" s="30" t="str">
        <f>'BIO DATA'!S2</f>
        <v>Jl. Taman Ruby No. 11 RT 008 RW 021 Suci Manyar Gresik Jawa Timur 61151</v>
      </c>
      <c r="K6" s="30" t="str">
        <f>'BIO DATA'!AB2</f>
        <v>Rahmat Agus Santoso</v>
      </c>
      <c r="L6" s="33" t="str">
        <f>'BIO DATA'!AG2</f>
        <v>085101387222</v>
      </c>
      <c r="M6" s="30" t="str">
        <f>'BIO DATA'!AI2</f>
        <v>Tsalis Apriliyah</v>
      </c>
      <c r="N6" s="147" t="str">
        <f>'BIO DATA'!AN2</f>
        <v>081259296871</v>
      </c>
      <c r="O6" s="30" t="str">
        <f>'BIO DATA'!AE2</f>
        <v>Dosen</v>
      </c>
      <c r="P6" s="30" t="str">
        <f>'BIO DATA'!AL2</f>
        <v>Karyawan Swasta</v>
      </c>
      <c r="Q6" s="134" t="s">
        <v>228</v>
      </c>
    </row>
    <row r="7" spans="2:19" s="34" customFormat="1" ht="38.25" customHeight="1">
      <c r="B7" s="28">
        <v>2</v>
      </c>
      <c r="C7" s="29">
        <f>'BIO DATA'!C3</f>
        <v>12475</v>
      </c>
      <c r="D7" s="61" t="str">
        <f>'BIO DATA'!D3</f>
        <v>0138659690</v>
      </c>
      <c r="E7" s="30" t="str">
        <f>'BIO DATA'!E3</f>
        <v>Ahmad Ibrahim Al Mahmudi</v>
      </c>
      <c r="F7" s="31" t="str">
        <f>'BIO DATA'!Y3</f>
        <v>SD Muhamadiyah 1 Balongpanggang Gresik</v>
      </c>
      <c r="G7" s="185">
        <f>'BIO DATA'!I3</f>
        <v>3</v>
      </c>
      <c r="H7" s="30" t="str">
        <f>'BIO DATA'!M3</f>
        <v>Gresik</v>
      </c>
      <c r="I7" s="136" t="str">
        <f>'BIO DATA'!P3</f>
        <v>1 Desember 2013</v>
      </c>
      <c r="J7" s="30" t="str">
        <f>'BIO DATA'!S3</f>
        <v>Dsn. Kalisari RT 009 RW 004 Kalipadang Benjeng Gresk Jawa Timur 61172</v>
      </c>
      <c r="K7" s="30" t="str">
        <f>'BIO DATA'!AB3</f>
        <v>Mudiono</v>
      </c>
      <c r="L7" s="33" t="str">
        <f>'BIO DATA'!AG3</f>
        <v>081553167008</v>
      </c>
      <c r="M7" s="30" t="str">
        <f>'BIO DATA'!AI3</f>
        <v>Kastini</v>
      </c>
      <c r="N7" s="147" t="str">
        <f>'BIO DATA'!AN3</f>
        <v>085101680518</v>
      </c>
      <c r="O7" s="30" t="str">
        <f>'BIO DATA'!AE3</f>
        <v>Wiraswasta</v>
      </c>
      <c r="P7" s="30" t="str">
        <f>'BIO DATA'!AL3</f>
        <v>Ibu Rumah Tangga</v>
      </c>
      <c r="Q7" s="134" t="s">
        <v>228</v>
      </c>
      <c r="R7" s="35"/>
      <c r="S7" s="35"/>
    </row>
    <row r="8" spans="2:19" s="35" customFormat="1" ht="38.25">
      <c r="B8" s="28">
        <v>3</v>
      </c>
      <c r="C8" s="29">
        <f>'BIO DATA'!C4</f>
        <v>12487</v>
      </c>
      <c r="D8" s="61">
        <f>'BIO DATA'!D4</f>
        <v>3153546425</v>
      </c>
      <c r="E8" s="30" t="str">
        <f>'BIO DATA'!E4</f>
        <v>Almer Bahi Mahdy</v>
      </c>
      <c r="F8" s="31" t="str">
        <f>'BIO DATA'!Y4</f>
        <v>SDN Perak Barat, Surabaya</v>
      </c>
      <c r="G8" s="185">
        <f>'BIO DATA'!I4</f>
        <v>4</v>
      </c>
      <c r="H8" s="30" t="str">
        <f>'BIO DATA'!M4</f>
        <v>Padang</v>
      </c>
      <c r="I8" s="136" t="str">
        <f>'BIO DATA'!P4</f>
        <v>15 Januari 2014</v>
      </c>
      <c r="J8" s="30" t="str">
        <f>'BIO DATA'!S4</f>
        <v>Jl. Tanjung Raja 1 No. 48 RT 002 RW 037 Perak Barat Krembangan Kota Surabaya Jawa Timur 60177</v>
      </c>
      <c r="K8" s="30" t="str">
        <f>'BIO DATA'!AB4</f>
        <v>Budiarto</v>
      </c>
      <c r="L8" s="33" t="str">
        <f>'BIO DATA'!AG4</f>
        <v>08131515040</v>
      </c>
      <c r="M8" s="30">
        <f>'BIO DATA'!AI4</f>
        <v>0</v>
      </c>
      <c r="N8" s="147" t="str">
        <f>'BIO DATA'!AN4</f>
        <v>081310624679</v>
      </c>
      <c r="O8" s="30" t="str">
        <f>'BIO DATA'!AE4</f>
        <v>PNS</v>
      </c>
      <c r="P8" s="30" t="str">
        <f>'BIO DATA'!AL4</f>
        <v>Ibu Rumah Tangga</v>
      </c>
      <c r="Q8" s="134" t="s">
        <v>228</v>
      </c>
    </row>
    <row r="9" spans="2:19" s="35" customFormat="1" ht="51">
      <c r="B9" s="28">
        <v>4</v>
      </c>
      <c r="C9" s="29">
        <f>'BIO DATA'!C5</f>
        <v>12488</v>
      </c>
      <c r="D9" s="61" t="str">
        <f>'BIO DATA'!D5</f>
        <v>0137676177</v>
      </c>
      <c r="E9" s="30" t="str">
        <f>'BIO DATA'!E5</f>
        <v>Ammar Abdul Aziz</v>
      </c>
      <c r="F9" s="31" t="str">
        <f>'BIO DATA'!Y5</f>
        <v>SD Muhammadiyah Tabanan</v>
      </c>
      <c r="G9" s="185">
        <f>'BIO DATA'!I5</f>
        <v>1</v>
      </c>
      <c r="H9" s="30" t="str">
        <f>'BIO DATA'!M5</f>
        <v>Denpasar</v>
      </c>
      <c r="I9" s="136" t="str">
        <f>'BIO DATA'!P5</f>
        <v>1 Agustus 2013</v>
      </c>
      <c r="J9" s="30" t="str">
        <f>'BIO DATA'!S5</f>
        <v>Jl. Padang Kartika I No. 20 DPS, BR/Link. Teges Padangsambian Kelod Denpasar Barat Kota Denpasar Bali</v>
      </c>
      <c r="K9" s="30" t="str">
        <f>'BIO DATA'!AB5</f>
        <v>Aditya Budi Prabowo</v>
      </c>
      <c r="L9" s="33" t="str">
        <f>'BIO DATA'!AG5</f>
        <v>083119033255</v>
      </c>
      <c r="M9" s="30" t="str">
        <f>'BIO DATA'!AI5</f>
        <v>Sudarwati</v>
      </c>
      <c r="N9" s="147" t="str">
        <f>'BIO DATA'!AN5</f>
        <v>087862216787</v>
      </c>
      <c r="O9" s="30" t="str">
        <f>'BIO DATA'!AE5</f>
        <v>PNS</v>
      </c>
      <c r="P9" s="30" t="str">
        <f>'BIO DATA'!AL5</f>
        <v>Ibu Rumah Tangga</v>
      </c>
      <c r="Q9" s="134" t="s">
        <v>228</v>
      </c>
    </row>
    <row r="10" spans="2:19" s="35" customFormat="1" ht="38.25">
      <c r="B10" s="28">
        <v>5</v>
      </c>
      <c r="C10" s="29">
        <f>'BIO DATA'!C6</f>
        <v>12506</v>
      </c>
      <c r="D10" s="61" t="str">
        <f>'BIO DATA'!D6</f>
        <v>0144148854</v>
      </c>
      <c r="E10" s="30" t="str">
        <f>'BIO DATA'!E6</f>
        <v>Attaya Fikri Rizqullah</v>
      </c>
      <c r="F10" s="31" t="str">
        <f>'BIO DATA'!Y6</f>
        <v>SD Muhammadiyah Manyar Gresik</v>
      </c>
      <c r="G10" s="185">
        <f>'BIO DATA'!I6</f>
        <v>2</v>
      </c>
      <c r="H10" s="30" t="str">
        <f>'BIO DATA'!M6</f>
        <v>Gresik</v>
      </c>
      <c r="I10" s="136" t="str">
        <f>'BIO DATA'!P6</f>
        <v>13 September 2014</v>
      </c>
      <c r="J10" s="30" t="str">
        <f>'BIO DATA'!S6</f>
        <v>Dr. Wahidin SH 316 RT 001 RW 003 Randuagung Kebomas Gresik Jawa Timur 61121</v>
      </c>
      <c r="K10" s="30" t="str">
        <f>'BIO DATA'!AB6</f>
        <v>Kemal Abdi, SE</v>
      </c>
      <c r="L10" s="33" t="str">
        <f>'BIO DATA'!AG6</f>
        <v>081330258061</v>
      </c>
      <c r="M10" s="30" t="str">
        <f>'BIO DATA'!AI6</f>
        <v>Ririn Aprilianti Astuti, SE</v>
      </c>
      <c r="N10" s="147" t="str">
        <f>'BIO DATA'!AN6</f>
        <v>0895365035007</v>
      </c>
      <c r="O10" s="92" t="str">
        <f>'BIO DATA'!AE6</f>
        <v>Karyawan Swasta</v>
      </c>
      <c r="P10" s="30" t="str">
        <f>'BIO DATA'!AL6</f>
        <v>Karyawan Swasta</v>
      </c>
      <c r="Q10" s="134" t="s">
        <v>228</v>
      </c>
    </row>
    <row r="11" spans="2:19" s="35" customFormat="1" ht="51">
      <c r="B11" s="28">
        <v>6</v>
      </c>
      <c r="C11" s="29">
        <f>'BIO DATA'!C7</f>
        <v>12518</v>
      </c>
      <c r="D11" s="61" t="str">
        <f>'BIO DATA'!D7</f>
        <v>0142430159</v>
      </c>
      <c r="E11" s="30" t="str">
        <f>'BIO DATA'!E7</f>
        <v>Bisma Pragaswara Suprapto</v>
      </c>
      <c r="F11" s="31" t="str">
        <f>'BIO DATA'!Y7</f>
        <v>SD Muhammadiyah Plus Batam</v>
      </c>
      <c r="G11" s="185">
        <f>'BIO DATA'!I7</f>
        <v>1</v>
      </c>
      <c r="H11" s="30" t="str">
        <f>'BIO DATA'!M7</f>
        <v>Batam</v>
      </c>
      <c r="I11" s="136" t="str">
        <f>'BIO DATA'!P7</f>
        <v>6 April 2014</v>
      </c>
      <c r="J11" s="30" t="str">
        <f>'BIO DATA'!S7</f>
        <v>Perum Marbela Extention Blok G1 No. 6 RT 003 RW 039 Belian Batam Kota Kota Batam Kep. Riau</v>
      </c>
      <c r="K11" s="30" t="str">
        <f>'BIO DATA'!AB7</f>
        <v>Eko Setiono</v>
      </c>
      <c r="L11" s="33" t="str">
        <f>'BIO DATA'!AG7</f>
        <v>08976811172</v>
      </c>
      <c r="M11" s="30" t="str">
        <f>'BIO DATA'!AI7</f>
        <v>Muntiati</v>
      </c>
      <c r="N11" s="147" t="str">
        <f>'BIO DATA'!AN7</f>
        <v>085355754132</v>
      </c>
      <c r="O11" s="138" t="str">
        <f>'BIO DATA'!AE7</f>
        <v>Wiraswasta</v>
      </c>
      <c r="P11" s="30" t="str">
        <f>'BIO DATA'!AL7</f>
        <v>Ibu Rumah Tangga</v>
      </c>
      <c r="Q11" s="183">
        <f>'BIO DATA'!H7</f>
        <v>0</v>
      </c>
    </row>
    <row r="12" spans="2:19" s="35" customFormat="1" ht="38.25" customHeight="1">
      <c r="B12" s="28">
        <v>7</v>
      </c>
      <c r="C12" s="29">
        <f>'BIO DATA'!C8</f>
        <v>12527</v>
      </c>
      <c r="D12" s="61" t="str">
        <f>'BIO DATA'!D8</f>
        <v>0134521478</v>
      </c>
      <c r="E12" s="30" t="str">
        <f>'BIO DATA'!E8</f>
        <v>Dava Ad Dzikri</v>
      </c>
      <c r="F12" s="31" t="str">
        <f>'BIO DATA'!Y8</f>
        <v>SD Islam Imam Asy-Syafi'i Tual</v>
      </c>
      <c r="G12" s="71">
        <f>'BIO DATA'!I8</f>
        <v>1</v>
      </c>
      <c r="H12" s="30" t="str">
        <f>'BIO DATA'!M8</f>
        <v>Ambon</v>
      </c>
      <c r="I12" s="136" t="str">
        <f>'BIO DATA'!P8</f>
        <v>25 Desember 2013</v>
      </c>
      <c r="J12" s="30" t="str">
        <f>'BIO DATA'!S8</f>
        <v>Perum Mahkota Mutiara Permai RT 003 RW 005 Lodar El Pulau Dullah Selatan Kota Tual Maluku</v>
      </c>
      <c r="K12" s="30" t="str">
        <f>'BIO DATA'!AB8</f>
        <v>Amirudin</v>
      </c>
      <c r="L12" s="147" t="str">
        <f>'BIO DATA'!AG8</f>
        <v>08114788789</v>
      </c>
      <c r="M12" s="30" t="str">
        <f>'BIO DATA'!AI8</f>
        <v>Rahma Juwita</v>
      </c>
      <c r="N12" s="147" t="str">
        <f>'BIO DATA'!AN8</f>
        <v>085243565031</v>
      </c>
      <c r="O12" s="30" t="str">
        <f>'BIO DATA'!AE8</f>
        <v>Wiraswasta</v>
      </c>
      <c r="P12" s="30" t="str">
        <f>'BIO DATA'!AL8</f>
        <v>Ibu Rumah Tangga</v>
      </c>
      <c r="Q12" s="134" t="s">
        <v>228</v>
      </c>
    </row>
    <row r="13" spans="2:19" s="35" customFormat="1" ht="38.25">
      <c r="B13" s="28">
        <v>8</v>
      </c>
      <c r="C13" s="105">
        <f>'BIO DATA'!C9</f>
        <v>12529</v>
      </c>
      <c r="D13" s="106">
        <f>'BIO DATA'!D9</f>
        <v>3137470894</v>
      </c>
      <c r="E13" s="107" t="str">
        <f>'BIO DATA'!E9</f>
        <v>Dhio Itqon Ilmi Izzulhaqq</v>
      </c>
      <c r="F13" s="31" t="str">
        <f>'BIO DATA'!Y9</f>
        <v>SD Muhamadiyah Wirobrajan 3 Yogyakarta</v>
      </c>
      <c r="G13" s="71">
        <f>'BIO DATA'!I9</f>
        <v>6</v>
      </c>
      <c r="H13" s="30" t="str">
        <f>'BIO DATA'!M9</f>
        <v>Yogyakarta</v>
      </c>
      <c r="I13" s="136" t="str">
        <f>'BIO DATA'!P9</f>
        <v>25 Desember 2013</v>
      </c>
      <c r="J13" s="30" t="str">
        <f>'BIO DATA'!S9</f>
        <v>Minggiran MJ 2/1482 B RT 056 RW 015 Suryodiningratan Mantrijeron Kota Yogyakarta DIY</v>
      </c>
      <c r="K13" s="30" t="str">
        <f>'BIO DATA'!AB9</f>
        <v>Zainal Arifin</v>
      </c>
      <c r="L13" s="33" t="str">
        <f>'BIO DATA'!AG9</f>
        <v>0811252558</v>
      </c>
      <c r="M13" s="30" t="str">
        <f>'BIO DATA'!AI9</f>
        <v>Maya Veri Oktavia</v>
      </c>
      <c r="N13" s="147" t="str">
        <f>'BIO DATA'!AN9</f>
        <v>082134400101</v>
      </c>
      <c r="O13" s="30">
        <f>'BIO DATA'!AE9</f>
        <v>0</v>
      </c>
      <c r="P13" s="30" t="str">
        <f>'BIO DATA'!AL9</f>
        <v>Ibu Rumah Tangga</v>
      </c>
      <c r="Q13" s="134" t="s">
        <v>228</v>
      </c>
    </row>
    <row r="14" spans="2:19" s="35" customFormat="1" ht="38.25">
      <c r="B14" s="28">
        <v>9</v>
      </c>
      <c r="C14" s="29">
        <f>'BIO DATA'!C10</f>
        <v>12542</v>
      </c>
      <c r="D14" s="61" t="str">
        <f>'BIO DATA'!D10</f>
        <v>0134004761</v>
      </c>
      <c r="E14" s="30" t="str">
        <f>'BIO DATA'!E10</f>
        <v>Fajri Annaafi'u Alfarizi</v>
      </c>
      <c r="F14" s="31" t="str">
        <f>'BIO DATA'!Y10</f>
        <v>SD Muhammadiyah 2 Bojonegoro</v>
      </c>
      <c r="G14" s="71">
        <f>'BIO DATA'!I10</f>
        <v>2</v>
      </c>
      <c r="H14" s="30" t="str">
        <f>'BIO DATA'!M10</f>
        <v>Tuban</v>
      </c>
      <c r="I14" s="136" t="str">
        <f>'BIO DATA'!P10</f>
        <v>16 Maret 2013</v>
      </c>
      <c r="J14" s="30" t="str">
        <f>'BIO DATA'!S10</f>
        <v>Dsn. Genengan RT 005 RW 003 Mojomalang Parengan Tuban Jawa Timur 62366</v>
      </c>
      <c r="K14" s="30" t="str">
        <f>'BIO DATA'!AB10</f>
        <v>Adi Sahyudi</v>
      </c>
      <c r="L14" s="33" t="str">
        <f>'BIO DATA'!AG10</f>
        <v>081331829897</v>
      </c>
      <c r="M14" s="30" t="str">
        <f>'BIO DATA'!AI10</f>
        <v>Murtiani</v>
      </c>
      <c r="N14" s="147" t="str">
        <f>'BIO DATA'!AN10</f>
        <v>085105738899</v>
      </c>
      <c r="O14" s="30" t="str">
        <f>'BIO DATA'!AE10</f>
        <v>Wiraswasta</v>
      </c>
      <c r="P14" s="30" t="str">
        <f>'BIO DATA'!AL10</f>
        <v>Ibu Rumah Tangga</v>
      </c>
      <c r="Q14" s="134" t="s">
        <v>228</v>
      </c>
    </row>
    <row r="15" spans="2:19" s="35" customFormat="1" ht="38.25">
      <c r="B15" s="28">
        <v>10</v>
      </c>
      <c r="C15" s="29">
        <f>'BIO DATA'!C11</f>
        <v>12548</v>
      </c>
      <c r="D15" s="61" t="str">
        <f>'BIO DATA'!D11</f>
        <v>0137232042</v>
      </c>
      <c r="E15" s="30" t="str">
        <f>'BIO DATA'!E11</f>
        <v>Fatih Al Faiz</v>
      </c>
      <c r="F15" s="31" t="str">
        <f>'BIO DATA'!Y11</f>
        <v>SD Muhammadiyah 1 Banyuwangi</v>
      </c>
      <c r="G15" s="71">
        <f>'BIO DATA'!I11</f>
        <v>5</v>
      </c>
      <c r="H15" s="30" t="str">
        <f>'BIO DATA'!M11</f>
        <v>Banyuwangi</v>
      </c>
      <c r="I15" s="136" t="str">
        <f>'BIO DATA'!P11</f>
        <v>7 Maret 2013</v>
      </c>
      <c r="J15" s="30" t="str">
        <f>'BIO DATA'!S11</f>
        <v>Dusun Kopenbayah RT 002 RW 002 Kelir Kalipuro Banyiuwangi Jawa Timur 68455</v>
      </c>
      <c r="K15" s="30" t="str">
        <f>'BIO DATA'!AB11</f>
        <v>Yenianto Kusumo</v>
      </c>
      <c r="L15" s="33" t="str">
        <f>'BIO DATA'!AG11</f>
        <v>085233309357</v>
      </c>
      <c r="M15" s="30" t="str">
        <f>'BIO DATA'!AI11</f>
        <v>Terziana Evayanti</v>
      </c>
      <c r="N15" s="147" t="str">
        <f>'BIO DATA'!AN11</f>
        <v>085117790414</v>
      </c>
      <c r="O15" s="30">
        <f>'BIO DATA'!AE11</f>
        <v>0</v>
      </c>
      <c r="P15" s="30">
        <f>'BIO DATA'!AL11</f>
        <v>0</v>
      </c>
      <c r="Q15" s="134" t="s">
        <v>228</v>
      </c>
    </row>
    <row r="16" spans="2:19" s="35" customFormat="1" ht="38.25">
      <c r="B16" s="28">
        <v>11</v>
      </c>
      <c r="C16" s="29">
        <f>'BIO DATA'!C12</f>
        <v>12551</v>
      </c>
      <c r="D16" s="61">
        <f>'BIO DATA'!D12</f>
        <v>3130145596</v>
      </c>
      <c r="E16" s="30" t="str">
        <f>'BIO DATA'!E12</f>
        <v>Fayzan Ghadi Safaraz</v>
      </c>
      <c r="F16" s="31" t="str">
        <f>'BIO DATA'!Y12</f>
        <v>SDIT Hidayatullah</v>
      </c>
      <c r="G16" s="71">
        <f>'BIO DATA'!I12</f>
        <v>1</v>
      </c>
      <c r="H16" s="30" t="str">
        <f>'BIO DATA'!M12</f>
        <v>Yogyakarta</v>
      </c>
      <c r="I16" s="136" t="str">
        <f>'BIO DATA'!P12</f>
        <v>7 Mei 2013</v>
      </c>
      <c r="J16" s="30" t="str">
        <f>'BIO DATA'!S12</f>
        <v>Jl. Kenari, Gg. Tanjung VII/37.B RT 006 RW 002 Muja Muju Umbulharo Kota Yogyakarta DIY</v>
      </c>
      <c r="K16" s="30" t="str">
        <f>'BIO DATA'!AB12</f>
        <v>Satria Syahrie Ramadhana, ST</v>
      </c>
      <c r="L16" s="33" t="str">
        <f>'BIO DATA'!AG12</f>
        <v>085228857100</v>
      </c>
      <c r="M16" s="30" t="str">
        <f>'BIO DATA'!AI12</f>
        <v>Audia Inasa, ST</v>
      </c>
      <c r="N16" s="147" t="str">
        <f>'BIO DATA'!AN12</f>
        <v>08128024194</v>
      </c>
      <c r="O16" s="30" t="str">
        <f>'BIO DATA'!AE12</f>
        <v>Arsitek</v>
      </c>
      <c r="P16" s="30" t="str">
        <f>'BIO DATA'!AL12</f>
        <v>Wiraswasta</v>
      </c>
      <c r="Q16" s="134" t="s">
        <v>228</v>
      </c>
    </row>
    <row r="17" spans="2:19" s="35" customFormat="1" ht="38.25" customHeight="1">
      <c r="B17" s="28">
        <v>12</v>
      </c>
      <c r="C17" s="29">
        <f>'BIO DATA'!C13</f>
        <v>12556</v>
      </c>
      <c r="D17" s="61" t="str">
        <f>'BIO DATA'!D13</f>
        <v>0139069142</v>
      </c>
      <c r="E17" s="30" t="str">
        <f>'BIO DATA'!E13</f>
        <v>H. Muhammad Musthofa El Akhyar AR</v>
      </c>
      <c r="F17" s="31" t="str">
        <f>'BIO DATA'!Y13</f>
        <v>SD Birrul Walidain Muhammadiyah Sragen</v>
      </c>
      <c r="G17" s="71">
        <f>'BIO DATA'!I13</f>
        <v>3</v>
      </c>
      <c r="H17" s="30" t="str">
        <f>'BIO DATA'!M13</f>
        <v>Sragen</v>
      </c>
      <c r="I17" s="136" t="str">
        <f>'BIO DATA'!P13</f>
        <v>11 Oktober 2013</v>
      </c>
      <c r="J17" s="30" t="str">
        <f>'BIO DATA'!S13</f>
        <v>Kedawung Kidul RT 018 RW 004 Kedawung Kedawung Sragen Jawa Tengah 57292</v>
      </c>
      <c r="K17" s="30" t="str">
        <f>'BIO DATA'!AB13</f>
        <v>Ali Rosyidhi, S.Pd.</v>
      </c>
      <c r="L17" s="33" t="str">
        <f>'BIO DATA'!AG13</f>
        <v>081329054541</v>
      </c>
      <c r="M17" s="30" t="str">
        <f>'BIO DATA'!AI13</f>
        <v>Rohmawati, S.Si.</v>
      </c>
      <c r="N17" s="147" t="str">
        <f>'BIO DATA'!AN13</f>
        <v>085227446034</v>
      </c>
      <c r="O17" s="30" t="str">
        <f>'BIO DATA'!AE13</f>
        <v>Guru</v>
      </c>
      <c r="P17" s="30" t="str">
        <f>'BIO DATA'!AL13</f>
        <v>Guru</v>
      </c>
      <c r="Q17" s="134" t="s">
        <v>228</v>
      </c>
    </row>
    <row r="18" spans="2:19" s="35" customFormat="1" ht="38.25">
      <c r="B18" s="28">
        <v>13</v>
      </c>
      <c r="C18" s="29">
        <f>'BIO DATA'!C14</f>
        <v>12558</v>
      </c>
      <c r="D18" s="148" t="str">
        <f>'BIO DATA'!D14</f>
        <v>0139187067</v>
      </c>
      <c r="E18" s="30" t="str">
        <f>'BIO DATA'!E14</f>
        <v>Hafeez Azmi Muhammad</v>
      </c>
      <c r="F18" s="31" t="str">
        <f>'BIO DATA'!Y14</f>
        <v>SD Muhammadiyah MBS Prambanan</v>
      </c>
      <c r="G18" s="71">
        <f>'BIO DATA'!I14</f>
        <v>2</v>
      </c>
      <c r="H18" s="30" t="str">
        <f>'BIO DATA'!M14</f>
        <v>Yogyakarta</v>
      </c>
      <c r="I18" s="136" t="str">
        <f>'BIO DATA'!P14</f>
        <v>6 Juni 2013</v>
      </c>
      <c r="J18" s="30" t="str">
        <f>'BIO DATA'!S14</f>
        <v>Dusun Kwasen RT 001 Srimartani Piyungan Bantul DIY 55792</v>
      </c>
      <c r="K18" s="30" t="str">
        <f>'BIO DATA'!AB14</f>
        <v>Muhammad Sulthoni Wibowo</v>
      </c>
      <c r="L18" s="33" t="str">
        <f>'BIO DATA'!AG14</f>
        <v>08562804943</v>
      </c>
      <c r="M18" s="30" t="str">
        <f>'BIO DATA'!AI14</f>
        <v>Vembri Noor Helia</v>
      </c>
      <c r="N18" s="147" t="str">
        <f>'BIO DATA'!AN14</f>
        <v>08174106005</v>
      </c>
      <c r="O18" s="146" t="str">
        <f>'BIO DATA'!AE14</f>
        <v>PNS</v>
      </c>
      <c r="P18" s="30" t="str">
        <f>'BIO DATA'!AL14</f>
        <v>Dosen</v>
      </c>
      <c r="Q18" s="183">
        <f>'BIO DATA'!H14</f>
        <v>0</v>
      </c>
    </row>
    <row r="19" spans="2:19" s="35" customFormat="1" ht="38.25" customHeight="1">
      <c r="B19" s="28">
        <v>14</v>
      </c>
      <c r="C19" s="29">
        <f>'BIO DATA'!C15</f>
        <v>12562</v>
      </c>
      <c r="D19" s="148" t="str">
        <f>'BIO DATA'!D15</f>
        <v>0137725694</v>
      </c>
      <c r="E19" s="30" t="str">
        <f>'BIO DATA'!E15</f>
        <v>Hakam Naja Hasan</v>
      </c>
      <c r="F19" s="31" t="str">
        <f>'BIO DATA'!Y15</f>
        <v>SD Muhammadiyah Ngijon 1</v>
      </c>
      <c r="G19" s="71">
        <f>'BIO DATA'!I15</f>
        <v>3</v>
      </c>
      <c r="H19" s="30" t="str">
        <f>'BIO DATA'!M15</f>
        <v>Kulon Progo</v>
      </c>
      <c r="I19" s="136" t="str">
        <f>'BIO DATA'!P15</f>
        <v>11 Maret 2013</v>
      </c>
      <c r="J19" s="30" t="str">
        <f>'BIO DATA'!S15</f>
        <v>Dusun Ngemplak RT 076 RW 025 Kembang Nanggulan Kulon Progo DIY 55671</v>
      </c>
      <c r="K19" s="30" t="str">
        <f>'BIO DATA'!AB15</f>
        <v>Upiya Al Hasan</v>
      </c>
      <c r="L19" s="33" t="str">
        <f>'BIO DATA'!AG15</f>
        <v>087838541666</v>
      </c>
      <c r="M19" s="30" t="str">
        <f>'BIO DATA'!AI15</f>
        <v>Tri Indarti</v>
      </c>
      <c r="N19" s="147" t="str">
        <f>'BIO DATA'!AN15</f>
        <v>087739092799</v>
      </c>
      <c r="O19" s="30" t="str">
        <f>'BIO DATA'!AE15</f>
        <v>Anggota DPRD Kab/Kota</v>
      </c>
      <c r="P19" s="30" t="str">
        <f>'BIO DATA'!AL15</f>
        <v>Wiraswasta</v>
      </c>
      <c r="Q19" s="134" t="s">
        <v>228</v>
      </c>
    </row>
    <row r="20" spans="2:19" s="35" customFormat="1" ht="51">
      <c r="B20" s="28">
        <v>15</v>
      </c>
      <c r="C20" s="29">
        <f>'BIO DATA'!C16</f>
        <v>12567</v>
      </c>
      <c r="D20" s="61" t="str">
        <f>'BIO DATA'!D16</f>
        <v>0123456789</v>
      </c>
      <c r="E20" s="30" t="str">
        <f>'BIO DATA'!E16</f>
        <v>Harits Tammam Rahman</v>
      </c>
      <c r="F20" s="31" t="str">
        <f>'BIO DATA'!Y16</f>
        <v>SD KUB Muhammadiyah Purworejo</v>
      </c>
      <c r="G20" s="71">
        <f>'BIO DATA'!I16</f>
        <v>3</v>
      </c>
      <c r="H20" s="30" t="str">
        <f>'BIO DATA'!M16</f>
        <v>Purworejo</v>
      </c>
      <c r="I20" s="136" t="str">
        <f>'BIO DATA'!P16</f>
        <v>28 Maret 2014</v>
      </c>
      <c r="J20" s="30" t="str">
        <f>'BIO DATA'!S16</f>
        <v>Jl. Gatot Subroto No. 461 Dusun Lingkungan 2 RT 003 RW 004 Keseneng Purworejo Purworejo Jawa Tengah 54119</v>
      </c>
      <c r="K20" s="30" t="str">
        <f>'BIO DATA'!AB16</f>
        <v>Bakhruni Rakhman</v>
      </c>
      <c r="L20" s="33" t="str">
        <f>'BIO DATA'!AG16</f>
        <v>08122725844</v>
      </c>
      <c r="M20" s="30" t="str">
        <f>'BIO DATA'!AI16</f>
        <v>Yulia Kurniawati</v>
      </c>
      <c r="N20" s="147" t="str">
        <f>'BIO DATA'!AN16</f>
        <v>081227851780</v>
      </c>
      <c r="O20" s="30" t="str">
        <f>'BIO DATA'!AE16</f>
        <v>Wiraswasta</v>
      </c>
      <c r="P20" s="30" t="str">
        <f>'BIO DATA'!AL16</f>
        <v>Ibu Rumah Tangga</v>
      </c>
      <c r="Q20" s="134" t="s">
        <v>228</v>
      </c>
    </row>
    <row r="21" spans="2:19" s="35" customFormat="1" ht="38.25">
      <c r="B21" s="28">
        <v>16</v>
      </c>
      <c r="C21" s="29">
        <f>'BIO DATA'!C17</f>
        <v>12575</v>
      </c>
      <c r="D21" s="148">
        <f>'BIO DATA'!D17</f>
        <v>3126141550</v>
      </c>
      <c r="E21" s="30" t="str">
        <f>'BIO DATA'!E17</f>
        <v>Ibrohim Rofiq</v>
      </c>
      <c r="F21" s="31" t="str">
        <f>'BIO DATA'!Y17</f>
        <v>Ma'dah Al Manshuroh Rembang Purbalinggag</v>
      </c>
      <c r="G21" s="71">
        <f>'BIO DATA'!I17</f>
        <v>2</v>
      </c>
      <c r="H21" s="30" t="str">
        <f>'BIO DATA'!M17</f>
        <v>Purbalingga</v>
      </c>
      <c r="I21" s="136" t="str">
        <f>'BIO DATA'!P17</f>
        <v>14 Juli 2012</v>
      </c>
      <c r="J21" s="30" t="str">
        <f>'BIO DATA'!S17</f>
        <v>Makam RT 001 RW 001 Makam Rembang Purbalingga Jawa Tengah 53356</v>
      </c>
      <c r="K21" s="30" t="str">
        <f>'BIO DATA'!AB17</f>
        <v>Andy Rovik, S.Ag.</v>
      </c>
      <c r="L21" s="33" t="str">
        <f>'BIO DATA'!AG17</f>
        <v>082136706557</v>
      </c>
      <c r="M21" s="30" t="str">
        <f>'BIO DATA'!AI17</f>
        <v>Sajatin Muflikhah</v>
      </c>
      <c r="N21" s="147" t="str">
        <f>'BIO DATA'!AN17</f>
        <v>0857 2858 9195</v>
      </c>
      <c r="O21" s="30" t="str">
        <f>'BIO DATA'!AE17</f>
        <v>Wiraswasta</v>
      </c>
      <c r="P21" s="30" t="str">
        <f>'BIO DATA'!AL17</f>
        <v>Ibu Rumah Tangga</v>
      </c>
      <c r="Q21" s="134" t="s">
        <v>228</v>
      </c>
    </row>
    <row r="22" spans="2:19" s="35" customFormat="1" ht="38.25" customHeight="1">
      <c r="B22" s="28">
        <v>17</v>
      </c>
      <c r="C22" s="29">
        <f>'BIO DATA'!C18</f>
        <v>12578</v>
      </c>
      <c r="D22" s="61" t="str">
        <f>'BIO DATA'!D18</f>
        <v>0144447319</v>
      </c>
      <c r="E22" s="30" t="str">
        <f>'BIO DATA'!E18</f>
        <v>Iman Ashraf Athaillah</v>
      </c>
      <c r="F22" s="31" t="str">
        <f>'BIO DATA'!Y18</f>
        <v>SD Muhammadiyah Kutoarjo</v>
      </c>
      <c r="G22" s="71">
        <f>'BIO DATA'!I18</f>
        <v>2</v>
      </c>
      <c r="H22" s="30" t="str">
        <f>'BIO DATA'!M18</f>
        <v>Purworejo</v>
      </c>
      <c r="I22" s="136" t="str">
        <f>'BIO DATA'!P18</f>
        <v>28 Februari 2014</v>
      </c>
      <c r="J22" s="30" t="str">
        <f>'BIO DATA'!S18</f>
        <v>Munggangsari RT 001 RW 002 Munggangsari Grabag Purworejo Jawa Tengah 54265</v>
      </c>
      <c r="K22" s="30" t="str">
        <f>'BIO DATA'!AB18</f>
        <v>Sukardi</v>
      </c>
      <c r="L22" s="33" t="str">
        <f>'BIO DATA'!AG18</f>
        <v>085729775253</v>
      </c>
      <c r="M22" s="30" t="str">
        <f>'BIO DATA'!AI18</f>
        <v>Supriyati</v>
      </c>
      <c r="N22" s="147" t="str">
        <f>'BIO DATA'!AN18</f>
        <v>087875434796</v>
      </c>
      <c r="O22" s="146" t="str">
        <f>'BIO DATA'!AE18</f>
        <v>Wiraswasta</v>
      </c>
      <c r="P22" s="30" t="str">
        <f>'BIO DATA'!AL18</f>
        <v>Ibu Rumah Tangga</v>
      </c>
      <c r="Q22" s="134" t="s">
        <v>228</v>
      </c>
    </row>
    <row r="23" spans="2:19" s="23" customFormat="1" ht="20.25" customHeight="1">
      <c r="B23" s="59"/>
      <c r="C23" s="59"/>
      <c r="D23" s="59"/>
      <c r="E23" s="59"/>
      <c r="F23" s="59"/>
      <c r="G23" s="67"/>
      <c r="H23" s="59"/>
      <c r="I23" s="59"/>
      <c r="J23" s="59"/>
      <c r="K23" s="59"/>
      <c r="L23" s="59"/>
      <c r="M23" s="59" t="s">
        <v>198</v>
      </c>
      <c r="N23" s="59"/>
      <c r="O23" s="59"/>
      <c r="P23" s="59"/>
      <c r="Q23" s="59"/>
    </row>
    <row r="24" spans="2:19" s="26" customFormat="1" ht="15" customHeight="1">
      <c r="B24" s="414" t="s">
        <v>0</v>
      </c>
      <c r="C24" s="415" t="s">
        <v>147</v>
      </c>
      <c r="D24" s="416" t="s">
        <v>2</v>
      </c>
      <c r="E24" s="414" t="s">
        <v>3</v>
      </c>
      <c r="F24" s="414" t="s">
        <v>8</v>
      </c>
      <c r="G24" s="414" t="s">
        <v>148</v>
      </c>
      <c r="H24" s="414" t="s">
        <v>149</v>
      </c>
      <c r="I24" s="414"/>
      <c r="J24" s="414" t="s">
        <v>6</v>
      </c>
      <c r="K24" s="417" t="s">
        <v>150</v>
      </c>
      <c r="L24" s="417"/>
      <c r="M24" s="417"/>
      <c r="N24" s="417"/>
      <c r="O24" s="414" t="s">
        <v>151</v>
      </c>
      <c r="P24" s="414"/>
      <c r="Q24" s="414" t="s">
        <v>174</v>
      </c>
    </row>
    <row r="25" spans="2:19" s="26" customFormat="1" ht="21" customHeight="1">
      <c r="B25" s="414"/>
      <c r="C25" s="415"/>
      <c r="D25" s="416"/>
      <c r="E25" s="414"/>
      <c r="F25" s="414"/>
      <c r="G25" s="414"/>
      <c r="H25" s="388" t="s">
        <v>153</v>
      </c>
      <c r="I25" s="388" t="s">
        <v>154</v>
      </c>
      <c r="J25" s="414"/>
      <c r="K25" s="388" t="s">
        <v>155</v>
      </c>
      <c r="L25" s="389" t="s">
        <v>155</v>
      </c>
      <c r="M25" s="388" t="s">
        <v>156</v>
      </c>
      <c r="N25" s="389" t="s">
        <v>157</v>
      </c>
      <c r="O25" s="388" t="s">
        <v>158</v>
      </c>
      <c r="P25" s="388" t="s">
        <v>159</v>
      </c>
      <c r="Q25" s="414"/>
      <c r="R25" s="27"/>
      <c r="S25" s="27"/>
    </row>
    <row r="26" spans="2:19" s="35" customFormat="1" ht="38.25">
      <c r="B26" s="28">
        <v>18</v>
      </c>
      <c r="C26" s="29">
        <f>'BIO DATA'!C19</f>
        <v>12590</v>
      </c>
      <c r="D26" s="61" t="str">
        <f>'BIO DATA'!D19</f>
        <v>0139050887</v>
      </c>
      <c r="E26" s="30" t="str">
        <f>'BIO DATA'!E19</f>
        <v>Khenan Naufal Dary Abiyyu</v>
      </c>
      <c r="F26" s="31" t="str">
        <f>'BIO DATA'!Y19</f>
        <v>SD Muh Gendol V</v>
      </c>
      <c r="G26" s="71">
        <f>'BIO DATA'!I19</f>
        <v>2</v>
      </c>
      <c r="H26" s="30" t="str">
        <f>'BIO DATA'!M19</f>
        <v>Sleman</v>
      </c>
      <c r="I26" s="136" t="str">
        <f>'BIO DATA'!P19</f>
        <v>21 September 2013</v>
      </c>
      <c r="J26" s="30" t="str">
        <f>'BIO DATA'!S19</f>
        <v>Dusun Kadipiro RT 003 RW 020 Margodadi Seyegan Sleman DIY 55561</v>
      </c>
      <c r="K26" s="30" t="str">
        <f>'BIO DATA'!AB19</f>
        <v>Wahyu Eko Styawan</v>
      </c>
      <c r="L26" s="33" t="str">
        <f>'BIO DATA'!AG19</f>
        <v>083890636270</v>
      </c>
      <c r="M26" s="30" t="str">
        <f>'BIO DATA'!AI19</f>
        <v>Meina Liza Nur Evawati</v>
      </c>
      <c r="N26" s="147" t="str">
        <f>'BIO DATA'!AN19</f>
        <v>083840730422</v>
      </c>
      <c r="O26" s="146" t="str">
        <f>'BIO DATA'!AE19</f>
        <v>Wiraswasta</v>
      </c>
      <c r="P26" s="30" t="str">
        <f>'BIO DATA'!AL19</f>
        <v>Karyawan Swasta</v>
      </c>
      <c r="Q26" s="134" t="s">
        <v>228</v>
      </c>
    </row>
    <row r="27" spans="2:19" s="35" customFormat="1" ht="38.25">
      <c r="B27" s="28">
        <v>19</v>
      </c>
      <c r="C27" s="29">
        <f>'BIO DATA'!C20</f>
        <v>12603</v>
      </c>
      <c r="D27" s="61" t="str">
        <f>'BIO DATA'!D20</f>
        <v>0143617273</v>
      </c>
      <c r="E27" s="30" t="str">
        <f>'BIO DATA'!E20</f>
        <v>Mikail Ahmad Zaidan</v>
      </c>
      <c r="F27" s="31" t="str">
        <f>'BIO DATA'!Y20</f>
        <v>SD Muhammadiyah Manyar Gresik</v>
      </c>
      <c r="G27" s="71">
        <f>'BIO DATA'!I20</f>
        <v>2</v>
      </c>
      <c r="H27" s="30" t="str">
        <f>'BIO DATA'!M20</f>
        <v>Gresik</v>
      </c>
      <c r="I27" s="136" t="str">
        <f>'BIO DATA'!P20</f>
        <v>26 Februari 2014</v>
      </c>
      <c r="J27" s="30" t="str">
        <f>'BIO DATA'!S20</f>
        <v>Jl. Rembang II/18 GKB RT 001 RW 009 Yosowilangun Manyar Gresik Jawa Timur 61151</v>
      </c>
      <c r="K27" s="30" t="str">
        <f>'BIO DATA'!AB20</f>
        <v>Suadrmono</v>
      </c>
      <c r="L27" s="33" t="str">
        <f>'BIO DATA'!AG20</f>
        <v>08151608608</v>
      </c>
      <c r="M27" s="30" t="str">
        <f>'BIO DATA'!AI20</f>
        <v>Malini Roos</v>
      </c>
      <c r="N27" s="147" t="str">
        <f>'BIO DATA'!AN20</f>
        <v>081259592221</v>
      </c>
      <c r="O27" s="30" t="str">
        <f>'BIO DATA'!AE20</f>
        <v>PNS</v>
      </c>
      <c r="P27" s="30" t="str">
        <f>'BIO DATA'!AL20</f>
        <v>Karyawan Swasta</v>
      </c>
      <c r="Q27" s="134" t="s">
        <v>228</v>
      </c>
    </row>
    <row r="28" spans="2:19" s="35" customFormat="1" ht="38.25">
      <c r="B28" s="28">
        <v>20</v>
      </c>
      <c r="C28" s="29">
        <f>'BIO DATA'!C21</f>
        <v>12605</v>
      </c>
      <c r="D28" s="61" t="str">
        <f>'BIO DATA'!D21</f>
        <v>0132358490</v>
      </c>
      <c r="E28" s="30" t="str">
        <f>'BIO DATA'!E21</f>
        <v>Moh. Athariz Chalief Hamidy</v>
      </c>
      <c r="F28" s="31" t="str">
        <f>'BIO DATA'!Y21</f>
        <v>SD Muhammadiyah Ketanggungan</v>
      </c>
      <c r="G28" s="185">
        <f>'BIO DATA'!I21</f>
        <v>1</v>
      </c>
      <c r="H28" s="30" t="str">
        <f>'BIO DATA'!M21</f>
        <v>Brebes</v>
      </c>
      <c r="I28" s="136" t="str">
        <f>'BIO DATA'!P21</f>
        <v>3 Juni 2013</v>
      </c>
      <c r="J28" s="30" t="str">
        <f>'BIO DATA'!S21</f>
        <v>Slatri Tengah RT 001 RW 001 Slatri Larangan Brebes Jawa Tengah 52262</v>
      </c>
      <c r="K28" s="30" t="str">
        <f>'BIO DATA'!AB21</f>
        <v>Tarmidi</v>
      </c>
      <c r="L28" s="33" t="str">
        <f>'BIO DATA'!AG21</f>
        <v>081299933381</v>
      </c>
      <c r="M28" s="30" t="str">
        <f>'BIO DATA'!AI21</f>
        <v>Irvi Azizah Halia</v>
      </c>
      <c r="N28" s="147" t="str">
        <f>'BIO DATA'!AN21</f>
        <v>081914142349</v>
      </c>
      <c r="O28" s="30" t="str">
        <f>'BIO DATA'!AE21</f>
        <v>Wiraswasta</v>
      </c>
      <c r="P28" s="30" t="str">
        <f>'BIO DATA'!AL21</f>
        <v>Guru</v>
      </c>
      <c r="Q28" s="134" t="s">
        <v>228</v>
      </c>
    </row>
    <row r="29" spans="2:19" s="35" customFormat="1" ht="46.5" customHeight="1">
      <c r="B29" s="28">
        <v>21</v>
      </c>
      <c r="C29" s="29">
        <f>'BIO DATA'!C22</f>
        <v>12606</v>
      </c>
      <c r="D29" s="61" t="str">
        <f>'BIO DATA'!D22</f>
        <v>0144213525</v>
      </c>
      <c r="E29" s="30" t="str">
        <f>'BIO DATA'!E22</f>
        <v>Muhamad Fathan Sakhi Zaidan</v>
      </c>
      <c r="F29" s="31" t="str">
        <f>'BIO DATA'!Y22</f>
        <v>SD Muhammadiyah 1 Alternatif Kota Magelang</v>
      </c>
      <c r="G29" s="71">
        <f>'BIO DATA'!I22</f>
        <v>2</v>
      </c>
      <c r="H29" s="291" t="str">
        <f>'BIO DATA'!M22</f>
        <v>Kota Magelang</v>
      </c>
      <c r="I29" s="136" t="str">
        <f>'BIO DATA'!P22</f>
        <v>24 Februari 2014</v>
      </c>
      <c r="J29" s="30" t="str">
        <f>'BIO DATA'!S22</f>
        <v>Jl. Pemuda 170 B RT 004 RW 009 Kemirirejo Magelang Tengah Kota Magelang Jawa Tengah 56112</v>
      </c>
      <c r="K29" s="30" t="str">
        <f>'BIO DATA'!AB22</f>
        <v>Moch. Jonny</v>
      </c>
      <c r="L29" s="33" t="str">
        <f>'BIO DATA'!AG22</f>
        <v>08121550098</v>
      </c>
      <c r="M29" s="30" t="str">
        <f>'BIO DATA'!AI22</f>
        <v>Yulizarti</v>
      </c>
      <c r="N29" s="147" t="str">
        <f>'BIO DATA'!AN22</f>
        <v>081392277669</v>
      </c>
      <c r="O29" s="30" t="str">
        <f>'BIO DATA'!AE22</f>
        <v>Wiraswasta</v>
      </c>
      <c r="P29" s="30" t="str">
        <f>'BIO DATA'!AL22</f>
        <v>Wiraswasta</v>
      </c>
      <c r="Q29" s="134" t="s">
        <v>228</v>
      </c>
    </row>
    <row r="30" spans="2:19" s="35" customFormat="1" ht="38.25" customHeight="1">
      <c r="B30" s="28">
        <v>22</v>
      </c>
      <c r="C30" s="29">
        <f>'BIO DATA'!C23</f>
        <v>12623</v>
      </c>
      <c r="D30" s="61" t="str">
        <f>'BIO DATA'!D23</f>
        <v>0147465826</v>
      </c>
      <c r="E30" s="30" t="str">
        <f>'BIO DATA'!E23</f>
        <v>Muhammad Azmi An Najah</v>
      </c>
      <c r="F30" s="31" t="str">
        <f>'BIO DATA'!Y23</f>
        <v>SD Muhammadiyah 2 Bendan</v>
      </c>
      <c r="G30" s="71">
        <f>'BIO DATA'!I23</f>
        <v>2</v>
      </c>
      <c r="H30" s="30" t="str">
        <f>'BIO DATA'!M23</f>
        <v>Pekalongan</v>
      </c>
      <c r="I30" s="136" t="str">
        <f>'BIO DATA'!P23</f>
        <v>17 Januari 2014</v>
      </c>
      <c r="J30" s="30" t="str">
        <f>'BIO DATA'!S23</f>
        <v>Dusun Bandaran RT 001 RW 002 Rowosari Ulujami Pemalang Jawa Tengah 52371</v>
      </c>
      <c r="K30" s="30" t="str">
        <f>'BIO DATA'!AB23</f>
        <v>Sudi Raharjo</v>
      </c>
      <c r="L30" s="33" t="str">
        <f>'BIO DATA'!AG23</f>
        <v>085742807672</v>
      </c>
      <c r="M30" s="30" t="str">
        <f>'BIO DATA'!AI23</f>
        <v>Ida Nafiaty</v>
      </c>
      <c r="N30" s="147" t="str">
        <f>'BIO DATA'!AN23</f>
        <v>089665776364</v>
      </c>
      <c r="O30" s="30" t="str">
        <f>'BIO DATA'!AE23</f>
        <v>Dosen</v>
      </c>
      <c r="P30" s="30" t="str">
        <f>'BIO DATA'!AL23</f>
        <v>ASN</v>
      </c>
      <c r="Q30" s="134" t="s">
        <v>228</v>
      </c>
    </row>
    <row r="31" spans="2:19" s="35" customFormat="1" ht="38.25" customHeight="1">
      <c r="B31" s="28">
        <v>23</v>
      </c>
      <c r="C31" s="29">
        <f>'BIO DATA'!C24</f>
        <v>12637</v>
      </c>
      <c r="D31" s="148" t="str">
        <f>'BIO DATA'!D24</f>
        <v>0135724276</v>
      </c>
      <c r="E31" s="30" t="str">
        <f>'BIO DATA'!E24</f>
        <v>Muhammad Hafis Makarim</v>
      </c>
      <c r="F31" s="31" t="str">
        <f>'BIO DATA'!Y24</f>
        <v>SD Muhammadyah Kutoarjo</v>
      </c>
      <c r="G31" s="71">
        <f>'BIO DATA'!I24</f>
        <v>2</v>
      </c>
      <c r="H31" s="30" t="str">
        <f>'BIO DATA'!M24</f>
        <v>Purworejo</v>
      </c>
      <c r="I31" s="136" t="str">
        <f>'BIO DATA'!P24</f>
        <v>20 Juni 2013</v>
      </c>
      <c r="J31" s="30" t="str">
        <f>'BIO DATA'!S24</f>
        <v>Grantung RT 002 RW 006 Grantung Bayan Purworejo Jawa Tengah 54162</v>
      </c>
      <c r="K31" s="30" t="str">
        <f>'BIO DATA'!AB24</f>
        <v>Amri Harjono</v>
      </c>
      <c r="L31" s="33" t="str">
        <f>'BIO DATA'!AG24</f>
        <v>081225473936</v>
      </c>
      <c r="M31" s="30" t="str">
        <f>'BIO DATA'!AI24</f>
        <v>Nur Khasanah</v>
      </c>
      <c r="N31" s="147" t="str">
        <f>'BIO DATA'!AN24</f>
        <v>085328222169</v>
      </c>
      <c r="O31" s="30" t="str">
        <f>'BIO DATA'!AE24</f>
        <v>PNS</v>
      </c>
      <c r="P31" s="30" t="str">
        <f>'BIO DATA'!AL24</f>
        <v>Guru</v>
      </c>
      <c r="Q31" s="134" t="s">
        <v>228</v>
      </c>
    </row>
    <row r="32" spans="2:19" s="35" customFormat="1" ht="38.25">
      <c r="B32" s="28">
        <v>24</v>
      </c>
      <c r="C32" s="29">
        <f>'BIO DATA'!C25</f>
        <v>12654</v>
      </c>
      <c r="D32" s="61" t="str">
        <f>'BIO DATA'!D25</f>
        <v>0145818658</v>
      </c>
      <c r="E32" s="30" t="str">
        <f>'BIO DATA'!E25</f>
        <v>Muhammad Robii'ul Awwal</v>
      </c>
      <c r="F32" s="31" t="str">
        <f>'BIO DATA'!Y25</f>
        <v>MIS Karya Pembangunan</v>
      </c>
      <c r="G32" s="71">
        <f>'BIO DATA'!I25</f>
        <v>1</v>
      </c>
      <c r="H32" s="30" t="str">
        <f>'BIO DATA'!M25</f>
        <v>Puruk Cahu</v>
      </c>
      <c r="I32" s="136" t="str">
        <f>'BIO DATA'!P25</f>
        <v>15 Januari 2014</v>
      </c>
      <c r="J32" s="30" t="str">
        <f>'BIO DATA'!S25</f>
        <v>Jl. KH.A.Dahlan No.02 Beriwit Murung Murung Raya Kalimantan Tengah 73911</v>
      </c>
      <c r="K32" s="30" t="str">
        <f>'BIO DATA'!AB25</f>
        <v>Ali Muttaqin</v>
      </c>
      <c r="L32" s="33" t="str">
        <f>'BIO DATA'!AG25</f>
        <v>085822533716</v>
      </c>
      <c r="M32" s="30" t="str">
        <f>'BIO DATA'!AI25</f>
        <v>Sri Utami</v>
      </c>
      <c r="N32" s="147" t="str">
        <f>'BIO DATA'!AN25</f>
        <v>081348217239</v>
      </c>
      <c r="O32" s="30" t="str">
        <f>'BIO DATA'!AE25</f>
        <v>Guru</v>
      </c>
      <c r="P32" s="30" t="str">
        <f>'BIO DATA'!AL25</f>
        <v>Perawat</v>
      </c>
      <c r="Q32" s="183">
        <f>'BIO DATA'!H25</f>
        <v>0</v>
      </c>
    </row>
    <row r="33" spans="2:17" s="35" customFormat="1" ht="38.25" customHeight="1">
      <c r="B33" s="28">
        <v>25</v>
      </c>
      <c r="C33" s="29">
        <f>'BIO DATA'!C26</f>
        <v>12678</v>
      </c>
      <c r="D33" s="61">
        <f>'BIO DATA'!D26</f>
        <v>3134418841</v>
      </c>
      <c r="E33" s="30" t="str">
        <f>'BIO DATA'!E26</f>
        <v>Radhin Nabil Alauna</v>
      </c>
      <c r="F33" s="31" t="str">
        <f>'BIO DATA'!Y26</f>
        <v>SD Anak Emas</v>
      </c>
      <c r="G33" s="71">
        <f>'BIO DATA'!I26</f>
        <v>2</v>
      </c>
      <c r="H33" s="291" t="str">
        <f>'BIO DATA'!M26</f>
        <v>Boyolali</v>
      </c>
      <c r="I33" s="136" t="str">
        <f>'BIO DATA'!P26</f>
        <v>20 Oktober 2013</v>
      </c>
      <c r="J33" s="30" t="str">
        <f>'BIO DATA'!S26</f>
        <v>Jl. Kebo Iwa Utara Gg. I No. 9 Batukandik Padang Sambian Kaja Kota Denpasar Bali 80117</v>
      </c>
      <c r="K33" s="30" t="str">
        <f>'BIO DATA'!AB26</f>
        <v>Jarod Sudarmaji</v>
      </c>
      <c r="L33" s="33" t="str">
        <f>'BIO DATA'!AG26</f>
        <v>087860126186</v>
      </c>
      <c r="M33" s="30" t="str">
        <f>'BIO DATA'!AI26</f>
        <v>Siti Bahriyah</v>
      </c>
      <c r="N33" s="147" t="str">
        <f>'BIO DATA'!AN26</f>
        <v>082237599179</v>
      </c>
      <c r="O33" s="30" t="str">
        <f>'BIO DATA'!AE26</f>
        <v>Guru</v>
      </c>
      <c r="P33" s="146" t="str">
        <f>'BIO DATA'!AL26</f>
        <v>Ibu Rumah Tangga</v>
      </c>
      <c r="Q33" s="134" t="s">
        <v>228</v>
      </c>
    </row>
    <row r="34" spans="2:17" s="35" customFormat="1" ht="51">
      <c r="B34" s="28">
        <v>26</v>
      </c>
      <c r="C34" s="29">
        <f>'BIO DATA'!C27</f>
        <v>12681</v>
      </c>
      <c r="D34" s="61" t="str">
        <f>'BIO DATA'!D27</f>
        <v>0136071579</v>
      </c>
      <c r="E34" s="30" t="str">
        <f>'BIO DATA'!E27</f>
        <v>Rafa Rizki Ramadhansyah Haris</v>
      </c>
      <c r="F34" s="31" t="str">
        <f>'BIO DATA'!Y27</f>
        <v>SDIT Al Mustaqim</v>
      </c>
      <c r="G34" s="71">
        <f>'BIO DATA'!I27</f>
        <v>2</v>
      </c>
      <c r="H34" s="30" t="str">
        <f>'BIO DATA'!M27</f>
        <v>Sungguminasa</v>
      </c>
      <c r="I34" s="136" t="str">
        <f>'BIO DATA'!P27</f>
        <v>28 Juli 2013</v>
      </c>
      <c r="J34" s="30" t="str">
        <f>'BIO DATA'!S27</f>
        <v>Jl. P. Bunyu No. 30 RT 005 RW 001 Kampung I Skip Tarakan Tengah Kota Tarakan Kalimantan Utara 77122</v>
      </c>
      <c r="K34" s="30" t="str">
        <f>'BIO DATA'!AB27</f>
        <v>Haris, S.Kep.Ns</v>
      </c>
      <c r="L34" s="33" t="str">
        <f>'BIO DATA'!AG27</f>
        <v>085242428149</v>
      </c>
      <c r="M34" s="30" t="str">
        <f>'BIO DATA'!AI27</f>
        <v>Rahmawati Rasyid, S.Pd.</v>
      </c>
      <c r="N34" s="147" t="str">
        <f>'BIO DATA'!AN27</f>
        <v>08115404830</v>
      </c>
      <c r="O34" s="30" t="str">
        <f>'BIO DATA'!AE27</f>
        <v>Dosen</v>
      </c>
      <c r="P34" s="30" t="str">
        <f>'BIO DATA'!AL27</f>
        <v>Guru</v>
      </c>
      <c r="Q34" s="183">
        <f>'BIO DATA'!H27</f>
        <v>0</v>
      </c>
    </row>
    <row r="35" spans="2:17" s="35" customFormat="1" ht="38.25" customHeight="1">
      <c r="B35" s="28">
        <v>27</v>
      </c>
      <c r="C35" s="105">
        <f>'BIO DATA'!C28</f>
        <v>12685</v>
      </c>
      <c r="D35" s="106" t="str">
        <f>'BIO DATA'!D28</f>
        <v>0139327713</v>
      </c>
      <c r="E35" s="107" t="str">
        <f>'BIO DATA'!E28</f>
        <v>Rajendra Zhafran Arsaputra</v>
      </c>
      <c r="F35" s="31" t="str">
        <f>'BIO DATA'!Y28</f>
        <v>SD Muhammadiyah Sokonandi Yogyakarta</v>
      </c>
      <c r="G35" s="71">
        <f>'BIO DATA'!I28</f>
        <v>2</v>
      </c>
      <c r="H35" s="30" t="str">
        <f>'BIO DATA'!M28</f>
        <v>Sukoharjo</v>
      </c>
      <c r="I35" s="136" t="str">
        <f>'BIO DATA'!P28</f>
        <v>5 Oktober 2013</v>
      </c>
      <c r="J35" s="30" t="str">
        <f>'BIO DATA'!S28</f>
        <v>Pulosari RT 003 RW 004 Gayam Sukoharjo Sukoharjo Jawa Tengah 57514</v>
      </c>
      <c r="K35" s="30" t="str">
        <f>'BIO DATA'!AB28</f>
        <v>Harun Rochmadi, SE</v>
      </c>
      <c r="L35" s="33" t="str">
        <f>'BIO DATA'!AG28</f>
        <v>088216120266</v>
      </c>
      <c r="M35" s="30" t="str">
        <f>'BIO DATA'!AI28</f>
        <v>Syafa'atul Etikasari, ST</v>
      </c>
      <c r="N35" s="147" t="str">
        <f>'BIO DATA'!AN28</f>
        <v>085747880931</v>
      </c>
      <c r="O35" s="30" t="str">
        <f>'BIO DATA'!AE28</f>
        <v>PNS</v>
      </c>
      <c r="P35" s="30" t="str">
        <f>'BIO DATA'!AL28</f>
        <v>Ibu Rumah Tangga</v>
      </c>
      <c r="Q35" s="134" t="s">
        <v>228</v>
      </c>
    </row>
    <row r="36" spans="2:17" s="35" customFormat="1" ht="38.25">
      <c r="B36" s="28">
        <v>28</v>
      </c>
      <c r="C36" s="29">
        <f>'BIO DATA'!C29</f>
        <v>12701</v>
      </c>
      <c r="D36" s="148" t="str">
        <f>'BIO DATA'!D29</f>
        <v>0146837414</v>
      </c>
      <c r="E36" s="30" t="str">
        <f>'BIO DATA'!E29</f>
        <v>Salman Abqary Haidar Al Hanif</v>
      </c>
      <c r="F36" s="31" t="str">
        <f>'BIO DATA'!Y29</f>
        <v>SDIT Usamah Kota Tegal</v>
      </c>
      <c r="G36" s="71">
        <f>'BIO DATA'!I29</f>
        <v>2</v>
      </c>
      <c r="H36" s="30" t="str">
        <f>'BIO DATA'!M29</f>
        <v>Tegal</v>
      </c>
      <c r="I36" s="136" t="str">
        <f>'BIO DATA'!P29</f>
        <v>20 Januari 2014</v>
      </c>
      <c r="J36" s="30" t="str">
        <f>'BIO DATA'!S29</f>
        <v>Jl. P. Kemerdekaan Gg 16/32 RT 012 RW 007 Panggung Tegal Timur Tegal Jawa Tengah 52122</v>
      </c>
      <c r="K36" s="30" t="str">
        <f>'BIO DATA'!AB29</f>
        <v>Teguh Dwi Puji Santoso</v>
      </c>
      <c r="L36" s="33" t="str">
        <f>'BIO DATA'!AG29</f>
        <v>08157928486</v>
      </c>
      <c r="M36" s="30" t="str">
        <f>'BIO DATA'!AI29</f>
        <v>Neni Hendaryati</v>
      </c>
      <c r="N36" s="147" t="str">
        <f>'BIO DATA'!AN29</f>
        <v>085642917002</v>
      </c>
      <c r="O36" s="30" t="str">
        <f>'BIO DATA'!AE29</f>
        <v>PNS</v>
      </c>
      <c r="P36" s="30" t="str">
        <f>'BIO DATA'!AL29</f>
        <v>Dosen</v>
      </c>
      <c r="Q36" s="134" t="s">
        <v>228</v>
      </c>
    </row>
    <row r="37" spans="2:17" s="35" customFormat="1" ht="35.25" customHeight="1">
      <c r="B37" s="28">
        <v>29</v>
      </c>
      <c r="C37" s="29">
        <f>'BIO DATA'!C30</f>
        <v>12715</v>
      </c>
      <c r="D37" s="148" t="str">
        <f>'BIO DATA'!D30</f>
        <v>0133991847</v>
      </c>
      <c r="E37" s="30" t="str">
        <f>'BIO DATA'!E30</f>
        <v>Wisanggeni Pamungkas Pamujaning Rheinandy</v>
      </c>
      <c r="F37" s="31" t="str">
        <f>'BIO DATA'!Y30</f>
        <v>SD Muhammadiyah Bodon</v>
      </c>
      <c r="G37" s="71">
        <f>'BIO DATA'!I30</f>
        <v>3</v>
      </c>
      <c r="H37" s="30" t="str">
        <f>'BIO DATA'!M30</f>
        <v>Yogyakarta</v>
      </c>
      <c r="I37" s="136" t="str">
        <f>'BIO DATA'!P30</f>
        <v>13 September 2013</v>
      </c>
      <c r="J37" s="30" t="str">
        <f>'BIO DATA'!S30</f>
        <v>Jaranan 367 RT 010 Banguntapan Banguntapan Bantul DIY 55198</v>
      </c>
      <c r="K37" s="30" t="str">
        <f>'BIO DATA'!AB30</f>
        <v>R Hendy Nurcahyo Saputro</v>
      </c>
      <c r="L37" s="33" t="str">
        <f>'BIO DATA'!AG30</f>
        <v>085249306242</v>
      </c>
      <c r="M37" s="30" t="str">
        <f>'BIO DATA'!AI30</f>
        <v>Rina Nurhayati</v>
      </c>
      <c r="N37" s="147" t="str">
        <f>'BIO DATA'!AN30</f>
        <v>087738850678</v>
      </c>
      <c r="O37" s="30" t="str">
        <f>'BIO DATA'!AE30</f>
        <v>PNS</v>
      </c>
      <c r="P37" s="30" t="str">
        <f>'BIO DATA'!AL30</f>
        <v>Ibu Rumah Tangga</v>
      </c>
      <c r="Q37" s="134" t="s">
        <v>228</v>
      </c>
    </row>
    <row r="38" spans="2:17" s="35" customFormat="1" ht="38.25" customHeight="1">
      <c r="B38" s="28">
        <v>30</v>
      </c>
      <c r="C38" s="29">
        <f>'BIO DATA'!C31</f>
        <v>12723</v>
      </c>
      <c r="D38" s="61">
        <f>'BIO DATA'!D31</f>
        <v>3134468755</v>
      </c>
      <c r="E38" s="30" t="str">
        <f>'BIO DATA'!E31</f>
        <v>Zidan Al Fatir Siregar</v>
      </c>
      <c r="F38" s="31" t="str">
        <f>'BIO DATA'!Y31</f>
        <v>SD IT Alkausar</v>
      </c>
      <c r="G38" s="71">
        <f>'BIO DATA'!I31</f>
        <v>4</v>
      </c>
      <c r="H38" s="30" t="str">
        <f>'BIO DATA'!M31</f>
        <v>Kepahiang</v>
      </c>
      <c r="I38" s="136" t="str">
        <f>'BIO DATA'!P31</f>
        <v>22 September 2013</v>
      </c>
      <c r="J38" s="30" t="str">
        <f>'BIO DATA'!S31</f>
        <v>Jl. Sidodadi RT 010 RW 004 Pasar Ujung Kepahiang Kepahiang Bengkulu 39172</v>
      </c>
      <c r="K38" s="30" t="str">
        <f>'BIO DATA'!AB31</f>
        <v>Ucok Setia Siregar</v>
      </c>
      <c r="L38" s="33" t="str">
        <f>'BIO DATA'!AG31</f>
        <v>085758020276</v>
      </c>
      <c r="M38" s="30" t="str">
        <f>'BIO DATA'!AI31</f>
        <v>Mulyaningsih</v>
      </c>
      <c r="N38" s="147" t="str">
        <f>'BIO DATA'!AN31</f>
        <v>085758020276</v>
      </c>
      <c r="O38" s="30" t="str">
        <f>'BIO DATA'!AE31</f>
        <v>PNS</v>
      </c>
      <c r="P38" s="30" t="str">
        <f>'BIO DATA'!AL31</f>
        <v>PNS</v>
      </c>
      <c r="Q38" s="183">
        <f>'BIO DATA'!H31</f>
        <v>0</v>
      </c>
    </row>
    <row r="39" spans="2:17" s="35" customFormat="1" ht="12.75">
      <c r="B39" s="37"/>
      <c r="C39" s="38"/>
      <c r="D39" s="123"/>
      <c r="E39" s="39"/>
      <c r="F39" s="34"/>
      <c r="G39" s="124"/>
      <c r="H39" s="143"/>
      <c r="I39" s="139"/>
      <c r="J39" s="39"/>
      <c r="K39" s="39"/>
      <c r="L39" s="40"/>
      <c r="M39" s="39"/>
      <c r="N39" s="140"/>
      <c r="O39" s="39"/>
      <c r="P39" s="39"/>
      <c r="Q39" s="140"/>
    </row>
    <row r="40" spans="2:17" s="35" customFormat="1" ht="12.75">
      <c r="B40" s="37"/>
      <c r="C40" s="38"/>
      <c r="D40" s="123"/>
      <c r="E40" s="39"/>
      <c r="F40" s="34"/>
      <c r="G40" s="124"/>
      <c r="H40" s="143"/>
      <c r="I40" s="139"/>
      <c r="J40" s="39"/>
      <c r="K40" s="39"/>
      <c r="L40" s="40"/>
      <c r="M40" s="39"/>
      <c r="N40" s="140"/>
      <c r="O40" s="39"/>
      <c r="P40" s="39"/>
      <c r="Q40" s="140"/>
    </row>
    <row r="41" spans="2:17" s="35" customFormat="1" ht="12.75">
      <c r="B41" s="37"/>
      <c r="C41" s="38"/>
      <c r="D41" s="123"/>
      <c r="E41" s="39"/>
      <c r="F41" s="34"/>
      <c r="G41" s="124"/>
      <c r="H41" s="143"/>
      <c r="I41" s="139"/>
      <c r="J41" s="39"/>
      <c r="K41" s="39"/>
      <c r="L41" s="40"/>
      <c r="M41" s="39"/>
      <c r="N41" s="140"/>
      <c r="O41" s="39"/>
      <c r="P41" s="39"/>
      <c r="Q41" s="140"/>
    </row>
    <row r="42" spans="2:17" s="35" customFormat="1" ht="12.75">
      <c r="B42" s="37"/>
      <c r="C42" s="38"/>
      <c r="D42" s="123"/>
      <c r="E42" s="39"/>
      <c r="F42" s="34"/>
      <c r="G42" s="124"/>
      <c r="H42" s="143"/>
      <c r="I42" s="139"/>
      <c r="J42" s="39"/>
      <c r="K42" s="39"/>
      <c r="L42" s="40"/>
      <c r="M42" s="39"/>
      <c r="N42" s="140"/>
      <c r="O42" s="39"/>
      <c r="P42" s="39"/>
      <c r="Q42" s="140"/>
    </row>
    <row r="43" spans="2:17" s="35" customFormat="1" ht="12.75">
      <c r="B43" s="37"/>
      <c r="C43" s="38"/>
      <c r="D43" s="123"/>
      <c r="E43" s="39"/>
      <c r="F43" s="34"/>
      <c r="G43" s="124"/>
      <c r="H43" s="143"/>
      <c r="I43" s="139"/>
      <c r="J43" s="39"/>
      <c r="K43" s="39"/>
      <c r="L43" s="40"/>
      <c r="M43" s="39"/>
      <c r="N43" s="140"/>
      <c r="O43" s="39"/>
      <c r="P43" s="39"/>
      <c r="Q43" s="140"/>
    </row>
    <row r="44" spans="2:17" s="35" customFormat="1" ht="12.75">
      <c r="B44" s="37"/>
      <c r="C44" s="38"/>
      <c r="D44" s="123"/>
      <c r="E44" s="39"/>
      <c r="F44" s="34"/>
      <c r="G44" s="124"/>
      <c r="H44" s="143"/>
      <c r="I44" s="139"/>
      <c r="J44" s="39"/>
      <c r="K44" s="39"/>
      <c r="L44" s="40"/>
      <c r="M44" s="39"/>
      <c r="N44" s="140"/>
      <c r="O44" s="39"/>
      <c r="P44" s="39"/>
      <c r="Q44" s="140"/>
    </row>
    <row r="45" spans="2:17" s="35" customFormat="1" ht="12.75">
      <c r="B45" s="37"/>
      <c r="C45" s="38"/>
      <c r="D45" s="123"/>
      <c r="E45" s="39"/>
      <c r="F45" s="34"/>
      <c r="G45" s="124"/>
      <c r="H45" s="143"/>
      <c r="I45" s="139"/>
      <c r="J45" s="39"/>
      <c r="K45" s="39"/>
      <c r="L45" s="40"/>
      <c r="M45" s="39"/>
      <c r="N45" s="140"/>
      <c r="O45" s="39"/>
      <c r="P45" s="39"/>
      <c r="Q45" s="140"/>
    </row>
    <row r="46" spans="2:17" s="35" customFormat="1" ht="12.75">
      <c r="B46" s="37"/>
      <c r="C46" s="38"/>
      <c r="D46" s="123"/>
      <c r="E46" s="39"/>
      <c r="F46" s="34"/>
      <c r="G46" s="124"/>
      <c r="H46" s="143"/>
      <c r="I46" s="139"/>
      <c r="J46" s="39"/>
      <c r="K46" s="39"/>
      <c r="L46" s="40"/>
      <c r="M46" s="39"/>
      <c r="N46" s="140"/>
      <c r="O46" s="39"/>
      <c r="P46" s="39"/>
      <c r="Q46" s="140"/>
    </row>
    <row r="47" spans="2:17" s="35" customFormat="1" ht="12.75">
      <c r="B47" s="37"/>
      <c r="C47" s="38"/>
      <c r="D47" s="123"/>
      <c r="E47" s="39"/>
      <c r="F47" s="34"/>
      <c r="G47" s="124"/>
      <c r="H47" s="143"/>
      <c r="I47" s="139"/>
      <c r="J47" s="39"/>
      <c r="K47" s="39"/>
      <c r="L47" s="40"/>
      <c r="M47" s="39"/>
      <c r="N47" s="140"/>
      <c r="O47" s="39"/>
      <c r="P47" s="39"/>
      <c r="Q47" s="140"/>
    </row>
    <row r="48" spans="2:17" s="35" customFormat="1" ht="12.75">
      <c r="B48" s="37"/>
      <c r="C48" s="38"/>
      <c r="D48" s="123"/>
      <c r="E48" s="39"/>
      <c r="F48" s="34"/>
      <c r="G48" s="124"/>
      <c r="H48" s="143"/>
      <c r="I48" s="139"/>
      <c r="J48" s="39"/>
      <c r="K48" s="39"/>
      <c r="L48" s="40"/>
      <c r="M48" s="39"/>
      <c r="N48" s="140"/>
      <c r="O48" s="39"/>
      <c r="P48" s="39"/>
      <c r="Q48" s="140"/>
    </row>
    <row r="49" spans="2:19" s="35" customFormat="1" ht="12.75">
      <c r="B49" s="37"/>
      <c r="C49" s="38"/>
      <c r="D49" s="123"/>
      <c r="E49" s="39"/>
      <c r="F49" s="34"/>
      <c r="G49" s="124"/>
      <c r="H49" s="143"/>
      <c r="I49" s="139"/>
      <c r="J49" s="39"/>
      <c r="K49" s="39"/>
      <c r="L49" s="40"/>
      <c r="M49" s="39"/>
      <c r="N49" s="140"/>
      <c r="O49" s="39"/>
      <c r="P49" s="39"/>
      <c r="Q49" s="140"/>
    </row>
    <row r="50" spans="2:19" s="35" customFormat="1" ht="12.75">
      <c r="B50" s="37"/>
      <c r="C50" s="38"/>
      <c r="D50" s="123"/>
      <c r="E50" s="39"/>
      <c r="F50" s="34"/>
      <c r="G50" s="124"/>
      <c r="H50" s="143"/>
      <c r="I50" s="139"/>
      <c r="J50" s="39"/>
      <c r="K50" s="39"/>
      <c r="L50" s="40"/>
      <c r="M50" s="39"/>
      <c r="N50" s="140"/>
      <c r="O50" s="39"/>
      <c r="P50" s="39"/>
      <c r="Q50" s="140"/>
    </row>
    <row r="51" spans="2:19" s="35" customFormat="1" ht="12.75">
      <c r="B51" s="37"/>
      <c r="C51" s="38"/>
      <c r="D51" s="123"/>
      <c r="E51" s="39"/>
      <c r="F51" s="34"/>
      <c r="G51" s="124"/>
      <c r="H51" s="143"/>
      <c r="I51" s="139"/>
      <c r="J51" s="39"/>
      <c r="K51" s="39"/>
      <c r="L51" s="40"/>
      <c r="M51" s="39"/>
      <c r="N51" s="140"/>
      <c r="O51" s="39"/>
      <c r="P51" s="39"/>
      <c r="Q51" s="140"/>
    </row>
    <row r="52" spans="2:19" s="23" customFormat="1" ht="18.75">
      <c r="B52" s="408" t="s">
        <v>199</v>
      </c>
      <c r="C52" s="408"/>
      <c r="D52" s="408"/>
      <c r="E52" s="408"/>
      <c r="F52" s="408"/>
      <c r="G52" s="408"/>
      <c r="H52" s="408"/>
      <c r="I52" s="408"/>
      <c r="J52" s="408"/>
      <c r="K52" s="408"/>
      <c r="L52" s="408"/>
      <c r="M52" s="408"/>
      <c r="N52" s="408"/>
      <c r="O52" s="408"/>
      <c r="P52" s="408"/>
      <c r="Q52" s="408"/>
    </row>
    <row r="53" spans="2:19" s="23" customFormat="1" ht="18.75">
      <c r="B53" s="408" t="s">
        <v>234</v>
      </c>
      <c r="C53" s="408"/>
      <c r="D53" s="408"/>
      <c r="E53" s="408"/>
      <c r="F53" s="408"/>
      <c r="G53" s="408"/>
      <c r="H53" s="408"/>
      <c r="I53" s="408"/>
      <c r="J53" s="408"/>
      <c r="K53" s="408"/>
      <c r="L53" s="408"/>
      <c r="M53" s="408"/>
      <c r="N53" s="408"/>
      <c r="O53" s="408"/>
      <c r="P53" s="408"/>
      <c r="Q53" s="408"/>
    </row>
    <row r="54" spans="2:19" s="23" customFormat="1" ht="18.75">
      <c r="B54" s="413" t="s">
        <v>237</v>
      </c>
      <c r="C54" s="413"/>
      <c r="D54" s="413"/>
      <c r="E54" s="413"/>
      <c r="F54" s="413"/>
      <c r="G54" s="413"/>
      <c r="H54" s="413"/>
      <c r="I54" s="413"/>
      <c r="J54" s="413"/>
      <c r="K54" s="413"/>
      <c r="L54" s="413"/>
      <c r="M54" s="413"/>
      <c r="N54" s="413"/>
      <c r="O54" s="413"/>
      <c r="P54" s="413"/>
      <c r="Q54" s="413"/>
    </row>
    <row r="55" spans="2:19" s="24" customFormat="1" ht="15.75" customHeight="1">
      <c r="B55" s="405" t="s">
        <v>0</v>
      </c>
      <c r="C55" s="410" t="s">
        <v>147</v>
      </c>
      <c r="D55" s="411" t="s">
        <v>2</v>
      </c>
      <c r="E55" s="412" t="s">
        <v>3</v>
      </c>
      <c r="F55" s="412" t="s">
        <v>8</v>
      </c>
      <c r="G55" s="405" t="s">
        <v>148</v>
      </c>
      <c r="H55" s="405" t="s">
        <v>149</v>
      </c>
      <c r="I55" s="405"/>
      <c r="J55" s="406" t="s">
        <v>6</v>
      </c>
      <c r="K55" s="407" t="s">
        <v>150</v>
      </c>
      <c r="L55" s="407"/>
      <c r="M55" s="407"/>
      <c r="N55" s="407"/>
      <c r="O55" s="409" t="s">
        <v>151</v>
      </c>
      <c r="P55" s="409"/>
      <c r="Q55" s="405" t="s">
        <v>152</v>
      </c>
    </row>
    <row r="56" spans="2:19" s="24" customFormat="1" ht="15.75" customHeight="1">
      <c r="B56" s="405"/>
      <c r="C56" s="410"/>
      <c r="D56" s="411"/>
      <c r="E56" s="412"/>
      <c r="F56" s="412"/>
      <c r="G56" s="405"/>
      <c r="H56" s="391" t="s">
        <v>153</v>
      </c>
      <c r="I56" s="391" t="s">
        <v>154</v>
      </c>
      <c r="J56" s="406"/>
      <c r="K56" s="390" t="s">
        <v>155</v>
      </c>
      <c r="L56" s="392" t="s">
        <v>155</v>
      </c>
      <c r="M56" s="390" t="s">
        <v>156</v>
      </c>
      <c r="N56" s="392" t="s">
        <v>157</v>
      </c>
      <c r="O56" s="391" t="s">
        <v>158</v>
      </c>
      <c r="P56" s="391" t="s">
        <v>159</v>
      </c>
      <c r="Q56" s="405"/>
      <c r="R56" s="8"/>
      <c r="S56" s="8"/>
    </row>
    <row r="57" spans="2:19" s="35" customFormat="1" ht="38.25">
      <c r="B57" s="28">
        <v>1</v>
      </c>
      <c r="C57" s="29">
        <f>'BIO DATA'!C32</f>
        <v>12459</v>
      </c>
      <c r="D57" s="148" t="str">
        <f>'BIO DATA'!D32</f>
        <v>0138441363</v>
      </c>
      <c r="E57" s="107" t="str">
        <f>'BIO DATA'!E32</f>
        <v>A.Dinar Sayuto</v>
      </c>
      <c r="F57" s="31" t="str">
        <f>'BIO DATA'!Y32</f>
        <v>SD Muhammadiyah Sukajawa</v>
      </c>
      <c r="G57" s="182" t="s">
        <v>228</v>
      </c>
      <c r="H57" s="30" t="str">
        <f>'BIO DATA'!M32</f>
        <v>Wates</v>
      </c>
      <c r="I57" s="182" t="str">
        <f>'BIO DATA'!P32</f>
        <v>24 September 2013</v>
      </c>
      <c r="J57" s="30" t="str">
        <f>'BIO DATA'!S32</f>
        <v>Dusun 1 Madiun RT/RW: 002/001.Rengas Bekri Lampung Tengah Lampung</v>
      </c>
      <c r="K57" s="30" t="str">
        <f>'BIO DATA'!AB32</f>
        <v>Drs. Andi Komari</v>
      </c>
      <c r="L57" s="147" t="s">
        <v>228</v>
      </c>
      <c r="M57" s="30" t="str">
        <f>'BIO DATA'!AI32</f>
        <v>Sunarti</v>
      </c>
      <c r="N57" s="147" t="str">
        <f>'BIO DATA'!AN32</f>
        <v>082374999433</v>
      </c>
      <c r="O57" s="30" t="str">
        <f>'BIO DATA'!AE32</f>
        <v>Guru/Dosen</v>
      </c>
      <c r="P57" s="30" t="str">
        <f>'BIO DATA'!AL32</f>
        <v>Petani/Peternak</v>
      </c>
      <c r="Q57" s="134" t="s">
        <v>228</v>
      </c>
    </row>
    <row r="58" spans="2:19" s="35" customFormat="1" ht="38.25">
      <c r="B58" s="28">
        <v>2</v>
      </c>
      <c r="C58" s="29">
        <f>'BIO DATA'!C33</f>
        <v>12466</v>
      </c>
      <c r="D58" s="148" t="str">
        <f>'BIO DATA'!D33</f>
        <v>0133560377</v>
      </c>
      <c r="E58" s="30" t="str">
        <f>'BIO DATA'!E33</f>
        <v>Adhyastha Ainur Rizky</v>
      </c>
      <c r="F58" s="31" t="str">
        <f>'BIO DATA'!Y33</f>
        <v>SD Muhammadiyah 12 Glagahagung Banyuwangi</v>
      </c>
      <c r="G58" s="71">
        <f>'BIO DATA'!I33</f>
        <v>2</v>
      </c>
      <c r="H58" s="30" t="str">
        <f>'BIO DATA'!M33</f>
        <v>Banyuwangi</v>
      </c>
      <c r="I58" s="136" t="str">
        <f>'BIO DATA'!P33</f>
        <v>2 Desember 2013</v>
      </c>
      <c r="J58" s="30" t="str">
        <f>'BIO DATA'!S33</f>
        <v>Jatirejo, rt. 5 rw. 1 Glagahagung, Purwoharjo, Banyuwangi 68483</v>
      </c>
      <c r="K58" s="30" t="str">
        <f>'BIO DATA'!AB33</f>
        <v>Iwan Febrianto</v>
      </c>
      <c r="L58" s="147" t="str">
        <f>'BIO DATA'!AG33</f>
        <v>081336514635</v>
      </c>
      <c r="M58" s="30" t="str">
        <f>'BIO DATA'!AI33</f>
        <v>Rahmi Nur Aini</v>
      </c>
      <c r="N58" s="147" t="str">
        <f>'BIO DATA'!AN33</f>
        <v>081235145960</v>
      </c>
      <c r="O58" s="147" t="str">
        <f>'BIO DATA'!AE33</f>
        <v>Pegawai Swasta</v>
      </c>
      <c r="P58" s="30" t="str">
        <f>'BIO DATA'!AL33</f>
        <v>Guru/Dosen</v>
      </c>
      <c r="Q58" s="134" t="s">
        <v>228</v>
      </c>
    </row>
    <row r="59" spans="2:19" s="35" customFormat="1" ht="38.25">
      <c r="B59" s="28">
        <v>3</v>
      </c>
      <c r="C59" s="29">
        <f>'BIO DATA'!C34</f>
        <v>12468</v>
      </c>
      <c r="D59" s="61" t="str">
        <f>'BIO DATA'!D34</f>
        <v>0135118007</v>
      </c>
      <c r="E59" s="30" t="str">
        <f>'BIO DATA'!E34</f>
        <v>Aditya Giri Reksa Nu’aimi</v>
      </c>
      <c r="F59" s="31" t="str">
        <f>'BIO DATA'!Y34</f>
        <v>SD Muhammadiyah Manyar Gresik</v>
      </c>
      <c r="G59" s="185" t="s">
        <v>228</v>
      </c>
      <c r="H59" s="30" t="str">
        <f>'BIO DATA'!M34</f>
        <v>Gresik</v>
      </c>
      <c r="I59" s="136" t="str">
        <f>'BIO DATA'!P34</f>
        <v>26 Agustus 2013</v>
      </c>
      <c r="J59" s="30" t="str">
        <f>'BIO DATA'!S34</f>
        <v>Perum GKGA Blok S No. 30 Kedanyang, Kebomas, Gresik, Jawa Timur</v>
      </c>
      <c r="K59" s="30" t="str">
        <f>'BIO DATA'!AB34</f>
        <v>Syukron Nu'aimi, S.Kom.</v>
      </c>
      <c r="L59" s="147" t="str">
        <f>'BIO DATA'!AG34</f>
        <v>085648863552</v>
      </c>
      <c r="M59" s="30" t="str">
        <f>'BIO DATA'!AI34</f>
        <v>Dwi Anggraeni Futurhesa, S.T., M.M.</v>
      </c>
      <c r="N59" s="147" t="str">
        <f>'BIO DATA'!AN34</f>
        <v>08123187400</v>
      </c>
      <c r="O59" s="30" t="str">
        <f>'BIO DATA'!AE34</f>
        <v>Pegawai Swasta</v>
      </c>
      <c r="P59" s="30" t="str">
        <f>'BIO DATA'!AL34</f>
        <v>Pegawai Swasta</v>
      </c>
      <c r="Q59" s="183">
        <f>'BIO DATA'!H34</f>
        <v>0</v>
      </c>
    </row>
    <row r="60" spans="2:19" s="35" customFormat="1" ht="38.25">
      <c r="B60" s="28">
        <v>4</v>
      </c>
      <c r="C60" s="29">
        <f>'BIO DATA'!C35</f>
        <v>12484</v>
      </c>
      <c r="D60" s="61">
        <f>'BIO DATA'!D35</f>
        <v>3127552917</v>
      </c>
      <c r="E60" s="30" t="str">
        <f>'BIO DATA'!E35</f>
        <v>Alaika Syamil Al-Hadzik</v>
      </c>
      <c r="F60" s="31" t="str">
        <f>'BIO DATA'!Y35</f>
        <v>MIS Perguruan Muallimat</v>
      </c>
      <c r="G60" s="71">
        <f>'BIO DATA'!I35</f>
        <v>2</v>
      </c>
      <c r="H60" s="30" t="str">
        <f>'BIO DATA'!M35</f>
        <v>Pandeglang</v>
      </c>
      <c r="I60" s="136" t="str">
        <f>'BIO DATA'!P35</f>
        <v>31 Oktober 2012</v>
      </c>
      <c r="J60" s="30" t="str">
        <f>'BIO DATA'!S35</f>
        <v>Kp. Pari Utara RT 004 RW 007 Pari Mandalawangi Pandeglang Jawa Barat</v>
      </c>
      <c r="K60" s="30" t="str">
        <f>'BIO DATA'!AB35</f>
        <v>Ahmad Taftajani</v>
      </c>
      <c r="L60" s="147" t="str">
        <f>'BIO DATA'!AG35</f>
        <v>08175110285</v>
      </c>
      <c r="M60" s="30" t="str">
        <f>'BIO DATA'!AI35</f>
        <v>Fitriyani Nurfitroh</v>
      </c>
      <c r="N60" s="147" t="str">
        <f>'BIO DATA'!AN35</f>
        <v>083874280713</v>
      </c>
      <c r="O60" s="30" t="str">
        <f>'BIO DATA'!AE35</f>
        <v>Pegawai Swasta</v>
      </c>
      <c r="P60" s="30" t="str">
        <f>'BIO DATA'!AL35</f>
        <v>Pegawai Swasta</v>
      </c>
      <c r="Q60" s="183">
        <f>'BIO DATA'!H35</f>
        <v>0</v>
      </c>
    </row>
    <row r="61" spans="2:19" s="35" customFormat="1" ht="38.25">
      <c r="B61" s="28">
        <v>5</v>
      </c>
      <c r="C61" s="29">
        <f>'BIO DATA'!C36</f>
        <v>12496</v>
      </c>
      <c r="D61" s="61" t="str">
        <f>'BIO DATA'!D36</f>
        <v>0148293199</v>
      </c>
      <c r="E61" s="30" t="str">
        <f>'BIO DATA'!E36</f>
        <v>Arjuna Satria Pradipta</v>
      </c>
      <c r="F61" s="31" t="str">
        <f>'BIO DATA'!Y36</f>
        <v>SD Muhammadiyah 1 Magetan</v>
      </c>
      <c r="G61" s="71">
        <f>'BIO DATA'!I36</f>
        <v>2</v>
      </c>
      <c r="H61" s="30" t="str">
        <f>'BIO DATA'!M36</f>
        <v>Magetan</v>
      </c>
      <c r="I61" s="136" t="str">
        <f>'BIO DATA'!P36</f>
        <v>1 Juni 2014</v>
      </c>
      <c r="J61" s="30" t="str">
        <f>'BIO DATA'!S36</f>
        <v>Dk Lumbungan RT 001 RW 001 Desa Bibis 01 /01 Sukomoro Magetan Jawa Timur</v>
      </c>
      <c r="K61" s="30" t="str">
        <f>'BIO DATA'!AB36</f>
        <v>Hendra Satria Pratama</v>
      </c>
      <c r="L61" s="147" t="str">
        <f>'BIO DATA'!AG36</f>
        <v>085784551253</v>
      </c>
      <c r="M61" s="30" t="str">
        <f>'BIO DATA'!AI36</f>
        <v>Ika Puspitasari</v>
      </c>
      <c r="N61" s="147" t="str">
        <f>'BIO DATA'!AN36</f>
        <v>083845690758</v>
      </c>
      <c r="O61" s="30" t="str">
        <f>'BIO DATA'!AE36</f>
        <v>TNI/Polri</v>
      </c>
      <c r="P61" s="30" t="str">
        <f>'BIO DATA'!AL36</f>
        <v>PNS</v>
      </c>
      <c r="Q61" s="134" t="s">
        <v>228</v>
      </c>
    </row>
    <row r="62" spans="2:19" s="35" customFormat="1" ht="25.5">
      <c r="B62" s="28">
        <v>6</v>
      </c>
      <c r="C62" s="29">
        <f>'BIO DATA'!C37</f>
        <v>12500</v>
      </c>
      <c r="D62" s="61" t="str">
        <f>'BIO DATA'!D37</f>
        <v>0141529403</v>
      </c>
      <c r="E62" s="30" t="str">
        <f>'BIO DATA'!E37</f>
        <v>Aryatama Febrian Danendra</v>
      </c>
      <c r="F62" s="31" t="str">
        <f>'BIO DATA'!Y37</f>
        <v>SD Muhammadiyah Parakan</v>
      </c>
      <c r="G62" s="71">
        <f>'BIO DATA'!I37</f>
        <v>2</v>
      </c>
      <c r="H62" s="30" t="str">
        <f>'BIO DATA'!M37</f>
        <v>Temanggung</v>
      </c>
      <c r="I62" s="136" t="str">
        <f>'BIO DATA'!P37</f>
        <v>4 Februari 2014</v>
      </c>
      <c r="J62" s="30" t="str">
        <f>'BIO DATA'!S37</f>
        <v>Sanggrahan 1/7 Mojotengah, Kedu, Temanggung Jawa Tengah</v>
      </c>
      <c r="K62" s="30" t="str">
        <f>'BIO DATA'!AB37</f>
        <v>Puguh Bagus Narimo</v>
      </c>
      <c r="L62" s="147" t="str">
        <f>'BIO DATA'!AG37</f>
        <v>08112541644</v>
      </c>
      <c r="M62" s="30" t="str">
        <f>'BIO DATA'!AI37</f>
        <v>Sri Utami</v>
      </c>
      <c r="N62" s="147" t="str">
        <f>'BIO DATA'!AN37</f>
        <v>082314901669</v>
      </c>
      <c r="O62" s="30" t="str">
        <f>'BIO DATA'!AE37</f>
        <v>Pegawai Swasta</v>
      </c>
      <c r="P62" s="150" t="str">
        <f>'BIO DATA'!AL37</f>
        <v>Pegawai Swasta</v>
      </c>
      <c r="Q62" s="134" t="s">
        <v>228</v>
      </c>
    </row>
    <row r="63" spans="2:19" s="35" customFormat="1" ht="38.25">
      <c r="B63" s="28">
        <v>7</v>
      </c>
      <c r="C63" s="29">
        <f>'BIO DATA'!C38</f>
        <v>12541</v>
      </c>
      <c r="D63" s="148" t="str">
        <f>'BIO DATA'!D38</f>
        <v>0145534375</v>
      </c>
      <c r="E63" s="30" t="str">
        <f>'BIO DATA'!E38</f>
        <v>Faiz Fadhlurrahman</v>
      </c>
      <c r="F63" s="31" t="str">
        <f>'BIO DATA'!Y38</f>
        <v>MI Muhammadiyah Sarirejo</v>
      </c>
      <c r="G63" s="135" t="s">
        <v>228</v>
      </c>
      <c r="H63" s="30" t="str">
        <f>'BIO DATA'!M38</f>
        <v>Kendal</v>
      </c>
      <c r="I63" s="136" t="str">
        <f>'BIO DATA'!P38</f>
        <v>8 Maret 2014</v>
      </c>
      <c r="J63" s="30" t="str">
        <f>'BIO DATA'!S38</f>
        <v>Balun RT 04 RW 02 Ds. Kumpulrejo Kec. Kaliwungu Kab. Kendal Jawa Tengah 51372</v>
      </c>
      <c r="K63" s="30" t="str">
        <f>'BIO DATA'!AB38</f>
        <v>Khaerul Anwar</v>
      </c>
      <c r="L63" s="147" t="str">
        <f>'BIO DATA'!AG38</f>
        <v>081568446117</v>
      </c>
      <c r="M63" s="30" t="str">
        <f>'BIO DATA'!AI38</f>
        <v>Darul Akhiroh</v>
      </c>
      <c r="N63" s="147" t="str">
        <f>'BIO DATA'!AN38</f>
        <v>085640202990</v>
      </c>
      <c r="O63" s="30" t="str">
        <f>'BIO DATA'!AE38</f>
        <v>Pegawai Swasta</v>
      </c>
      <c r="P63" s="30" t="str">
        <f>'BIO DATA'!AL38</f>
        <v>Wiraswasta</v>
      </c>
      <c r="Q63" s="134" t="s">
        <v>228</v>
      </c>
    </row>
    <row r="64" spans="2:19" s="35" customFormat="1" ht="38.25">
      <c r="B64" s="28">
        <v>8</v>
      </c>
      <c r="C64" s="29">
        <f>'BIO DATA'!C39</f>
        <v>12545</v>
      </c>
      <c r="D64" s="61" t="str">
        <f>'BIO DATA'!D39</f>
        <v>0131096085</v>
      </c>
      <c r="E64" s="30" t="str">
        <f>'BIO DATA'!E39</f>
        <v>Faqih Keyaanurasyid</v>
      </c>
      <c r="F64" s="31" t="str">
        <f>'BIO DATA'!Y39</f>
        <v>SD IT Qurani Adh-Dhuhaa Pangkal Pinang</v>
      </c>
      <c r="G64" s="71">
        <f>'BIO DATA'!I39</f>
        <v>2</v>
      </c>
      <c r="H64" s="30" t="str">
        <f>'BIO DATA'!M39</f>
        <v>Pangkal Pinang</v>
      </c>
      <c r="I64" s="136" t="str">
        <f>'BIO DATA'!P39</f>
        <v>29 Desember 2013</v>
      </c>
      <c r="J64" s="30" t="str">
        <f>'BIO DATA'!S39</f>
        <v>Perumahan Pengadilan No 02 RT 5 Selindung Baru Gabek Pangkal Pinang Bangka Belitung</v>
      </c>
      <c r="K64" s="30" t="str">
        <f>'BIO DATA'!AB39</f>
        <v>Dedek Agus Kurniawan</v>
      </c>
      <c r="L64" s="147" t="str">
        <f>'BIO DATA'!AG39</f>
        <v>082176450731</v>
      </c>
      <c r="M64" s="30" t="str">
        <f>'BIO DATA'!AI39</f>
        <v>Nofa Yasibel FN</v>
      </c>
      <c r="N64" s="147" t="str">
        <f>'BIO DATA'!AN39</f>
        <v>081279356726</v>
      </c>
      <c r="O64" s="30" t="str">
        <f>'BIO DATA'!AE39</f>
        <v>PNS</v>
      </c>
      <c r="P64" s="30" t="str">
        <f>'BIO DATA'!AL39</f>
        <v>PNS</v>
      </c>
      <c r="Q64" s="134" t="s">
        <v>228</v>
      </c>
    </row>
    <row r="65" spans="2:19" s="35" customFormat="1" ht="25.5">
      <c r="B65" s="28">
        <v>9</v>
      </c>
      <c r="C65" s="29">
        <f>'BIO DATA'!C40</f>
        <v>12550</v>
      </c>
      <c r="D65" s="148">
        <f>'BIO DATA'!D40</f>
        <v>3140110625</v>
      </c>
      <c r="E65" s="30" t="str">
        <f>'BIO DATA'!E40</f>
        <v>Fauzan Nur Hidayat</v>
      </c>
      <c r="F65" s="31" t="str">
        <f>'BIO DATA'!Y40</f>
        <v>SDI Mutiara</v>
      </c>
      <c r="G65" s="71">
        <f>'BIO DATA'!I40</f>
        <v>3</v>
      </c>
      <c r="H65" s="30" t="str">
        <f>'BIO DATA'!M40</f>
        <v>Mangupura</v>
      </c>
      <c r="I65" s="136" t="str">
        <f>'BIO DATA'!P40</f>
        <v>15 Februari 2014</v>
      </c>
      <c r="J65" s="30" t="str">
        <f>'BIO DATA'!S40</f>
        <v>Perum. Puri Kampial Benoa Kuta Selatan Badung Bali</v>
      </c>
      <c r="K65" s="30" t="str">
        <f>'BIO DATA'!AB40</f>
        <v>Wahyu Hidayat</v>
      </c>
      <c r="L65" s="147" t="str">
        <f>'BIO DATA'!AG40</f>
        <v>081933019764</v>
      </c>
      <c r="M65" s="30" t="str">
        <f>'BIO DATA'!AI40</f>
        <v>Kristin Andriani</v>
      </c>
      <c r="N65" s="147" t="str">
        <f>'BIO DATA'!AN40</f>
        <v>081936292006</v>
      </c>
      <c r="O65" s="30" t="str">
        <f>'BIO DATA'!AE40</f>
        <v>Wiraswasta</v>
      </c>
      <c r="P65" s="30" t="str">
        <f>'BIO DATA'!AL40</f>
        <v>Tidak Bekerja</v>
      </c>
      <c r="Q65" s="183">
        <f>'BIO DATA'!H40</f>
        <v>0</v>
      </c>
    </row>
    <row r="66" spans="2:19" s="35" customFormat="1" ht="38.25">
      <c r="B66" s="28">
        <v>10</v>
      </c>
      <c r="C66" s="29">
        <f>'BIO DATA'!C41</f>
        <v>12552</v>
      </c>
      <c r="D66" s="61" t="str">
        <f>'BIO DATA'!D41</f>
        <v>0138664148</v>
      </c>
      <c r="E66" s="30" t="str">
        <f>'BIO DATA'!E41</f>
        <v>Fazila Akbar Ikhlas</v>
      </c>
      <c r="F66" s="31" t="str">
        <f>'BIO DATA'!Y41</f>
        <v>SD Muhammadiyah 30 Poris Jaya</v>
      </c>
      <c r="G66" s="71">
        <f>'BIO DATA'!I41</f>
        <v>2</v>
      </c>
      <c r="H66" s="30" t="str">
        <f>'BIO DATA'!M41</f>
        <v>Tangerang</v>
      </c>
      <c r="I66" s="136" t="str">
        <f>'BIO DATA'!P41</f>
        <v>25 Agustus 2013</v>
      </c>
      <c r="J66" s="30" t="str">
        <f>'BIO DATA'!S41</f>
        <v>Cluster MPR NO. 79 RT 01 RW 01, Kel. Cipondoh, Kec. Cipondoh, Kota Tangerang, Banten</v>
      </c>
      <c r="K66" s="30" t="str">
        <f>'BIO DATA'!AB41</f>
        <v>Zaitul Ikhlas, S.T.</v>
      </c>
      <c r="L66" s="147" t="str">
        <f>'BIO DATA'!AG41</f>
        <v>081323290948</v>
      </c>
      <c r="M66" s="30" t="str">
        <f>'BIO DATA'!AI41</f>
        <v>Retno Harjanti, S.Pd.</v>
      </c>
      <c r="N66" s="147" t="str">
        <f>'BIO DATA'!AN41</f>
        <v>085124400510</v>
      </c>
      <c r="O66" s="30" t="str">
        <f>'BIO DATA'!AE41</f>
        <v>Wiraswasta</v>
      </c>
      <c r="P66" s="30" t="str">
        <f>'BIO DATA'!AL41</f>
        <v>PNS</v>
      </c>
      <c r="Q66" s="134" t="s">
        <v>228</v>
      </c>
    </row>
    <row r="67" spans="2:19" s="35" customFormat="1" ht="43.5" customHeight="1">
      <c r="B67" s="28">
        <v>11</v>
      </c>
      <c r="C67" s="29">
        <f>'BIO DATA'!C42</f>
        <v>12554</v>
      </c>
      <c r="D67" s="61" t="str">
        <f>'BIO DATA'!D42</f>
        <v>0132988146</v>
      </c>
      <c r="E67" s="30" t="str">
        <f>'BIO DATA'!E42</f>
        <v>Firnas Alfariel</v>
      </c>
      <c r="F67" s="31" t="str">
        <f>'BIO DATA'!Y42</f>
        <v>SD Muhammadiyah Kajen Kab. Pekalongan</v>
      </c>
      <c r="G67" s="71">
        <f>'BIO DATA'!I42</f>
        <v>1</v>
      </c>
      <c r="H67" s="30" t="str">
        <f>'BIO DATA'!M42</f>
        <v>Pekalongan</v>
      </c>
      <c r="I67" s="136" t="str">
        <f>'BIO DATA'!P42</f>
        <v>8 Desember 2013</v>
      </c>
      <c r="J67" s="30" t="str">
        <f>'BIO DATA'!S42</f>
        <v>Desa Legokkalong RT. 001/RW.004 Kecamatan Karanganyar (51182), Kabupaten Pekalongan, Jawa Tengah</v>
      </c>
      <c r="K67" s="30" t="str">
        <f>'BIO DATA'!AB42</f>
        <v>Andriva Vintri Asmoro</v>
      </c>
      <c r="L67" s="147" t="str">
        <f>'BIO DATA'!AG42</f>
        <v>08156916863</v>
      </c>
      <c r="M67" s="30" t="str">
        <f>'BIO DATA'!AI42</f>
        <v>Syafa'atun</v>
      </c>
      <c r="N67" s="147" t="str">
        <f>'BIO DATA'!AN42</f>
        <v>085842051572</v>
      </c>
      <c r="O67" s="30" t="str">
        <f>'BIO DATA'!AE42</f>
        <v>Guru</v>
      </c>
      <c r="P67" s="30" t="str">
        <f>'BIO DATA'!AL42</f>
        <v>Guru</v>
      </c>
      <c r="Q67" s="134" t="s">
        <v>228</v>
      </c>
    </row>
    <row r="68" spans="2:19" s="35" customFormat="1" ht="42.75" customHeight="1">
      <c r="B68" s="28">
        <v>12</v>
      </c>
      <c r="C68" s="29">
        <f>'BIO DATA'!C43</f>
        <v>12561</v>
      </c>
      <c r="D68" s="61" t="str">
        <f>'BIO DATA'!D43</f>
        <v>0131427276</v>
      </c>
      <c r="E68" s="30" t="str">
        <f>'BIO DATA'!E43</f>
        <v>Hafizh Nizar Prasetya</v>
      </c>
      <c r="F68" s="31" t="str">
        <f>'BIO DATA'!Y43</f>
        <v>SD Muhammadiyah Banguntapan</v>
      </c>
      <c r="G68" s="185" t="s">
        <v>228</v>
      </c>
      <c r="H68" s="30" t="str">
        <f>'BIO DATA'!M43</f>
        <v>Bantul</v>
      </c>
      <c r="I68" s="136" t="str">
        <f>'BIO DATA'!P43</f>
        <v>8 Maret 2013</v>
      </c>
      <c r="J68" s="30" t="str">
        <f>'BIO DATA'!S43</f>
        <v>Gg.Sembrani 2 No 370 Jaranan RT 10 RW 41 Banguntapan Bantul DIY</v>
      </c>
      <c r="K68" s="30" t="str">
        <f>'BIO DATA'!AB43</f>
        <v>Juni Sudarwanto</v>
      </c>
      <c r="L68" s="147" t="str">
        <f>'BIO DATA'!AG43</f>
        <v>087767637148</v>
      </c>
      <c r="M68" s="30" t="str">
        <f>'BIO DATA'!AI43</f>
        <v>Annisa astriani</v>
      </c>
      <c r="N68" s="147" t="str">
        <f>'BIO DATA'!AN43</f>
        <v>085877334484</v>
      </c>
      <c r="O68" s="30" t="str">
        <f>'BIO DATA'!AE43</f>
        <v>Wiraswasta</v>
      </c>
      <c r="P68" s="30" t="str">
        <f>'BIO DATA'!AL43</f>
        <v>Ibu Rumah Tangga</v>
      </c>
      <c r="Q68" s="134" t="s">
        <v>228</v>
      </c>
    </row>
    <row r="69" spans="2:19" s="35" customFormat="1" ht="38.25" customHeight="1">
      <c r="B69" s="28">
        <v>13</v>
      </c>
      <c r="C69" s="29">
        <f>'BIO DATA'!C44</f>
        <v>12572</v>
      </c>
      <c r="D69" s="61" t="str">
        <f>'BIO DATA'!D44</f>
        <v>0133460461</v>
      </c>
      <c r="E69" s="30" t="str">
        <f>'BIO DATA'!E44</f>
        <v>Ibrahim Al Azzam</v>
      </c>
      <c r="F69" s="31" t="str">
        <f>'BIO DATA'!Y44</f>
        <v>SD Muhammadiyah Program Khusus Ampel Boyolali</v>
      </c>
      <c r="G69" s="71">
        <f>'BIO DATA'!I44</f>
        <v>1</v>
      </c>
      <c r="H69" s="30" t="str">
        <f>'BIO DATA'!M44</f>
        <v>Boyolali</v>
      </c>
      <c r="I69" s="136" t="str">
        <f>'BIO DATA'!P44</f>
        <v>20 November 2013</v>
      </c>
      <c r="J69" s="30" t="str">
        <f>'BIO DATA'!S44</f>
        <v>Dukuh Prigen, RT/RW: 04/07, Kaligentong, Gladagsari, Boyolali, Jawa Tengah</v>
      </c>
      <c r="K69" s="30" t="str">
        <f>'BIO DATA'!AB44</f>
        <v>Sudarsono</v>
      </c>
      <c r="L69" s="147" t="str">
        <f>'BIO DATA'!AG44</f>
        <v>081329107966</v>
      </c>
      <c r="M69" s="30" t="str">
        <f>'BIO DATA'!AI44</f>
        <v>Ratih Dwi Pamungkas</v>
      </c>
      <c r="N69" s="147" t="str">
        <f>'BIO DATA'!AN44</f>
        <v>081325333227</v>
      </c>
      <c r="O69" s="30" t="str">
        <f>'BIO DATA'!AE44</f>
        <v>Karyawan Swasta</v>
      </c>
      <c r="P69" s="30" t="str">
        <f>'BIO DATA'!AL44</f>
        <v>Ibu Rumah Tangga</v>
      </c>
      <c r="Q69" s="134" t="s">
        <v>228</v>
      </c>
    </row>
    <row r="70" spans="2:19" s="35" customFormat="1" ht="37.5" customHeight="1">
      <c r="B70" s="28">
        <v>14</v>
      </c>
      <c r="C70" s="29">
        <f>'BIO DATA'!C45</f>
        <v>12577</v>
      </c>
      <c r="D70" s="148" t="str">
        <f>'BIO DATA'!D45</f>
        <v>0138375740</v>
      </c>
      <c r="E70" s="30" t="str">
        <f>'BIO DATA'!E45</f>
        <v>Ilian Badranaya El Qurafi</v>
      </c>
      <c r="F70" s="31" t="str">
        <f>'BIO DATA'!Y45</f>
        <v>SD Mhammadiyah Kajen</v>
      </c>
      <c r="G70" s="71">
        <f>'BIO DATA'!I45</f>
        <v>2</v>
      </c>
      <c r="H70" s="30" t="str">
        <f>'BIO DATA'!M45</f>
        <v>Pekalongan</v>
      </c>
      <c r="I70" s="136" t="str">
        <f>'BIO DATA'!P45</f>
        <v>20 September 2013</v>
      </c>
      <c r="J70" s="30" t="str">
        <f>'BIO DATA'!S45</f>
        <v>Dk. Kelinggihan Perum GPI Tanjungsari Blok E2 No 1 Banjarejo Karanganyar Pekalongan Jawa Tengah</v>
      </c>
      <c r="K70" s="30" t="str">
        <f>'BIO DATA'!AB45</f>
        <v>Irwan Susanto</v>
      </c>
      <c r="L70" s="147" t="str">
        <f>'BIO DATA'!AG45</f>
        <v>081271612016</v>
      </c>
      <c r="M70" s="30" t="str">
        <f>'BIO DATA'!AI45</f>
        <v>Dwi Yuliana</v>
      </c>
      <c r="N70" s="147" t="str">
        <f>'BIO DATA'!AN45</f>
        <v>08157727540</v>
      </c>
      <c r="O70" s="30" t="str">
        <f>'BIO DATA'!AE45</f>
        <v>PNS</v>
      </c>
      <c r="P70" s="30" t="str">
        <f>'BIO DATA'!AL45</f>
        <v>PNS</v>
      </c>
      <c r="Q70" s="134" t="s">
        <v>228</v>
      </c>
    </row>
    <row r="71" spans="2:19" s="35" customFormat="1" ht="38.25">
      <c r="B71" s="28">
        <v>15</v>
      </c>
      <c r="C71" s="29">
        <f>'BIO DATA'!C46</f>
        <v>12588</v>
      </c>
      <c r="D71" s="148" t="str">
        <f>'BIO DATA'!D46</f>
        <v>0143449422</v>
      </c>
      <c r="E71" s="30" t="str">
        <f>'BIO DATA'!E46</f>
        <v>Kenzo Zafran Al Abiyyu</v>
      </c>
      <c r="F71" s="31" t="str">
        <f>'BIO DATA'!Y46</f>
        <v>SD Muhammadiyah Sudagaran Wonosobo</v>
      </c>
      <c r="G71" s="71">
        <f>'BIO DATA'!I46</f>
        <v>1</v>
      </c>
      <c r="H71" s="30" t="str">
        <f>'BIO DATA'!M46</f>
        <v>Wonosobo</v>
      </c>
      <c r="I71" s="136" t="str">
        <f>'BIO DATA'!P46</f>
        <v>26 Januari 2014</v>
      </c>
      <c r="J71" s="30" t="str">
        <f>'BIO DATA'!S46</f>
        <v>Jambusari RT002 RW007 Kertek, Kecamatan Kertek, Kabupten Wonosobo Jawa Tengah</v>
      </c>
      <c r="K71" s="30" t="str">
        <f>'BIO DATA'!AB46</f>
        <v>Didik Agus Setiawan, S.T.</v>
      </c>
      <c r="L71" s="147" t="str">
        <f>'BIO DATA'!AG46</f>
        <v>081326031773</v>
      </c>
      <c r="M71" s="30" t="str">
        <f>'BIO DATA'!AI46</f>
        <v>Heni Ika Pratiwi, S.Pd</v>
      </c>
      <c r="N71" s="147" t="str">
        <f>'BIO DATA'!AN46</f>
        <v>081283131455</v>
      </c>
      <c r="O71" s="30" t="str">
        <f>'BIO DATA'!AE46</f>
        <v>Wiraswasta</v>
      </c>
      <c r="P71" s="30" t="str">
        <f>'BIO DATA'!AL46</f>
        <v>Guru</v>
      </c>
      <c r="Q71" s="134" t="s">
        <v>228</v>
      </c>
    </row>
    <row r="72" spans="2:19" s="35" customFormat="1" ht="25.5">
      <c r="B72" s="28">
        <v>16</v>
      </c>
      <c r="C72" s="29">
        <f>'BIO DATA'!C47</f>
        <v>12593</v>
      </c>
      <c r="D72" s="61" t="str">
        <f>'BIO DATA'!D47</f>
        <v>0148544577</v>
      </c>
      <c r="E72" s="30" t="str">
        <f>'BIO DATA'!E47</f>
        <v>Lintang Mahardika</v>
      </c>
      <c r="F72" s="31" t="str">
        <f>'BIO DATA'!Y47</f>
        <v>SDIT Ummu'l Quro Depok</v>
      </c>
      <c r="G72" s="71">
        <f>'BIO DATA'!I47</f>
        <v>2</v>
      </c>
      <c r="H72" s="30" t="str">
        <f>'BIO DATA'!M47</f>
        <v>Jakarta</v>
      </c>
      <c r="I72" s="136" t="str">
        <f>'BIO DATA'!P47</f>
        <v>17 Juni 2014</v>
      </c>
      <c r="J72" s="30" t="str">
        <f>'BIO DATA'!S47</f>
        <v>The Orchid Regency No D5, Kukusan, Beji, Depok, Jawa Barat</v>
      </c>
      <c r="K72" s="30" t="str">
        <f>'BIO DATA'!AB47</f>
        <v>Wahyu Wening Priyambodo</v>
      </c>
      <c r="L72" s="147" t="str">
        <f>'BIO DATA'!AG47</f>
        <v>08129556343</v>
      </c>
      <c r="M72" s="30" t="str">
        <f>'BIO DATA'!AI47</f>
        <v>Lisa Maulida</v>
      </c>
      <c r="N72" s="147" t="str">
        <f>'BIO DATA'!AN47</f>
        <v>08128710035</v>
      </c>
      <c r="O72" s="30" t="str">
        <f>'BIO DATA'!AE47</f>
        <v>Karyawan Swasta</v>
      </c>
      <c r="P72" s="30" t="str">
        <f>'BIO DATA'!AL47</f>
        <v>Dokter</v>
      </c>
      <c r="Q72" s="134" t="s">
        <v>228</v>
      </c>
    </row>
    <row r="73" spans="2:19" s="35" customFormat="1" ht="38.25">
      <c r="B73" s="28">
        <v>17</v>
      </c>
      <c r="C73" s="29">
        <f>'BIO DATA'!C48</f>
        <v>12617</v>
      </c>
      <c r="D73" s="148" t="str">
        <f>'BIO DATA'!D48</f>
        <v>0145138271</v>
      </c>
      <c r="E73" s="30" t="str">
        <f>'BIO DATA'!E48</f>
        <v>Muhammad Alkhali Dzikri</v>
      </c>
      <c r="F73" s="31" t="str">
        <f>'BIO DATA'!Y48</f>
        <v>SD Muhammadiyah 2 Denpasar</v>
      </c>
      <c r="G73" s="71">
        <f>'BIO DATA'!I48</f>
        <v>1</v>
      </c>
      <c r="H73" s="30" t="str">
        <f>'BIO DATA'!M48</f>
        <v>Denpasar</v>
      </c>
      <c r="I73" s="136" t="str">
        <f>'BIO DATA'!P48</f>
        <v>21 Januari 2014</v>
      </c>
      <c r="J73" s="30" t="str">
        <f>'BIO DATA'!S48</f>
        <v>Jl. Buana Raya Gg. Artha Buana No.3 Padangsambian Denpasar Barat Kota Denpasar Bali 80119</v>
      </c>
      <c r="K73" s="30" t="str">
        <f>'BIO DATA'!AB48</f>
        <v>Hidayatu Taufiq</v>
      </c>
      <c r="L73" s="147" t="str">
        <f>'BIO DATA'!AG48</f>
        <v>081380310605</v>
      </c>
      <c r="M73" s="30" t="str">
        <f>'BIO DATA'!AI48</f>
        <v>Iftitah Hanif Nur Iman</v>
      </c>
      <c r="N73" s="147" t="str">
        <f>'BIO DATA'!AN48</f>
        <v>081353399606</v>
      </c>
      <c r="O73" s="30" t="str">
        <f>'BIO DATA'!AE48</f>
        <v>Wiraswasta</v>
      </c>
      <c r="P73" s="30" t="str">
        <f>'BIO DATA'!AL48</f>
        <v>Guru</v>
      </c>
      <c r="Q73" s="134" t="s">
        <v>228</v>
      </c>
    </row>
    <row r="74" spans="2:19" s="35" customFormat="1" ht="40.5" customHeight="1">
      <c r="B74" s="28">
        <v>18</v>
      </c>
      <c r="C74" s="29">
        <f>'BIO DATA'!C49</f>
        <v>12624</v>
      </c>
      <c r="D74" s="61" t="str">
        <f>'BIO DATA'!D49</f>
        <v>0149673486</v>
      </c>
      <c r="E74" s="30" t="str">
        <f>'BIO DATA'!E49</f>
        <v>Muhammad Azzam Al Fatih</v>
      </c>
      <c r="F74" s="31" t="str">
        <f>'BIO DATA'!Y49</f>
        <v>SD PUSRI Palembang</v>
      </c>
      <c r="G74" s="71">
        <f>'BIO DATA'!I49</f>
        <v>2</v>
      </c>
      <c r="H74" s="30" t="str">
        <f>'BIO DATA'!M49</f>
        <v>Palembang</v>
      </c>
      <c r="I74" s="136" t="str">
        <f>'BIO DATA'!P49</f>
        <v>18 Mei 2014</v>
      </c>
      <c r="J74" s="30" t="str">
        <f>'BIO DATA'!S49</f>
        <v>Jl.Mayor Zen lr.Abadi no 28a RT.03/RW.02  Sungaiselincah Kalidoni Kota Palembang Sumatera Selatan</v>
      </c>
      <c r="K74" s="30" t="str">
        <f>'BIO DATA'!AB49</f>
        <v>Budi Yuliardi</v>
      </c>
      <c r="L74" s="147" t="str">
        <f>'BIO DATA'!AG49</f>
        <v>081271519478</v>
      </c>
      <c r="M74" s="30" t="str">
        <f>'BIO DATA'!AI49</f>
        <v>Ninik Nurjanah</v>
      </c>
      <c r="N74" s="147" t="str">
        <f>'BIO DATA'!AN49</f>
        <v>081374167197</v>
      </c>
      <c r="O74" s="30" t="str">
        <f>'BIO DATA'!AE49</f>
        <v>Karyawan Swasta</v>
      </c>
      <c r="P74" s="30" t="str">
        <f>'BIO DATA'!AL49</f>
        <v>Karyawan BUMN</v>
      </c>
      <c r="Q74" s="134" t="s">
        <v>228</v>
      </c>
    </row>
    <row r="75" spans="2:19" s="35" customFormat="1" ht="38.25">
      <c r="B75" s="28">
        <v>19</v>
      </c>
      <c r="C75" s="29">
        <f>'BIO DATA'!C50</f>
        <v>12629</v>
      </c>
      <c r="D75" s="61" t="str">
        <f>'BIO DATA'!D50</f>
        <v>0138615660</v>
      </c>
      <c r="E75" s="30" t="str">
        <f>'BIO DATA'!E50</f>
        <v>Muhammad Elvin Ishahda</v>
      </c>
      <c r="F75" s="31" t="str">
        <f>'BIO DATA'!Y50</f>
        <v>SD Muhammadiyah 1 Tenggarong</v>
      </c>
      <c r="G75" s="185" t="s">
        <v>228</v>
      </c>
      <c r="H75" s="30" t="str">
        <f>'BIO DATA'!M50</f>
        <v>Tenggarong</v>
      </c>
      <c r="I75" s="136" t="str">
        <f>'BIO DATA'!P50</f>
        <v>5 Mei 2013</v>
      </c>
      <c r="J75" s="30" t="str">
        <f>'BIO DATA'!S50</f>
        <v>Jl. Danau Aji No.24 RT.11 Kel. Melayu, Kec. Tenggarong, Kutai Kartanegara, Kalimantan Timur</v>
      </c>
      <c r="K75" s="30" t="str">
        <f>'BIO DATA'!AB50</f>
        <v>Isnoviwan Tatar, A.Md.</v>
      </c>
      <c r="L75" s="147" t="str">
        <f>'BIO DATA'!AG50</f>
        <v>081346657772</v>
      </c>
      <c r="M75" s="30" t="str">
        <f>'BIO DATA'!AI50</f>
        <v>Ellya Tika Musdalifah, S.Pd.</v>
      </c>
      <c r="N75" s="147" t="str">
        <f>'BIO DATA'!AN50</f>
        <v>085250001700</v>
      </c>
      <c r="O75" s="30" t="str">
        <f>'BIO DATA'!AE50</f>
        <v>Karyawan Swasta</v>
      </c>
      <c r="P75" s="30" t="str">
        <f>'BIO DATA'!AL50</f>
        <v>Karyawan Swasta</v>
      </c>
      <c r="Q75" s="134" t="s">
        <v>228</v>
      </c>
    </row>
    <row r="76" spans="2:19" s="23" customFormat="1" ht="18.75">
      <c r="B76" s="59"/>
      <c r="C76" s="59"/>
      <c r="D76" s="59"/>
      <c r="E76" s="59"/>
      <c r="F76" s="59"/>
      <c r="G76" s="67"/>
      <c r="H76" s="59"/>
      <c r="I76" s="59"/>
      <c r="J76" s="59"/>
      <c r="K76" s="59"/>
      <c r="L76" s="59"/>
      <c r="M76" s="59" t="s">
        <v>200</v>
      </c>
      <c r="N76" s="59"/>
      <c r="O76" s="59"/>
      <c r="P76" s="59"/>
      <c r="Q76" s="59"/>
    </row>
    <row r="77" spans="2:19" s="26" customFormat="1" ht="15.75" customHeight="1">
      <c r="B77" s="414" t="s">
        <v>0</v>
      </c>
      <c r="C77" s="415" t="s">
        <v>147</v>
      </c>
      <c r="D77" s="416" t="s">
        <v>2</v>
      </c>
      <c r="E77" s="414" t="s">
        <v>3</v>
      </c>
      <c r="F77" s="414" t="s">
        <v>8</v>
      </c>
      <c r="G77" s="414" t="s">
        <v>148</v>
      </c>
      <c r="H77" s="414" t="s">
        <v>149</v>
      </c>
      <c r="I77" s="414"/>
      <c r="J77" s="414" t="s">
        <v>6</v>
      </c>
      <c r="K77" s="417" t="s">
        <v>150</v>
      </c>
      <c r="L77" s="417"/>
      <c r="M77" s="417"/>
      <c r="N77" s="417"/>
      <c r="O77" s="414" t="s">
        <v>151</v>
      </c>
      <c r="P77" s="414"/>
      <c r="Q77" s="414" t="s">
        <v>174</v>
      </c>
    </row>
    <row r="78" spans="2:19" s="26" customFormat="1" ht="15.75" customHeight="1">
      <c r="B78" s="414"/>
      <c r="C78" s="415"/>
      <c r="D78" s="416"/>
      <c r="E78" s="414"/>
      <c r="F78" s="414"/>
      <c r="G78" s="414"/>
      <c r="H78" s="388" t="s">
        <v>153</v>
      </c>
      <c r="I78" s="388" t="s">
        <v>154</v>
      </c>
      <c r="J78" s="414"/>
      <c r="K78" s="388" t="s">
        <v>155</v>
      </c>
      <c r="L78" s="389" t="s">
        <v>155</v>
      </c>
      <c r="M78" s="388" t="s">
        <v>156</v>
      </c>
      <c r="N78" s="389" t="s">
        <v>157</v>
      </c>
      <c r="O78" s="388" t="s">
        <v>158</v>
      </c>
      <c r="P78" s="388" t="s">
        <v>159</v>
      </c>
      <c r="Q78" s="414"/>
      <c r="R78" s="27"/>
      <c r="S78" s="27"/>
    </row>
    <row r="79" spans="2:19" s="35" customFormat="1" ht="39.75" customHeight="1">
      <c r="B79" s="28">
        <v>20</v>
      </c>
      <c r="C79" s="29">
        <f>'BIO DATA'!C51</f>
        <v>12633</v>
      </c>
      <c r="D79" s="61" t="str">
        <f>'BIO DATA'!D51</f>
        <v>0144272200</v>
      </c>
      <c r="E79" s="30" t="str">
        <f>'BIO DATA'!E51</f>
        <v>Muhammad Farrel Anhar</v>
      </c>
      <c r="F79" s="31" t="str">
        <f>'BIO DATA'!Y51</f>
        <v>MIM Kauman Wiradesa Pekalongan</v>
      </c>
      <c r="G79" s="71">
        <f>'BIO DATA'!I51</f>
        <v>3</v>
      </c>
      <c r="H79" s="30" t="str">
        <f>'BIO DATA'!M51</f>
        <v>Pekalongan</v>
      </c>
      <c r="I79" s="136" t="str">
        <f>'BIO DATA'!P51</f>
        <v>22 Juni 2014</v>
      </c>
      <c r="J79" s="30" t="str">
        <f>'BIO DATA'!S51</f>
        <v>Ds. Petukangan RT.3 RW.1 Wiradesa Pekalongan Jawa Tengah</v>
      </c>
      <c r="K79" s="30" t="str">
        <f>'BIO DATA'!AB51</f>
        <v>M. Fatkhul Huda</v>
      </c>
      <c r="L79" s="147" t="str">
        <f>'BIO DATA'!AG51</f>
        <v>081225744693</v>
      </c>
      <c r="M79" s="30" t="str">
        <f>'BIO DATA'!AI51</f>
        <v>Chumaeroh</v>
      </c>
      <c r="N79" s="147" t="str">
        <f>'BIO DATA'!AN51</f>
        <v>085848888981</v>
      </c>
      <c r="O79" s="30" t="str">
        <f>'BIO DATA'!AE51</f>
        <v>Wiraswasta</v>
      </c>
      <c r="P79" s="150" t="str">
        <f>'BIO DATA'!AL51</f>
        <v>Ibu Rumah Tangga</v>
      </c>
      <c r="Q79" s="134" t="s">
        <v>228</v>
      </c>
    </row>
    <row r="80" spans="2:19" s="35" customFormat="1" ht="51">
      <c r="B80" s="28">
        <v>21</v>
      </c>
      <c r="C80" s="29">
        <f>'BIO DATA'!C52</f>
        <v>12634</v>
      </c>
      <c r="D80" s="148" t="str">
        <f>'BIO DATA'!D52</f>
        <v>0139767742</v>
      </c>
      <c r="E80" s="30" t="str">
        <f>'BIO DATA'!E52</f>
        <v>Muhammad Fatih El Ezza</v>
      </c>
      <c r="F80" s="31" t="str">
        <f>'BIO DATA'!Y52</f>
        <v>SDS Muhammadiyah 49 Jakarta</v>
      </c>
      <c r="G80" s="71">
        <f>'BIO DATA'!I52</f>
        <v>2</v>
      </c>
      <c r="H80" s="30" t="str">
        <f>'BIO DATA'!M52</f>
        <v>Jakarta</v>
      </c>
      <c r="I80" s="136" t="str">
        <f>'BIO DATA'!P52</f>
        <v>5 September 2013</v>
      </c>
      <c r="J80" s="30" t="str">
        <f>'BIO DATA'!S52</f>
        <v>Bendungan Jago, No. 36 RT 005 RW 001, Kel Serdang, Kec Kemayoran, Jakarta Pusat DKI Jakarta 10650</v>
      </c>
      <c r="K80" s="30" t="str">
        <f>'BIO DATA'!AB52</f>
        <v>H. Akbar Kurniawan, Lc.</v>
      </c>
      <c r="L80" s="147" t="str">
        <f>'BIO DATA'!AG52</f>
        <v>087788104691</v>
      </c>
      <c r="M80" s="30" t="str">
        <f>'BIO DATA'!AI52</f>
        <v>Fajar Khotimah</v>
      </c>
      <c r="N80" s="147" t="str">
        <f>'BIO DATA'!AN52</f>
        <v>087788842994</v>
      </c>
      <c r="O80" s="30" t="str">
        <f>'BIO DATA'!AE52</f>
        <v>Karyawan Swasta</v>
      </c>
      <c r="P80" s="30" t="str">
        <f>'BIO DATA'!AL52</f>
        <v>Guru/Dosen</v>
      </c>
      <c r="Q80" s="183">
        <f>'BIO DATA'!H52</f>
        <v>0</v>
      </c>
    </row>
    <row r="81" spans="2:17" s="35" customFormat="1" ht="37.5" customHeight="1">
      <c r="B81" s="28">
        <v>22</v>
      </c>
      <c r="C81" s="29">
        <f>'BIO DATA'!C53</f>
        <v>12635</v>
      </c>
      <c r="D81" s="61" t="str">
        <f>'BIO DATA'!D53</f>
        <v>0145570812</v>
      </c>
      <c r="E81" s="30" t="str">
        <f>'BIO DATA'!E53</f>
        <v>Muhammad Ghozi Al Faruqi</v>
      </c>
      <c r="F81" s="31" t="str">
        <f>'BIO DATA'!Y53</f>
        <v>MI Muhammadiyah</v>
      </c>
      <c r="G81" s="71">
        <f>'BIO DATA'!I53</f>
        <v>2</v>
      </c>
      <c r="H81" s="30" t="str">
        <f>'BIO DATA'!M53</f>
        <v>Banjarnegara</v>
      </c>
      <c r="I81" s="136" t="str">
        <f>'BIO DATA'!P53</f>
        <v>6 Januari 2014</v>
      </c>
      <c r="J81" s="30" t="str">
        <f>'BIO DATA'!S53</f>
        <v>Wanayasa RT 1 RW 1 Wanayasa Banjarnegara Jawa Tengah</v>
      </c>
      <c r="K81" s="30" t="str">
        <f>'BIO DATA'!AB53</f>
        <v>Muhammad Irfan</v>
      </c>
      <c r="L81" s="147" t="str">
        <f>'BIO DATA'!AG53</f>
        <v>085227972611</v>
      </c>
      <c r="M81" s="30" t="str">
        <f>'BIO DATA'!AI53</f>
        <v>Nurma Yunita</v>
      </c>
      <c r="N81" s="147" t="str">
        <f>'BIO DATA'!AN53</f>
        <v>08112610461</v>
      </c>
      <c r="O81" s="30" t="str">
        <f>'BIO DATA'!AE53</f>
        <v>Karyawan Swasta</v>
      </c>
      <c r="P81" s="30" t="str">
        <f>'BIO DATA'!AL53</f>
        <v>PNS</v>
      </c>
      <c r="Q81" s="183">
        <f>'BIO DATA'!H53</f>
        <v>0</v>
      </c>
    </row>
    <row r="82" spans="2:17" s="35" customFormat="1" ht="37.5" customHeight="1">
      <c r="B82" s="28">
        <v>23</v>
      </c>
      <c r="C82" s="29">
        <f>'BIO DATA'!C54</f>
        <v>12669</v>
      </c>
      <c r="D82" s="148" t="str">
        <f>'BIO DATA'!D54</f>
        <v>0132361160</v>
      </c>
      <c r="E82" s="30" t="str">
        <f>'BIO DATA'!E54</f>
        <v>Naufal Afkar</v>
      </c>
      <c r="F82" s="31" t="str">
        <f>'BIO DATA'!Y54</f>
        <v>SD Hidayatullah Kendari</v>
      </c>
      <c r="G82" s="71">
        <f>'BIO DATA'!I54</f>
        <v>1</v>
      </c>
      <c r="H82" s="30" t="str">
        <f>'BIO DATA'!M54</f>
        <v>Kendari</v>
      </c>
      <c r="I82" s="136" t="str">
        <f>'BIO DATA'!P54</f>
        <v>15 November 2013</v>
      </c>
      <c r="J82" s="30" t="str">
        <f>'BIO DATA'!S54</f>
        <v>BTN. Zarindah Kendari Blok E.3 RT 031 RW 010 Baruga Baruga Kota Kendari Sulawesi Tenggara 93116</v>
      </c>
      <c r="K82" s="30" t="str">
        <f>'BIO DATA'!AB54</f>
        <v>Abdul Hamid, S.Pd., MM</v>
      </c>
      <c r="L82" s="147" t="str">
        <f>'BIO DATA'!AG54</f>
        <v>085241564341</v>
      </c>
      <c r="M82" s="30" t="str">
        <f>'BIO DATA'!AI54</f>
        <v>Mirnayasa Lanasu, S.Pd.</v>
      </c>
      <c r="N82" s="147" t="str">
        <f>'BIO DATA'!AN54</f>
        <v>085241939488</v>
      </c>
      <c r="O82" s="30" t="str">
        <f>'BIO DATA'!AE54</f>
        <v>Wiraswasta</v>
      </c>
      <c r="P82" s="30" t="str">
        <f>'BIO DATA'!AL54</f>
        <v>Wiraswasta</v>
      </c>
      <c r="Q82" s="183">
        <f>'BIO DATA'!H54</f>
        <v>0</v>
      </c>
    </row>
    <row r="83" spans="2:17" s="35" customFormat="1" ht="25.5">
      <c r="B83" s="28">
        <v>24</v>
      </c>
      <c r="C83" s="105">
        <f>'BIO DATA'!C55</f>
        <v>12672</v>
      </c>
      <c r="D83" s="106">
        <f>'BIO DATA'!D55</f>
        <v>3130254387</v>
      </c>
      <c r="E83" s="107" t="str">
        <f>'BIO DATA'!E55</f>
        <v>Nirwaseta Putra Purnama</v>
      </c>
      <c r="F83" s="31" t="str">
        <f>'BIO DATA'!Y55</f>
        <v>SDIT Arraihan</v>
      </c>
      <c r="G83" s="185" t="s">
        <v>228</v>
      </c>
      <c r="H83" s="30" t="str">
        <f>'BIO DATA'!M55</f>
        <v>Bantul</v>
      </c>
      <c r="I83" s="136" t="str">
        <f>'BIO DATA'!P55</f>
        <v>12 Oktober 2013</v>
      </c>
      <c r="J83" s="30" t="str">
        <f>'BIO DATA'!S55</f>
        <v>Gejayan, RT 12, Girirejo, Imogiri, Bantul, DIY</v>
      </c>
      <c r="K83" s="30" t="str">
        <f>'BIO DATA'!AB55</f>
        <v>Surya Purnama</v>
      </c>
      <c r="L83" s="147" t="str">
        <f>'BIO DATA'!AG55</f>
        <v>081256549002</v>
      </c>
      <c r="M83" s="30" t="str">
        <f>'BIO DATA'!AI55</f>
        <v>Sri Hartini</v>
      </c>
      <c r="N83" s="147" t="str">
        <f>'BIO DATA'!AN55</f>
        <v>081327173611</v>
      </c>
      <c r="O83" s="30" t="str">
        <f>'BIO DATA'!AE55</f>
        <v>Pegawai Swasta</v>
      </c>
      <c r="P83" s="30" t="str">
        <f>'BIO DATA'!AL55</f>
        <v>Tidak Bekerja</v>
      </c>
      <c r="Q83" s="134" t="s">
        <v>228</v>
      </c>
    </row>
    <row r="84" spans="2:17" s="35" customFormat="1" ht="48" customHeight="1">
      <c r="B84" s="28">
        <v>25</v>
      </c>
      <c r="C84" s="29">
        <f>'BIO DATA'!C56</f>
        <v>12679</v>
      </c>
      <c r="D84" s="61" t="str">
        <f>'BIO DATA'!D56</f>
        <v>0132487752</v>
      </c>
      <c r="E84" s="30" t="str">
        <f>'BIO DATA'!E56</f>
        <v>Raditya Asyam Adz Dzaqi</v>
      </c>
      <c r="F84" s="31" t="str">
        <f>'BIO DATA'!Y56</f>
        <v>SD Muhammadiyah 9 Panglima Sudirman Malang</v>
      </c>
      <c r="G84" s="71">
        <f>'BIO DATA'!I56</f>
        <v>1</v>
      </c>
      <c r="H84" s="30" t="str">
        <f>'BIO DATA'!M56</f>
        <v>Jember</v>
      </c>
      <c r="I84" s="136" t="str">
        <f>'BIO DATA'!P56</f>
        <v>25 Oktober 2013</v>
      </c>
      <c r="J84" s="30" t="str">
        <f>'BIO DATA'!S56</f>
        <v>Perum D'griya Satya B7, Jl. Hamid Rusdi RT 8/RW 2, Sumbersuko, Tajinan, Kabupaten Malang Jawa Timur</v>
      </c>
      <c r="K84" s="30" t="str">
        <f>'BIO DATA'!AB56</f>
        <v>Moch. Wijianto</v>
      </c>
      <c r="L84" s="147" t="str">
        <f>'BIO DATA'!AG56</f>
        <v>082302189982</v>
      </c>
      <c r="M84" s="30" t="str">
        <f>'BIO DATA'!AI56</f>
        <v>Alif Nuril Azizah</v>
      </c>
      <c r="N84" s="147" t="str">
        <f>'BIO DATA'!AN56</f>
        <v>085337286997</v>
      </c>
      <c r="O84" s="30" t="str">
        <f>'BIO DATA'!AE56</f>
        <v>Wiraswasta</v>
      </c>
      <c r="P84" s="30" t="str">
        <f>'BIO DATA'!AL56</f>
        <v>PNS</v>
      </c>
      <c r="Q84" s="134" t="s">
        <v>228</v>
      </c>
    </row>
    <row r="85" spans="2:17" s="35" customFormat="1" ht="38.25">
      <c r="B85" s="28">
        <v>26</v>
      </c>
      <c r="C85" s="29">
        <f>'BIO DATA'!C57</f>
        <v>12686</v>
      </c>
      <c r="D85" s="61" t="str">
        <f>'BIO DATA'!D57</f>
        <v>0134002093</v>
      </c>
      <c r="E85" s="30" t="str">
        <f>'BIO DATA'!E57</f>
        <v>Rakha Naufal Alfarisi</v>
      </c>
      <c r="F85" s="31" t="str">
        <f>'BIO DATA'!Y57</f>
        <v>SD Islam Hidayatullah Semarang</v>
      </c>
      <c r="G85" s="185" t="s">
        <v>228</v>
      </c>
      <c r="H85" s="30" t="str">
        <f>'BIO DATA'!M57</f>
        <v>Jakarta</v>
      </c>
      <c r="I85" s="136" t="str">
        <f>'BIO DATA'!P57</f>
        <v>6 Oktober 2013</v>
      </c>
      <c r="J85" s="30" t="str">
        <f>'BIO DATA'!S57</f>
        <v>Jl. Siroto Residence No.11 RT/RW 08/07 Pudak Payung, Banyumanik, Kota Semarang Jawa Tengah</v>
      </c>
      <c r="K85" s="30" t="str">
        <f>'BIO DATA'!AB57</f>
        <v>Aang Anshorullah</v>
      </c>
      <c r="L85" s="147" t="str">
        <f>'BIO DATA'!AG57</f>
        <v>081327460480</v>
      </c>
      <c r="M85" s="30" t="str">
        <f>'BIO DATA'!AI57</f>
        <v>Nur Eka Sukmawati</v>
      </c>
      <c r="N85" s="147" t="str">
        <f>'BIO DATA'!AN57</f>
        <v>085694940700</v>
      </c>
      <c r="O85" s="30" t="str">
        <f>'BIO DATA'!AE57</f>
        <v>Pegawai Swasta</v>
      </c>
      <c r="P85" s="30" t="str">
        <f>'BIO DATA'!AL57</f>
        <v>Tidak Bekerja</v>
      </c>
      <c r="Q85" s="134" t="s">
        <v>228</v>
      </c>
    </row>
    <row r="86" spans="2:17" s="35" customFormat="1" ht="39" customHeight="1">
      <c r="B86" s="28">
        <v>27</v>
      </c>
      <c r="C86" s="29">
        <f>'BIO DATA'!C58</f>
        <v>12696</v>
      </c>
      <c r="D86" s="61" t="str">
        <f>'BIO DATA'!D58</f>
        <v>0138436582</v>
      </c>
      <c r="E86" s="30" t="str">
        <f>'BIO DATA'!E58</f>
        <v>Rifat Inet Firas</v>
      </c>
      <c r="F86" s="31" t="str">
        <f>'BIO DATA'!Y58</f>
        <v>SD Muhammadiyah Tonggalan Klaten</v>
      </c>
      <c r="G86" s="185" t="s">
        <v>228</v>
      </c>
      <c r="H86" s="30" t="str">
        <f>'BIO DATA'!M58</f>
        <v>Klaten</v>
      </c>
      <c r="I86" s="136" t="str">
        <f>'BIO DATA'!P58</f>
        <v>13 Oktober 2013</v>
      </c>
      <c r="J86" s="30" t="str">
        <f>'BIO DATA'!S58</f>
        <v>Trunuh Jurugan 001/003 Klaten Selatan, Klaten Jawa Tengah</v>
      </c>
      <c r="K86" s="30" t="str">
        <f>'BIO DATA'!AB58</f>
        <v>Sarip Nuruchman</v>
      </c>
      <c r="L86" s="147" t="str">
        <f>'BIO DATA'!AG58</f>
        <v>083846111111</v>
      </c>
      <c r="M86" s="30" t="str">
        <f>'BIO DATA'!AI58</f>
        <v>Wiwin Susilawati</v>
      </c>
      <c r="N86" s="147" t="str">
        <f>'BIO DATA'!AN58</f>
        <v>088210581111</v>
      </c>
      <c r="O86" s="30" t="str">
        <f>'BIO DATA'!AE58</f>
        <v>Wiraswasta</v>
      </c>
      <c r="P86" s="30" t="str">
        <f>'BIO DATA'!AL58</f>
        <v>Tidak Bekerja</v>
      </c>
      <c r="Q86" s="134" t="s">
        <v>228</v>
      </c>
    </row>
    <row r="87" spans="2:17" s="35" customFormat="1" ht="39.75" customHeight="1">
      <c r="B87" s="28">
        <v>28</v>
      </c>
      <c r="C87" s="29">
        <f>'BIO DATA'!C59</f>
        <v>12702</v>
      </c>
      <c r="D87" s="61" t="str">
        <f>'BIO DATA'!D59</f>
        <v>0133579034</v>
      </c>
      <c r="E87" s="30" t="str">
        <f>'BIO DATA'!E59</f>
        <v>Sayeed Muhammad 'Alauddin Fakhri</v>
      </c>
      <c r="F87" s="31" t="str">
        <f>'BIO DATA'!Y59</f>
        <v>SD Muhammadiyah 4 Surabaya</v>
      </c>
      <c r="G87" s="71">
        <f>'BIO DATA'!I59</f>
        <v>2</v>
      </c>
      <c r="H87" s="30" t="str">
        <f>'BIO DATA'!M59</f>
        <v>Surabaya</v>
      </c>
      <c r="I87" s="136" t="str">
        <f>'BIO DATA'!P59</f>
        <v>16 Agustus 2013</v>
      </c>
      <c r="J87" s="30" t="str">
        <f>'BIO DATA'!S59</f>
        <v>JL. Kaliudan No. 104 SBY RT 004 RW 002 Kalijudan Mulyorejo Kota Surabaya Jawa Timur 60114</v>
      </c>
      <c r="K87" s="30" t="str">
        <f>'BIO DATA'!AB59</f>
        <v>Rahmad Dzulkarnain, SHI</v>
      </c>
      <c r="L87" s="147" t="str">
        <f>'BIO DATA'!AG59</f>
        <v>081553841766</v>
      </c>
      <c r="M87" s="30" t="str">
        <f>'BIO DATA'!AI59</f>
        <v>Hikmatul Uyun</v>
      </c>
      <c r="N87" s="147" t="str">
        <f>'BIO DATA'!AN59</f>
        <v>08563455039</v>
      </c>
      <c r="O87" s="30" t="str">
        <f>'BIO DATA'!AE59</f>
        <v>Guru/Dosen</v>
      </c>
      <c r="P87" s="30" t="str">
        <f>'BIO DATA'!AL59</f>
        <v>Pegawai Swasta</v>
      </c>
      <c r="Q87" s="134" t="s">
        <v>228</v>
      </c>
    </row>
    <row r="88" spans="2:17" s="35" customFormat="1" ht="39.75" customHeight="1">
      <c r="B88" s="28">
        <v>29</v>
      </c>
      <c r="C88" s="29">
        <f>'BIO DATA'!C60</f>
        <v>12714</v>
      </c>
      <c r="D88" s="61">
        <f>'BIO DATA'!D60</f>
        <v>3134865480</v>
      </c>
      <c r="E88" s="30" t="str">
        <f>'BIO DATA'!E60</f>
        <v>Wildan Hawwari</v>
      </c>
      <c r="F88" s="31" t="str">
        <f>'BIO DATA'!Y60</f>
        <v>MI Maarif Garongan</v>
      </c>
      <c r="G88" s="71">
        <f>'BIO DATA'!I60</f>
        <v>2</v>
      </c>
      <c r="H88" s="30" t="str">
        <f>'BIO DATA'!M60</f>
        <v>Kulon Progo</v>
      </c>
      <c r="I88" s="136" t="str">
        <f>'BIO DATA'!P60</f>
        <v>26 Februari 2013</v>
      </c>
      <c r="J88" s="30" t="str">
        <f>'BIO DATA'!S60</f>
        <v>Dondong Rt 48 Rw 21, Bendungan, Wates, Kulon Progo, DIY, 55651</v>
      </c>
      <c r="K88" s="30" t="str">
        <f>'BIO DATA'!AB60</f>
        <v>R. Agung Kisworo</v>
      </c>
      <c r="L88" s="147" t="str">
        <f>'BIO DATA'!AG60</f>
        <v>081328302399</v>
      </c>
      <c r="M88" s="30" t="str">
        <f>'BIO DATA'!AI60</f>
        <v>Pertiwi Endah Pamungkas</v>
      </c>
      <c r="N88" s="147" t="str">
        <f>'BIO DATA'!AN60</f>
        <v>081328700750</v>
      </c>
      <c r="O88" s="30" t="str">
        <f>'BIO DATA'!AE60</f>
        <v>Wiraswasta</v>
      </c>
      <c r="P88" s="30" t="str">
        <f>'BIO DATA'!AL60</f>
        <v>Guru/Dosen</v>
      </c>
      <c r="Q88" s="134" t="s">
        <v>228</v>
      </c>
    </row>
    <row r="89" spans="2:17" s="35" customFormat="1" ht="25.5">
      <c r="B89" s="28">
        <v>30</v>
      </c>
      <c r="C89" s="29">
        <f>'BIO DATA'!C61</f>
        <v>12719</v>
      </c>
      <c r="D89" s="61" t="str">
        <f>'BIO DATA'!D61</f>
        <v>0145272080</v>
      </c>
      <c r="E89" s="30" t="str">
        <f>'BIO DATA'!E61</f>
        <v>Zafran Ilham Sujati</v>
      </c>
      <c r="F89" s="31" t="str">
        <f>'BIO DATA'!Y61</f>
        <v>SD Muhammadiyah Mutihan Wates</v>
      </c>
      <c r="G89" s="185" t="s">
        <v>228</v>
      </c>
      <c r="H89" s="30" t="str">
        <f>'BIO DATA'!M61</f>
        <v>Kulon Progo</v>
      </c>
      <c r="I89" s="136" t="str">
        <f>'BIO DATA'!P61</f>
        <v>19 Februari 2014</v>
      </c>
      <c r="J89" s="30" t="str">
        <f>'BIO DATA'!S61</f>
        <v>Tambak Rt.13 Rw 06 Triharjo, Wates Kulon Progo, DIY 55651</v>
      </c>
      <c r="K89" s="30" t="str">
        <f>'BIO DATA'!AB61</f>
        <v>Rachmat Sujati</v>
      </c>
      <c r="L89" s="147" t="str">
        <f>'BIO DATA'!AG61</f>
        <v>085726495266</v>
      </c>
      <c r="M89" s="30" t="str">
        <f>'BIO DATA'!AI61</f>
        <v>Yulia Khoirunnisa</v>
      </c>
      <c r="N89" s="147" t="str">
        <f>'BIO DATA'!AN61</f>
        <v>085712253930</v>
      </c>
      <c r="O89" s="30" t="str">
        <f>'BIO DATA'!AE61</f>
        <v>Pegawai Swasta</v>
      </c>
      <c r="P89" s="30" t="str">
        <f>'BIO DATA'!AL61</f>
        <v>Lain-lain</v>
      </c>
      <c r="Q89" s="134" t="s">
        <v>228</v>
      </c>
    </row>
    <row r="90" spans="2:17" s="35" customFormat="1" ht="38.25">
      <c r="B90" s="28">
        <v>31</v>
      </c>
      <c r="C90" s="29">
        <f>'BIO DATA'!C62</f>
        <v>12721</v>
      </c>
      <c r="D90" s="61">
        <f>'BIO DATA'!D62</f>
        <v>3135215000</v>
      </c>
      <c r="E90" s="30" t="str">
        <f>'BIO DATA'!E62</f>
        <v>Zaky Fakhry Yanto</v>
      </c>
      <c r="F90" s="31" t="str">
        <f>'BIO DATA'!Y62</f>
        <v>SD Muhammadiyah Parakan</v>
      </c>
      <c r="G90" s="185" t="s">
        <v>228</v>
      </c>
      <c r="H90" s="30" t="str">
        <f>'BIO DATA'!M62</f>
        <v>Temanggung</v>
      </c>
      <c r="I90" s="136" t="str">
        <f>'BIO DATA'!P62</f>
        <v>28 Oktober 2013</v>
      </c>
      <c r="J90" s="30" t="str">
        <f>'BIO DATA'!S62</f>
        <v>Gabugan RT. 004 RW. 010 Tegalsari Kedu Temanggung Jawa Tengah</v>
      </c>
      <c r="K90" s="30" t="str">
        <f>'BIO DATA'!AB62</f>
        <v>Yanto</v>
      </c>
      <c r="L90" s="147" t="str">
        <f>'BIO DATA'!AG62</f>
        <v>081328864579</v>
      </c>
      <c r="M90" s="30" t="str">
        <f>'BIO DATA'!AI62</f>
        <v>Giyatun</v>
      </c>
      <c r="N90" s="147" t="str">
        <f>'BIO DATA'!AN62</f>
        <v>081229919229</v>
      </c>
      <c r="O90" s="30" t="str">
        <f>'BIO DATA'!AE62</f>
        <v>Wiraswasta</v>
      </c>
      <c r="P90" s="30" t="str">
        <f>'BIO DATA'!AL62</f>
        <v>PNS</v>
      </c>
      <c r="Q90" s="183">
        <f>'BIO DATA'!H62</f>
        <v>0</v>
      </c>
    </row>
    <row r="91" spans="2:17" s="35" customFormat="1" ht="12.75">
      <c r="B91" s="37"/>
      <c r="C91" s="38"/>
      <c r="D91" s="123"/>
      <c r="E91" s="39"/>
      <c r="F91" s="34"/>
      <c r="G91" s="124"/>
      <c r="H91" s="39"/>
      <c r="I91" s="139"/>
      <c r="J91" s="39"/>
      <c r="K91" s="39"/>
      <c r="L91" s="184"/>
      <c r="M91" s="39"/>
      <c r="N91" s="184"/>
      <c r="O91" s="39"/>
      <c r="P91" s="39"/>
      <c r="Q91" s="140"/>
    </row>
    <row r="92" spans="2:17" s="35" customFormat="1" ht="12.75">
      <c r="B92" s="37"/>
      <c r="C92" s="38"/>
      <c r="D92" s="123"/>
      <c r="E92" s="39"/>
      <c r="F92" s="34"/>
      <c r="G92" s="124"/>
      <c r="H92" s="39"/>
      <c r="I92" s="139"/>
      <c r="J92" s="39"/>
      <c r="K92" s="39"/>
      <c r="L92" s="184"/>
      <c r="M92" s="39"/>
      <c r="N92" s="184"/>
      <c r="O92" s="39"/>
      <c r="P92" s="39"/>
      <c r="Q92" s="140"/>
    </row>
    <row r="93" spans="2:17" s="35" customFormat="1" ht="12.75">
      <c r="B93" s="37"/>
      <c r="C93" s="38"/>
      <c r="D93" s="123"/>
      <c r="E93" s="39"/>
      <c r="F93" s="34"/>
      <c r="G93" s="124"/>
      <c r="H93" s="39"/>
      <c r="I93" s="139"/>
      <c r="J93" s="39"/>
      <c r="K93" s="39"/>
      <c r="L93" s="184"/>
      <c r="M93" s="39"/>
      <c r="N93" s="184"/>
      <c r="O93" s="39"/>
      <c r="P93" s="39"/>
      <c r="Q93" s="140"/>
    </row>
    <row r="94" spans="2:17" s="35" customFormat="1" ht="12.75">
      <c r="B94" s="37"/>
      <c r="C94" s="38"/>
      <c r="D94" s="123"/>
      <c r="E94" s="39"/>
      <c r="F94" s="34"/>
      <c r="G94" s="124"/>
      <c r="H94" s="39"/>
      <c r="I94" s="139"/>
      <c r="J94" s="39"/>
      <c r="K94" s="39"/>
      <c r="L94" s="184"/>
      <c r="M94" s="39"/>
      <c r="N94" s="184"/>
      <c r="O94" s="39"/>
      <c r="P94" s="39"/>
      <c r="Q94" s="140"/>
    </row>
    <row r="95" spans="2:17" s="35" customFormat="1" ht="12.75">
      <c r="B95" s="37"/>
      <c r="C95" s="38"/>
      <c r="D95" s="123"/>
      <c r="E95" s="39"/>
      <c r="F95" s="34"/>
      <c r="G95" s="124"/>
      <c r="H95" s="39"/>
      <c r="I95" s="139"/>
      <c r="J95" s="39"/>
      <c r="K95" s="39"/>
      <c r="L95" s="184"/>
      <c r="M95" s="39"/>
      <c r="N95" s="184"/>
      <c r="O95" s="39"/>
      <c r="P95" s="39"/>
      <c r="Q95" s="140"/>
    </row>
    <row r="96" spans="2:17" s="35" customFormat="1" ht="12.75">
      <c r="B96" s="37"/>
      <c r="C96" s="38"/>
      <c r="D96" s="123"/>
      <c r="E96" s="39"/>
      <c r="F96" s="34"/>
      <c r="G96" s="124"/>
      <c r="H96" s="39"/>
      <c r="I96" s="139"/>
      <c r="J96" s="39"/>
      <c r="K96" s="39"/>
      <c r="L96" s="184"/>
      <c r="M96" s="39"/>
      <c r="N96" s="184"/>
      <c r="O96" s="39"/>
      <c r="P96" s="39"/>
      <c r="Q96" s="140"/>
    </row>
    <row r="97" spans="2:17" s="35" customFormat="1" ht="12.75">
      <c r="B97" s="37"/>
      <c r="C97" s="38"/>
      <c r="D97" s="123"/>
      <c r="E97" s="39"/>
      <c r="F97" s="34"/>
      <c r="G97" s="124"/>
      <c r="H97" s="39"/>
      <c r="I97" s="139"/>
      <c r="J97" s="39"/>
      <c r="K97" s="39"/>
      <c r="L97" s="184"/>
      <c r="M97" s="39"/>
      <c r="N97" s="184"/>
      <c r="O97" s="39"/>
      <c r="P97" s="39"/>
      <c r="Q97" s="140"/>
    </row>
    <row r="98" spans="2:17" s="35" customFormat="1" ht="12.75">
      <c r="B98" s="37"/>
      <c r="C98" s="38"/>
      <c r="D98" s="123"/>
      <c r="E98" s="39"/>
      <c r="F98" s="34"/>
      <c r="G98" s="124"/>
      <c r="H98" s="39"/>
      <c r="I98" s="139"/>
      <c r="J98" s="39"/>
      <c r="K98" s="39"/>
      <c r="L98" s="184"/>
      <c r="M98" s="39"/>
      <c r="N98" s="184"/>
      <c r="O98" s="39"/>
      <c r="P98" s="39"/>
      <c r="Q98" s="140"/>
    </row>
    <row r="99" spans="2:17" s="35" customFormat="1" ht="12.75">
      <c r="B99" s="37"/>
      <c r="C99" s="38"/>
      <c r="D99" s="123"/>
      <c r="E99" s="39"/>
      <c r="F99" s="34"/>
      <c r="G99" s="124"/>
      <c r="H99" s="39"/>
      <c r="I99" s="139"/>
      <c r="J99" s="39"/>
      <c r="K99" s="39"/>
      <c r="L99" s="184"/>
      <c r="M99" s="39"/>
      <c r="N99" s="184"/>
      <c r="O99" s="39"/>
      <c r="P99" s="39"/>
      <c r="Q99" s="140"/>
    </row>
    <row r="100" spans="2:17" s="35" customFormat="1" ht="12.75">
      <c r="B100" s="37"/>
      <c r="C100" s="38"/>
      <c r="D100" s="123"/>
      <c r="E100" s="39"/>
      <c r="F100" s="34"/>
      <c r="G100" s="124"/>
      <c r="H100" s="39"/>
      <c r="I100" s="139"/>
      <c r="J100" s="39"/>
      <c r="K100" s="39"/>
      <c r="L100" s="184"/>
      <c r="M100" s="39"/>
      <c r="N100" s="184"/>
      <c r="O100" s="39"/>
      <c r="P100" s="39"/>
      <c r="Q100" s="140"/>
    </row>
    <row r="101" spans="2:17" s="35" customFormat="1" ht="12.75">
      <c r="B101" s="37"/>
      <c r="C101" s="38"/>
      <c r="D101" s="123"/>
      <c r="E101" s="39"/>
      <c r="F101" s="34"/>
      <c r="G101" s="124"/>
      <c r="H101" s="39"/>
      <c r="I101" s="139"/>
      <c r="J101" s="39"/>
      <c r="K101" s="39"/>
      <c r="L101" s="184"/>
      <c r="M101" s="39"/>
      <c r="N101" s="184"/>
      <c r="O101" s="39"/>
      <c r="P101" s="39"/>
      <c r="Q101" s="140"/>
    </row>
    <row r="102" spans="2:17" s="35" customFormat="1" ht="12.75">
      <c r="B102" s="37"/>
      <c r="C102" s="38"/>
      <c r="D102" s="123"/>
      <c r="E102" s="39"/>
      <c r="F102" s="34"/>
      <c r="G102" s="124"/>
      <c r="H102" s="39"/>
      <c r="I102" s="139"/>
      <c r="J102" s="39"/>
      <c r="K102" s="39"/>
      <c r="L102" s="184"/>
      <c r="M102" s="39"/>
      <c r="N102" s="184"/>
      <c r="O102" s="39"/>
      <c r="P102" s="39"/>
      <c r="Q102" s="140"/>
    </row>
    <row r="103" spans="2:17" s="35" customFormat="1" ht="12.75">
      <c r="B103" s="37"/>
      <c r="C103" s="38"/>
      <c r="D103" s="123"/>
      <c r="E103" s="39"/>
      <c r="F103" s="34"/>
      <c r="G103" s="124"/>
      <c r="H103" s="39"/>
      <c r="I103" s="139"/>
      <c r="J103" s="39"/>
      <c r="K103" s="39"/>
      <c r="L103" s="184"/>
      <c r="M103" s="39"/>
      <c r="N103" s="184"/>
      <c r="O103" s="39"/>
      <c r="P103" s="39"/>
      <c r="Q103" s="140"/>
    </row>
    <row r="104" spans="2:17" s="35" customFormat="1" ht="12.75">
      <c r="B104" s="37"/>
      <c r="C104" s="38"/>
      <c r="D104" s="123"/>
      <c r="E104" s="39"/>
      <c r="F104" s="34"/>
      <c r="G104" s="124"/>
      <c r="H104" s="39"/>
      <c r="I104" s="139"/>
      <c r="J104" s="39"/>
      <c r="K104" s="39"/>
      <c r="L104" s="184"/>
      <c r="M104" s="39"/>
      <c r="N104" s="184"/>
      <c r="O104" s="39"/>
      <c r="P104" s="39"/>
      <c r="Q104" s="140"/>
    </row>
    <row r="105" spans="2:17" s="35" customFormat="1" ht="12.75">
      <c r="B105" s="37"/>
      <c r="C105" s="38"/>
      <c r="D105" s="123"/>
      <c r="E105" s="39"/>
      <c r="F105" s="34"/>
      <c r="G105" s="124"/>
      <c r="H105" s="39"/>
      <c r="I105" s="139"/>
      <c r="J105" s="39"/>
      <c r="K105" s="39"/>
      <c r="L105" s="184"/>
      <c r="M105" s="39"/>
      <c r="N105" s="184"/>
      <c r="O105" s="39"/>
      <c r="P105" s="39"/>
      <c r="Q105" s="140"/>
    </row>
    <row r="106" spans="2:17" s="35" customFormat="1" ht="12.75">
      <c r="B106" s="37"/>
      <c r="C106" s="38"/>
      <c r="D106" s="123"/>
      <c r="E106" s="39"/>
      <c r="F106" s="34"/>
      <c r="G106" s="124"/>
      <c r="H106" s="39"/>
      <c r="I106" s="139"/>
      <c r="J106" s="39"/>
      <c r="K106" s="39"/>
      <c r="L106" s="184"/>
      <c r="M106" s="39"/>
      <c r="N106" s="184"/>
      <c r="O106" s="39"/>
      <c r="P106" s="39"/>
      <c r="Q106" s="140"/>
    </row>
    <row r="107" spans="2:17" s="35" customFormat="1" ht="12.75">
      <c r="B107" s="37"/>
      <c r="C107" s="38"/>
      <c r="D107" s="123"/>
      <c r="E107" s="39"/>
      <c r="F107" s="34"/>
      <c r="G107" s="124"/>
      <c r="H107" s="39"/>
      <c r="I107" s="139"/>
      <c r="J107" s="39"/>
      <c r="K107" s="39"/>
      <c r="L107" s="184"/>
      <c r="M107" s="39"/>
      <c r="N107" s="184"/>
      <c r="O107" s="39"/>
      <c r="P107" s="39"/>
      <c r="Q107" s="140"/>
    </row>
    <row r="108" spans="2:17" s="35" customFormat="1" ht="12.75">
      <c r="B108" s="37"/>
      <c r="C108" s="38"/>
      <c r="D108" s="123"/>
      <c r="E108" s="39"/>
      <c r="F108" s="34"/>
      <c r="G108" s="124"/>
      <c r="H108" s="39"/>
      <c r="I108" s="139"/>
      <c r="J108" s="39"/>
      <c r="K108" s="39"/>
      <c r="L108" s="184"/>
      <c r="M108" s="39"/>
      <c r="N108" s="184"/>
      <c r="O108" s="39"/>
      <c r="P108" s="39"/>
      <c r="Q108" s="140"/>
    </row>
    <row r="109" spans="2:17" s="35" customFormat="1" ht="12.75">
      <c r="B109" s="37"/>
      <c r="C109" s="38"/>
      <c r="D109" s="123"/>
      <c r="E109" s="39"/>
      <c r="F109" s="34"/>
      <c r="G109" s="124"/>
      <c r="H109" s="39"/>
      <c r="I109" s="139"/>
      <c r="J109" s="39"/>
      <c r="K109" s="39"/>
      <c r="L109" s="184"/>
      <c r="M109" s="39"/>
      <c r="N109" s="184"/>
      <c r="O109" s="39"/>
      <c r="P109" s="39"/>
      <c r="Q109" s="140"/>
    </row>
    <row r="110" spans="2:17" s="35" customFormat="1" ht="12.75">
      <c r="B110" s="37"/>
      <c r="C110" s="38"/>
      <c r="D110" s="123"/>
      <c r="E110" s="39"/>
      <c r="F110" s="34"/>
      <c r="G110" s="124"/>
      <c r="H110" s="39"/>
      <c r="I110" s="139"/>
      <c r="J110" s="39"/>
      <c r="K110" s="39"/>
      <c r="L110" s="184"/>
      <c r="M110" s="39"/>
      <c r="N110" s="184"/>
      <c r="O110" s="39"/>
      <c r="P110" s="39"/>
      <c r="Q110" s="140"/>
    </row>
    <row r="111" spans="2:17" s="35" customFormat="1" ht="12.75">
      <c r="B111" s="37"/>
      <c r="C111" s="38"/>
      <c r="D111" s="123"/>
      <c r="E111" s="39"/>
      <c r="F111" s="34"/>
      <c r="G111" s="124"/>
      <c r="H111" s="39"/>
      <c r="I111" s="139"/>
      <c r="J111" s="39"/>
      <c r="K111" s="39"/>
      <c r="L111" s="184"/>
      <c r="M111" s="39"/>
      <c r="N111" s="184"/>
      <c r="O111" s="39"/>
      <c r="P111" s="39"/>
      <c r="Q111" s="140"/>
    </row>
    <row r="112" spans="2:17" s="23" customFormat="1" ht="18.75">
      <c r="B112" s="408" t="s">
        <v>201</v>
      </c>
      <c r="C112" s="408"/>
      <c r="D112" s="408"/>
      <c r="E112" s="408"/>
      <c r="F112" s="408"/>
      <c r="G112" s="408"/>
      <c r="H112" s="408"/>
      <c r="I112" s="408"/>
      <c r="J112" s="408"/>
      <c r="K112" s="408"/>
      <c r="L112" s="408"/>
      <c r="M112" s="408"/>
      <c r="N112" s="408"/>
      <c r="O112" s="408"/>
      <c r="P112" s="408"/>
      <c r="Q112" s="408"/>
    </row>
    <row r="113" spans="2:19" s="23" customFormat="1" ht="18.75">
      <c r="B113" s="408" t="s">
        <v>234</v>
      </c>
      <c r="C113" s="408"/>
      <c r="D113" s="408"/>
      <c r="E113" s="408"/>
      <c r="F113" s="408"/>
      <c r="G113" s="408"/>
      <c r="H113" s="408"/>
      <c r="I113" s="408"/>
      <c r="J113" s="408"/>
      <c r="K113" s="408"/>
      <c r="L113" s="408"/>
      <c r="M113" s="408"/>
      <c r="N113" s="408"/>
      <c r="O113" s="408"/>
      <c r="P113" s="408"/>
      <c r="Q113" s="408"/>
    </row>
    <row r="114" spans="2:19" s="23" customFormat="1" ht="18.75">
      <c r="B114" s="413" t="s">
        <v>237</v>
      </c>
      <c r="C114" s="413"/>
      <c r="D114" s="413"/>
      <c r="E114" s="413"/>
      <c r="F114" s="413"/>
      <c r="G114" s="413"/>
      <c r="H114" s="413"/>
      <c r="I114" s="413"/>
      <c r="J114" s="413"/>
      <c r="K114" s="413"/>
      <c r="L114" s="413"/>
      <c r="M114" s="413"/>
      <c r="N114" s="413"/>
      <c r="O114" s="413"/>
      <c r="P114" s="413"/>
      <c r="Q114" s="413"/>
    </row>
    <row r="115" spans="2:19" s="24" customFormat="1" ht="15.75" customHeight="1">
      <c r="B115" s="405" t="s">
        <v>0</v>
      </c>
      <c r="C115" s="410" t="s">
        <v>147</v>
      </c>
      <c r="D115" s="411" t="s">
        <v>2</v>
      </c>
      <c r="E115" s="412" t="s">
        <v>3</v>
      </c>
      <c r="F115" s="412" t="s">
        <v>8</v>
      </c>
      <c r="G115" s="405" t="s">
        <v>148</v>
      </c>
      <c r="H115" s="405" t="s">
        <v>149</v>
      </c>
      <c r="I115" s="405"/>
      <c r="J115" s="406" t="s">
        <v>6</v>
      </c>
      <c r="K115" s="407" t="s">
        <v>150</v>
      </c>
      <c r="L115" s="407"/>
      <c r="M115" s="407"/>
      <c r="N115" s="407"/>
      <c r="O115" s="409" t="s">
        <v>151</v>
      </c>
      <c r="P115" s="409"/>
      <c r="Q115" s="405" t="s">
        <v>152</v>
      </c>
    </row>
    <row r="116" spans="2:19" s="24" customFormat="1" ht="15.75" customHeight="1">
      <c r="B116" s="405"/>
      <c r="C116" s="410"/>
      <c r="D116" s="411"/>
      <c r="E116" s="412"/>
      <c r="F116" s="412"/>
      <c r="G116" s="405"/>
      <c r="H116" s="391" t="s">
        <v>153</v>
      </c>
      <c r="I116" s="391" t="s">
        <v>154</v>
      </c>
      <c r="J116" s="406"/>
      <c r="K116" s="390" t="s">
        <v>155</v>
      </c>
      <c r="L116" s="392" t="s">
        <v>155</v>
      </c>
      <c r="M116" s="390" t="s">
        <v>156</v>
      </c>
      <c r="N116" s="392" t="s">
        <v>157</v>
      </c>
      <c r="O116" s="391" t="s">
        <v>158</v>
      </c>
      <c r="P116" s="391" t="s">
        <v>159</v>
      </c>
      <c r="Q116" s="405"/>
      <c r="R116" s="8"/>
      <c r="S116" s="8"/>
    </row>
    <row r="117" spans="2:19" s="35" customFormat="1" ht="38.25">
      <c r="B117" s="28">
        <v>1</v>
      </c>
      <c r="C117" s="29">
        <f>'BIO DATA'!C63</f>
        <v>12460</v>
      </c>
      <c r="D117" s="61" t="str">
        <f>'BIO DATA'!D63</f>
        <v>0137554038</v>
      </c>
      <c r="E117" s="30" t="str">
        <f>'BIO DATA'!E63</f>
        <v>Abdullah Alfaqih</v>
      </c>
      <c r="F117" s="183" t="str">
        <f>'BIO DATA'!Y63</f>
        <v>MI Bina Umat</v>
      </c>
      <c r="G117" s="71">
        <f>'BIO DATA'!I63</f>
        <v>2</v>
      </c>
      <c r="H117" s="30" t="str">
        <f>'BIO DATA'!M63</f>
        <v>Sleman</v>
      </c>
      <c r="I117" s="136" t="str">
        <f>'BIO DATA'!P63</f>
        <v>25 Agustus 2013</v>
      </c>
      <c r="J117" s="30" t="str">
        <f>'BIO DATA'!S63</f>
        <v>Ngijon, RT. 01. /RW. 15, Sendangarun, Minggir, Sleman, DIY</v>
      </c>
      <c r="K117" s="30" t="str">
        <f>'BIO DATA'!AB63</f>
        <v>Barid Setiawan</v>
      </c>
      <c r="L117" s="33" t="str">
        <f>'BIO DATA'!AG63</f>
        <v>081578545789</v>
      </c>
      <c r="M117" s="30" t="str">
        <f>'BIO DATA'!AI63</f>
        <v>Laila Saidah</v>
      </c>
      <c r="N117" s="147" t="str">
        <f>'BIO DATA'!AN63</f>
        <v>085877674820</v>
      </c>
      <c r="O117" s="30" t="str">
        <f>'BIO DATA'!AE63</f>
        <v>PNS</v>
      </c>
      <c r="P117" s="30" t="str">
        <f>'BIO DATA'!AL63</f>
        <v>PNS</v>
      </c>
      <c r="Q117" s="134" t="s">
        <v>228</v>
      </c>
    </row>
    <row r="118" spans="2:19" s="35" customFormat="1" ht="40.5" customHeight="1">
      <c r="B118" s="28">
        <v>2</v>
      </c>
      <c r="C118" s="29">
        <f>'BIO DATA'!C64</f>
        <v>12473</v>
      </c>
      <c r="D118" s="61" t="str">
        <f>'BIO DATA'!D64</f>
        <v>0133710880</v>
      </c>
      <c r="E118" s="30" t="str">
        <f>'BIO DATA'!E64</f>
        <v>Ahlam Zulfadli Firdaus</v>
      </c>
      <c r="F118" s="183" t="str">
        <f>'BIO DATA'!Y64</f>
        <v>SD IT Al Irsyad Serambi Makkah</v>
      </c>
      <c r="G118" s="71">
        <f>'BIO DATA'!I64</f>
        <v>2</v>
      </c>
      <c r="H118" s="30" t="str">
        <f>'BIO DATA'!M64</f>
        <v>Muaro Jambi</v>
      </c>
      <c r="I118" s="136" t="str">
        <f>'BIO DATA'!P64</f>
        <v>13 Desember 2013</v>
      </c>
      <c r="J118" s="30" t="str">
        <f>'BIO DATA'!S64</f>
        <v>Jalur 3 A RT 06, Desa Suka Makmur, Kecamatan Sungai Bahar, Kabupaten Muaro Jambi, JAMBI</v>
      </c>
      <c r="K118" s="30" t="str">
        <f>'BIO DATA'!AB64</f>
        <v>Sumanto</v>
      </c>
      <c r="L118" s="33" t="str">
        <f>'BIO DATA'!AG64</f>
        <v>082371572244</v>
      </c>
      <c r="M118" s="30" t="str">
        <f>'BIO DATA'!AI64</f>
        <v>Husnul Haqoh</v>
      </c>
      <c r="N118" s="147" t="str">
        <f>'BIO DATA'!AN64</f>
        <v>081392254960</v>
      </c>
      <c r="O118" s="30" t="str">
        <f>'BIO DATA'!AE64</f>
        <v>Wiraswasta</v>
      </c>
      <c r="P118" s="30" t="str">
        <f>'BIO DATA'!AL64</f>
        <v>Guru/Dosen</v>
      </c>
      <c r="Q118" s="183">
        <f>'BIO DATA'!H64</f>
        <v>0</v>
      </c>
    </row>
    <row r="119" spans="2:19" s="35" customFormat="1" ht="38.25">
      <c r="B119" s="28">
        <v>3</v>
      </c>
      <c r="C119" s="29">
        <f>'BIO DATA'!C65</f>
        <v>12477</v>
      </c>
      <c r="D119" s="61" t="str">
        <f>'BIO DATA'!D65</f>
        <v>0133068278</v>
      </c>
      <c r="E119" s="30" t="str">
        <f>'BIO DATA'!E65</f>
        <v>Ahmad Mumtaz Dhiya El Haq</v>
      </c>
      <c r="F119" s="183" t="str">
        <f>'BIO DATA'!Y65</f>
        <v>SDIT Luqman Al Hakim 2 Yogyakarta</v>
      </c>
      <c r="G119" s="185" t="s">
        <v>228</v>
      </c>
      <c r="H119" s="30" t="str">
        <f>'BIO DATA'!M65</f>
        <v>Yogyakarta</v>
      </c>
      <c r="I119" s="136" t="str">
        <f>'BIO DATA'!P65</f>
        <v>8 Juli 2013</v>
      </c>
      <c r="J119" s="30" t="str">
        <f>'BIO DATA'!S65</f>
        <v>Perum SBI, Blok M/228, RT 10, Ngestiharjo, Kasihan, Bantul, DIY</v>
      </c>
      <c r="K119" s="30" t="str">
        <f>'BIO DATA'!AB65</f>
        <v>Bachtiar Dwi Kurniawan</v>
      </c>
      <c r="L119" s="33" t="str">
        <f>'BIO DATA'!AG65</f>
        <v>08157940860</v>
      </c>
      <c r="M119" s="30" t="str">
        <f>'BIO DATA'!AI65</f>
        <v>Mamik Fatayatur Rohmah</v>
      </c>
      <c r="N119" s="147" t="str">
        <f>'BIO DATA'!AN65</f>
        <v>085642306368</v>
      </c>
      <c r="O119" s="30" t="str">
        <f>'BIO DATA'!AE65</f>
        <v>Dosen</v>
      </c>
      <c r="P119" s="30" t="str">
        <f>'BIO DATA'!AL65</f>
        <v>Guru</v>
      </c>
      <c r="Q119" s="183">
        <f>'BIO DATA'!H65</f>
        <v>0</v>
      </c>
    </row>
    <row r="120" spans="2:19" s="35" customFormat="1" ht="25.5">
      <c r="B120" s="28">
        <v>4</v>
      </c>
      <c r="C120" s="29">
        <f>'BIO DATA'!C66</f>
        <v>12478</v>
      </c>
      <c r="D120" s="61" t="str">
        <f>'BIO DATA'!D66</f>
        <v>0141719637</v>
      </c>
      <c r="E120" s="30" t="str">
        <f>'BIO DATA'!E66</f>
        <v>Ahmad Zufar Syamaidzar</v>
      </c>
      <c r="F120" s="183" t="str">
        <f>'BIO DATA'!Y66</f>
        <v>SD Muhammadiyah Nitikan Yk</v>
      </c>
      <c r="G120" s="71">
        <f>'BIO DATA'!I66</f>
        <v>2</v>
      </c>
      <c r="H120" s="30" t="str">
        <f>'BIO DATA'!M66</f>
        <v>Sleman</v>
      </c>
      <c r="I120" s="136" t="str">
        <f>'BIO DATA'!P66</f>
        <v>6 Juni 2014</v>
      </c>
      <c r="J120" s="30" t="str">
        <f>'BIO DATA'!S66</f>
        <v>Kemutug Rt01, Tamanan, Banguntapan,Bantul DIY</v>
      </c>
      <c r="K120" s="30" t="str">
        <f>'BIO DATA'!AB66</f>
        <v>Eko Heri Setiyanto</v>
      </c>
      <c r="L120" s="33" t="str">
        <f>'BIO DATA'!AG66</f>
        <v>085228077752</v>
      </c>
      <c r="M120" s="30" t="str">
        <f>'BIO DATA'!AI66</f>
        <v>Kusmiyati</v>
      </c>
      <c r="N120" s="147" t="str">
        <f>'BIO DATA'!AN66</f>
        <v>085228807012</v>
      </c>
      <c r="O120" s="30" t="str">
        <f>'BIO DATA'!AE66</f>
        <v>PNS</v>
      </c>
      <c r="P120" s="30" t="str">
        <f>'BIO DATA'!AL66</f>
        <v>Tidak Bekerja</v>
      </c>
      <c r="Q120" s="134" t="s">
        <v>228</v>
      </c>
    </row>
    <row r="121" spans="2:19" s="35" customFormat="1" ht="38.25">
      <c r="B121" s="28">
        <v>5</v>
      </c>
      <c r="C121" s="29">
        <f>'BIO DATA'!C67</f>
        <v>12479</v>
      </c>
      <c r="D121" s="61">
        <f>'BIO DATA'!D67</f>
        <v>3140264060</v>
      </c>
      <c r="E121" s="30" t="str">
        <f>'BIO DATA'!E67</f>
        <v>Ahsan Abdullah Nasution</v>
      </c>
      <c r="F121" s="183" t="str">
        <f>'BIO DATA'!Y67</f>
        <v>SDIT Luqman Al Hakim Sleman</v>
      </c>
      <c r="G121" s="71">
        <f>'BIO DATA'!I67</f>
        <v>2</v>
      </c>
      <c r="H121" s="30" t="str">
        <f>'BIO DATA'!M67</f>
        <v>Sleman</v>
      </c>
      <c r="I121" s="136" t="str">
        <f>'BIO DATA'!P67</f>
        <v>24 Februari 2014</v>
      </c>
      <c r="J121" s="30" t="str">
        <f>'BIO DATA'!S67</f>
        <v>Perum Griya Taman Asri Blok B 704 Jl Griya Taman Asri Pandowohardjo Sleman DIY</v>
      </c>
      <c r="K121" s="30" t="str">
        <f>'BIO DATA'!AB67</f>
        <v>Alfin Dimas Nasution</v>
      </c>
      <c r="L121" s="33" t="str">
        <f>'BIO DATA'!AG67</f>
        <v>081215895307</v>
      </c>
      <c r="M121" s="30" t="str">
        <f>'BIO DATA'!AI67</f>
        <v>Ratih Andini</v>
      </c>
      <c r="N121" s="147" t="str">
        <f>'BIO DATA'!AN67</f>
        <v>081388588507</v>
      </c>
      <c r="O121" s="30" t="str">
        <f>'BIO DATA'!AE67</f>
        <v>Wiraswasta</v>
      </c>
      <c r="P121" s="30" t="str">
        <f>'BIO DATA'!AL67</f>
        <v>Dokter/Bidan/Perawat</v>
      </c>
      <c r="Q121" s="134" t="s">
        <v>228</v>
      </c>
    </row>
    <row r="122" spans="2:19" s="35" customFormat="1" ht="63.75">
      <c r="B122" s="28">
        <v>6</v>
      </c>
      <c r="C122" s="29">
        <f>'BIO DATA'!C68</f>
        <v>12481</v>
      </c>
      <c r="D122" s="61" t="str">
        <f>'BIO DATA'!D68</f>
        <v>0144333421</v>
      </c>
      <c r="E122" s="30" t="str">
        <f>'BIO DATA'!E68</f>
        <v>Ahsan Rafif Aditya</v>
      </c>
      <c r="F122" s="183" t="str">
        <f>'BIO DATA'!Y68</f>
        <v>MI Islamiyah 03 Kota Madiun</v>
      </c>
      <c r="G122" s="185" t="s">
        <v>228</v>
      </c>
      <c r="H122" s="30" t="str">
        <f>'BIO DATA'!M68</f>
        <v>Sleman</v>
      </c>
      <c r="I122" s="136" t="str">
        <f>'BIO DATA'!P68</f>
        <v>13 Maret 2014</v>
      </c>
      <c r="J122" s="30" t="str">
        <f>'BIO DATA'!S68</f>
        <v>Jalan Manis Raya, Perumahan Green Garden Asri Blok A no.8, RT 70 RW 16, Nambangan Lor, Manguharjo, Kota Madiun Jawa Timur</v>
      </c>
      <c r="K122" s="30" t="str">
        <f>'BIO DATA'!AB68</f>
        <v>Aditya wahyu Erlangga</v>
      </c>
      <c r="L122" s="33" t="str">
        <f>'BIO DATA'!AG68</f>
        <v>081328720050</v>
      </c>
      <c r="M122" s="30" t="str">
        <f>'BIO DATA'!AI68</f>
        <v>Fani Mardina Cahyani</v>
      </c>
      <c r="N122" s="147" t="str">
        <f>'BIO DATA'!AN68</f>
        <v>081904084530</v>
      </c>
      <c r="O122" s="30" t="str">
        <f>'BIO DATA'!AE68</f>
        <v>PNS</v>
      </c>
      <c r="P122" s="30" t="str">
        <f>'BIO DATA'!AL68</f>
        <v>Guru/Dosen</v>
      </c>
      <c r="Q122" s="134" t="s">
        <v>228</v>
      </c>
    </row>
    <row r="123" spans="2:19" s="35" customFormat="1" ht="48" customHeight="1">
      <c r="B123" s="28">
        <v>7</v>
      </c>
      <c r="C123" s="29">
        <f>'BIO DATA'!C69</f>
        <v>12497</v>
      </c>
      <c r="D123" s="61" t="str">
        <f>'BIO DATA'!D69</f>
        <v>0135174627</v>
      </c>
      <c r="E123" s="30" t="str">
        <f>'BIO DATA'!E69</f>
        <v>Arsyad Farkhi Ismail</v>
      </c>
      <c r="F123" s="183" t="str">
        <f>'BIO DATA'!Y69</f>
        <v>SD Budi Mulia Muhammadiyah Adiwerna</v>
      </c>
      <c r="G123" s="185" t="s">
        <v>228</v>
      </c>
      <c r="H123" s="30" t="str">
        <f>'BIO DATA'!M69</f>
        <v>Tegal</v>
      </c>
      <c r="I123" s="136" t="str">
        <f>'BIO DATA'!P69</f>
        <v>21 Oktober 2013</v>
      </c>
      <c r="J123" s="30" t="str">
        <f>'BIO DATA'!S69</f>
        <v>Tembok Luwung RT 007 RW 002 Tembok Luwung Adiwerna Tegal Jawa Tengah 52194</v>
      </c>
      <c r="K123" s="30" t="str">
        <f>'BIO DATA'!AB69</f>
        <v>Abddul Ghofar Ismail MM</v>
      </c>
      <c r="L123" s="33" t="str">
        <f>'BIO DATA'!AG69</f>
        <v>085865251503</v>
      </c>
      <c r="M123" s="30" t="str">
        <f>'BIO DATA'!AI69</f>
        <v>Netty Amanati S.Pd.</v>
      </c>
      <c r="N123" s="147" t="str">
        <f>'BIO DATA'!AN69</f>
        <v>085842279111</v>
      </c>
      <c r="O123" s="30" t="str">
        <f>'BIO DATA'!AE69</f>
        <v>Karyawan Swasta</v>
      </c>
      <c r="P123" s="30" t="str">
        <f>'BIO DATA'!AL69</f>
        <v>Guru</v>
      </c>
      <c r="Q123" s="134" t="s">
        <v>228</v>
      </c>
    </row>
    <row r="124" spans="2:19" s="35" customFormat="1" ht="39" customHeight="1">
      <c r="B124" s="28">
        <v>8</v>
      </c>
      <c r="C124" s="29">
        <f>'BIO DATA'!C70</f>
        <v>12508</v>
      </c>
      <c r="D124" s="61" t="str">
        <f>'BIO DATA'!D70</f>
        <v>0131468905</v>
      </c>
      <c r="E124" s="30" t="str">
        <f>'BIO DATA'!E70</f>
        <v>Azfar Rayyan Al Farisi</v>
      </c>
      <c r="F124" s="183" t="str">
        <f>'BIO DATA'!Y70</f>
        <v>SDIT Mutiara Insani</v>
      </c>
      <c r="G124" s="71">
        <f>'BIO DATA'!I70</f>
        <v>1</v>
      </c>
      <c r="H124" s="30" t="str">
        <f>'BIO DATA'!M70</f>
        <v>Daya Asri</v>
      </c>
      <c r="I124" s="136" t="str">
        <f>'BIO DATA'!P70</f>
        <v>25 Maret 2013</v>
      </c>
      <c r="J124" s="30" t="str">
        <f>'BIO DATA'!S70</f>
        <v>Carikan RT 001 RW 002, Bumirejo, Lendah, Kulon Progo DIY</v>
      </c>
      <c r="K124" s="30" t="str">
        <f>'BIO DATA'!AB70</f>
        <v>M. Maulana Rizqy</v>
      </c>
      <c r="L124" s="33" t="str">
        <f>'BIO DATA'!AG70</f>
        <v>081328372297</v>
      </c>
      <c r="M124" s="30" t="str">
        <f>'BIO DATA'!AI70</f>
        <v>Al Fadillah Rhoziana</v>
      </c>
      <c r="N124" s="147" t="str">
        <f>'BIO DATA'!AN70</f>
        <v>082137119859</v>
      </c>
      <c r="O124" s="30" t="str">
        <f>'BIO DATA'!AE70</f>
        <v>Wiraswasta</v>
      </c>
      <c r="P124" s="30" t="str">
        <f>'BIO DATA'!AL70</f>
        <v>PNS</v>
      </c>
      <c r="Q124" s="134" t="s">
        <v>228</v>
      </c>
    </row>
    <row r="125" spans="2:19" s="35" customFormat="1" ht="38.25">
      <c r="B125" s="28">
        <v>9</v>
      </c>
      <c r="C125" s="29">
        <f>'BIO DATA'!C71</f>
        <v>12537</v>
      </c>
      <c r="D125" s="148" t="str">
        <f>'BIO DATA'!D71</f>
        <v>0138865646</v>
      </c>
      <c r="E125" s="30" t="str">
        <f>'BIO DATA'!E71</f>
        <v>Fadlliy Dzaka Triyono</v>
      </c>
      <c r="F125" s="183" t="str">
        <f>'BIO DATA'!Y71</f>
        <v>SD MBF Al Adzkiya</v>
      </c>
      <c r="G125" s="185" t="s">
        <v>228</v>
      </c>
      <c r="H125" s="30" t="str">
        <f>'BIO DATA'!M71</f>
        <v>Wonosobo</v>
      </c>
      <c r="I125" s="136" t="str">
        <f>'BIO DATA'!P71</f>
        <v>24 Juli 2013</v>
      </c>
      <c r="J125" s="30" t="str">
        <f>'BIO DATA'!S71</f>
        <v>Jlegong RT 004 RW 006 Pagerkukuh Wonosobo Wonosobo Jawa Tengah 56314</v>
      </c>
      <c r="K125" s="30" t="str">
        <f>'BIO DATA'!AB71</f>
        <v>Yuli Triyono</v>
      </c>
      <c r="L125" s="33" t="str">
        <f>'BIO DATA'!AG71</f>
        <v>081226805706</v>
      </c>
      <c r="M125" s="30" t="str">
        <f>'BIO DATA'!AI71</f>
        <v>Meri aprida</v>
      </c>
      <c r="N125" s="147" t="str">
        <f>'BIO DATA'!AN71</f>
        <v>081226805706</v>
      </c>
      <c r="O125" s="30" t="str">
        <f>'BIO DATA'!AE71</f>
        <v>Pegawai Swasta</v>
      </c>
      <c r="P125" s="30" t="str">
        <f>'BIO DATA'!AL71</f>
        <v>Wiraswasta</v>
      </c>
      <c r="Q125" s="183">
        <f>'BIO DATA'!H71</f>
        <v>0</v>
      </c>
    </row>
    <row r="126" spans="2:19" s="35" customFormat="1" ht="39" customHeight="1">
      <c r="B126" s="28">
        <v>10</v>
      </c>
      <c r="C126" s="29">
        <f>'BIO DATA'!C72</f>
        <v>12557</v>
      </c>
      <c r="D126" s="61" t="str">
        <f>'BIO DATA'!D72</f>
        <v>0134333794</v>
      </c>
      <c r="E126" s="30" t="str">
        <f>'BIO DATA'!E72</f>
        <v>Habibie Musthofa Reenosady</v>
      </c>
      <c r="F126" s="183" t="str">
        <f>'BIO DATA'!Y72</f>
        <v>SD Muhammadiyah Mutihan</v>
      </c>
      <c r="G126" s="71">
        <f>'BIO DATA'!I72</f>
        <v>2</v>
      </c>
      <c r="H126" s="30" t="str">
        <f>'BIO DATA'!M72</f>
        <v>Kulon Progo</v>
      </c>
      <c r="I126" s="136" t="str">
        <f>'BIO DATA'!P72</f>
        <v>4 Oktober 2013</v>
      </c>
      <c r="J126" s="30" t="str">
        <f>'BIO DATA'!S72</f>
        <v>Karang Tengah Lor RT 12 RW 06 Margosari Pengasih Kulon Progo Yogyakarta</v>
      </c>
      <c r="K126" s="30" t="str">
        <f>'BIO DATA'!AB72</f>
        <v>Untung Rosadi</v>
      </c>
      <c r="L126" s="33" t="str">
        <f>'BIO DATA'!AG72</f>
        <v>081325691645</v>
      </c>
      <c r="M126" s="30" t="str">
        <f>'BIO DATA'!AI72</f>
        <v>Dwi Astuti Rini</v>
      </c>
      <c r="N126" s="147" t="str">
        <f>'BIO DATA'!AN72</f>
        <v>082220355854</v>
      </c>
      <c r="O126" s="30" t="str">
        <f>'BIO DATA'!AE72</f>
        <v>Lain-lain</v>
      </c>
      <c r="P126" s="30" t="str">
        <f>'BIO DATA'!AL72</f>
        <v>Tidak Bekerja</v>
      </c>
      <c r="Q126" s="134" t="s">
        <v>228</v>
      </c>
    </row>
    <row r="127" spans="2:19" s="35" customFormat="1" ht="38.25">
      <c r="B127" s="28">
        <v>11</v>
      </c>
      <c r="C127" s="29">
        <f>'BIO DATA'!C73</f>
        <v>12568</v>
      </c>
      <c r="D127" s="148">
        <f>'BIO DATA'!D73</f>
        <v>3149122128</v>
      </c>
      <c r="E127" s="30" t="str">
        <f>'BIO DATA'!E73</f>
        <v>Hayatamam Al Abra</v>
      </c>
      <c r="F127" s="183" t="str">
        <f>'BIO DATA'!Y73</f>
        <v>MI Muhammadiyah Purwodadi, Tembarak, Temanggung.</v>
      </c>
      <c r="G127" s="185" t="s">
        <v>228</v>
      </c>
      <c r="H127" s="30" t="str">
        <f>'BIO DATA'!M73</f>
        <v>Temanggung</v>
      </c>
      <c r="I127" s="136" t="str">
        <f>'BIO DATA'!P73</f>
        <v>6 Juli 2013</v>
      </c>
      <c r="J127" s="30" t="str">
        <f>'BIO DATA'!S73</f>
        <v>Tlodas RT.01 / RW.02, Botoputih, Tembarak, Temanggung</v>
      </c>
      <c r="K127" s="30" t="str">
        <f>'BIO DATA'!AB73</f>
        <v>Erwin Susetyo</v>
      </c>
      <c r="L127" s="33" t="str">
        <f>'BIO DATA'!AG73</f>
        <v>085642642311</v>
      </c>
      <c r="M127" s="30" t="str">
        <f>'BIO DATA'!AI73</f>
        <v>Uun Rismawati</v>
      </c>
      <c r="N127" s="147" t="str">
        <f>'BIO DATA'!AN73</f>
        <v>085806112715</v>
      </c>
      <c r="O127" s="30">
        <f>'BIO DATA'!AE73</f>
        <v>0</v>
      </c>
      <c r="P127" s="30">
        <f>'BIO DATA'!AL73</f>
        <v>0</v>
      </c>
      <c r="Q127" s="134" t="s">
        <v>228</v>
      </c>
    </row>
    <row r="128" spans="2:19" s="35" customFormat="1" ht="25.5">
      <c r="B128" s="28">
        <v>12</v>
      </c>
      <c r="C128" s="29">
        <f>'BIO DATA'!C74</f>
        <v>12574</v>
      </c>
      <c r="D128" s="61" t="str">
        <f>'BIO DATA'!D74</f>
        <v>0129631772</v>
      </c>
      <c r="E128" s="30" t="str">
        <f>'BIO DATA'!E74</f>
        <v>Ibrahim Rizqy Nugroho</v>
      </c>
      <c r="F128" s="183" t="str">
        <f>'BIO DATA'!Y74</f>
        <v>SDIT JABAL NUR</v>
      </c>
      <c r="G128" s="71">
        <f>'BIO DATA'!I74</f>
        <v>0</v>
      </c>
      <c r="H128" s="30" t="str">
        <f>'BIO DATA'!M74</f>
        <v>Sleman</v>
      </c>
      <c r="I128" s="136" t="str">
        <f>'BIO DATA'!P74</f>
        <v>19 Februari 2013</v>
      </c>
      <c r="J128" s="30" t="str">
        <f>'BIO DATA'!S74</f>
        <v>JL. Margo Arum No 6A, Krapyak, Sidoarum. Godean, Sleman, DIY</v>
      </c>
      <c r="K128" s="30" t="str">
        <f>'BIO DATA'!AB74</f>
        <v>Hartady Nugroho</v>
      </c>
      <c r="L128" s="33" t="str">
        <f>'BIO DATA'!AG74</f>
        <v>08121550917</v>
      </c>
      <c r="M128" s="30" t="str">
        <f>'BIO DATA'!AI74</f>
        <v>Intan Delima Nur Bashirah</v>
      </c>
      <c r="N128" s="147" t="str">
        <f>'BIO DATA'!AN74</f>
        <v>087723394965</v>
      </c>
      <c r="O128" s="30" t="str">
        <f>'BIO DATA'!AE74</f>
        <v>Pegawai Swasta</v>
      </c>
      <c r="P128" s="30" t="str">
        <f>'BIO DATA'!AL74</f>
        <v>PNS</v>
      </c>
      <c r="Q128" s="134" t="s">
        <v>228</v>
      </c>
    </row>
    <row r="129" spans="2:19" s="35" customFormat="1" ht="38.25">
      <c r="B129" s="28">
        <v>13</v>
      </c>
      <c r="C129" s="29">
        <f>'BIO DATA'!C75</f>
        <v>12587</v>
      </c>
      <c r="D129" s="61" t="str">
        <f>'BIO DATA'!D75</f>
        <v>0133082547</v>
      </c>
      <c r="E129" s="30" t="str">
        <f>'BIO DATA'!E75</f>
        <v>Kenzie Abdurahman Haziq</v>
      </c>
      <c r="F129" s="183" t="str">
        <f>'BIO DATA'!Y75</f>
        <v>SD Muhammadiyah Purin</v>
      </c>
      <c r="G129" s="71">
        <f>'BIO DATA'!I75</f>
        <v>1</v>
      </c>
      <c r="H129" s="30" t="str">
        <f>'BIO DATA'!M75</f>
        <v>Padang</v>
      </c>
      <c r="I129" s="136" t="str">
        <f>'BIO DATA'!P75</f>
        <v>29 Juni 2013</v>
      </c>
      <c r="J129" s="30" t="str">
        <f>'BIO DATA'!S75</f>
        <v>Perum Graha Raya 2 No 570 Rt 007/011, Sarirejo, Kaliwungu, Kendal, Jawa Tengah</v>
      </c>
      <c r="K129" s="30" t="str">
        <f>'BIO DATA'!AB75</f>
        <v>Ardianto</v>
      </c>
      <c r="L129" s="33" t="str">
        <f>'BIO DATA'!AG75</f>
        <v>081227906381</v>
      </c>
      <c r="M129" s="30" t="str">
        <f>'BIO DATA'!AI75</f>
        <v>Peni Shoffiyati</v>
      </c>
      <c r="N129" s="147" t="str">
        <f>'BIO DATA'!AN75</f>
        <v>085274556988</v>
      </c>
      <c r="O129" s="30" t="str">
        <f>'BIO DATA'!AE75</f>
        <v>Wiraswasta</v>
      </c>
      <c r="P129" s="30" t="str">
        <f>'BIO DATA'!AL75</f>
        <v>PNS</v>
      </c>
      <c r="Q129" s="134" t="s">
        <v>228</v>
      </c>
    </row>
    <row r="130" spans="2:19" s="35" customFormat="1" ht="42" customHeight="1">
      <c r="B130" s="28">
        <v>14</v>
      </c>
      <c r="C130" s="29">
        <f>'BIO DATA'!C76</f>
        <v>12589</v>
      </c>
      <c r="D130" s="61" t="str">
        <f>'BIO DATA'!D76</f>
        <v>0141028916</v>
      </c>
      <c r="E130" s="30" t="str">
        <f>'BIO DATA'!E76</f>
        <v>Khadafi Atha Al Barra</v>
      </c>
      <c r="F130" s="183" t="str">
        <f>'BIO DATA'!Y76</f>
        <v>SDIT Cahaya Madani Pringsewu Lampung</v>
      </c>
      <c r="G130" s="71">
        <f>'BIO DATA'!I76</f>
        <v>1</v>
      </c>
      <c r="H130" s="30" t="str">
        <f>'BIO DATA'!M76</f>
        <v>Pringsewu</v>
      </c>
      <c r="I130" s="136" t="str">
        <f>'BIO DATA'!P76</f>
        <v>21 Maret 2014</v>
      </c>
      <c r="J130" s="30" t="str">
        <f>'BIO DATA'!S76</f>
        <v>Jalan Tani Pringsewu Barat kec. Pringsewu Kab. Pringsewu Lampung</v>
      </c>
      <c r="K130" s="30" t="str">
        <f>'BIO DATA'!AB76</f>
        <v>Rangga Apriandika</v>
      </c>
      <c r="L130" s="33" t="str">
        <f>'BIO DATA'!AG76</f>
        <v>081279635086</v>
      </c>
      <c r="M130" s="30" t="str">
        <f>'BIO DATA'!AI76</f>
        <v>Eka Aprilia</v>
      </c>
      <c r="N130" s="147" t="str">
        <f>'BIO DATA'!AN76</f>
        <v>081328224220</v>
      </c>
      <c r="O130" s="30" t="str">
        <f>'BIO DATA'!AE76</f>
        <v>Wiraswasta</v>
      </c>
      <c r="P130" s="30" t="str">
        <f>'BIO DATA'!AL76</f>
        <v>Pegawai Swasta</v>
      </c>
      <c r="Q130" s="134" t="s">
        <v>228</v>
      </c>
    </row>
    <row r="131" spans="2:19" s="35" customFormat="1" ht="38.25">
      <c r="B131" s="28">
        <v>15</v>
      </c>
      <c r="C131" s="29">
        <f>'BIO DATA'!C77</f>
        <v>12596</v>
      </c>
      <c r="D131" s="61" t="str">
        <f>'BIO DATA'!D77</f>
        <v>0142020609</v>
      </c>
      <c r="E131" s="30" t="str">
        <f>'BIO DATA'!E77</f>
        <v>Luqman Hakim</v>
      </c>
      <c r="F131" s="183" t="str">
        <f>'BIO DATA'!Y77</f>
        <v>SD Muhammadiyah Parakan</v>
      </c>
      <c r="G131" s="185" t="s">
        <v>228</v>
      </c>
      <c r="H131" s="30" t="str">
        <f>'BIO DATA'!M77</f>
        <v>Magelang</v>
      </c>
      <c r="I131" s="136" t="str">
        <f>'BIO DATA'!P77</f>
        <v>1 April 2014</v>
      </c>
      <c r="J131" s="30" t="str">
        <f>'BIO DATA'!S77</f>
        <v>Gondang Ngisor RT 9 RW 2 Kel. Manggong Kec. Ngadirejo Kab. Temanggung Jawa Tengah</v>
      </c>
      <c r="K131" s="30" t="str">
        <f>'BIO DATA'!AB77</f>
        <v>Aldino Prajanto</v>
      </c>
      <c r="L131" s="33" t="str">
        <f>'BIO DATA'!AG77</f>
        <v>089507640988</v>
      </c>
      <c r="M131" s="30" t="str">
        <f>'BIO DATA'!AI77</f>
        <v>Nur Rahma Yuliani</v>
      </c>
      <c r="N131" s="147" t="str">
        <f>'BIO DATA'!AN77</f>
        <v>08122770057</v>
      </c>
      <c r="O131" s="30" t="str">
        <f>'BIO DATA'!AE77</f>
        <v>Wiraswasta</v>
      </c>
      <c r="P131" s="30" t="str">
        <f>'BIO DATA'!AL77</f>
        <v>PNS</v>
      </c>
      <c r="Q131" s="183">
        <f>'BIO DATA'!H77</f>
        <v>0</v>
      </c>
    </row>
    <row r="132" spans="2:19" s="35" customFormat="1" ht="37.5" customHeight="1">
      <c r="B132" s="28">
        <v>16</v>
      </c>
      <c r="C132" s="105">
        <f>'BIO DATA'!C78</f>
        <v>12601</v>
      </c>
      <c r="D132" s="106" t="str">
        <f>'BIO DATA'!D78</f>
        <v>0132556509</v>
      </c>
      <c r="E132" s="107" t="str">
        <f>'BIO DATA'!E78</f>
        <v>Maulana Dzaki Husnayain</v>
      </c>
      <c r="F132" s="183" t="str">
        <f>'BIO DATA'!Y78</f>
        <v>SD IT Cahaya Insani Temanggung</v>
      </c>
      <c r="G132" s="71">
        <f>'BIO DATA'!I78</f>
        <v>2</v>
      </c>
      <c r="H132" s="30" t="str">
        <f>'BIO DATA'!M78</f>
        <v>Temanggung</v>
      </c>
      <c r="I132" s="136" t="str">
        <f>'BIO DATA'!P78</f>
        <v>17 Agustus 2013</v>
      </c>
      <c r="J132" s="30" t="str">
        <f>'BIO DATA'!S78</f>
        <v>Perum Kowangan Utama blok A No. 7 RT 003/005 Kowangan Temanggung Jawa Tengah</v>
      </c>
      <c r="K132" s="30" t="str">
        <f>'BIO DATA'!AB78</f>
        <v>Jianto</v>
      </c>
      <c r="L132" s="33" t="str">
        <f>'BIO DATA'!AG78</f>
        <v>081911308206</v>
      </c>
      <c r="M132" s="30" t="str">
        <f>'BIO DATA'!AI78</f>
        <v>Deby Widia Anggrainy</v>
      </c>
      <c r="N132" s="147" t="str">
        <f>'BIO DATA'!AN78</f>
        <v>085228000821</v>
      </c>
      <c r="O132" s="30" t="str">
        <f>'BIO DATA'!AE78</f>
        <v>TNI/Polri</v>
      </c>
      <c r="P132" s="30" t="str">
        <f>'BIO DATA'!AL78</f>
        <v>Pegawai Swasta</v>
      </c>
      <c r="Q132" s="134" t="s">
        <v>228</v>
      </c>
    </row>
    <row r="133" spans="2:19" s="35" customFormat="1" ht="38.25">
      <c r="B133" s="28">
        <v>17</v>
      </c>
      <c r="C133" s="29">
        <f>'BIO DATA'!C79</f>
        <v>12622</v>
      </c>
      <c r="D133" s="61" t="str">
        <f>'BIO DATA'!D79</f>
        <v>0138346222</v>
      </c>
      <c r="E133" s="30" t="str">
        <f>'BIO DATA'!E79</f>
        <v>Muhammad Azhar Nazhifurrahman</v>
      </c>
      <c r="F133" s="183" t="str">
        <f>'BIO DATA'!Y79</f>
        <v>MI Muhammadiyah samboja</v>
      </c>
      <c r="G133" s="71">
        <f>'BIO DATA'!I79</f>
        <v>2</v>
      </c>
      <c r="H133" s="30" t="str">
        <f>'BIO DATA'!M79</f>
        <v>Balikpapan</v>
      </c>
      <c r="I133" s="136" t="str">
        <f>'BIO DATA'!P79</f>
        <v>7 Desember 2013</v>
      </c>
      <c r="J133" s="30" t="str">
        <f>'BIO DATA'!S79</f>
        <v>Gunung Pasir No.80 RT 005 Kampung Lama Samboja Kutai Kartanegara Kalimantan Timur</v>
      </c>
      <c r="K133" s="30" t="str">
        <f>'BIO DATA'!AB79</f>
        <v>Sulistyo</v>
      </c>
      <c r="L133" s="33" t="str">
        <f>'BIO DATA'!AG79</f>
        <v>081349508890</v>
      </c>
      <c r="M133" s="30" t="str">
        <f>'BIO DATA'!AI79</f>
        <v>Desi Nor Hidayah</v>
      </c>
      <c r="N133" s="147" t="str">
        <f>'BIO DATA'!AN79</f>
        <v>081350249392</v>
      </c>
      <c r="O133" s="30" t="str">
        <f>'BIO DATA'!AE79</f>
        <v>PNS</v>
      </c>
      <c r="P133" s="30" t="str">
        <f>'BIO DATA'!AL79</f>
        <v>PNS</v>
      </c>
      <c r="Q133" s="134" t="s">
        <v>228</v>
      </c>
    </row>
    <row r="134" spans="2:19" s="35" customFormat="1" ht="37.5" customHeight="1">
      <c r="B134" s="28">
        <v>18</v>
      </c>
      <c r="C134" s="29">
        <f>'BIO DATA'!C80</f>
        <v>12626</v>
      </c>
      <c r="D134" s="61" t="str">
        <f>'BIO DATA'!D80</f>
        <v>0143211215</v>
      </c>
      <c r="E134" s="30" t="str">
        <f>'BIO DATA'!E80</f>
        <v>Muhammad Bilal Najmu Tsaqib</v>
      </c>
      <c r="F134" s="183" t="str">
        <f>'BIO DATA'!Y80</f>
        <v>SDIT Al Hikmah Cipayung Depok Jabar</v>
      </c>
      <c r="G134" s="71">
        <f>'BIO DATA'!I80</f>
        <v>3</v>
      </c>
      <c r="H134" s="30" t="str">
        <f>'BIO DATA'!M80</f>
        <v>Jakarta</v>
      </c>
      <c r="I134" s="136" t="str">
        <f>'BIO DATA'!P80</f>
        <v>15 Mei 2014</v>
      </c>
      <c r="J134" s="30" t="str">
        <f>'BIO DATA'!S80</f>
        <v>Blok Rambutan No.99 RT.01 RW.04 Cipayung Depok Jawa Barat</v>
      </c>
      <c r="K134" s="30" t="str">
        <f>'BIO DATA'!AB80</f>
        <v>Abdul Somad</v>
      </c>
      <c r="L134" s="33" t="str">
        <f>'BIO DATA'!AG80</f>
        <v>081285665132</v>
      </c>
      <c r="M134" s="30" t="str">
        <f>'BIO DATA'!AI80</f>
        <v>Siti Hamdanah</v>
      </c>
      <c r="N134" s="147" t="str">
        <f>'BIO DATA'!AN80</f>
        <v>081311095194</v>
      </c>
      <c r="O134" s="30" t="str">
        <f>'BIO DATA'!AE80</f>
        <v>PNS</v>
      </c>
      <c r="P134" s="30" t="str">
        <f>'BIO DATA'!AL80</f>
        <v>Pegawai Swasta</v>
      </c>
      <c r="Q134" s="183">
        <f>'BIO DATA'!H80</f>
        <v>0</v>
      </c>
    </row>
    <row r="135" spans="2:19" s="23" customFormat="1" ht="18.75">
      <c r="B135" s="59"/>
      <c r="C135" s="59"/>
      <c r="D135" s="59"/>
      <c r="E135" s="59"/>
      <c r="F135" s="59"/>
      <c r="G135" s="67"/>
      <c r="H135" s="59"/>
      <c r="I135" s="59"/>
      <c r="J135" s="59"/>
      <c r="K135" s="59"/>
      <c r="L135" s="59"/>
      <c r="M135" s="59" t="s">
        <v>202</v>
      </c>
      <c r="N135" s="59"/>
      <c r="O135" s="59"/>
      <c r="P135" s="59"/>
      <c r="Q135" s="59"/>
    </row>
    <row r="136" spans="2:19" s="26" customFormat="1" ht="15.75" customHeight="1">
      <c r="B136" s="414" t="s">
        <v>0</v>
      </c>
      <c r="C136" s="415" t="s">
        <v>147</v>
      </c>
      <c r="D136" s="416" t="s">
        <v>2</v>
      </c>
      <c r="E136" s="414" t="s">
        <v>3</v>
      </c>
      <c r="F136" s="414" t="s">
        <v>8</v>
      </c>
      <c r="G136" s="414" t="s">
        <v>148</v>
      </c>
      <c r="H136" s="414" t="s">
        <v>149</v>
      </c>
      <c r="I136" s="414"/>
      <c r="J136" s="414" t="s">
        <v>6</v>
      </c>
      <c r="K136" s="417" t="s">
        <v>150</v>
      </c>
      <c r="L136" s="417"/>
      <c r="M136" s="417"/>
      <c r="N136" s="417"/>
      <c r="O136" s="414" t="s">
        <v>151</v>
      </c>
      <c r="P136" s="414"/>
      <c r="Q136" s="414" t="s">
        <v>174</v>
      </c>
    </row>
    <row r="137" spans="2:19" s="26" customFormat="1" ht="15.75" customHeight="1">
      <c r="B137" s="414"/>
      <c r="C137" s="415"/>
      <c r="D137" s="416"/>
      <c r="E137" s="414"/>
      <c r="F137" s="414"/>
      <c r="G137" s="414"/>
      <c r="H137" s="388" t="s">
        <v>153</v>
      </c>
      <c r="I137" s="388" t="s">
        <v>154</v>
      </c>
      <c r="J137" s="414"/>
      <c r="K137" s="388" t="s">
        <v>155</v>
      </c>
      <c r="L137" s="389" t="s">
        <v>155</v>
      </c>
      <c r="M137" s="388" t="s">
        <v>156</v>
      </c>
      <c r="N137" s="389" t="s">
        <v>157</v>
      </c>
      <c r="O137" s="388" t="s">
        <v>158</v>
      </c>
      <c r="P137" s="388" t="s">
        <v>159</v>
      </c>
      <c r="Q137" s="414"/>
      <c r="R137" s="27"/>
      <c r="S137" s="27"/>
    </row>
    <row r="138" spans="2:19" s="35" customFormat="1" ht="40.5" customHeight="1">
      <c r="B138" s="28">
        <v>19</v>
      </c>
      <c r="C138" s="29">
        <f>'BIO DATA'!C81</f>
        <v>12628</v>
      </c>
      <c r="D138" s="61">
        <f>'BIO DATA'!D81</f>
        <v>3136838220</v>
      </c>
      <c r="E138" s="30" t="str">
        <f>'BIO DATA'!E81</f>
        <v>Muhammad Dhiaa El Haq</v>
      </c>
      <c r="F138" s="31" t="str">
        <f>'BIO DATA'!Y81</f>
        <v>MIN 1 Kota Cilegon</v>
      </c>
      <c r="G138" s="185" t="s">
        <v>228</v>
      </c>
      <c r="H138" s="30" t="str">
        <f>'BIO DATA'!M81</f>
        <v>Cilegon</v>
      </c>
      <c r="I138" s="137" t="str">
        <f>'BIO DATA'!P81</f>
        <v>14 Oktober 2013</v>
      </c>
      <c r="J138" s="30" t="str">
        <f>'BIO DATA'!S81</f>
        <v>Link. Sukamaju RT 001 RW 006 Mekasrsari Pulomerak Kota Cilegon Bamten</v>
      </c>
      <c r="K138" s="30" t="str">
        <f>'BIO DATA'!AB81</f>
        <v>Oman Fathurrohman</v>
      </c>
      <c r="L138" s="147" t="str">
        <f>'BIO DATA'!AG81</f>
        <v>085920036832</v>
      </c>
      <c r="M138" s="30" t="str">
        <f>'BIO DATA'!AI81</f>
        <v>Inna Mutmainnah</v>
      </c>
      <c r="N138" s="147" t="str">
        <f>'BIO DATA'!AN81</f>
        <v>082112471307</v>
      </c>
      <c r="O138" s="30" t="str">
        <f>'BIO DATA'!AE81</f>
        <v>PNS</v>
      </c>
      <c r="P138" s="30" t="str">
        <f>'BIO DATA'!AL81</f>
        <v>Pegawai Swasta</v>
      </c>
      <c r="Q138" s="183">
        <f>'BIO DATA'!H81</f>
        <v>0</v>
      </c>
    </row>
    <row r="139" spans="2:19" s="35" customFormat="1" ht="36" customHeight="1">
      <c r="B139" s="28">
        <v>20</v>
      </c>
      <c r="C139" s="29">
        <f>'BIO DATA'!C82</f>
        <v>12639</v>
      </c>
      <c r="D139" s="61">
        <f>'BIO DATA'!D82</f>
        <v>3136599897</v>
      </c>
      <c r="E139" s="30" t="str">
        <f>'BIO DATA'!E82</f>
        <v>Muhammad Hanif Adhinugraha</v>
      </c>
      <c r="F139" s="31" t="str">
        <f>'BIO DATA'!Y82</f>
        <v>SDIT Luqman Hakim Jogjakarta</v>
      </c>
      <c r="G139" s="185" t="s">
        <v>228</v>
      </c>
      <c r="H139" s="30" t="str">
        <f>'BIO DATA'!M82</f>
        <v>Yogyakarta</v>
      </c>
      <c r="I139" s="137" t="str">
        <f>'BIO DATA'!P82</f>
        <v>13 November 2013</v>
      </c>
      <c r="J139" s="30" t="str">
        <f>'BIO DATA'!S82</f>
        <v>Jalan Mutiara No.62 kelurahan Demangan kecamatan Gondokusuman 55221</v>
      </c>
      <c r="K139" s="30" t="str">
        <f>'BIO DATA'!AB82</f>
        <v>R. Teguh Adhi Nugraha, S. P</v>
      </c>
      <c r="L139" s="147" t="str">
        <f>'BIO DATA'!AG82</f>
        <v>081327992798</v>
      </c>
      <c r="M139" s="30" t="str">
        <f>'BIO DATA'!AI82</f>
        <v>Mila Emiliawati</v>
      </c>
      <c r="N139" s="147" t="str">
        <f>'BIO DATA'!AN82</f>
        <v>081390354336</v>
      </c>
      <c r="O139" s="30" t="str">
        <f>'BIO DATA'!AE82</f>
        <v>Pegawai Swasta</v>
      </c>
      <c r="P139" s="30" t="str">
        <f>'BIO DATA'!AL82</f>
        <v>Lain-lain</v>
      </c>
      <c r="Q139" s="183">
        <f>'BIO DATA'!H82</f>
        <v>0</v>
      </c>
    </row>
    <row r="140" spans="2:19" s="35" customFormat="1" ht="41.25" customHeight="1">
      <c r="B140" s="28">
        <v>21</v>
      </c>
      <c r="C140" s="29">
        <f>'BIO DATA'!C83</f>
        <v>12640</v>
      </c>
      <c r="D140" s="61" t="str">
        <f>'BIO DATA'!D83</f>
        <v>0135310873</v>
      </c>
      <c r="E140" s="30" t="str">
        <f>'BIO DATA'!E83</f>
        <v>Muhammad Ikhsan Fadhilah</v>
      </c>
      <c r="F140" s="31" t="str">
        <f>'BIO DATA'!Y83</f>
        <v>SD Muhammadiyah1 ketelan Surakarta</v>
      </c>
      <c r="G140" s="185" t="s">
        <v>228</v>
      </c>
      <c r="H140" s="30" t="str">
        <f>'BIO DATA'!M83</f>
        <v>Surakarta</v>
      </c>
      <c r="I140" s="137" t="str">
        <f>'BIO DATA'!P83</f>
        <v>27 Mei 2013</v>
      </c>
      <c r="J140" s="30" t="str">
        <f>'BIO DATA'!S83</f>
        <v>Jl.beton rt01 rw07 , Sewu, Jebres, Surakarta,Jawa Tengah, 57123</v>
      </c>
      <c r="K140" s="30" t="str">
        <f>'BIO DATA'!AB83</f>
        <v>Muhammad Sarqoni</v>
      </c>
      <c r="L140" s="147" t="str">
        <f>'BIO DATA'!AG83</f>
        <v>081225888877</v>
      </c>
      <c r="M140" s="30" t="str">
        <f>'BIO DATA'!AI83</f>
        <v>Ayu Diana Sartika</v>
      </c>
      <c r="N140" s="147" t="str">
        <f>'BIO DATA'!AN83</f>
        <v>082286754848</v>
      </c>
      <c r="O140" s="30" t="str">
        <f>'BIO DATA'!AE83</f>
        <v>Wiraswasta</v>
      </c>
      <c r="P140" s="30" t="str">
        <f>'BIO DATA'!AL83</f>
        <v>Tidak Bekerja</v>
      </c>
      <c r="Q140" s="134" t="s">
        <v>228</v>
      </c>
    </row>
    <row r="141" spans="2:19" s="35" customFormat="1" ht="37.5" customHeight="1">
      <c r="B141" s="28">
        <v>22</v>
      </c>
      <c r="C141" s="29">
        <f>'BIO DATA'!C84</f>
        <v>12641</v>
      </c>
      <c r="D141" s="61" t="str">
        <f>'BIO DATA'!D84</f>
        <v>0138313709</v>
      </c>
      <c r="E141" s="30" t="str">
        <f>'BIO DATA'!E84</f>
        <v>Muhammad Irsyad Wijaya</v>
      </c>
      <c r="F141" s="31" t="str">
        <f>'BIO DATA'!Y84</f>
        <v>MIN 2 Karanganyar</v>
      </c>
      <c r="G141" s="185" t="s">
        <v>228</v>
      </c>
      <c r="H141" s="30" t="str">
        <f>'BIO DATA'!M84</f>
        <v>Yogyakarta</v>
      </c>
      <c r="I141" s="137" t="str">
        <f>'BIO DATA'!P84</f>
        <v>11 April 2013</v>
      </c>
      <c r="J141" s="30" t="str">
        <f>'BIO DATA'!S84</f>
        <v>Gunungrejo RT 07 RW 07 Bulurejo, kecamatan Gondangrejo, Karanganyar Jawa Tengah 57188</v>
      </c>
      <c r="K141" s="30" t="str">
        <f>'BIO DATA'!AB84</f>
        <v>Agus Supriyanto</v>
      </c>
      <c r="L141" s="147" t="str">
        <f>'BIO DATA'!AG84</f>
        <v>081292922299</v>
      </c>
      <c r="M141" s="30" t="str">
        <f>'BIO DATA'!AI84</f>
        <v>Siska Wijayanti</v>
      </c>
      <c r="N141" s="147" t="str">
        <f>'BIO DATA'!AN84</f>
        <v>0812962521</v>
      </c>
      <c r="O141" s="30" t="str">
        <f>'BIO DATA'!AE84</f>
        <v>Wiraswasta</v>
      </c>
      <c r="P141" s="30" t="str">
        <f>'BIO DATA'!AL84</f>
        <v>Tidak Bekerja</v>
      </c>
      <c r="Q141" s="134" t="s">
        <v>228</v>
      </c>
    </row>
    <row r="142" spans="2:19" s="35" customFormat="1" ht="40.5" customHeight="1">
      <c r="B142" s="28">
        <v>23</v>
      </c>
      <c r="C142" s="29">
        <f>'BIO DATA'!C85</f>
        <v>12642</v>
      </c>
      <c r="D142" s="61" t="str">
        <f>'BIO DATA'!D85</f>
        <v>0133893858</v>
      </c>
      <c r="E142" s="30" t="str">
        <f>'BIO DATA'!E85</f>
        <v>Muhammad Jibril Assyafi Syaifullah</v>
      </c>
      <c r="F142" s="31" t="str">
        <f>'BIO DATA'!Y85</f>
        <v>SD Muhammadiyah Jogokariyan</v>
      </c>
      <c r="G142" s="185" t="s">
        <v>228</v>
      </c>
      <c r="H142" s="30" t="str">
        <f>'BIO DATA'!M85</f>
        <v>Bantul</v>
      </c>
      <c r="I142" s="137" t="str">
        <f>'BIO DATA'!P85</f>
        <v>20 Mei 2013</v>
      </c>
      <c r="J142" s="30" t="str">
        <f>'BIO DATA'!S85</f>
        <v>Krapyak Wetan RT 11 Panggung harjo Sewon Bantul</v>
      </c>
      <c r="K142" s="30" t="str">
        <f>'BIO DATA'!AB85</f>
        <v>Miftah Syaiful Huda, S. PdI (Alm)</v>
      </c>
      <c r="L142" s="147">
        <f>'BIO DATA'!AG85</f>
        <v>0</v>
      </c>
      <c r="M142" s="30" t="str">
        <f>'BIO DATA'!AI85</f>
        <v>Fitri Rachmawati, S. Pd.</v>
      </c>
      <c r="N142" s="147" t="str">
        <f>'BIO DATA'!AN85</f>
        <v>085643060551</v>
      </c>
      <c r="O142" s="30" t="str">
        <f>'BIO DATA'!AE85</f>
        <v>Tidak Bekerja</v>
      </c>
      <c r="P142" s="30" t="str">
        <f>'BIO DATA'!AL85</f>
        <v>Guru/Dosen</v>
      </c>
      <c r="Q142" s="134" t="s">
        <v>228</v>
      </c>
    </row>
    <row r="143" spans="2:19" s="35" customFormat="1" ht="43.5" customHeight="1">
      <c r="B143" s="28">
        <v>24</v>
      </c>
      <c r="C143" s="29">
        <f>'BIO DATA'!C86</f>
        <v>12652</v>
      </c>
      <c r="D143" s="61" t="str">
        <f>'BIO DATA'!D86</f>
        <v>0146052377</v>
      </c>
      <c r="E143" s="30" t="str">
        <f>'BIO DATA'!E86</f>
        <v>Muhammad Rayhan Ar Rayyan Wijaya</v>
      </c>
      <c r="F143" s="31" t="str">
        <f>'BIO DATA'!Y86</f>
        <v>SD Muhammadiyah GKB 2 Gresik</v>
      </c>
      <c r="G143" s="185" t="s">
        <v>228</v>
      </c>
      <c r="H143" s="30" t="str">
        <f>'BIO DATA'!M86</f>
        <v>Malang</v>
      </c>
      <c r="I143" s="137" t="str">
        <f>'BIO DATA'!P86</f>
        <v>8 Maret 2014</v>
      </c>
      <c r="J143" s="30" t="str">
        <f>'BIO DATA'!S86</f>
        <v>Jln Topaz XI no 1 pondok permata suci gresik</v>
      </c>
      <c r="K143" s="30" t="str">
        <f>'BIO DATA'!AB86</f>
        <v>Adhi Wahyu Wijaya, SE</v>
      </c>
      <c r="L143" s="147" t="str">
        <f>'BIO DATA'!AG86</f>
        <v>081333003001</v>
      </c>
      <c r="M143" s="30" t="str">
        <f>'BIO DATA'!AI86</f>
        <v>Ricky Destanty Santoso</v>
      </c>
      <c r="N143" s="147" t="str">
        <f>'BIO DATA'!AN86</f>
        <v>082230669911</v>
      </c>
      <c r="O143" s="30" t="str">
        <f>'BIO DATA'!AE86</f>
        <v>Karyawan Swasta</v>
      </c>
      <c r="P143" s="30" t="str">
        <f>'BIO DATA'!AL86</f>
        <v>PNS</v>
      </c>
      <c r="Q143" s="134" t="s">
        <v>228</v>
      </c>
    </row>
    <row r="144" spans="2:19" s="35" customFormat="1" ht="38.25">
      <c r="B144" s="28">
        <v>25</v>
      </c>
      <c r="C144" s="29">
        <f>'BIO DATA'!C87</f>
        <v>12663</v>
      </c>
      <c r="D144" s="61">
        <f>'BIO DATA'!D87</f>
        <v>3144833203</v>
      </c>
      <c r="E144" s="30" t="str">
        <f>'BIO DATA'!E87</f>
        <v>Nabiyulloh Ibnu Huda</v>
      </c>
      <c r="F144" s="31" t="str">
        <f>'BIO DATA'!Y87</f>
        <v>SD Integral Luqman Al-Hakim Samarinda</v>
      </c>
      <c r="G144" s="185" t="s">
        <v>228</v>
      </c>
      <c r="H144" s="30" t="str">
        <f>'BIO DATA'!M87</f>
        <v>Tenggarong</v>
      </c>
      <c r="I144" s="137" t="str">
        <f>'BIO DATA'!P87</f>
        <v>12 November 2014</v>
      </c>
      <c r="J144" s="30" t="str">
        <f>'BIO DATA'!S87</f>
        <v>Jl. Flamboyan No. 49 RT.13 Sukarame Tenggarong Kutai Kartanegara Kalimantan Timur</v>
      </c>
      <c r="K144" s="30" t="str">
        <f>'BIO DATA'!AB87</f>
        <v>Baqi Pradana</v>
      </c>
      <c r="L144" s="147" t="str">
        <f>'BIO DATA'!AG87</f>
        <v>085250677550</v>
      </c>
      <c r="M144" s="30" t="str">
        <f>'BIO DATA'!AI87</f>
        <v>Nur Husna Hakim</v>
      </c>
      <c r="N144" s="147" t="str">
        <f>'BIO DATA'!AN87</f>
        <v>085285634056</v>
      </c>
      <c r="O144" s="30" t="str">
        <f>'BIO DATA'!AE87</f>
        <v>Wiraswasta</v>
      </c>
      <c r="P144" s="30" t="str">
        <f>'BIO DATA'!AL87</f>
        <v>Lain-lain</v>
      </c>
      <c r="Q144" s="134" t="s">
        <v>228</v>
      </c>
    </row>
    <row r="145" spans="2:17" s="35" customFormat="1" ht="25.5">
      <c r="B145" s="28">
        <v>26</v>
      </c>
      <c r="C145" s="29">
        <f>'BIO DATA'!C88</f>
        <v>12683</v>
      </c>
      <c r="D145" s="61" t="str">
        <f>'BIO DATA'!D88</f>
        <v>0141918615</v>
      </c>
      <c r="E145" s="30" t="str">
        <f>'BIO DATA'!E88</f>
        <v>Rafiandra Yusuf Al-Ghifari</v>
      </c>
      <c r="F145" s="31" t="str">
        <f>'BIO DATA'!Y88</f>
        <v>SD Islam Terpadu Bakti Insani</v>
      </c>
      <c r="G145" s="185" t="s">
        <v>228</v>
      </c>
      <c r="H145" s="30" t="str">
        <f>'BIO DATA'!M88</f>
        <v>Sleman</v>
      </c>
      <c r="I145" s="137" t="str">
        <f>'BIO DATA'!P88</f>
        <v>18 Januari 2014</v>
      </c>
      <c r="J145" s="30" t="str">
        <f>'BIO DATA'!S88</f>
        <v>Sucen Triharjo Sleman</v>
      </c>
      <c r="K145" s="30" t="str">
        <f>'BIO DATA'!AB88</f>
        <v>Jemikun</v>
      </c>
      <c r="L145" s="147" t="str">
        <f>'BIO DATA'!AG88</f>
        <v>081392001667</v>
      </c>
      <c r="M145" s="30" t="str">
        <f>'BIO DATA'!AI88</f>
        <v>Khairun Nisak</v>
      </c>
      <c r="N145" s="147" t="str">
        <f>'BIO DATA'!AN88</f>
        <v>08562936886</v>
      </c>
      <c r="O145" s="30" t="str">
        <f>'BIO DATA'!AE88</f>
        <v>Wiraswasta</v>
      </c>
      <c r="P145" s="30" t="str">
        <f>'BIO DATA'!AL88</f>
        <v>Pegawai Swasta</v>
      </c>
      <c r="Q145" s="134" t="s">
        <v>228</v>
      </c>
    </row>
    <row r="146" spans="2:17" s="35" customFormat="1" ht="37.5" customHeight="1">
      <c r="B146" s="28">
        <v>27</v>
      </c>
      <c r="C146" s="29">
        <f>'BIO DATA'!C89</f>
        <v>12684</v>
      </c>
      <c r="D146" s="61" t="str">
        <f>'BIO DATA'!D89</f>
        <v>0132626534</v>
      </c>
      <c r="E146" s="30" t="str">
        <f>'BIO DATA'!E89</f>
        <v>Raihan Nizar Daniswara</v>
      </c>
      <c r="F146" s="31" t="str">
        <f>'BIO DATA'!Y89</f>
        <v>SD Muhammadiyah 10 Balongbendo Sidoarjo</v>
      </c>
      <c r="G146" s="185" t="s">
        <v>228</v>
      </c>
      <c r="H146" s="30" t="str">
        <f>'BIO DATA'!M89</f>
        <v>Sidoarjo</v>
      </c>
      <c r="I146" s="137" t="str">
        <f>'BIO DATA'!P89</f>
        <v>22 Juni 2013</v>
      </c>
      <c r="J146" s="30" t="str">
        <f>'BIO DATA'!S89</f>
        <v>Desa Wonokarang RT.01 RW. 01 Balongbendo Bendo Sidoarjo Jawa Timur</v>
      </c>
      <c r="K146" s="30" t="str">
        <f>'BIO DATA'!AB89</f>
        <v>Dinar Daniswara</v>
      </c>
      <c r="L146" s="147" t="str">
        <f>'BIO DATA'!AG89</f>
        <v>081938456345</v>
      </c>
      <c r="M146" s="30" t="str">
        <f>'BIO DATA'!AI89</f>
        <v>Meirintasari</v>
      </c>
      <c r="N146" s="147" t="str">
        <f>'BIO DATA'!AN89</f>
        <v>08121637275</v>
      </c>
      <c r="O146" s="30" t="str">
        <f>'BIO DATA'!AE89</f>
        <v>Pegawai Swasta</v>
      </c>
      <c r="P146" s="30" t="str">
        <f>'BIO DATA'!AL89</f>
        <v>Pegawai Swasta</v>
      </c>
      <c r="Q146" s="134" t="s">
        <v>228</v>
      </c>
    </row>
    <row r="147" spans="2:17" s="35" customFormat="1" ht="25.5">
      <c r="B147" s="28">
        <v>28</v>
      </c>
      <c r="C147" s="29">
        <f>'BIO DATA'!C90</f>
        <v>12695</v>
      </c>
      <c r="D147" s="61" t="str">
        <f>'BIO DATA'!D90</f>
        <v>0138273662</v>
      </c>
      <c r="E147" s="30" t="str">
        <f>'BIO DATA'!E90</f>
        <v>Reffa Al-Azhar Subagiyo</v>
      </c>
      <c r="F147" s="31" t="str">
        <f>'BIO DATA'!Y90</f>
        <v>MIM Kertek Wonosobo</v>
      </c>
      <c r="G147" s="185" t="s">
        <v>228</v>
      </c>
      <c r="H147" s="30" t="str">
        <f>'BIO DATA'!M90</f>
        <v>Wonosobo</v>
      </c>
      <c r="I147" s="137" t="str">
        <f>'BIO DATA'!P90</f>
        <v>24 Mei 2013</v>
      </c>
      <c r="J147" s="30" t="str">
        <f>'BIO DATA'!S90</f>
        <v>Kalicecep RT 15 RW 03 bejiarum kertek Wonosobo</v>
      </c>
      <c r="K147" s="30" t="str">
        <f>'BIO DATA'!AB90</f>
        <v>Subagiyo</v>
      </c>
      <c r="L147" s="147" t="str">
        <f>'BIO DATA'!AG90</f>
        <v>085291146676</v>
      </c>
      <c r="M147" s="30" t="str">
        <f>'BIO DATA'!AI90</f>
        <v>Rusiyam</v>
      </c>
      <c r="N147" s="147" t="str">
        <f>'BIO DATA'!AN90</f>
        <v>0882006219425</v>
      </c>
      <c r="O147" s="30" t="str">
        <f>'BIO DATA'!AE90</f>
        <v>Wiraswasta</v>
      </c>
      <c r="P147" s="30" t="str">
        <f>'BIO DATA'!AL90</f>
        <v>Tidak Bekerja</v>
      </c>
      <c r="Q147" s="134" t="s">
        <v>228</v>
      </c>
    </row>
    <row r="148" spans="2:17" s="35" customFormat="1" ht="42" customHeight="1">
      <c r="B148" s="28">
        <v>29</v>
      </c>
      <c r="C148" s="29">
        <f>'BIO DATA'!C91</f>
        <v>12713</v>
      </c>
      <c r="D148" s="61">
        <f>'BIO DATA'!D91</f>
        <v>3133366713</v>
      </c>
      <c r="E148" s="30" t="str">
        <f>'BIO DATA'!E91</f>
        <v>Wenang Eglo Arto</v>
      </c>
      <c r="F148" s="31" t="str">
        <f>'BIO DATA'!Y91</f>
        <v>Sekolah Dasar Islam Al Furqan</v>
      </c>
      <c r="G148" s="185" t="s">
        <v>228</v>
      </c>
      <c r="H148" s="30" t="str">
        <f>'BIO DATA'!M91</f>
        <v>Kebumen</v>
      </c>
      <c r="I148" s="137" t="str">
        <f>'BIO DATA'!P91</f>
        <v>9 November 2013</v>
      </c>
      <c r="J148" s="30" t="str">
        <f>'BIO DATA'!S91</f>
        <v>Dusun Kauman RT 004 RW 002 Wergonayan Mirit Kebumen Jawa Tengah 54395</v>
      </c>
      <c r="K148" s="30" t="str">
        <f>'BIO DATA'!AB91</f>
        <v>Ani Musagil</v>
      </c>
      <c r="L148" s="147" t="str">
        <f>'BIO DATA'!AG91</f>
        <v>085728562026</v>
      </c>
      <c r="M148" s="30" t="str">
        <f>'BIO DATA'!AI91</f>
        <v>Endarsih</v>
      </c>
      <c r="N148" s="147" t="str">
        <f>'BIO DATA'!AN91</f>
        <v>081391737179</v>
      </c>
      <c r="O148" s="30" t="str">
        <f>'BIO DATA'!AE91</f>
        <v>Pegawai Swasta</v>
      </c>
      <c r="P148" s="30" t="str">
        <f>'BIO DATA'!AL91</f>
        <v>Pegawai Swasta</v>
      </c>
      <c r="Q148" s="134" t="s">
        <v>228</v>
      </c>
    </row>
    <row r="149" spans="2:17" s="35" customFormat="1" ht="39.75" customHeight="1">
      <c r="B149" s="28">
        <v>30</v>
      </c>
      <c r="C149" s="29">
        <f>'BIO DATA'!C92</f>
        <v>12722</v>
      </c>
      <c r="D149" s="61" t="str">
        <f>'BIO DATA'!D92</f>
        <v>0139369736</v>
      </c>
      <c r="E149" s="30" t="str">
        <f>'BIO DATA'!E92</f>
        <v>Zhafran Ramadhan</v>
      </c>
      <c r="F149" s="31" t="str">
        <f>'BIO DATA'!Y92</f>
        <v>SDIT Al Mustaqim Tarakan</v>
      </c>
      <c r="G149" s="185" t="s">
        <v>228</v>
      </c>
      <c r="H149" s="30" t="str">
        <f>'BIO DATA'!M92</f>
        <v>Tarakan</v>
      </c>
      <c r="I149" s="137" t="str">
        <f>'BIO DATA'!P92</f>
        <v>4 Agustus 2013</v>
      </c>
      <c r="J149" s="30" t="str">
        <f>'BIO DATA'!S92</f>
        <v>, JL. KH. Dewantara Rt.12  Kelurahan Karang balik, Tarakan, Tarakan Barat, Kalimantan Utara</v>
      </c>
      <c r="K149" s="30" t="str">
        <f>'BIO DATA'!AB92</f>
        <v>Rahmat</v>
      </c>
      <c r="L149" s="147" t="str">
        <f>'BIO DATA'!AG92</f>
        <v>081257218455</v>
      </c>
      <c r="M149" s="30" t="str">
        <f>'BIO DATA'!AI92</f>
        <v>Kasna</v>
      </c>
      <c r="N149" s="147" t="str">
        <f>'BIO DATA'!AN92</f>
        <v>081314683232</v>
      </c>
      <c r="O149" s="30" t="str">
        <f>'BIO DATA'!AE92</f>
        <v>Wiraswasta</v>
      </c>
      <c r="P149" s="30" t="str">
        <f>'BIO DATA'!AL92</f>
        <v>Tidak Bekerja</v>
      </c>
      <c r="Q149" s="134" t="s">
        <v>228</v>
      </c>
    </row>
    <row r="150" spans="2:17" s="35" customFormat="1">
      <c r="B150" s="37"/>
      <c r="C150" s="38"/>
      <c r="D150" s="123"/>
      <c r="E150" s="39"/>
      <c r="F150" s="34"/>
      <c r="G150" s="124"/>
      <c r="H150" s="39"/>
      <c r="I150" s="141"/>
      <c r="J150" s="39"/>
      <c r="K150" s="39"/>
      <c r="L150" s="142"/>
      <c r="M150" s="39"/>
      <c r="N150" s="140"/>
      <c r="O150" s="39"/>
      <c r="P150" s="140"/>
      <c r="Q150" s="140"/>
    </row>
    <row r="151" spans="2:17" s="35" customFormat="1">
      <c r="B151" s="37"/>
      <c r="C151" s="38"/>
      <c r="D151" s="123"/>
      <c r="E151" s="39"/>
      <c r="F151" s="34"/>
      <c r="G151" s="124"/>
      <c r="H151" s="39"/>
      <c r="I151" s="141"/>
      <c r="J151" s="39"/>
      <c r="K151" s="39"/>
      <c r="L151" s="142"/>
      <c r="M151" s="39"/>
      <c r="N151" s="140"/>
      <c r="O151" s="39"/>
      <c r="P151" s="140"/>
      <c r="Q151" s="140"/>
    </row>
    <row r="152" spans="2:17" s="35" customFormat="1">
      <c r="B152" s="37"/>
      <c r="C152" s="38"/>
      <c r="D152" s="123"/>
      <c r="E152" s="39"/>
      <c r="F152" s="34"/>
      <c r="G152" s="124"/>
      <c r="H152" s="39"/>
      <c r="I152" s="141"/>
      <c r="J152" s="39"/>
      <c r="K152" s="39"/>
      <c r="L152" s="142"/>
      <c r="M152" s="39"/>
      <c r="N152" s="140"/>
      <c r="O152" s="39"/>
      <c r="P152" s="140"/>
      <c r="Q152" s="140"/>
    </row>
    <row r="153" spans="2:17" s="35" customFormat="1">
      <c r="B153" s="37"/>
      <c r="C153" s="38"/>
      <c r="D153" s="123"/>
      <c r="E153" s="39"/>
      <c r="F153" s="34"/>
      <c r="G153" s="124"/>
      <c r="H153" s="39"/>
      <c r="I153" s="141"/>
      <c r="J153" s="39"/>
      <c r="K153" s="39"/>
      <c r="L153" s="142"/>
      <c r="M153" s="39"/>
      <c r="N153" s="140"/>
      <c r="O153" s="39"/>
      <c r="P153" s="140"/>
      <c r="Q153" s="140"/>
    </row>
    <row r="154" spans="2:17" s="35" customFormat="1">
      <c r="B154" s="37"/>
      <c r="C154" s="38"/>
      <c r="D154" s="123"/>
      <c r="E154" s="39"/>
      <c r="F154" s="34"/>
      <c r="G154" s="124"/>
      <c r="H154" s="39"/>
      <c r="I154" s="141"/>
      <c r="J154" s="39"/>
      <c r="K154" s="39"/>
      <c r="L154" s="142"/>
      <c r="M154" s="39"/>
      <c r="N154" s="140"/>
      <c r="O154" s="39"/>
      <c r="P154" s="140"/>
      <c r="Q154" s="140"/>
    </row>
    <row r="155" spans="2:17" s="35" customFormat="1">
      <c r="B155" s="37"/>
      <c r="C155" s="38"/>
      <c r="D155" s="123"/>
      <c r="E155" s="39"/>
      <c r="F155" s="34"/>
      <c r="G155" s="124"/>
      <c r="H155" s="39"/>
      <c r="I155" s="141"/>
      <c r="J155" s="39"/>
      <c r="K155" s="39"/>
      <c r="L155" s="142"/>
      <c r="M155" s="39"/>
      <c r="N155" s="140"/>
      <c r="O155" s="39"/>
      <c r="P155" s="140"/>
      <c r="Q155" s="140"/>
    </row>
    <row r="156" spans="2:17" s="35" customFormat="1">
      <c r="B156" s="37"/>
      <c r="C156" s="38"/>
      <c r="D156" s="123"/>
      <c r="E156" s="39"/>
      <c r="F156" s="34"/>
      <c r="G156" s="124"/>
      <c r="H156" s="39"/>
      <c r="I156" s="141"/>
      <c r="J156" s="39"/>
      <c r="K156" s="39"/>
      <c r="L156" s="142"/>
      <c r="M156" s="39"/>
      <c r="N156" s="140"/>
      <c r="O156" s="39"/>
      <c r="P156" s="140"/>
      <c r="Q156" s="140"/>
    </row>
    <row r="157" spans="2:17" s="35" customFormat="1">
      <c r="B157" s="37"/>
      <c r="C157" s="38"/>
      <c r="D157" s="123"/>
      <c r="E157" s="39"/>
      <c r="F157" s="34"/>
      <c r="G157" s="124"/>
      <c r="H157" s="39"/>
      <c r="I157" s="141"/>
      <c r="J157" s="39"/>
      <c r="K157" s="39"/>
      <c r="L157" s="142"/>
      <c r="M157" s="39"/>
      <c r="N157" s="140"/>
      <c r="O157" s="39"/>
      <c r="P157" s="140"/>
      <c r="Q157" s="140"/>
    </row>
    <row r="158" spans="2:17" s="35" customFormat="1">
      <c r="B158" s="37"/>
      <c r="C158" s="38"/>
      <c r="D158" s="123"/>
      <c r="E158" s="39"/>
      <c r="F158" s="34"/>
      <c r="G158" s="124"/>
      <c r="H158" s="39"/>
      <c r="I158" s="141"/>
      <c r="J158" s="39"/>
      <c r="K158" s="39"/>
      <c r="L158" s="142"/>
      <c r="M158" s="39"/>
      <c r="N158" s="140"/>
      <c r="O158" s="39"/>
      <c r="P158" s="140"/>
      <c r="Q158" s="140"/>
    </row>
    <row r="159" spans="2:17" s="35" customFormat="1">
      <c r="B159" s="37"/>
      <c r="C159" s="38"/>
      <c r="D159" s="123"/>
      <c r="E159" s="39"/>
      <c r="F159" s="34"/>
      <c r="G159" s="124"/>
      <c r="H159" s="39"/>
      <c r="I159" s="141"/>
      <c r="J159" s="39"/>
      <c r="K159" s="39"/>
      <c r="L159" s="142"/>
      <c r="M159" s="39"/>
      <c r="N159" s="140"/>
      <c r="O159" s="39"/>
      <c r="P159" s="140"/>
      <c r="Q159" s="140"/>
    </row>
    <row r="160" spans="2:17" s="35" customFormat="1">
      <c r="B160" s="37"/>
      <c r="C160" s="38"/>
      <c r="D160" s="123"/>
      <c r="E160" s="39"/>
      <c r="F160" s="34"/>
      <c r="G160" s="124"/>
      <c r="H160" s="39"/>
      <c r="I160" s="141"/>
      <c r="J160" s="39"/>
      <c r="K160" s="39"/>
      <c r="L160" s="142"/>
      <c r="M160" s="39"/>
      <c r="N160" s="140"/>
      <c r="O160" s="39"/>
      <c r="P160" s="140"/>
      <c r="Q160" s="140"/>
    </row>
    <row r="161" spans="2:19" s="35" customFormat="1">
      <c r="B161" s="37"/>
      <c r="C161" s="38"/>
      <c r="D161" s="123"/>
      <c r="E161" s="39"/>
      <c r="F161" s="34"/>
      <c r="G161" s="124"/>
      <c r="H161" s="39"/>
      <c r="I161" s="141"/>
      <c r="J161" s="39"/>
      <c r="K161" s="39"/>
      <c r="L161" s="142"/>
      <c r="M161" s="39"/>
      <c r="N161" s="140"/>
      <c r="O161" s="39"/>
      <c r="P161" s="140"/>
      <c r="Q161" s="140"/>
    </row>
    <row r="162" spans="2:19" s="35" customFormat="1">
      <c r="B162" s="37"/>
      <c r="C162" s="38"/>
      <c r="D162" s="123"/>
      <c r="E162" s="39"/>
      <c r="F162" s="34"/>
      <c r="G162" s="124"/>
      <c r="H162" s="39"/>
      <c r="I162" s="141"/>
      <c r="J162" s="39"/>
      <c r="K162" s="39"/>
      <c r="L162" s="142"/>
      <c r="M162" s="39"/>
      <c r="N162" s="140"/>
      <c r="O162" s="39"/>
      <c r="P162" s="140"/>
      <c r="Q162" s="140"/>
    </row>
    <row r="163" spans="2:19" s="35" customFormat="1">
      <c r="B163" s="37"/>
      <c r="C163" s="38"/>
      <c r="D163" s="123"/>
      <c r="E163" s="39"/>
      <c r="F163" s="34"/>
      <c r="G163" s="124"/>
      <c r="H163" s="39"/>
      <c r="I163" s="141"/>
      <c r="J163" s="39"/>
      <c r="K163" s="39"/>
      <c r="L163" s="142"/>
      <c r="M163" s="39"/>
      <c r="N163" s="140"/>
      <c r="O163" s="39"/>
      <c r="P163" s="140"/>
      <c r="Q163" s="140"/>
    </row>
    <row r="164" spans="2:19" s="35" customFormat="1">
      <c r="B164" s="37"/>
      <c r="C164" s="38"/>
      <c r="D164" s="123"/>
      <c r="E164" s="39"/>
      <c r="F164" s="34"/>
      <c r="G164" s="124"/>
      <c r="H164" s="39"/>
      <c r="I164" s="141"/>
      <c r="J164" s="39"/>
      <c r="K164" s="39"/>
      <c r="L164" s="142"/>
      <c r="M164" s="39"/>
      <c r="N164" s="140"/>
      <c r="O164" s="39"/>
      <c r="P164" s="140"/>
      <c r="Q164" s="140"/>
    </row>
    <row r="165" spans="2:19" s="35" customFormat="1">
      <c r="B165" s="37"/>
      <c r="C165" s="38"/>
      <c r="D165" s="123"/>
      <c r="E165" s="39"/>
      <c r="F165" s="34"/>
      <c r="G165" s="124"/>
      <c r="H165" s="39"/>
      <c r="I165" s="141"/>
      <c r="J165" s="39"/>
      <c r="K165" s="39"/>
      <c r="L165" s="142"/>
      <c r="M165" s="39"/>
      <c r="N165" s="140"/>
      <c r="O165" s="39"/>
      <c r="P165" s="140"/>
      <c r="Q165" s="140"/>
    </row>
    <row r="166" spans="2:19" s="35" customFormat="1">
      <c r="B166" s="37"/>
      <c r="C166" s="38"/>
      <c r="D166" s="123"/>
      <c r="E166" s="39"/>
      <c r="F166" s="34"/>
      <c r="G166" s="124"/>
      <c r="H166" s="39"/>
      <c r="I166" s="141"/>
      <c r="J166" s="39"/>
      <c r="K166" s="39"/>
      <c r="L166" s="142"/>
      <c r="M166" s="39"/>
      <c r="N166" s="140"/>
      <c r="O166" s="39"/>
      <c r="P166" s="140"/>
      <c r="Q166" s="140"/>
    </row>
    <row r="167" spans="2:19" s="35" customFormat="1">
      <c r="B167" s="37"/>
      <c r="C167" s="38"/>
      <c r="D167" s="123"/>
      <c r="E167" s="39"/>
      <c r="F167" s="34"/>
      <c r="G167" s="124"/>
      <c r="H167" s="39"/>
      <c r="I167" s="141"/>
      <c r="J167" s="39"/>
      <c r="K167" s="39"/>
      <c r="L167" s="142"/>
      <c r="M167" s="39"/>
      <c r="N167" s="140"/>
      <c r="O167" s="39"/>
      <c r="P167" s="140"/>
      <c r="Q167" s="140"/>
    </row>
    <row r="168" spans="2:19" s="23" customFormat="1" ht="18.75" customHeight="1">
      <c r="B168" s="408" t="s">
        <v>203</v>
      </c>
      <c r="C168" s="408"/>
      <c r="D168" s="408"/>
      <c r="E168" s="408"/>
      <c r="F168" s="408"/>
      <c r="G168" s="408"/>
      <c r="H168" s="408"/>
      <c r="I168" s="408"/>
      <c r="J168" s="408"/>
      <c r="K168" s="408"/>
      <c r="L168" s="408"/>
      <c r="M168" s="408"/>
      <c r="N168" s="408"/>
      <c r="O168" s="408"/>
      <c r="P168" s="408"/>
      <c r="Q168" s="408"/>
    </row>
    <row r="169" spans="2:19" s="23" customFormat="1" ht="18.75" customHeight="1">
      <c r="B169" s="408" t="s">
        <v>234</v>
      </c>
      <c r="C169" s="408"/>
      <c r="D169" s="408"/>
      <c r="E169" s="408"/>
      <c r="F169" s="408"/>
      <c r="G169" s="408"/>
      <c r="H169" s="408"/>
      <c r="I169" s="408"/>
      <c r="J169" s="408"/>
      <c r="K169" s="408"/>
      <c r="L169" s="408"/>
      <c r="M169" s="408"/>
      <c r="N169" s="408"/>
      <c r="O169" s="408"/>
      <c r="P169" s="408"/>
      <c r="Q169" s="408"/>
    </row>
    <row r="170" spans="2:19" s="23" customFormat="1" ht="18.75" customHeight="1">
      <c r="B170" s="413" t="s">
        <v>237</v>
      </c>
      <c r="C170" s="413"/>
      <c r="D170" s="413"/>
      <c r="E170" s="413"/>
      <c r="F170" s="413"/>
      <c r="G170" s="413"/>
      <c r="H170" s="413"/>
      <c r="I170" s="413"/>
      <c r="J170" s="413"/>
      <c r="K170" s="413"/>
      <c r="L170" s="413"/>
      <c r="M170" s="413"/>
      <c r="N170" s="413"/>
      <c r="O170" s="413"/>
      <c r="P170" s="413"/>
      <c r="Q170" s="413"/>
    </row>
    <row r="171" spans="2:19" s="24" customFormat="1" ht="15" customHeight="1">
      <c r="B171" s="405" t="s">
        <v>0</v>
      </c>
      <c r="C171" s="410" t="s">
        <v>147</v>
      </c>
      <c r="D171" s="411" t="s">
        <v>2</v>
      </c>
      <c r="E171" s="412" t="s">
        <v>3</v>
      </c>
      <c r="F171" s="412" t="s">
        <v>8</v>
      </c>
      <c r="G171" s="405" t="s">
        <v>148</v>
      </c>
      <c r="H171" s="405" t="s">
        <v>149</v>
      </c>
      <c r="I171" s="405"/>
      <c r="J171" s="406" t="s">
        <v>6</v>
      </c>
      <c r="K171" s="407" t="s">
        <v>150</v>
      </c>
      <c r="L171" s="407"/>
      <c r="M171" s="407"/>
      <c r="N171" s="407"/>
      <c r="O171" s="409" t="s">
        <v>151</v>
      </c>
      <c r="P171" s="409"/>
      <c r="Q171" s="405" t="s">
        <v>152</v>
      </c>
    </row>
    <row r="172" spans="2:19" s="24" customFormat="1" ht="15.75" customHeight="1">
      <c r="B172" s="405"/>
      <c r="C172" s="410"/>
      <c r="D172" s="411"/>
      <c r="E172" s="412"/>
      <c r="F172" s="412"/>
      <c r="G172" s="405"/>
      <c r="H172" s="391" t="s">
        <v>153</v>
      </c>
      <c r="I172" s="391" t="s">
        <v>154</v>
      </c>
      <c r="J172" s="406"/>
      <c r="K172" s="390" t="s">
        <v>155</v>
      </c>
      <c r="L172" s="392" t="s">
        <v>155</v>
      </c>
      <c r="M172" s="390" t="s">
        <v>156</v>
      </c>
      <c r="N172" s="392" t="s">
        <v>157</v>
      </c>
      <c r="O172" s="391" t="s">
        <v>158</v>
      </c>
      <c r="P172" s="391" t="s">
        <v>159</v>
      </c>
      <c r="Q172" s="405"/>
      <c r="R172" s="8"/>
      <c r="S172" s="8"/>
    </row>
    <row r="173" spans="2:19" s="35" customFormat="1" ht="37.5" customHeight="1">
      <c r="B173" s="28">
        <v>1</v>
      </c>
      <c r="C173" s="29">
        <f>'BIO DATA'!C93</f>
        <v>12474</v>
      </c>
      <c r="D173" s="148">
        <f>'BIO DATA'!D93</f>
        <v>3145232805</v>
      </c>
      <c r="E173" s="30" t="str">
        <f>'BIO DATA'!E93</f>
        <v>Ahmad Amirul A'zam</v>
      </c>
      <c r="F173" s="31" t="str">
        <f>'BIO DATA'!Y93</f>
        <v>SDIT Usamah Kota Tegal</v>
      </c>
      <c r="G173" s="71">
        <f>'BIO DATA'!I93</f>
        <v>2</v>
      </c>
      <c r="H173" s="30" t="str">
        <f>'BIO DATA'!M93</f>
        <v>Tegal</v>
      </c>
      <c r="I173" s="136" t="str">
        <f>'BIO DATA'!P93</f>
        <v>14 Januari 2014</v>
      </c>
      <c r="J173" s="30" t="str">
        <f>'BIO DATA'!S93</f>
        <v>Jl.Kaligung no.01. RT 004 RW 004 Panggung Tegal Timur Kota Tegal Jawa Tengah</v>
      </c>
      <c r="K173" s="30" t="str">
        <f>'BIO DATA'!AB93</f>
        <v>Ahmad Arif fadlil</v>
      </c>
      <c r="L173" s="147" t="str">
        <f>'BIO DATA'!AG93</f>
        <v>081803976391</v>
      </c>
      <c r="M173" s="30" t="str">
        <f>'BIO DATA'!AI93</f>
        <v>Nur Hikmah</v>
      </c>
      <c r="N173" s="147" t="str">
        <f>'BIO DATA'!AN93</f>
        <v>087848622497</v>
      </c>
      <c r="O173" s="30" t="str">
        <f>'BIO DATA'!AE93</f>
        <v>Wiraswasta</v>
      </c>
      <c r="P173" s="30" t="str">
        <f>'BIO DATA'!AL93</f>
        <v>Wiraswasta</v>
      </c>
      <c r="Q173" s="134" t="s">
        <v>228</v>
      </c>
    </row>
    <row r="174" spans="2:19" s="35" customFormat="1" ht="51">
      <c r="B174" s="28">
        <v>2</v>
      </c>
      <c r="C174" s="29">
        <f>'BIO DATA'!C94</f>
        <v>12486</v>
      </c>
      <c r="D174" s="148" t="str">
        <f>'BIO DATA'!D94</f>
        <v>0132374625</v>
      </c>
      <c r="E174" s="30" t="str">
        <f>'BIO DATA'!E94</f>
        <v>Allardo Sultan Altansyah</v>
      </c>
      <c r="F174" s="31" t="str">
        <f>'BIO DATA'!Y94</f>
        <v>Muhamadiyah 4 denpasar</v>
      </c>
      <c r="G174" s="71">
        <f>'BIO DATA'!I94</f>
        <v>2</v>
      </c>
      <c r="H174" s="30" t="str">
        <f>'BIO DATA'!M94</f>
        <v>Denpasar</v>
      </c>
      <c r="I174" s="136" t="str">
        <f>'BIO DATA'!P94</f>
        <v>11 Oktober 2013</v>
      </c>
      <c r="J174" s="30" t="str">
        <f>'BIO DATA'!S94</f>
        <v>Jl. Gunung Mas IIA/3 DPS. BRI/Link. Dukuh Sari Padang Sambian Kaja Denpasar Barat Kota Denpasar Bali</v>
      </c>
      <c r="K174" s="30" t="str">
        <f>'BIO DATA'!AB94</f>
        <v>Antoni Alexander</v>
      </c>
      <c r="L174" s="147" t="str">
        <f>'BIO DATA'!AG94</f>
        <v>082145373113</v>
      </c>
      <c r="M174" s="30" t="str">
        <f>'BIO DATA'!AI94</f>
        <v>Rt. Tanti Marlina Listiowati</v>
      </c>
      <c r="N174" s="147" t="str">
        <f>'BIO DATA'!AN94</f>
        <v>088222250887</v>
      </c>
      <c r="O174" s="30">
        <f>'BIO DATA'!AE94</f>
        <v>0</v>
      </c>
      <c r="P174" s="30">
        <f>'BIO DATA'!AL94</f>
        <v>0</v>
      </c>
      <c r="Q174" s="134" t="s">
        <v>228</v>
      </c>
    </row>
    <row r="175" spans="2:19" s="35" customFormat="1" ht="42" customHeight="1">
      <c r="B175" s="28">
        <v>3</v>
      </c>
      <c r="C175" s="29">
        <f>'BIO DATA'!C95</f>
        <v>12492</v>
      </c>
      <c r="D175" s="148">
        <f>'BIO DATA'!D95</f>
        <v>3139423854</v>
      </c>
      <c r="E175" s="30" t="str">
        <f>'BIO DATA'!E95</f>
        <v>Anindya Mughni Kalingga</v>
      </c>
      <c r="F175" s="31" t="str">
        <f>'BIO DATA'!Y95</f>
        <v>SD Muhammadiyah 30 Poris Jaya</v>
      </c>
      <c r="G175" s="185" t="s">
        <v>228</v>
      </c>
      <c r="H175" s="30" t="str">
        <f>'BIO DATA'!M95</f>
        <v>Tangerang</v>
      </c>
      <c r="I175" s="136" t="str">
        <f>'BIO DATA'!P95</f>
        <v>18 September 2013</v>
      </c>
      <c r="J175" s="30" t="str">
        <f>'BIO DATA'!S95</f>
        <v>Jl. Shello Blok L No.11 RT 009 RW 08 Cipondoh, Kota Tangerang, Banten</v>
      </c>
      <c r="K175" s="30" t="str">
        <f>'BIO DATA'!AB95</f>
        <v>Cholillul Rohman</v>
      </c>
      <c r="L175" s="147" t="str">
        <f>'BIO DATA'!AG95</f>
        <v>085814857474</v>
      </c>
      <c r="M175" s="30" t="str">
        <f>'BIO DATA'!AI95</f>
        <v>Ellyn Caresza</v>
      </c>
      <c r="N175" s="147" t="str">
        <f>'BIO DATA'!AN95</f>
        <v>089514015857</v>
      </c>
      <c r="O175" s="30" t="str">
        <f>'BIO DATA'!AE95</f>
        <v>Pegawai Swasta</v>
      </c>
      <c r="P175" s="30" t="str">
        <f>'BIO DATA'!AL95</f>
        <v>Pegawai Swasta</v>
      </c>
      <c r="Q175" s="183">
        <f>'BIO DATA'!H95</f>
        <v>0</v>
      </c>
    </row>
    <row r="176" spans="2:19" s="35" customFormat="1" ht="36.75" customHeight="1">
      <c r="B176" s="28">
        <v>4</v>
      </c>
      <c r="C176" s="29">
        <f>'BIO DATA'!C96</f>
        <v>12495</v>
      </c>
      <c r="D176" s="148" t="str">
        <f>'BIO DATA'!D96</f>
        <v>0131342010</v>
      </c>
      <c r="E176" s="30" t="str">
        <f>'BIO DATA'!E96</f>
        <v>Arfa Narendra Nugroho</v>
      </c>
      <c r="F176" s="31" t="str">
        <f>'BIO DATA'!Y96</f>
        <v>SD Muhammadiyah Wirobrajan 3 Yogyakarta</v>
      </c>
      <c r="G176" s="71">
        <f>'BIO DATA'!I96</f>
        <v>2</v>
      </c>
      <c r="H176" s="30" t="str">
        <f>'BIO DATA'!M96</f>
        <v>Yogyakarta</v>
      </c>
      <c r="I176" s="136" t="str">
        <f>'BIO DATA'!P96</f>
        <v>19 November 2013</v>
      </c>
      <c r="J176" s="30" t="str">
        <f>'BIO DATA'!S96</f>
        <v>Jl. Arjuno no 20B RT 010 RW 004 Wirobrajan Wirobrajan Kota Yogyakarta DIY</v>
      </c>
      <c r="K176" s="30" t="str">
        <f>'BIO DATA'!AB96</f>
        <v>Ferdian Adi Nugroho</v>
      </c>
      <c r="L176" s="147" t="str">
        <f>'BIO DATA'!AG96</f>
        <v>081351939042</v>
      </c>
      <c r="M176" s="30" t="str">
        <f>'BIO DATA'!AI96</f>
        <v>Arnis Perwita</v>
      </c>
      <c r="N176" s="147" t="str">
        <f>'BIO DATA'!AN96</f>
        <v>081333504200</v>
      </c>
      <c r="O176" s="30" t="str">
        <f>'BIO DATA'!AE96</f>
        <v>PNS</v>
      </c>
      <c r="P176" s="30" t="str">
        <f>'BIO DATA'!AL96</f>
        <v>Lain-lain</v>
      </c>
      <c r="Q176" s="183">
        <f>'BIO DATA'!H96</f>
        <v>0</v>
      </c>
    </row>
    <row r="177" spans="2:17" s="35" customFormat="1" ht="25.5">
      <c r="B177" s="28">
        <v>5</v>
      </c>
      <c r="C177" s="29">
        <f>'BIO DATA'!C97</f>
        <v>12502</v>
      </c>
      <c r="D177" s="148">
        <f>'BIO DATA'!D97</f>
        <v>3134998663</v>
      </c>
      <c r="E177" s="30" t="str">
        <f>'BIO DATA'!E97</f>
        <v>Athariz Zidane Ferdiansyah</v>
      </c>
      <c r="F177" s="31" t="str">
        <f>'BIO DATA'!Y97</f>
        <v>SD Muhammadiyah Bodon</v>
      </c>
      <c r="G177" s="185" t="s">
        <v>228</v>
      </c>
      <c r="H177" s="30" t="str">
        <f>'BIO DATA'!M97</f>
        <v>Madiun</v>
      </c>
      <c r="I177" s="136" t="str">
        <f>'BIO DATA'!P97</f>
        <v>5 Juli 2013</v>
      </c>
      <c r="J177" s="30" t="str">
        <f>'BIO DATA'!S97</f>
        <v>Grojogan Rt 2 Wirokerten Banguntapan Bantul</v>
      </c>
      <c r="K177" s="30" t="str">
        <f>'BIO DATA'!AB97</f>
        <v>Pramudhita F</v>
      </c>
      <c r="L177" s="149" t="str">
        <f>'BIO DATA'!AG97</f>
        <v>082323055916</v>
      </c>
      <c r="M177" s="30" t="str">
        <f>'BIO DATA'!AI97</f>
        <v>Risty K</v>
      </c>
      <c r="N177" s="147" t="str">
        <f>'BIO DATA'!AN97</f>
        <v>085228441187</v>
      </c>
      <c r="O177" s="30" t="str">
        <f>'BIO DATA'!AE97</f>
        <v>Guru/Dosen</v>
      </c>
      <c r="P177" s="30" t="str">
        <f>'BIO DATA'!AL97</f>
        <v>Pegawai Swasta</v>
      </c>
      <c r="Q177" s="134" t="s">
        <v>228</v>
      </c>
    </row>
    <row r="178" spans="2:17" s="35" customFormat="1" ht="25.5">
      <c r="B178" s="28">
        <v>6</v>
      </c>
      <c r="C178" s="29">
        <f>'BIO DATA'!C98</f>
        <v>12503</v>
      </c>
      <c r="D178" s="148" t="str">
        <f>'BIO DATA'!D98</f>
        <v>0141639352</v>
      </c>
      <c r="E178" s="30" t="str">
        <f>'BIO DATA'!E98</f>
        <v>Atharizz Andistyo Ghiffari</v>
      </c>
      <c r="F178" s="31" t="str">
        <f>'BIO DATA'!Y98</f>
        <v>SDIT Al-Khairaat</v>
      </c>
      <c r="G178" s="71">
        <f>'BIO DATA'!I98</f>
        <v>3</v>
      </c>
      <c r="H178" s="30" t="str">
        <f>'BIO DATA'!M98</f>
        <v>Mataram</v>
      </c>
      <c r="I178" s="136" t="str">
        <f>'BIO DATA'!P98</f>
        <v>25 Mei 2014</v>
      </c>
      <c r="J178" s="30" t="str">
        <f>'BIO DATA'!S98</f>
        <v>Warungboto, Umbulharjo, Kota Yogyakarta DIY</v>
      </c>
      <c r="K178" s="30" t="str">
        <f>'BIO DATA'!AB98</f>
        <v>Sulistiyono</v>
      </c>
      <c r="L178" s="149" t="str">
        <f>'BIO DATA'!AG98</f>
        <v>087886738383</v>
      </c>
      <c r="M178" s="30" t="str">
        <f>'BIO DATA'!AI98</f>
        <v>B Ika Apriandini</v>
      </c>
      <c r="N178" s="147" t="str">
        <f>'BIO DATA'!AN98</f>
        <v>081999908383</v>
      </c>
      <c r="O178" s="30" t="str">
        <f>'BIO DATA'!AE98</f>
        <v>PNS</v>
      </c>
      <c r="P178" s="30" t="str">
        <f>'BIO DATA'!AL98</f>
        <v>PNS</v>
      </c>
      <c r="Q178" s="183">
        <f>'BIO DATA'!H98</f>
        <v>0</v>
      </c>
    </row>
    <row r="179" spans="2:17" s="35" customFormat="1" ht="25.5">
      <c r="B179" s="28">
        <v>7</v>
      </c>
      <c r="C179" s="29">
        <f>'BIO DATA'!C99</f>
        <v>12505</v>
      </c>
      <c r="D179" s="148" t="str">
        <f>'BIO DATA'!D99</f>
        <v>0124769254</v>
      </c>
      <c r="E179" s="30" t="str">
        <f>'BIO DATA'!E99</f>
        <v>Atillah Azfar Rasyid</v>
      </c>
      <c r="F179" s="31" t="str">
        <f>'BIO DATA'!Y99</f>
        <v>SD Muhammadiyah Sokonandi 1</v>
      </c>
      <c r="G179" s="185" t="s">
        <v>228</v>
      </c>
      <c r="H179" s="30" t="str">
        <f>'BIO DATA'!M99</f>
        <v>Yogyakarta</v>
      </c>
      <c r="I179" s="136">
        <f>'BIO DATA'!P99</f>
        <v>41621</v>
      </c>
      <c r="J179" s="30" t="str">
        <f>'BIO DATA'!S99</f>
        <v>Tinalan 510 Prenggan Kotagede Kota Yogyakarta DIY</v>
      </c>
      <c r="K179" s="30" t="str">
        <f>'BIO DATA'!AB99</f>
        <v>Kardhafi Ramli</v>
      </c>
      <c r="L179" s="149" t="str">
        <f>'BIO DATA'!AG99</f>
        <v>081804038091</v>
      </c>
      <c r="M179" s="30" t="str">
        <f>'BIO DATA'!AI99</f>
        <v>Fitri Maulidah Rahmawati</v>
      </c>
      <c r="N179" s="147" t="str">
        <f>'BIO DATA'!AN99</f>
        <v>081804048010</v>
      </c>
      <c r="O179" s="30" t="str">
        <f>'BIO DATA'!AE99</f>
        <v>Wiraswasta</v>
      </c>
      <c r="P179" s="30" t="str">
        <f>'BIO DATA'!AL99</f>
        <v>Guru/Dosen</v>
      </c>
      <c r="Q179" s="134" t="s">
        <v>228</v>
      </c>
    </row>
    <row r="180" spans="2:17" s="35" customFormat="1" ht="38.25" customHeight="1">
      <c r="B180" s="28">
        <v>8</v>
      </c>
      <c r="C180" s="29">
        <f>'BIO DATA'!C100</f>
        <v>12510</v>
      </c>
      <c r="D180" s="148" t="str">
        <f>'BIO DATA'!D100</f>
        <v>0132631942</v>
      </c>
      <c r="E180" s="30" t="str">
        <f>'BIO DATA'!E100</f>
        <v>Azmi Hail</v>
      </c>
      <c r="F180" s="31" t="str">
        <f>'BIO DATA'!Y100</f>
        <v>SD Muhammadiyah Bayan</v>
      </c>
      <c r="G180" s="71">
        <f>'BIO DATA'!I100</f>
        <v>1</v>
      </c>
      <c r="H180" s="30" t="str">
        <f>'BIO DATA'!M100</f>
        <v>Depok</v>
      </c>
      <c r="I180" s="136" t="str">
        <f>'BIO DATA'!P100</f>
        <v>18 Juni 2013</v>
      </c>
      <c r="J180" s="30" t="str">
        <f>'BIO DATA'!S100</f>
        <v>Desa Tanjung Rt.03 Rw.01 No.02, kec. Ngombol, Kab. Purworejo Jawa Tengah</v>
      </c>
      <c r="K180" s="30" t="str">
        <f>'BIO DATA'!AB100</f>
        <v>Faisal Anis</v>
      </c>
      <c r="L180" s="149" t="str">
        <f>'BIO DATA'!AG100</f>
        <v>08111800809</v>
      </c>
      <c r="M180" s="30" t="str">
        <f>'BIO DATA'!AI100</f>
        <v>Hanipah</v>
      </c>
      <c r="N180" s="147" t="str">
        <f>'BIO DATA'!AN100</f>
        <v>08111885709</v>
      </c>
      <c r="O180" s="30" t="str">
        <f>'BIO DATA'!AE100</f>
        <v>Wiraswasta</v>
      </c>
      <c r="P180" s="30" t="str">
        <f>'BIO DATA'!AL100</f>
        <v>Tidak Bekerja</v>
      </c>
      <c r="Q180" s="134" t="s">
        <v>228</v>
      </c>
    </row>
    <row r="181" spans="2:17" s="35" customFormat="1" ht="25.5">
      <c r="B181" s="28">
        <v>9</v>
      </c>
      <c r="C181" s="29">
        <f>'BIO DATA'!C101</f>
        <v>12511</v>
      </c>
      <c r="D181" s="148" t="str">
        <f>'BIO DATA'!D101</f>
        <v>0133386408</v>
      </c>
      <c r="E181" s="30" t="str">
        <f>'BIO DATA'!E101</f>
        <v>Azzam Fahrezzi Shaquille</v>
      </c>
      <c r="F181" s="31" t="str">
        <f>'BIO DATA'!Y101</f>
        <v>SD Muhammadiyah Mantaran</v>
      </c>
      <c r="G181" s="71">
        <f>'BIO DATA'!I101</f>
        <v>1</v>
      </c>
      <c r="H181" s="30" t="str">
        <f>'BIO DATA'!M101</f>
        <v>Sleman</v>
      </c>
      <c r="I181" s="136" t="str">
        <f>'BIO DATA'!P101</f>
        <v>14 Agustus 2013</v>
      </c>
      <c r="J181" s="30" t="str">
        <f>'BIO DATA'!S101</f>
        <v>Sidomulyo rt 03 rw 27, Trimulyo, Sleman, Yogyakarta</v>
      </c>
      <c r="K181" s="30" t="str">
        <f>'BIO DATA'!AB101</f>
        <v>Fauzan Rifqi</v>
      </c>
      <c r="L181" s="149" t="str">
        <f>'BIO DATA'!AG101</f>
        <v>087839156875</v>
      </c>
      <c r="M181" s="30" t="str">
        <f>'BIO DATA'!AI101</f>
        <v>Arum Huda Nurjanatun</v>
      </c>
      <c r="N181" s="147" t="str">
        <f>'BIO DATA'!AN101</f>
        <v>082147114411</v>
      </c>
      <c r="O181" s="30" t="str">
        <f>'BIO DATA'!AE101</f>
        <v>Pegawai Swasta</v>
      </c>
      <c r="P181" s="30" t="str">
        <f>'BIO DATA'!AL101</f>
        <v>Pegawai Swasta</v>
      </c>
      <c r="Q181" s="134" t="s">
        <v>228</v>
      </c>
    </row>
    <row r="182" spans="2:17" s="35" customFormat="1" ht="51">
      <c r="B182" s="28">
        <v>10</v>
      </c>
      <c r="C182" s="29">
        <f>'BIO DATA'!C102</f>
        <v>12519</v>
      </c>
      <c r="D182" s="148" t="str">
        <f>'BIO DATA'!D102</f>
        <v>0135542274</v>
      </c>
      <c r="E182" s="30" t="str">
        <f>'BIO DATA'!E102</f>
        <v>Cemal Rizqy Hibatullah Al - Azzam</v>
      </c>
      <c r="F182" s="31" t="str">
        <f>'BIO DATA'!Y102</f>
        <v>SD Muhammadiyah 10 Surabaya</v>
      </c>
      <c r="G182" s="71">
        <f>'BIO DATA'!I102</f>
        <v>3</v>
      </c>
      <c r="H182" s="30" t="str">
        <f>'BIO DATA'!M102</f>
        <v>Surabaya</v>
      </c>
      <c r="I182" s="136" t="str">
        <f>'BIO DATA'!P102</f>
        <v>11 Desember 2013</v>
      </c>
      <c r="J182" s="30" t="str">
        <f>'BIO DATA'!S102</f>
        <v>Bulak Banteng Wetan 14 no 9 RT 003 RW 008 Sidotopo Wetan Kenjeran Kota Surabaya Jawa Timur</v>
      </c>
      <c r="K182" s="30" t="str">
        <f>'BIO DATA'!AB102</f>
        <v>Amang Muazam, M. Pd. I</v>
      </c>
      <c r="L182" s="149" t="str">
        <f>'BIO DATA'!AG102</f>
        <v>085258416164</v>
      </c>
      <c r="M182" s="30" t="str">
        <f>'BIO DATA'!AI102</f>
        <v>Indah Lestari S. Pd.</v>
      </c>
      <c r="N182" s="147" t="str">
        <f>'BIO DATA'!AN102</f>
        <v>085230795449</v>
      </c>
      <c r="O182" s="30" t="str">
        <f>'BIO DATA'!AE102</f>
        <v>Guru/Dosen</v>
      </c>
      <c r="P182" s="30" t="str">
        <f>'BIO DATA'!AL102</f>
        <v>Guru/Dosen</v>
      </c>
      <c r="Q182" s="183">
        <f>'BIO DATA'!H102</f>
        <v>0</v>
      </c>
    </row>
    <row r="183" spans="2:17" s="35" customFormat="1" ht="38.25">
      <c r="B183" s="28">
        <v>11</v>
      </c>
      <c r="C183" s="29">
        <f>'BIO DATA'!C103</f>
        <v>12526</v>
      </c>
      <c r="D183" s="148" t="str">
        <f>'BIO DATA'!D103</f>
        <v>0135518734</v>
      </c>
      <c r="E183" s="30" t="str">
        <f>'BIO DATA'!E103</f>
        <v>Daniswara Alvis Nurrizqi</v>
      </c>
      <c r="F183" s="31" t="str">
        <f>'BIO DATA'!Y103</f>
        <v>SD Muhammadiyah Karangkajen Yogyakarta</v>
      </c>
      <c r="G183" s="71">
        <f>'BIO DATA'!I103</f>
        <v>2</v>
      </c>
      <c r="H183" s="30" t="str">
        <f>'BIO DATA'!M103</f>
        <v>Yogyakarta</v>
      </c>
      <c r="I183" s="136" t="str">
        <f>'BIO DATA'!P103</f>
        <v>4 November 2013</v>
      </c>
      <c r="J183" s="30" t="str">
        <f>'BIO DATA'!S103</f>
        <v>Mrisen Dk.Geneng RT 07 Panggungharjo Sewon Bantul Yogyakarta</v>
      </c>
      <c r="K183" s="30" t="str">
        <f>'BIO DATA'!AB103</f>
        <v>Ahmad Nurhidayad</v>
      </c>
      <c r="L183" s="149" t="str">
        <f>'BIO DATA'!AG103</f>
        <v>08122741334</v>
      </c>
      <c r="M183" s="30" t="str">
        <f>'BIO DATA'!AI103</f>
        <v>Restu Asih Kusumaningrum</v>
      </c>
      <c r="N183" s="147" t="str">
        <f>'BIO DATA'!AN103</f>
        <v>081328384411</v>
      </c>
      <c r="O183" s="30" t="str">
        <f>'BIO DATA'!AE103</f>
        <v>Wiraswasta</v>
      </c>
      <c r="P183" s="30" t="str">
        <f>'BIO DATA'!AL103</f>
        <v>PNS</v>
      </c>
      <c r="Q183" s="134" t="s">
        <v>228</v>
      </c>
    </row>
    <row r="184" spans="2:17" s="35" customFormat="1" ht="38.25">
      <c r="B184" s="28">
        <v>12</v>
      </c>
      <c r="C184" s="29">
        <f>'BIO DATA'!C104</f>
        <v>12531</v>
      </c>
      <c r="D184" s="148" t="str">
        <f>'BIO DATA'!D104</f>
        <v>0146112012</v>
      </c>
      <c r="E184" s="30" t="str">
        <f>'BIO DATA'!E104</f>
        <v>Dzulfadli Agra Firmansyah</v>
      </c>
      <c r="F184" s="31" t="str">
        <f>'BIO DATA'!Y104</f>
        <v>MI Progresif Bumi Shalawat</v>
      </c>
      <c r="G184" s="71">
        <f>'BIO DATA'!I104</f>
        <v>1</v>
      </c>
      <c r="H184" s="30" t="str">
        <f>'BIO DATA'!M104</f>
        <v>Purbalingga</v>
      </c>
      <c r="I184" s="136" t="str">
        <f>'BIO DATA'!P104</f>
        <v>1 Januari 2014</v>
      </c>
      <c r="J184" s="30" t="str">
        <f>'BIO DATA'!S104</f>
        <v>Desa penusupan RT 2 RW 9 Kel. Penolih Kec. Kaligondang Purbalingga Jawa Tengah 53391</v>
      </c>
      <c r="K184" s="30" t="str">
        <f>'BIO DATA'!AB104</f>
        <v>Frandy Firmansyah</v>
      </c>
      <c r="L184" s="149" t="str">
        <f>'BIO DATA'!AG104</f>
        <v>082142045083</v>
      </c>
      <c r="M184" s="30" t="str">
        <f>'BIO DATA'!AI104</f>
        <v>Dwi Rachmaningsih</v>
      </c>
      <c r="N184" s="147" t="str">
        <f>'BIO DATA'!AN104</f>
        <v>082141675407</v>
      </c>
      <c r="O184" s="30" t="str">
        <f>'BIO DATA'!AE104</f>
        <v>Karyawan Swasta</v>
      </c>
      <c r="P184" s="30" t="str">
        <f>'BIO DATA'!AL104</f>
        <v>Karyawan Swasta</v>
      </c>
      <c r="Q184" s="134" t="s">
        <v>228</v>
      </c>
    </row>
    <row r="185" spans="2:17" s="35" customFormat="1" ht="38.25">
      <c r="B185" s="28">
        <v>13</v>
      </c>
      <c r="C185" s="29">
        <f>'BIO DATA'!C105</f>
        <v>12539</v>
      </c>
      <c r="D185" s="148" t="str">
        <f>'BIO DATA'!D105</f>
        <v>0144939076</v>
      </c>
      <c r="E185" s="30" t="str">
        <f>'BIO DATA'!E105</f>
        <v>Fairel Atharizz Chalief</v>
      </c>
      <c r="F185" s="31" t="str">
        <f>'BIO DATA'!Y105</f>
        <v>SD Muhammadiyah Kutoarjo</v>
      </c>
      <c r="G185" s="71">
        <f>'BIO DATA'!I105</f>
        <v>4</v>
      </c>
      <c r="H185" s="30" t="str">
        <f>'BIO DATA'!M105</f>
        <v>Purworejo</v>
      </c>
      <c r="I185" s="136" t="str">
        <f>'BIO DATA'!P105</f>
        <v>1 Februari 2014</v>
      </c>
      <c r="J185" s="30" t="str">
        <f>'BIO DATA'!S105</f>
        <v>Dk Dusun Demangan RT 05 RW 03, Condongsari Banyuurip Purworejo Jawa Tengah</v>
      </c>
      <c r="K185" s="30" t="str">
        <f>'BIO DATA'!AB105</f>
        <v>Hasanudin</v>
      </c>
      <c r="L185" s="149" t="str">
        <f>'BIO DATA'!AG105</f>
        <v>082136552052</v>
      </c>
      <c r="M185" s="30" t="str">
        <f>'BIO DATA'!AI105</f>
        <v>Ary Puspitaningrum</v>
      </c>
      <c r="N185" s="147" t="str">
        <f>'BIO DATA'!AN105</f>
        <v>081227271300</v>
      </c>
      <c r="O185" s="30" t="str">
        <f>'BIO DATA'!AE105</f>
        <v>TNI/Polri</v>
      </c>
      <c r="P185" s="30" t="str">
        <f>'BIO DATA'!AL105</f>
        <v>PNS</v>
      </c>
      <c r="Q185" s="183">
        <f>'BIO DATA'!H105</f>
        <v>0</v>
      </c>
    </row>
    <row r="186" spans="2:17" s="35" customFormat="1" ht="38.25">
      <c r="B186" s="28">
        <v>14</v>
      </c>
      <c r="C186" s="29">
        <f>'BIO DATA'!C106</f>
        <v>12540</v>
      </c>
      <c r="D186" s="148" t="str">
        <f>'BIO DATA'!D106</f>
        <v>0143468907</v>
      </c>
      <c r="E186" s="30" t="str">
        <f>'BIO DATA'!E106</f>
        <v>Faith Zirah El Fathir Triono</v>
      </c>
      <c r="F186" s="31" t="str">
        <f>'BIO DATA'!Y106</f>
        <v>SD Muhammadiyah 2 Gresik</v>
      </c>
      <c r="G186" s="71">
        <f>'BIO DATA'!I106</f>
        <v>1</v>
      </c>
      <c r="H186" s="30" t="str">
        <f>'BIO DATA'!M106</f>
        <v>Gresik</v>
      </c>
      <c r="I186" s="136" t="str">
        <f>'BIO DATA'!P106</f>
        <v>25 April 2014</v>
      </c>
      <c r="J186" s="30" t="str">
        <f>'BIO DATA'!S106</f>
        <v>Dusun Kampung Desa Pucung Kecamatan Balongpanggang Gresik 61173 Jawa Timur</v>
      </c>
      <c r="K186" s="30" t="str">
        <f>'BIO DATA'!AB106</f>
        <v>Nanang Triono</v>
      </c>
      <c r="L186" s="149" t="str">
        <f>'BIO DATA'!AG106</f>
        <v>081334040848</v>
      </c>
      <c r="M186" s="30" t="str">
        <f>'BIO DATA'!AI106</f>
        <v>Faradibah Anggraini</v>
      </c>
      <c r="N186" s="147" t="str">
        <f>'BIO DATA'!AN93</f>
        <v>087848622497</v>
      </c>
      <c r="O186" s="30" t="str">
        <f>'BIO DATA'!AE106</f>
        <v>Pegawai Swasta</v>
      </c>
      <c r="P186" s="30" t="str">
        <f>'BIO DATA'!AL106</f>
        <v>Pegawai Swasta</v>
      </c>
      <c r="Q186" s="134" t="s">
        <v>228</v>
      </c>
    </row>
    <row r="187" spans="2:17" s="35" customFormat="1" ht="41.25" customHeight="1">
      <c r="B187" s="28">
        <v>15</v>
      </c>
      <c r="C187" s="29">
        <f>'BIO DATA'!C107</f>
        <v>12579</v>
      </c>
      <c r="D187" s="148" t="str">
        <f>'BIO DATA'!D107</f>
        <v>0145236574</v>
      </c>
      <c r="E187" s="30" t="str">
        <f>'BIO DATA'!E107</f>
        <v>Jaris Jalu Randita</v>
      </c>
      <c r="F187" s="31" t="str">
        <f>'BIO DATA'!Y107</f>
        <v>MIS Luqman Al Hakim</v>
      </c>
      <c r="G187" s="71">
        <f>'BIO DATA'!I107</f>
        <v>1</v>
      </c>
      <c r="H187" s="30" t="str">
        <f>'BIO DATA'!M107</f>
        <v>Rembang</v>
      </c>
      <c r="I187" s="136" t="str">
        <f>'BIO DATA'!P107</f>
        <v>13 Februari 2014</v>
      </c>
      <c r="J187" s="30" t="str">
        <f>'BIO DATA'!S107</f>
        <v>Jl. Musi RT 012 RW 004 Slawi Wetan Slawi Tegal Jawa Tengah</v>
      </c>
      <c r="K187" s="30" t="str">
        <f>'BIO DATA'!AB107</f>
        <v>Rizal Faiqurohman</v>
      </c>
      <c r="L187" s="149" t="str">
        <f>'BIO DATA'!AG107</f>
        <v>08562750718</v>
      </c>
      <c r="M187" s="30" t="str">
        <f>'BIO DATA'!AI107</f>
        <v>Anin Eka Sulistyawati</v>
      </c>
      <c r="N187" s="147" t="str">
        <f>'BIO DATA'!AN94</f>
        <v>088222250887</v>
      </c>
      <c r="O187" s="30" t="str">
        <f>'BIO DATA'!AE107</f>
        <v>Lain-lain</v>
      </c>
      <c r="P187" s="30" t="str">
        <f>'BIO DATA'!AL107</f>
        <v>Guru/Dosen</v>
      </c>
      <c r="Q187" s="134" t="s">
        <v>228</v>
      </c>
    </row>
    <row r="188" spans="2:17" s="35" customFormat="1" ht="25.5">
      <c r="B188" s="28">
        <v>16</v>
      </c>
      <c r="C188" s="29">
        <f>'BIO DATA'!C108</f>
        <v>12582</v>
      </c>
      <c r="D188" s="148" t="str">
        <f>'BIO DATA'!D108</f>
        <v>0144325053</v>
      </c>
      <c r="E188" s="30" t="str">
        <f>'BIO DATA'!E108</f>
        <v>Kamaalul Firdaus</v>
      </c>
      <c r="F188" s="31" t="str">
        <f>'BIO DATA'!Y108</f>
        <v>MI Muhammadiyah Sarirejo</v>
      </c>
      <c r="G188" s="71">
        <f>'BIO DATA'!I108</f>
        <v>5</v>
      </c>
      <c r="H188" s="30" t="str">
        <f>'BIO DATA'!M108</f>
        <v>Kendal</v>
      </c>
      <c r="I188" s="136" t="str">
        <f>'BIO DATA'!P108</f>
        <v>29 Januari 2014</v>
      </c>
      <c r="J188" s="30" t="str">
        <f>'BIO DATA'!S108</f>
        <v>Kauman Kidul RT 4 RW 5 Sarirejo Kaliwungu Kendal</v>
      </c>
      <c r="K188" s="30" t="str">
        <f>'BIO DATA'!AB108</f>
        <v>Firdaus Muhammad</v>
      </c>
      <c r="L188" s="149" t="str">
        <f>'BIO DATA'!AG108</f>
        <v>081393747899</v>
      </c>
      <c r="M188" s="30" t="str">
        <f>'BIO DATA'!AI108</f>
        <v>Nur Hidayatul Fitriyah</v>
      </c>
      <c r="N188" s="147" t="str">
        <f>'BIO DATA'!AN95</f>
        <v>089514015857</v>
      </c>
      <c r="O188" s="30" t="str">
        <f>'BIO DATA'!AE108</f>
        <v>PNS</v>
      </c>
      <c r="P188" s="30" t="str">
        <f>'BIO DATA'!AL108</f>
        <v>Tidak Bekerja</v>
      </c>
      <c r="Q188" s="134" t="s">
        <v>228</v>
      </c>
    </row>
    <row r="189" spans="2:17" s="35" customFormat="1" ht="51">
      <c r="B189" s="28">
        <v>17</v>
      </c>
      <c r="C189" s="29">
        <f>'BIO DATA'!C109</f>
        <v>12584</v>
      </c>
      <c r="D189" s="148" t="str">
        <f>'BIO DATA'!D109</f>
        <v>0147990334</v>
      </c>
      <c r="E189" s="30" t="str">
        <f>'BIO DATA'!E109</f>
        <v>Kaysan Shahzada Sabih</v>
      </c>
      <c r="F189" s="31" t="str">
        <f>'BIO DATA'!Y109</f>
        <v>SD Muhammadiyah 24 Jakarta</v>
      </c>
      <c r="G189" s="71">
        <f>'BIO DATA'!I109</f>
        <v>1</v>
      </c>
      <c r="H189" s="30" t="str">
        <f>'BIO DATA'!M109</f>
        <v>Jakarta</v>
      </c>
      <c r="I189" s="136" t="str">
        <f>'BIO DATA'!P109</f>
        <v>13 Januari 2014</v>
      </c>
      <c r="J189" s="30" t="str">
        <f>'BIO DATA'!S109</f>
        <v>Jl.Batu Bulat II No.40B Rt.018 Rw.005 Kelurahan Batu Ampar, Kecamatan Kramatjati, Jakarta Timur DKI Jakarta</v>
      </c>
      <c r="K189" s="30" t="str">
        <f>'BIO DATA'!AB109</f>
        <v>Edi Suswanto</v>
      </c>
      <c r="L189" s="147" t="str">
        <f>'BIO DATA'!AG109</f>
        <v>087882867684</v>
      </c>
      <c r="M189" s="30" t="str">
        <f>'BIO DATA'!AI109</f>
        <v>Widiawati</v>
      </c>
      <c r="N189" s="147" t="str">
        <f>'BIO DATA'!AN96</f>
        <v>081333504200</v>
      </c>
      <c r="O189" s="30" t="str">
        <f>'BIO DATA'!AE109</f>
        <v>Wiraswasta</v>
      </c>
      <c r="P189" s="30" t="str">
        <f>'BIO DATA'!AL109</f>
        <v>Guru/Dosen</v>
      </c>
      <c r="Q189" s="134" t="s">
        <v>228</v>
      </c>
    </row>
    <row r="190" spans="2:17" s="35" customFormat="1" ht="38.25">
      <c r="B190" s="28">
        <v>18</v>
      </c>
      <c r="C190" s="29">
        <f>'BIO DATA'!C110</f>
        <v>12602</v>
      </c>
      <c r="D190" s="148" t="str">
        <f>'BIO DATA'!D110</f>
        <v>0138927744</v>
      </c>
      <c r="E190" s="30" t="str">
        <f>'BIO DATA'!E110</f>
        <v>Mifzal Assyauqi Muhammad</v>
      </c>
      <c r="F190" s="31" t="str">
        <f>'BIO DATA'!Y110</f>
        <v>PKBM Bangun Bangsa (Kuttab Al Fatih Semarang)</v>
      </c>
      <c r="G190" s="71">
        <f>'BIO DATA'!I110</f>
        <v>1</v>
      </c>
      <c r="H190" s="30" t="str">
        <f>'BIO DATA'!M110</f>
        <v>Semarang</v>
      </c>
      <c r="I190" s="136" t="str">
        <f>'BIO DATA'!P110</f>
        <v>21 Juli 2013</v>
      </c>
      <c r="J190" s="30" t="str">
        <f>'BIO DATA'!S110</f>
        <v>JL. Panda Timur III No. 39. Palebon. Pedurungan. Kota Semarang. Jawa Tengah</v>
      </c>
      <c r="K190" s="30" t="str">
        <f>'BIO DATA'!AB110</f>
        <v>Hantiyo Seran, S.E.</v>
      </c>
      <c r="L190" s="147" t="str">
        <f>'BIO DATA'!AG110</f>
        <v>081392083765</v>
      </c>
      <c r="M190" s="30" t="str">
        <f>'BIO DATA'!AI110</f>
        <v>Dr. Nikken Prima Puspita</v>
      </c>
      <c r="N190" s="147" t="str">
        <f>'BIO DATA'!AN97</f>
        <v>085228441187</v>
      </c>
      <c r="O190" s="30" t="str">
        <f>'BIO DATA'!AE110</f>
        <v>PNS</v>
      </c>
      <c r="P190" s="30" t="str">
        <f>'BIO DATA'!AL110</f>
        <v>Guru/Dosen</v>
      </c>
      <c r="Q190" s="134" t="s">
        <v>228</v>
      </c>
    </row>
    <row r="191" spans="2:17" s="35" customFormat="1" ht="39.75" customHeight="1">
      <c r="B191" s="28">
        <v>19</v>
      </c>
      <c r="C191" s="29">
        <f>'BIO DATA'!C111</f>
        <v>12608</v>
      </c>
      <c r="D191" s="148" t="str">
        <f>'BIO DATA'!D111</f>
        <v>0131164379</v>
      </c>
      <c r="E191" s="30" t="str">
        <f>'BIO DATA'!E111</f>
        <v>Muhammad Admiral Atthobari Yatalathof</v>
      </c>
      <c r="F191" s="31" t="str">
        <f>'BIO DATA'!Y111</f>
        <v>SD Unggulan 'Aisyiyah Bantul</v>
      </c>
      <c r="G191" s="71">
        <f>'BIO DATA'!I111</f>
        <v>4</v>
      </c>
      <c r="H191" s="30" t="str">
        <f>'BIO DATA'!M111</f>
        <v>Pekanbaru</v>
      </c>
      <c r="I191" s="136" t="str">
        <f>'BIO DATA'!P111</f>
        <v>12 Mei 2013</v>
      </c>
      <c r="J191" s="30" t="str">
        <f>'BIO DATA'!S111</f>
        <v>Kisik RT 01, Gedongsari, Wijirejo, Pandak, Bantul</v>
      </c>
      <c r="K191" s="30" t="str">
        <f>'BIO DATA'!AB111</f>
        <v>Nazarudin Latif</v>
      </c>
      <c r="L191" s="147" t="str">
        <f>'BIO DATA'!AG111</f>
        <v>081238077003</v>
      </c>
      <c r="M191" s="30" t="str">
        <f>'BIO DATA'!AI111</f>
        <v>Fithriatus Shalihah</v>
      </c>
      <c r="N191" s="147" t="str">
        <f>'BIO DATA'!AN98</f>
        <v>081999908383</v>
      </c>
      <c r="O191" s="30" t="str">
        <f>'BIO DATA'!AE111</f>
        <v>Lain-lain</v>
      </c>
      <c r="P191" s="30" t="str">
        <f>'BIO DATA'!AL111</f>
        <v>Guru/Dosen</v>
      </c>
      <c r="Q191" s="183">
        <f>'BIO DATA'!H111</f>
        <v>0</v>
      </c>
    </row>
    <row r="192" spans="2:17" s="23" customFormat="1" ht="18.75">
      <c r="B192" s="59"/>
      <c r="C192" s="59"/>
      <c r="D192" s="59"/>
      <c r="E192" s="59"/>
      <c r="F192" s="59"/>
      <c r="G192" s="67"/>
      <c r="H192" s="59"/>
      <c r="I192" s="59"/>
      <c r="J192" s="59"/>
      <c r="K192" s="59"/>
      <c r="L192" s="59"/>
      <c r="M192" s="59" t="s">
        <v>204</v>
      </c>
      <c r="N192" s="59"/>
      <c r="O192" s="59"/>
      <c r="P192" s="59"/>
      <c r="Q192" s="59"/>
    </row>
    <row r="193" spans="2:19" s="26" customFormat="1" ht="15.75" customHeight="1">
      <c r="B193" s="414" t="s">
        <v>0</v>
      </c>
      <c r="C193" s="415" t="s">
        <v>147</v>
      </c>
      <c r="D193" s="416" t="s">
        <v>2</v>
      </c>
      <c r="E193" s="414" t="s">
        <v>3</v>
      </c>
      <c r="F193" s="414" t="s">
        <v>8</v>
      </c>
      <c r="G193" s="414" t="s">
        <v>148</v>
      </c>
      <c r="H193" s="414" t="s">
        <v>149</v>
      </c>
      <c r="I193" s="414"/>
      <c r="J193" s="414" t="s">
        <v>6</v>
      </c>
      <c r="K193" s="417" t="s">
        <v>150</v>
      </c>
      <c r="L193" s="417"/>
      <c r="M193" s="417"/>
      <c r="N193" s="417"/>
      <c r="O193" s="414" t="s">
        <v>151</v>
      </c>
      <c r="P193" s="414"/>
      <c r="Q193" s="414" t="s">
        <v>174</v>
      </c>
    </row>
    <row r="194" spans="2:19" s="26" customFormat="1" ht="15.75" customHeight="1">
      <c r="B194" s="414"/>
      <c r="C194" s="415"/>
      <c r="D194" s="416"/>
      <c r="E194" s="414"/>
      <c r="F194" s="414"/>
      <c r="G194" s="414"/>
      <c r="H194" s="388" t="s">
        <v>153</v>
      </c>
      <c r="I194" s="388" t="s">
        <v>154</v>
      </c>
      <c r="J194" s="414"/>
      <c r="K194" s="388" t="s">
        <v>155</v>
      </c>
      <c r="L194" s="389" t="s">
        <v>155</v>
      </c>
      <c r="M194" s="388" t="s">
        <v>156</v>
      </c>
      <c r="N194" s="389" t="s">
        <v>157</v>
      </c>
      <c r="O194" s="388" t="s">
        <v>158</v>
      </c>
      <c r="P194" s="388" t="s">
        <v>159</v>
      </c>
      <c r="Q194" s="414"/>
      <c r="R194" s="27"/>
      <c r="S194" s="27"/>
    </row>
    <row r="195" spans="2:19" s="35" customFormat="1" ht="39.75" customHeight="1">
      <c r="B195" s="28">
        <v>20</v>
      </c>
      <c r="C195" s="29">
        <f>'BIO DATA'!C112</f>
        <v>12611</v>
      </c>
      <c r="D195" s="148" t="str">
        <f>'BIO DATA'!D112</f>
        <v>0132701925</v>
      </c>
      <c r="E195" s="30" t="str">
        <f>'BIO DATA'!E112</f>
        <v>Muhammad Ahnaf Isnandika</v>
      </c>
      <c r="F195" s="31" t="str">
        <f>'BIO DATA'!Y112</f>
        <v>SD Muhammadiyah Trisigan</v>
      </c>
      <c r="G195" s="71">
        <f>'BIO DATA'!I112</f>
        <v>1</v>
      </c>
      <c r="H195" s="30" t="str">
        <f>'BIO DATA'!M112</f>
        <v>Yogyakarta</v>
      </c>
      <c r="I195" s="136" t="str">
        <f>'BIO DATA'!P112</f>
        <v>25 November 2013</v>
      </c>
      <c r="J195" s="30" t="str">
        <f>'BIO DATA'!S112</f>
        <v>Ngentak RT 04 Dukuh 01 Murtigading Sanden Bantul DIY</v>
      </c>
      <c r="K195" s="30" t="str">
        <f>'BIO DATA'!AB112</f>
        <v>Noor Rakhman Ufrianto</v>
      </c>
      <c r="L195" s="147" t="str">
        <f>'BIO DATA'!AG112</f>
        <v>085878075476</v>
      </c>
      <c r="M195" s="30" t="str">
        <f>'BIO DATA'!AI112</f>
        <v>Fitri An Nisaa</v>
      </c>
      <c r="N195" s="147" t="str">
        <f>'BIO DATA'!AN99</f>
        <v>081804048010</v>
      </c>
      <c r="O195" s="181" t="s">
        <v>228</v>
      </c>
      <c r="P195" s="181" t="s">
        <v>228</v>
      </c>
      <c r="Q195" s="183">
        <f>'BIO DATA'!H112</f>
        <v>0</v>
      </c>
    </row>
    <row r="196" spans="2:19" s="35" customFormat="1" ht="38.25">
      <c r="B196" s="28">
        <v>21</v>
      </c>
      <c r="C196" s="29">
        <f>'BIO DATA'!C113</f>
        <v>12612</v>
      </c>
      <c r="D196" s="148" t="str">
        <f>'BIO DATA'!D113</f>
        <v>0144334927</v>
      </c>
      <c r="E196" s="30" t="str">
        <f>'BIO DATA'!E113</f>
        <v>Muhammad Airlangga Abbyansyah Fajar</v>
      </c>
      <c r="F196" s="31" t="str">
        <f>'BIO DATA'!Y113</f>
        <v>SD MUHAMMADIYAH PRAMBANAN</v>
      </c>
      <c r="G196" s="185" t="s">
        <v>228</v>
      </c>
      <c r="H196" s="30" t="str">
        <f>'BIO DATA'!M113</f>
        <v>Yogyakarta</v>
      </c>
      <c r="I196" s="136" t="str">
        <f>'BIO DATA'!P113</f>
        <v>10 Maret 2014</v>
      </c>
      <c r="J196" s="30" t="str">
        <f>'BIO DATA'!S113</f>
        <v>Ngangkruk Kebondalem Kidul Prambanan Klaten Jawa Tengah</v>
      </c>
      <c r="K196" s="30" t="str">
        <f>'BIO DATA'!AB113</f>
        <v>Ade Putra Fajar</v>
      </c>
      <c r="L196" s="147" t="str">
        <f>'BIO DATA'!AG113</f>
        <v>085799156089</v>
      </c>
      <c r="M196" s="30" t="str">
        <f>'BIO DATA'!AI113</f>
        <v>Erwinda Fitriana</v>
      </c>
      <c r="N196" s="147" t="str">
        <f>'BIO DATA'!AN100</f>
        <v>08111885709</v>
      </c>
      <c r="O196" s="30" t="str">
        <f>'BIO DATA'!AE113</f>
        <v>Pegawai Swasta</v>
      </c>
      <c r="P196" s="30" t="str">
        <f>'BIO DATA'!AL113</f>
        <v>Guru/Dosen</v>
      </c>
      <c r="Q196" s="183" t="s">
        <v>228</v>
      </c>
    </row>
    <row r="197" spans="2:19" s="35" customFormat="1" ht="51">
      <c r="B197" s="28">
        <v>22</v>
      </c>
      <c r="C197" s="29">
        <f>'BIO DATA'!C114</f>
        <v>12615</v>
      </c>
      <c r="D197" s="148">
        <f>'BIO DATA'!D114</f>
        <v>3130813127</v>
      </c>
      <c r="E197" s="30" t="str">
        <f>'BIO DATA'!E114</f>
        <v>Muhammad Alfano Abqary Pratama</v>
      </c>
      <c r="F197" s="31" t="str">
        <f>'BIO DATA'!Y114</f>
        <v>MI Muhammadiyah Banyumudal</v>
      </c>
      <c r="G197" s="185" t="s">
        <v>228</v>
      </c>
      <c r="H197" s="30" t="str">
        <f>'BIO DATA'!M114</f>
        <v>Pemalang</v>
      </c>
      <c r="I197" s="136" t="str">
        <f>'BIO DATA'!P114</f>
        <v>5 Desember 2014</v>
      </c>
      <c r="J197" s="30" t="str">
        <f>'BIO DATA'!S114</f>
        <v>Krajan Barat Rt 01 Rw 03 Desa Banyumudal Kecamatan Moga Kabupaten Pemalang Jawa Tengah</v>
      </c>
      <c r="K197" s="30" t="str">
        <f>'BIO DATA'!AB114</f>
        <v>Sutrisno</v>
      </c>
      <c r="L197" s="147" t="str">
        <f>'BIO DATA'!AG114</f>
        <v>085225861530</v>
      </c>
      <c r="M197" s="30" t="str">
        <f>'BIO DATA'!AI114</f>
        <v>Ika Farisia</v>
      </c>
      <c r="N197" s="147" t="str">
        <f>'BIO DATA'!AN101</f>
        <v>082147114411</v>
      </c>
      <c r="O197" s="30" t="str">
        <f>'BIO DATA'!AE114</f>
        <v>Wiraswasta</v>
      </c>
      <c r="P197" s="30" t="str">
        <f>'BIO DATA'!AL114</f>
        <v>Lain-lain</v>
      </c>
      <c r="Q197" s="183" t="s">
        <v>228</v>
      </c>
    </row>
    <row r="198" spans="2:19" s="35" customFormat="1" ht="38.25">
      <c r="B198" s="28">
        <v>23</v>
      </c>
      <c r="C198" s="29">
        <f>'BIO DATA'!C115</f>
        <v>12621</v>
      </c>
      <c r="D198" s="148" t="str">
        <f>'BIO DATA'!D115</f>
        <v>0142025965</v>
      </c>
      <c r="E198" s="30" t="str">
        <f>'BIO DATA'!E115</f>
        <v>Muhammad Azghan Aushafi Prasetyo</v>
      </c>
      <c r="F198" s="31" t="str">
        <f>'BIO DATA'!Y115</f>
        <v>SD IT Anak Sholeh Sedayu</v>
      </c>
      <c r="G198" s="71">
        <f>'BIO DATA'!I115</f>
        <v>2</v>
      </c>
      <c r="H198" s="30" t="str">
        <f>'BIO DATA'!M115</f>
        <v>Nganjuk</v>
      </c>
      <c r="I198" s="136" t="str">
        <f>'BIO DATA'!P115</f>
        <v>6 Januari 2014</v>
      </c>
      <c r="J198" s="30" t="str">
        <f>'BIO DATA'!S115</f>
        <v>Puri Argomulyo Asri No 07 Plawonan Argomulyo Sedayu Bantul DIY</v>
      </c>
      <c r="K198" s="30" t="str">
        <f>'BIO DATA'!AB115</f>
        <v>Teguh Hadi Prasetyo</v>
      </c>
      <c r="L198" s="147" t="str">
        <f>'BIO DATA'!AG115</f>
        <v>085398994316</v>
      </c>
      <c r="M198" s="30" t="str">
        <f>'BIO DATA'!AI115</f>
        <v>Amalia Kusuma Wardhani</v>
      </c>
      <c r="N198" s="147" t="str">
        <f>'BIO DATA'!AN102</f>
        <v>085230795449</v>
      </c>
      <c r="O198" s="30" t="str">
        <f>'BIO DATA'!AE115</f>
        <v>PNS</v>
      </c>
      <c r="P198" s="30" t="str">
        <f>'BIO DATA'!AL115</f>
        <v>Tidak Bekerja</v>
      </c>
      <c r="Q198" s="183" t="s">
        <v>228</v>
      </c>
    </row>
    <row r="199" spans="2:19" s="35" customFormat="1" ht="38.25">
      <c r="B199" s="28">
        <v>24</v>
      </c>
      <c r="C199" s="29">
        <f>'BIO DATA'!C116</f>
        <v>12625</v>
      </c>
      <c r="D199" s="148" t="str">
        <f>'BIO DATA'!D116</f>
        <v>0137626621</v>
      </c>
      <c r="E199" s="30" t="str">
        <f>'BIO DATA'!E116</f>
        <v>Muhammad Bagus Al Farizi</v>
      </c>
      <c r="F199" s="31" t="str">
        <f>'BIO DATA'!Y116</f>
        <v>SD Negeri 004 balikpapan selatan</v>
      </c>
      <c r="G199" s="71">
        <f>'BIO DATA'!I116</f>
        <v>2</v>
      </c>
      <c r="H199" s="30" t="str">
        <f>'BIO DATA'!M116</f>
        <v>Balikpapan</v>
      </c>
      <c r="I199" s="136" t="str">
        <f>'BIO DATA'!P116</f>
        <v>24 Juli 2013</v>
      </c>
      <c r="J199" s="30" t="str">
        <f>'BIO DATA'!S116</f>
        <v>JL. Sepinggan Asri Utara IV Blok G No.08 RT 45 Balikpapan Selatan Kota Balikpapan</v>
      </c>
      <c r="K199" s="30" t="str">
        <f>'BIO DATA'!AB116</f>
        <v>Samsul Arifin</v>
      </c>
      <c r="L199" s="147" t="str">
        <f>'BIO DATA'!AG116</f>
        <v>081350014007</v>
      </c>
      <c r="M199" s="30" t="str">
        <f>'BIO DATA'!AI116</f>
        <v>Iken Dwi Puspitorini</v>
      </c>
      <c r="N199" s="147" t="str">
        <f>'BIO DATA'!AN103</f>
        <v>081328384411</v>
      </c>
      <c r="O199" s="30" t="str">
        <f>'BIO DATA'!AE116</f>
        <v>Lain-lain</v>
      </c>
      <c r="P199" s="30" t="str">
        <f>'BIO DATA'!AL116</f>
        <v>Tidak Bekerja</v>
      </c>
      <c r="Q199" s="183" t="s">
        <v>228</v>
      </c>
    </row>
    <row r="200" spans="2:19" s="35" customFormat="1" ht="38.25">
      <c r="B200" s="28">
        <v>25</v>
      </c>
      <c r="C200" s="29">
        <f>'BIO DATA'!C117</f>
        <v>12632</v>
      </c>
      <c r="D200" s="148" t="str">
        <f>'BIO DATA'!D117</f>
        <v>0133269133</v>
      </c>
      <c r="E200" s="30" t="str">
        <f>'BIO DATA'!E117</f>
        <v>Muhammad Fahry</v>
      </c>
      <c r="F200" s="31" t="str">
        <f>'BIO DATA'!Y117</f>
        <v>SD IT Jabal Nur</v>
      </c>
      <c r="G200" s="71">
        <f>'BIO DATA'!I117</f>
        <v>2</v>
      </c>
      <c r="H200" s="30" t="str">
        <f>'BIO DATA'!M117</f>
        <v>Riyadh</v>
      </c>
      <c r="I200" s="136" t="str">
        <f>'BIO DATA'!P117</f>
        <v>28 Oktober 2013</v>
      </c>
      <c r="J200" s="30" t="str">
        <f>'BIO DATA'!S117</f>
        <v>Patra Graha Bangunjiwo No.A1 Dusun Sribitan RT 003 Bangunjiwo Kasihan Bantul DIY</v>
      </c>
      <c r="K200" s="30" t="str">
        <f>'BIO DATA'!AB117</f>
        <v>Hendri Fathul Muslim</v>
      </c>
      <c r="L200" s="147" t="str">
        <f>'BIO DATA'!AG117</f>
        <v>087728681826</v>
      </c>
      <c r="M200" s="30" t="str">
        <f>'BIO DATA'!AI117</f>
        <v>Dwi Retno Nugraheni</v>
      </c>
      <c r="N200" s="147" t="str">
        <f>'BIO DATA'!AN104</f>
        <v>082141675407</v>
      </c>
      <c r="O200" s="30" t="str">
        <f>'BIO DATA'!AE117</f>
        <v>Karyawan Swasta</v>
      </c>
      <c r="P200" s="30" t="str">
        <f>'BIO DATA'!AL117</f>
        <v>Perawat</v>
      </c>
      <c r="Q200" s="183">
        <f>'BIO DATA'!H117</f>
        <v>0</v>
      </c>
    </row>
    <row r="201" spans="2:19" s="35" customFormat="1" ht="38.25">
      <c r="B201" s="28">
        <v>26</v>
      </c>
      <c r="C201" s="29">
        <f>'BIO DATA'!C118</f>
        <v>12647</v>
      </c>
      <c r="D201" s="148" t="str">
        <f>'BIO DATA'!D118</f>
        <v>0143163855</v>
      </c>
      <c r="E201" s="30" t="str">
        <f>'BIO DATA'!E118</f>
        <v>Muhammad Nizam Justice Aryansyah</v>
      </c>
      <c r="F201" s="31" t="str">
        <f>'BIO DATA'!Y118</f>
        <v>SD Muhammadiyah Kutowinangun</v>
      </c>
      <c r="G201" s="71">
        <f>'BIO DATA'!I118</f>
        <v>2</v>
      </c>
      <c r="H201" s="30" t="str">
        <f>'BIO DATA'!M118</f>
        <v>Kebumen</v>
      </c>
      <c r="I201" s="136" t="str">
        <f>'BIO DATA'!P118</f>
        <v>1 April 2014</v>
      </c>
      <c r="J201" s="30" t="str">
        <f>'BIO DATA'!S118</f>
        <v>Dukuh Gumenter RT01 RW01, Babadsari Kutowinangun Kebumen Jawa Tengah</v>
      </c>
      <c r="K201" s="30" t="str">
        <f>'BIO DATA'!AB118</f>
        <v>Dwi Riyanto</v>
      </c>
      <c r="L201" s="147" t="str">
        <f>'BIO DATA'!AG118</f>
        <v>082235786498</v>
      </c>
      <c r="M201" s="30" t="str">
        <f>'BIO DATA'!AI118</f>
        <v>Wiwik Supriyati</v>
      </c>
      <c r="N201" s="147" t="str">
        <f>'BIO DATA'!AN105</f>
        <v>081227271300</v>
      </c>
      <c r="O201" s="30" t="str">
        <f>'BIO DATA'!AE118</f>
        <v>Wiraswasta</v>
      </c>
      <c r="P201" s="30" t="str">
        <f>'BIO DATA'!AL118</f>
        <v>Tidak Bekerja</v>
      </c>
      <c r="Q201" s="183" t="s">
        <v>228</v>
      </c>
    </row>
    <row r="202" spans="2:19" s="35" customFormat="1" ht="38.25">
      <c r="B202" s="28">
        <v>27</v>
      </c>
      <c r="C202" s="29">
        <f>'BIO DATA'!C119</f>
        <v>12664</v>
      </c>
      <c r="D202" s="148" t="str">
        <f>'BIO DATA'!D119</f>
        <v>0148132613</v>
      </c>
      <c r="E202" s="30" t="str">
        <f>'BIO DATA'!E119</f>
        <v>Nadzif Azzam Al Vaizi</v>
      </c>
      <c r="F202" s="31" t="str">
        <f>'BIO DATA'!Y119</f>
        <v>SDIT Alfalaah Sambi Boyolali</v>
      </c>
      <c r="G202" s="71">
        <f>'BIO DATA'!I119</f>
        <v>1</v>
      </c>
      <c r="H202" s="30" t="str">
        <f>'BIO DATA'!M119</f>
        <v>Semarang</v>
      </c>
      <c r="I202" s="136" t="str">
        <f>'BIO DATA'!P119</f>
        <v>25 April 2014</v>
      </c>
      <c r="J202" s="30" t="str">
        <f>'BIO DATA'!S119</f>
        <v>Dsn. Miri RT 011 RW 003 ,Papringan, Kaliwungu, Semarang Jawa Tengah</v>
      </c>
      <c r="K202" s="30" t="str">
        <f>'BIO DATA'!AB119</f>
        <v>Abdul Azis</v>
      </c>
      <c r="L202" s="147" t="str">
        <f>'BIO DATA'!AG119</f>
        <v>083842704779</v>
      </c>
      <c r="M202" s="30" t="str">
        <f>'BIO DATA'!AI119</f>
        <v>Vaiza Chusila Chisma</v>
      </c>
      <c r="N202" s="147" t="str">
        <f>'BIO DATA'!AN106</f>
        <v>08563662951</v>
      </c>
      <c r="O202" s="30" t="str">
        <f>'BIO DATA'!AE119</f>
        <v>Wiraswasta</v>
      </c>
      <c r="P202" s="30" t="str">
        <f>'BIO DATA'!AL119</f>
        <v>Tidak Bekerja</v>
      </c>
      <c r="Q202" s="183" t="s">
        <v>228</v>
      </c>
    </row>
    <row r="203" spans="2:19" s="35" customFormat="1" ht="25.5">
      <c r="B203" s="28">
        <v>28</v>
      </c>
      <c r="C203" s="29">
        <f>'BIO DATA'!C120</f>
        <v>12667</v>
      </c>
      <c r="D203" s="148" t="str">
        <f>'BIO DATA'!D120</f>
        <v>0142119059</v>
      </c>
      <c r="E203" s="30" t="str">
        <f>'BIO DATA'!E120</f>
        <v>Nararya Rizqi Ananditya</v>
      </c>
      <c r="F203" s="31" t="str">
        <f>'BIO DATA'!Y120</f>
        <v>SD muhamadiyah Sudagaran Wonosobo</v>
      </c>
      <c r="G203" s="71">
        <f>'BIO DATA'!I120</f>
        <v>1</v>
      </c>
      <c r="H203" s="30" t="str">
        <f>'BIO DATA'!M120</f>
        <v>Wonosobo</v>
      </c>
      <c r="I203" s="136" t="str">
        <f>'BIO DATA'!P120</f>
        <v>4 Juni 2014</v>
      </c>
      <c r="J203" s="30" t="str">
        <f>'BIO DATA'!S120</f>
        <v>Losari RT01 RW02 Wonorejo Selomerto Wonosobo</v>
      </c>
      <c r="K203" s="30" t="str">
        <f>'BIO DATA'!AB120</f>
        <v>Dwi Aditya Nugroho</v>
      </c>
      <c r="L203" s="147" t="str">
        <f>'BIO DATA'!AG120</f>
        <v>085643334949</v>
      </c>
      <c r="M203" s="30" t="str">
        <f>'BIO DATA'!AI120</f>
        <v>Anis Hidayah Saraswati</v>
      </c>
      <c r="N203" s="147" t="str">
        <f>'BIO DATA'!AN107</f>
        <v>08562750718</v>
      </c>
      <c r="O203" s="30" t="str">
        <f>'BIO DATA'!AE120</f>
        <v>TNI/Polri</v>
      </c>
      <c r="P203" s="30" t="str">
        <f>'BIO DATA'!AL120</f>
        <v>PNS</v>
      </c>
      <c r="Q203" s="183" t="s">
        <v>228</v>
      </c>
    </row>
    <row r="204" spans="2:19" s="35" customFormat="1" ht="40.5" customHeight="1">
      <c r="B204" s="28">
        <v>29</v>
      </c>
      <c r="C204" s="29">
        <f>'BIO DATA'!C121</f>
        <v>12700</v>
      </c>
      <c r="D204" s="148" t="str">
        <f>'BIO DATA'!D121</f>
        <v>0135346296</v>
      </c>
      <c r="E204" s="30" t="str">
        <f>'BIO DATA'!E121</f>
        <v>Salahuddin Nafis Al Farisi</v>
      </c>
      <c r="F204" s="31" t="str">
        <f>'BIO DATA'!Y121</f>
        <v>MIN Kayong Utara</v>
      </c>
      <c r="G204" s="185" t="s">
        <v>228</v>
      </c>
      <c r="H204" s="30" t="str">
        <f>'BIO DATA'!M121</f>
        <v>Klaten</v>
      </c>
      <c r="I204" s="136" t="str">
        <f>'BIO DATA'!P121</f>
        <v>11 Desember 2013</v>
      </c>
      <c r="J204" s="30" t="str">
        <f>'BIO DATA'!S121</f>
        <v xml:space="preserve">Jl. Bhayangkara Komp Villa Anugrtah 1 No B.19 RT 018 RW 004 Sutera Sukadana Kayong Utara Kalimantan Barat </v>
      </c>
      <c r="K204" s="30" t="str">
        <f>'BIO DATA'!AB121</f>
        <v>Hairul Asri Ar</v>
      </c>
      <c r="L204" s="147" t="str">
        <f>'BIO DATA'!AG121</f>
        <v>085215430531</v>
      </c>
      <c r="M204" s="30" t="str">
        <f>'BIO DATA'!AI121</f>
        <v>Ajeng Agustin Primastiwi</v>
      </c>
      <c r="N204" s="147" t="str">
        <f>'BIO DATA'!AN108</f>
        <v>082225081979</v>
      </c>
      <c r="O204" s="30" t="str">
        <f>'BIO DATA'!AE121</f>
        <v>PNS</v>
      </c>
      <c r="P204" s="30" t="str">
        <f>'BIO DATA'!AL121</f>
        <v>Dokter/Bidan/Perawat</v>
      </c>
      <c r="Q204" s="183" t="s">
        <v>228</v>
      </c>
    </row>
    <row r="205" spans="2:19" s="35" customFormat="1" ht="25.5">
      <c r="B205" s="28">
        <v>30</v>
      </c>
      <c r="C205" s="311">
        <f>'BIO DATA'!C122</f>
        <v>12707</v>
      </c>
      <c r="D205" s="312" t="str">
        <f>'BIO DATA'!D122</f>
        <v>0141674792</v>
      </c>
      <c r="E205" s="313" t="str">
        <f>'BIO DATA'!E122</f>
        <v>Syamil Ramadhani Saputra</v>
      </c>
      <c r="F205" s="36" t="str">
        <f>'BIO DATA'!Y122</f>
        <v>SD Budi Mulia Dua Sedayu</v>
      </c>
      <c r="G205" s="314">
        <f>'BIO DATA'!I122</f>
        <v>2</v>
      </c>
      <c r="H205" s="313" t="str">
        <f>'BIO DATA'!M122</f>
        <v>Yogyakarta</v>
      </c>
      <c r="I205" s="315" t="str">
        <f>'BIO DATA'!P122</f>
        <v>22 Juli 2014</v>
      </c>
      <c r="J205" s="313" t="str">
        <f>'BIO DATA'!S122</f>
        <v>Surobayan RT 8, Argomulyo, Sedayu, Bantul</v>
      </c>
      <c r="K205" s="313" t="str">
        <f>'BIO DATA'!AB122</f>
        <v>Taufan Saputra</v>
      </c>
      <c r="L205" s="316" t="str">
        <f>'BIO DATA'!AG122</f>
        <v>081394390864</v>
      </c>
      <c r="M205" s="313" t="str">
        <f>'BIO DATA'!AI122</f>
        <v>Ika Purwanasari</v>
      </c>
      <c r="N205" s="316" t="str">
        <f>'BIO DATA'!AN109</f>
        <v>081932279999</v>
      </c>
      <c r="O205" s="313" t="str">
        <f>'BIO DATA'!AE122</f>
        <v>PNS</v>
      </c>
      <c r="P205" s="313" t="str">
        <f>'BIO DATA'!AL122</f>
        <v>PNS</v>
      </c>
      <c r="Q205" s="317" t="s">
        <v>228</v>
      </c>
    </row>
    <row r="206" spans="2:19" s="35" customFormat="1" ht="38.25">
      <c r="B206" s="28">
        <v>31</v>
      </c>
      <c r="C206" s="311">
        <f>'BIO DATA'!C123</f>
        <v>12710</v>
      </c>
      <c r="D206" s="148" t="str">
        <f>'BIO DATA'!D123</f>
        <v>0138690025</v>
      </c>
      <c r="E206" s="30" t="str">
        <f>'BIO DATA'!E123</f>
        <v>Tsaqiif Yaafi' Tri Nugroho</v>
      </c>
      <c r="F206" s="32" t="str">
        <f>'BIO DATA'!Y123</f>
        <v>SDIT Permata Hati Banjarnegara</v>
      </c>
      <c r="G206" s="71">
        <f>'BIO DATA'!I123</f>
        <v>3</v>
      </c>
      <c r="H206" s="30" t="str">
        <f>'BIO DATA'!M123</f>
        <v>Purbalingga</v>
      </c>
      <c r="I206" s="136" t="str">
        <f>'BIO DATA'!P123</f>
        <v>5 Juni 2013</v>
      </c>
      <c r="J206" s="30" t="str">
        <f>'BIO DATA'!S123</f>
        <v>Desa Bawang RT 01 RW O5, Kec. Bawang Kab. Banjarnegara Jawa Tengah</v>
      </c>
      <c r="K206" s="30" t="str">
        <f>'BIO DATA'!AB123</f>
        <v>Ambar Tri Setyo Yuwono, S. Pd</v>
      </c>
      <c r="L206" s="147" t="str">
        <f>'BIO DATA'!AG123</f>
        <v>081327155642</v>
      </c>
      <c r="M206" s="30" t="str">
        <f>'BIO DATA'!AI123</f>
        <v>Suprihatun, S. Pd</v>
      </c>
      <c r="N206" s="147" t="str">
        <f>'BIO DATA'!AN110</f>
        <v>081328390700</v>
      </c>
      <c r="O206" s="30" t="str">
        <f>'BIO DATA'!AE123</f>
        <v>PNS</v>
      </c>
      <c r="P206" s="30" t="str">
        <f>'BIO DATA'!AL123</f>
        <v>PNS</v>
      </c>
      <c r="Q206" s="183" t="s">
        <v>228</v>
      </c>
    </row>
    <row r="207" spans="2:19" s="35" customFormat="1" ht="12.75">
      <c r="B207" s="37"/>
      <c r="C207" s="38"/>
      <c r="D207" s="123"/>
      <c r="E207" s="39"/>
      <c r="F207" s="34"/>
      <c r="G207" s="124"/>
      <c r="H207" s="39"/>
      <c r="I207" s="139"/>
      <c r="J207" s="39"/>
      <c r="K207" s="39"/>
      <c r="L207" s="40"/>
      <c r="M207" s="39"/>
      <c r="N207" s="140"/>
      <c r="O207" s="39"/>
      <c r="P207" s="39"/>
      <c r="Q207" s="140"/>
    </row>
    <row r="208" spans="2:19" s="35" customFormat="1" ht="12.75">
      <c r="B208" s="37"/>
      <c r="C208" s="38"/>
      <c r="D208" s="123"/>
      <c r="E208" s="39"/>
      <c r="F208" s="34"/>
      <c r="G208" s="124"/>
      <c r="H208" s="39"/>
      <c r="I208" s="139"/>
      <c r="J208" s="39"/>
      <c r="K208" s="39"/>
      <c r="L208" s="40"/>
      <c r="M208" s="39"/>
      <c r="N208" s="140"/>
      <c r="O208" s="39"/>
      <c r="P208" s="39"/>
      <c r="Q208" s="140"/>
    </row>
    <row r="209" spans="2:17" s="35" customFormat="1" ht="12.75">
      <c r="B209" s="37"/>
      <c r="C209" s="38"/>
      <c r="D209" s="123"/>
      <c r="E209" s="39"/>
      <c r="F209" s="34"/>
      <c r="G209" s="124"/>
      <c r="H209" s="39"/>
      <c r="I209" s="139"/>
      <c r="J209" s="39"/>
      <c r="K209" s="39"/>
      <c r="L209" s="40"/>
      <c r="M209" s="39"/>
      <c r="N209" s="140"/>
      <c r="O209" s="39"/>
      <c r="P209" s="39"/>
      <c r="Q209" s="140"/>
    </row>
    <row r="210" spans="2:17" s="35" customFormat="1" ht="12.75">
      <c r="B210" s="37"/>
      <c r="C210" s="38"/>
      <c r="D210" s="123"/>
      <c r="E210" s="39"/>
      <c r="F210" s="34"/>
      <c r="G210" s="124"/>
      <c r="H210" s="39"/>
      <c r="I210" s="139"/>
      <c r="J210" s="39"/>
      <c r="K210" s="39"/>
      <c r="L210" s="40"/>
      <c r="M210" s="39"/>
      <c r="N210" s="140"/>
      <c r="O210" s="39"/>
      <c r="P210" s="39"/>
      <c r="Q210" s="140"/>
    </row>
    <row r="211" spans="2:17" s="35" customFormat="1" ht="12.75">
      <c r="B211" s="37"/>
      <c r="C211" s="38"/>
      <c r="D211" s="123"/>
      <c r="E211" s="39"/>
      <c r="F211" s="34"/>
      <c r="G211" s="124"/>
      <c r="H211" s="39"/>
      <c r="I211" s="139"/>
      <c r="J211" s="39"/>
      <c r="K211" s="39"/>
      <c r="L211" s="40"/>
      <c r="M211" s="39"/>
      <c r="N211" s="140"/>
      <c r="O211" s="39"/>
      <c r="P211" s="39"/>
      <c r="Q211" s="140"/>
    </row>
    <row r="212" spans="2:17" s="35" customFormat="1" ht="12.75">
      <c r="B212" s="37"/>
      <c r="C212" s="38"/>
      <c r="D212" s="123"/>
      <c r="E212" s="39"/>
      <c r="F212" s="34"/>
      <c r="G212" s="124"/>
      <c r="H212" s="39"/>
      <c r="I212" s="139"/>
      <c r="J212" s="39"/>
      <c r="K212" s="39"/>
      <c r="L212" s="40"/>
      <c r="M212" s="39"/>
      <c r="N212" s="140"/>
      <c r="O212" s="39"/>
      <c r="P212" s="39"/>
      <c r="Q212" s="140"/>
    </row>
    <row r="213" spans="2:17" s="35" customFormat="1" ht="12.75">
      <c r="B213" s="37"/>
      <c r="C213" s="38"/>
      <c r="D213" s="123"/>
      <c r="E213" s="39"/>
      <c r="F213" s="34"/>
      <c r="G213" s="124"/>
      <c r="H213" s="39"/>
      <c r="I213" s="139"/>
      <c r="J213" s="39"/>
      <c r="K213" s="39"/>
      <c r="L213" s="40"/>
      <c r="M213" s="39"/>
      <c r="N213" s="140"/>
      <c r="O213" s="39"/>
      <c r="P213" s="39"/>
      <c r="Q213" s="140"/>
    </row>
    <row r="214" spans="2:17" s="35" customFormat="1" ht="12.75">
      <c r="B214" s="37"/>
      <c r="C214" s="38"/>
      <c r="D214" s="123"/>
      <c r="E214" s="39"/>
      <c r="F214" s="34"/>
      <c r="G214" s="124"/>
      <c r="H214" s="39"/>
      <c r="I214" s="139"/>
      <c r="J214" s="39"/>
      <c r="K214" s="39"/>
      <c r="L214" s="40"/>
      <c r="M214" s="39"/>
      <c r="N214" s="140"/>
      <c r="O214" s="39"/>
      <c r="P214" s="39"/>
      <c r="Q214" s="140"/>
    </row>
    <row r="215" spans="2:17" s="35" customFormat="1" ht="12.75">
      <c r="B215" s="37"/>
      <c r="C215" s="38"/>
      <c r="D215" s="123"/>
      <c r="E215" s="39"/>
      <c r="F215" s="34"/>
      <c r="G215" s="124"/>
      <c r="H215" s="39"/>
      <c r="I215" s="139"/>
      <c r="J215" s="39"/>
      <c r="K215" s="39"/>
      <c r="L215" s="40"/>
      <c r="M215" s="39"/>
      <c r="N215" s="140"/>
      <c r="O215" s="39"/>
      <c r="P215" s="39"/>
      <c r="Q215" s="140"/>
    </row>
    <row r="216" spans="2:17" s="35" customFormat="1" ht="12.75">
      <c r="B216" s="37"/>
      <c r="C216" s="38"/>
      <c r="D216" s="123"/>
      <c r="E216" s="39"/>
      <c r="F216" s="34"/>
      <c r="G216" s="124"/>
      <c r="H216" s="39"/>
      <c r="I216" s="139"/>
      <c r="J216" s="39"/>
      <c r="K216" s="39"/>
      <c r="L216" s="40"/>
      <c r="M216" s="39"/>
      <c r="N216" s="140"/>
      <c r="O216" s="39"/>
      <c r="P216" s="39"/>
      <c r="Q216" s="140"/>
    </row>
    <row r="217" spans="2:17" s="35" customFormat="1" ht="12.75">
      <c r="B217" s="37"/>
      <c r="C217" s="38"/>
      <c r="D217" s="123"/>
      <c r="E217" s="39"/>
      <c r="F217" s="34"/>
      <c r="G217" s="124"/>
      <c r="H217" s="39"/>
      <c r="I217" s="139"/>
      <c r="J217" s="39"/>
      <c r="K217" s="39"/>
      <c r="L217" s="40"/>
      <c r="M217" s="39"/>
      <c r="N217" s="140"/>
      <c r="O217" s="39"/>
      <c r="P217" s="39"/>
      <c r="Q217" s="140"/>
    </row>
    <row r="218" spans="2:17" s="35" customFormat="1" ht="12.75">
      <c r="B218" s="37"/>
      <c r="C218" s="38"/>
      <c r="D218" s="123"/>
      <c r="E218" s="39"/>
      <c r="F218" s="34"/>
      <c r="G218" s="124"/>
      <c r="H218" s="39"/>
      <c r="I218" s="139"/>
      <c r="J218" s="39"/>
      <c r="K218" s="39"/>
      <c r="L218" s="40"/>
      <c r="M218" s="39"/>
      <c r="N218" s="140"/>
      <c r="O218" s="39"/>
      <c r="P218" s="39"/>
      <c r="Q218" s="140"/>
    </row>
    <row r="219" spans="2:17" s="35" customFormat="1" ht="12.75">
      <c r="B219" s="37"/>
      <c r="C219" s="38"/>
      <c r="D219" s="123"/>
      <c r="E219" s="39"/>
      <c r="F219" s="34"/>
      <c r="G219" s="124"/>
      <c r="H219" s="39"/>
      <c r="I219" s="139"/>
      <c r="J219" s="39"/>
      <c r="K219" s="39"/>
      <c r="L219" s="40"/>
      <c r="M219" s="39"/>
      <c r="N219" s="140"/>
      <c r="O219" s="39"/>
      <c r="P219" s="39"/>
      <c r="Q219" s="140"/>
    </row>
    <row r="220" spans="2:17" s="35" customFormat="1" ht="12.75">
      <c r="B220" s="37"/>
      <c r="C220" s="38"/>
      <c r="D220" s="123"/>
      <c r="E220" s="39"/>
      <c r="F220" s="34"/>
      <c r="G220" s="124"/>
      <c r="H220" s="39"/>
      <c r="I220" s="139"/>
      <c r="J220" s="39"/>
      <c r="K220" s="39"/>
      <c r="L220" s="40"/>
      <c r="M220" s="39"/>
      <c r="N220" s="140"/>
      <c r="O220" s="39"/>
      <c r="P220" s="39"/>
      <c r="Q220" s="140"/>
    </row>
    <row r="221" spans="2:17" s="35" customFormat="1" ht="12.75">
      <c r="B221" s="37"/>
      <c r="C221" s="38"/>
      <c r="D221" s="123"/>
      <c r="E221" s="39"/>
      <c r="F221" s="34"/>
      <c r="G221" s="124"/>
      <c r="H221" s="39"/>
      <c r="I221" s="139"/>
      <c r="J221" s="39"/>
      <c r="K221" s="39"/>
      <c r="L221" s="40"/>
      <c r="M221" s="39"/>
      <c r="N221" s="140"/>
      <c r="O221" s="39"/>
      <c r="P221" s="39"/>
      <c r="Q221" s="140"/>
    </row>
    <row r="222" spans="2:17" s="35" customFormat="1" ht="12.75">
      <c r="B222" s="37"/>
      <c r="C222" s="38"/>
      <c r="D222" s="123"/>
      <c r="E222" s="39"/>
      <c r="F222" s="34"/>
      <c r="G222" s="124"/>
      <c r="H222" s="39"/>
      <c r="I222" s="139"/>
      <c r="J222" s="39"/>
      <c r="K222" s="39"/>
      <c r="L222" s="40"/>
      <c r="M222" s="39"/>
      <c r="N222" s="140"/>
      <c r="O222" s="39"/>
      <c r="P222" s="39"/>
      <c r="Q222" s="140"/>
    </row>
    <row r="223" spans="2:17" s="35" customFormat="1" ht="12.75">
      <c r="B223" s="37"/>
      <c r="C223" s="38"/>
      <c r="D223" s="123"/>
      <c r="E223" s="39"/>
      <c r="F223" s="34"/>
      <c r="G223" s="124"/>
      <c r="H223" s="39"/>
      <c r="I223" s="139"/>
      <c r="J223" s="39"/>
      <c r="K223" s="39"/>
      <c r="L223" s="40"/>
      <c r="M223" s="39"/>
      <c r="N223" s="140"/>
      <c r="O223" s="39"/>
      <c r="P223" s="39"/>
      <c r="Q223" s="140"/>
    </row>
    <row r="224" spans="2:17" s="35" customFormat="1" ht="12.75">
      <c r="B224" s="37"/>
      <c r="C224" s="38"/>
      <c r="D224" s="123"/>
      <c r="E224" s="39"/>
      <c r="F224" s="34"/>
      <c r="G224" s="124"/>
      <c r="H224" s="39"/>
      <c r="I224" s="139"/>
      <c r="J224" s="39"/>
      <c r="K224" s="39"/>
      <c r="L224" s="40"/>
      <c r="M224" s="39"/>
      <c r="N224" s="140"/>
      <c r="O224" s="39"/>
      <c r="P224" s="39"/>
      <c r="Q224" s="140"/>
    </row>
    <row r="225" spans="2:19" s="35" customFormat="1" ht="12.75">
      <c r="B225" s="37"/>
      <c r="C225" s="38"/>
      <c r="D225" s="123"/>
      <c r="E225" s="39"/>
      <c r="F225" s="34"/>
      <c r="G225" s="124"/>
      <c r="H225" s="39"/>
      <c r="I225" s="139"/>
      <c r="J225" s="39"/>
      <c r="K225" s="39"/>
      <c r="L225" s="40"/>
      <c r="M225" s="39"/>
      <c r="N225" s="140"/>
      <c r="O225" s="39"/>
      <c r="P225" s="39"/>
      <c r="Q225" s="140"/>
    </row>
    <row r="226" spans="2:19" s="35" customFormat="1" ht="12.75">
      <c r="B226" s="37"/>
      <c r="C226" s="38"/>
      <c r="D226" s="123"/>
      <c r="E226" s="39"/>
      <c r="F226" s="34"/>
      <c r="G226" s="124"/>
      <c r="H226" s="39"/>
      <c r="I226" s="139"/>
      <c r="J226" s="39"/>
      <c r="K226" s="39"/>
      <c r="L226" s="40"/>
      <c r="M226" s="39"/>
      <c r="N226" s="140"/>
      <c r="O226" s="39"/>
      <c r="P226" s="39"/>
      <c r="Q226" s="140"/>
    </row>
    <row r="227" spans="2:19" s="35" customFormat="1" ht="12.75">
      <c r="B227" s="37"/>
      <c r="C227" s="38"/>
      <c r="D227" s="123"/>
      <c r="E227" s="39"/>
      <c r="F227" s="34"/>
      <c r="G227" s="124"/>
      <c r="H227" s="39"/>
      <c r="I227" s="139"/>
      <c r="J227" s="39"/>
      <c r="K227" s="39"/>
      <c r="L227" s="40"/>
      <c r="M227" s="39"/>
      <c r="N227" s="140"/>
      <c r="O227" s="39"/>
      <c r="P227" s="39"/>
      <c r="Q227" s="140"/>
    </row>
    <row r="228" spans="2:19" s="35" customFormat="1" ht="12.75">
      <c r="B228" s="37"/>
      <c r="C228" s="38"/>
      <c r="D228" s="123"/>
      <c r="E228" s="39"/>
      <c r="F228" s="34"/>
      <c r="G228" s="124"/>
      <c r="H228" s="39"/>
      <c r="I228" s="139"/>
      <c r="J228" s="39"/>
      <c r="K228" s="39"/>
      <c r="L228" s="40"/>
      <c r="M228" s="39"/>
      <c r="N228" s="140"/>
      <c r="O228" s="39"/>
      <c r="P228" s="39"/>
      <c r="Q228" s="140"/>
    </row>
    <row r="229" spans="2:19" s="23" customFormat="1" ht="18.75">
      <c r="B229" s="408" t="s">
        <v>232</v>
      </c>
      <c r="C229" s="408"/>
      <c r="D229" s="408"/>
      <c r="E229" s="408"/>
      <c r="F229" s="408"/>
      <c r="G229" s="408"/>
      <c r="H229" s="408"/>
      <c r="I229" s="408"/>
      <c r="J229" s="408"/>
      <c r="K229" s="408"/>
      <c r="L229" s="408"/>
      <c r="M229" s="408"/>
      <c r="N229" s="408"/>
      <c r="O229" s="408"/>
      <c r="P229" s="408"/>
      <c r="Q229" s="408"/>
    </row>
    <row r="230" spans="2:19" s="23" customFormat="1" ht="18.75">
      <c r="B230" s="408" t="s">
        <v>234</v>
      </c>
      <c r="C230" s="408"/>
      <c r="D230" s="408"/>
      <c r="E230" s="408"/>
      <c r="F230" s="408"/>
      <c r="G230" s="408"/>
      <c r="H230" s="408"/>
      <c r="I230" s="408"/>
      <c r="J230" s="408"/>
      <c r="K230" s="408"/>
      <c r="L230" s="408"/>
      <c r="M230" s="408"/>
      <c r="N230" s="408"/>
      <c r="O230" s="408"/>
      <c r="P230" s="408"/>
      <c r="Q230" s="408"/>
    </row>
    <row r="231" spans="2:19" s="23" customFormat="1" ht="18.75">
      <c r="B231" s="413" t="s">
        <v>237</v>
      </c>
      <c r="C231" s="413"/>
      <c r="D231" s="413"/>
      <c r="E231" s="413"/>
      <c r="F231" s="413"/>
      <c r="G231" s="413"/>
      <c r="H231" s="413"/>
      <c r="I231" s="413"/>
      <c r="J231" s="413"/>
      <c r="K231" s="413"/>
      <c r="L231" s="413"/>
      <c r="M231" s="413"/>
      <c r="N231" s="413"/>
      <c r="O231" s="413"/>
      <c r="P231" s="413"/>
      <c r="Q231" s="413"/>
    </row>
    <row r="232" spans="2:19" s="24" customFormat="1" ht="15.75" customHeight="1">
      <c r="B232" s="405" t="s">
        <v>0</v>
      </c>
      <c r="C232" s="410" t="s">
        <v>147</v>
      </c>
      <c r="D232" s="411" t="s">
        <v>2</v>
      </c>
      <c r="E232" s="412" t="s">
        <v>3</v>
      </c>
      <c r="F232" s="412" t="s">
        <v>8</v>
      </c>
      <c r="G232" s="405" t="s">
        <v>148</v>
      </c>
      <c r="H232" s="405" t="s">
        <v>149</v>
      </c>
      <c r="I232" s="405"/>
      <c r="J232" s="406" t="s">
        <v>6</v>
      </c>
      <c r="K232" s="407" t="s">
        <v>150</v>
      </c>
      <c r="L232" s="407"/>
      <c r="M232" s="407"/>
      <c r="N232" s="407"/>
      <c r="O232" s="409" t="s">
        <v>151</v>
      </c>
      <c r="P232" s="409"/>
      <c r="Q232" s="405" t="s">
        <v>152</v>
      </c>
    </row>
    <row r="233" spans="2:19" s="24" customFormat="1" ht="15.75" customHeight="1">
      <c r="B233" s="405"/>
      <c r="C233" s="410"/>
      <c r="D233" s="411"/>
      <c r="E233" s="412"/>
      <c r="F233" s="412"/>
      <c r="G233" s="405"/>
      <c r="H233" s="391" t="s">
        <v>153</v>
      </c>
      <c r="I233" s="391" t="s">
        <v>154</v>
      </c>
      <c r="J233" s="406"/>
      <c r="K233" s="390" t="s">
        <v>155</v>
      </c>
      <c r="L233" s="392" t="s">
        <v>155</v>
      </c>
      <c r="M233" s="390" t="s">
        <v>156</v>
      </c>
      <c r="N233" s="392" t="s">
        <v>157</v>
      </c>
      <c r="O233" s="391" t="s">
        <v>158</v>
      </c>
      <c r="P233" s="391" t="s">
        <v>159</v>
      </c>
      <c r="Q233" s="405"/>
      <c r="R233" s="8"/>
      <c r="S233" s="8"/>
    </row>
    <row r="234" spans="2:19" s="35" customFormat="1" ht="38.25">
      <c r="B234" s="28">
        <v>1</v>
      </c>
      <c r="C234" s="29">
        <f>'BIO DATA'!C123</f>
        <v>12710</v>
      </c>
      <c r="D234" s="61" t="str">
        <f>'BIO DATA'!D123</f>
        <v>0138690025</v>
      </c>
      <c r="E234" s="30" t="str">
        <f>'BIO DATA'!E123</f>
        <v>Tsaqiif Yaafi' Tri Nugroho</v>
      </c>
      <c r="F234" s="147" t="str">
        <f>'BIO DATA'!Y123</f>
        <v>SDIT Permata Hati Banjarnegara</v>
      </c>
      <c r="G234" s="71">
        <f>'BIO DATA'!I123</f>
        <v>3</v>
      </c>
      <c r="H234" s="30" t="str">
        <f>'BIO DATA'!M123</f>
        <v>Purbalingga</v>
      </c>
      <c r="I234" s="136" t="str">
        <f>'BIO DATA'!P123</f>
        <v>5 Juni 2013</v>
      </c>
      <c r="J234" s="30" t="str">
        <f>'BIO DATA'!S123</f>
        <v>Desa Bawang RT 01 RW O5, Kec. Bawang Kab. Banjarnegara Jawa Tengah</v>
      </c>
      <c r="K234" s="147" t="str">
        <f>'BIO DATA'!AB123</f>
        <v>Ambar Tri Setyo Yuwono, S. Pd</v>
      </c>
      <c r="L234" s="147" t="str">
        <f>'BIO DATA'!AG123</f>
        <v>081327155642</v>
      </c>
      <c r="M234" s="30" t="str">
        <f>'BIO DATA'!AI123</f>
        <v>Suprihatun, S. Pd</v>
      </c>
      <c r="N234" s="147" t="str">
        <f>'BIO DATA'!AN110</f>
        <v>081328390700</v>
      </c>
      <c r="O234" s="147" t="s">
        <v>228</v>
      </c>
      <c r="P234" s="30" t="str">
        <f>'BIO DATA'!AL123</f>
        <v>PNS</v>
      </c>
      <c r="Q234" s="183" t="s">
        <v>228</v>
      </c>
    </row>
    <row r="235" spans="2:19" s="35" customFormat="1" ht="38.25">
      <c r="B235" s="28">
        <v>2</v>
      </c>
      <c r="C235" s="29">
        <f>'BIO DATA'!C234</f>
        <v>12504</v>
      </c>
      <c r="D235" s="148" t="str">
        <f>'BIO DATA'!D234</f>
        <v>013901281</v>
      </c>
      <c r="E235" s="30" t="str">
        <f>'BIO DATA'!E234</f>
        <v>Athiillaah Andharu Fatah</v>
      </c>
      <c r="F235" s="150" t="str">
        <f>'BIO DATA'!Y234</f>
        <v>SD Muhammadiyah 2 Alternatif Kota Magelang</v>
      </c>
      <c r="G235" s="71">
        <f>'BIO DATA'!I234</f>
        <v>1</v>
      </c>
      <c r="H235" s="30" t="str">
        <f>'BIO DATA'!M234</f>
        <v>Sleman</v>
      </c>
      <c r="I235" s="136" t="str">
        <f>'BIO DATA'!P234</f>
        <v>6 April 2013</v>
      </c>
      <c r="J235" s="30" t="str">
        <f>'BIO DATA'!S234</f>
        <v>Dsn. Jomblang RT001/RW009, Jl. H. Abu BakrinKec. Secang, Magelang, Jawa Tengah 56195</v>
      </c>
      <c r="K235" s="146" t="str">
        <f>'BIO DATA'!AB234</f>
        <v>Sugeng Budi Solihan</v>
      </c>
      <c r="L235" s="147" t="str">
        <f>'BIO DATA'!AG234</f>
        <v>081317101353</v>
      </c>
      <c r="M235" s="30" t="str">
        <f>'BIO DATA'!AI234</f>
        <v>Idha Nurhayati</v>
      </c>
      <c r="N235" s="147" t="str">
        <f>'BIO DATA'!AN234</f>
        <v>081227759702</v>
      </c>
      <c r="O235" s="150" t="str">
        <f>'BIO DATA'!AE234</f>
        <v>Pegawai Swasta</v>
      </c>
      <c r="P235" s="30" t="str">
        <f>'BIO DATA'!AL234</f>
        <v>Wiraswasta</v>
      </c>
      <c r="Q235" s="183" t="s">
        <v>228</v>
      </c>
    </row>
    <row r="236" spans="2:19" s="35" customFormat="1" ht="63.75">
      <c r="B236" s="28">
        <v>3</v>
      </c>
      <c r="C236" s="29">
        <f>'BIO DATA'!C124</f>
        <v>12463</v>
      </c>
      <c r="D236" s="148" t="str">
        <f>'BIO DATA'!D124</f>
        <v>0143121728</v>
      </c>
      <c r="E236" s="30" t="str">
        <f>'BIO DATA'!E124</f>
        <v>Abuwildan Najid Arrasyad</v>
      </c>
      <c r="F236" s="150" t="str">
        <f>'BIO DATA'!Y124</f>
        <v>SD Islam Bunayya</v>
      </c>
      <c r="G236" s="71">
        <f>'BIO DATA'!I124</f>
        <v>1</v>
      </c>
      <c r="H236" s="30" t="str">
        <f>'BIO DATA'!M124</f>
        <v>Pagar Alam</v>
      </c>
      <c r="I236" s="136" t="str">
        <f>'BIO DATA'!P124</f>
        <v>29 Juli 2014</v>
      </c>
      <c r="J236" s="30" t="str">
        <f>'BIO DATA'!S124</f>
        <v>Jl.Mesjid Abubakar Asshiddiq Kp.Mekar Jaya Rt.24 Rw.07 Kelurahan Pagar Alam kecamatan Pagar Alam utara kota Pagar Alam Sumsel 31512</v>
      </c>
      <c r="K236" s="146" t="str">
        <f>'BIO DATA'!AB124</f>
        <v>Herlianto</v>
      </c>
      <c r="L236" s="147" t="str">
        <f>'BIO DATA'!AG124</f>
        <v>082182257757</v>
      </c>
      <c r="M236" s="30" t="str">
        <f>'BIO DATA'!AI124</f>
        <v>Ika Yana Prihandini</v>
      </c>
      <c r="N236" s="147" t="str">
        <f>'BIO DATA'!AN111</f>
        <v>081280384272</v>
      </c>
      <c r="O236" s="150" t="str">
        <f>'BIO DATA'!AE124</f>
        <v>Guru/Dosen</v>
      </c>
      <c r="P236" s="30" t="str">
        <f>'BIO DATA'!AL124</f>
        <v>Guru/Dosen</v>
      </c>
      <c r="Q236" s="183">
        <f>'BIO DATA'!H124</f>
        <v>0</v>
      </c>
    </row>
    <row r="237" spans="2:19" s="35" customFormat="1" ht="40.5" customHeight="1">
      <c r="B237" s="28">
        <v>4</v>
      </c>
      <c r="C237" s="29">
        <f>'BIO DATA'!C125</f>
        <v>12469</v>
      </c>
      <c r="D237" s="61" t="str">
        <f>'BIO DATA'!D125</f>
        <v>0149036978</v>
      </c>
      <c r="E237" s="30" t="str">
        <f>'BIO DATA'!E125</f>
        <v>Afif Agil Saputra</v>
      </c>
      <c r="F237" s="150" t="str">
        <f>'BIO DATA'!Y125</f>
        <v>SD N 1 Sukasari</v>
      </c>
      <c r="G237" s="71">
        <f>'BIO DATA'!I125</f>
        <v>2</v>
      </c>
      <c r="H237" s="30" t="str">
        <f>'BIO DATA'!M125</f>
        <v>Kayuagung</v>
      </c>
      <c r="I237" s="136" t="str">
        <f>'BIO DATA'!P125</f>
        <v>26 April 2014</v>
      </c>
      <c r="J237" s="30" t="str">
        <f>'BIO DATA'!S125</f>
        <v>Sukasari kab.ogan Komering Ilir kec.mesuji raya Palembang</v>
      </c>
      <c r="K237" s="146" t="str">
        <f>'BIO DATA'!AB125</f>
        <v>Bambang Susilarsa</v>
      </c>
      <c r="L237" s="147" t="str">
        <f>'BIO DATA'!AG125</f>
        <v>082260888443</v>
      </c>
      <c r="M237" s="30" t="str">
        <f>'BIO DATA'!AI125</f>
        <v>Dwi Lestari</v>
      </c>
      <c r="N237" s="147" t="str">
        <f>'BIO DATA'!AN112</f>
        <v>085780107617</v>
      </c>
      <c r="O237" s="150" t="str">
        <f>'BIO DATA'!AE125</f>
        <v>PNS</v>
      </c>
      <c r="P237" s="30" t="str">
        <f>'BIO DATA'!AL125</f>
        <v>Wiraswasta</v>
      </c>
      <c r="Q237" s="183" t="s">
        <v>228</v>
      </c>
    </row>
    <row r="238" spans="2:19" s="35" customFormat="1" ht="39" customHeight="1">
      <c r="B238" s="28">
        <v>5</v>
      </c>
      <c r="C238" s="29">
        <f>'BIO DATA'!C126</f>
        <v>12485</v>
      </c>
      <c r="D238" s="148" t="str">
        <f>'BIO DATA'!D126</f>
        <v>0132330755</v>
      </c>
      <c r="E238" s="30" t="str">
        <f>'BIO DATA'!E126</f>
        <v>Alief Rohman Hidayat</v>
      </c>
      <c r="F238" s="150" t="str">
        <f>'BIO DATA'!Y126</f>
        <v>SD Birul Walidain Muhamadiyah Tanon Sragen</v>
      </c>
      <c r="G238" s="71">
        <f>'BIO DATA'!I126</f>
        <v>1</v>
      </c>
      <c r="H238" s="30" t="str">
        <f>'BIO DATA'!M126</f>
        <v>Sleman</v>
      </c>
      <c r="I238" s="136" t="str">
        <f>'BIO DATA'!P126</f>
        <v>23 Juni 2013</v>
      </c>
      <c r="J238" s="30" t="str">
        <f>'BIO DATA'!S126</f>
        <v>Margorejo RT 07 RW 02, Jono Tanon Sragen Jawa Tengah 57277</v>
      </c>
      <c r="K238" s="146" t="str">
        <f>'BIO DATA'!AB126</f>
        <v>Hery Hidayat</v>
      </c>
      <c r="L238" s="147" t="str">
        <f>'BIO DATA'!AG126</f>
        <v>081210432345</v>
      </c>
      <c r="M238" s="30" t="str">
        <f>'BIO DATA'!AI126</f>
        <v>Ainun Na'imatun</v>
      </c>
      <c r="N238" s="147" t="str">
        <f>'BIO DATA'!AN113</f>
        <v>085743312959</v>
      </c>
      <c r="O238" s="150" t="str">
        <f>'BIO DATA'!AE126</f>
        <v>Pegawai Swasta</v>
      </c>
      <c r="P238" s="30" t="str">
        <f>'BIO DATA'!AL126</f>
        <v>Tidak Bekerja</v>
      </c>
      <c r="Q238" s="183">
        <f>'BIO DATA'!H126</f>
        <v>0</v>
      </c>
    </row>
    <row r="239" spans="2:19" s="35" customFormat="1" ht="51">
      <c r="B239" s="28">
        <v>6</v>
      </c>
      <c r="C239" s="29">
        <f>'BIO DATA'!C127</f>
        <v>12498</v>
      </c>
      <c r="D239" s="148" t="str">
        <f>'BIO DATA'!D127</f>
        <v>0136082890</v>
      </c>
      <c r="E239" s="30" t="str">
        <f>'BIO DATA'!E127</f>
        <v>Arsyad Faza El - Rafif</v>
      </c>
      <c r="F239" s="150" t="str">
        <f>'BIO DATA'!Y127</f>
        <v>MI Muhammadiyah Kauman Wiradesa Kab. Pekalongan</v>
      </c>
      <c r="G239" s="71">
        <f>'BIO DATA'!I127</f>
        <v>2</v>
      </c>
      <c r="H239" s="30" t="str">
        <f>'BIO DATA'!M127</f>
        <v>Pekalongan</v>
      </c>
      <c r="I239" s="136" t="str">
        <f>'BIO DATA'!P127</f>
        <v>28 Desember 2013</v>
      </c>
      <c r="J239" s="30" t="str">
        <f>'BIO DATA'!S127</f>
        <v>Jln Mayjend Sutoyo Gg.4 No 109 Rt.003 Rw.001 Kelurahan Gumawang Wiradesa Kab. Pekalongan</v>
      </c>
      <c r="K239" s="146" t="str">
        <f>'BIO DATA'!AB127</f>
        <v>R. Widdya Bagus Dwi Handoko</v>
      </c>
      <c r="L239" s="147" t="str">
        <f>'BIO DATA'!AG127</f>
        <v>085713792374</v>
      </c>
      <c r="M239" s="30" t="str">
        <f>'BIO DATA'!AI127</f>
        <v>Nur Aeni</v>
      </c>
      <c r="N239" s="147" t="str">
        <f>'BIO DATA'!AN114</f>
        <v>085700414566</v>
      </c>
      <c r="O239" s="150" t="str">
        <f>'BIO DATA'!AE127</f>
        <v>Wiraswasta</v>
      </c>
      <c r="P239" s="30" t="str">
        <f>'BIO DATA'!AL127</f>
        <v>Wiraswasta</v>
      </c>
      <c r="Q239" s="183" t="s">
        <v>228</v>
      </c>
    </row>
    <row r="240" spans="2:19" s="35" customFormat="1" ht="40.5" customHeight="1">
      <c r="B240" s="28">
        <v>7</v>
      </c>
      <c r="C240" s="29">
        <f>'BIO DATA'!C128</f>
        <v>12509</v>
      </c>
      <c r="D240" s="61">
        <f>'BIO DATA'!D128</f>
        <v>3144968390</v>
      </c>
      <c r="E240" s="30" t="str">
        <f>'BIO DATA'!E128</f>
        <v>Azka Rafif Khafadi</v>
      </c>
      <c r="F240" s="150" t="str">
        <f>'BIO DATA'!Y128</f>
        <v>SDIT Madani Luwuk</v>
      </c>
      <c r="G240" s="71">
        <f>'BIO DATA'!I128</f>
        <v>1</v>
      </c>
      <c r="H240" s="30" t="str">
        <f>'BIO DATA'!M128</f>
        <v>Luwuk</v>
      </c>
      <c r="I240" s="136" t="str">
        <f>'BIO DATA'!P128</f>
        <v>1 Agustus 2014</v>
      </c>
      <c r="J240" s="30" t="str">
        <f>'BIO DATA'!S128</f>
        <v>Jl. P. Masalembo, Kel. Kompo, Kec. Luwuk Selatan , Kab. Banggai Sulawesi Tengah</v>
      </c>
      <c r="K240" s="146" t="str">
        <f>'BIO DATA'!AB128</f>
        <v>Adhe Indrayana</v>
      </c>
      <c r="L240" s="147" t="str">
        <f>'BIO DATA'!AG128</f>
        <v>085233076040</v>
      </c>
      <c r="M240" s="30" t="str">
        <f>'BIO DATA'!AI128</f>
        <v>Hijramayasari Hasan</v>
      </c>
      <c r="N240" s="147" t="str">
        <f>'BIO DATA'!AN115</f>
        <v>082189454412</v>
      </c>
      <c r="O240" s="150" t="str">
        <f>'BIO DATA'!AE128</f>
        <v>Lain-lain</v>
      </c>
      <c r="P240" s="30" t="str">
        <f>'BIO DATA'!AL128</f>
        <v>PNS</v>
      </c>
      <c r="Q240" s="183">
        <f>'BIO DATA'!H128</f>
        <v>0</v>
      </c>
    </row>
    <row r="241" spans="2:19" s="35" customFormat="1" ht="39.75" customHeight="1">
      <c r="B241" s="28">
        <v>8</v>
      </c>
      <c r="C241" s="29">
        <f>'BIO DATA'!C129</f>
        <v>12520</v>
      </c>
      <c r="D241" s="61" t="str">
        <f>'BIO DATA'!D129</f>
        <v>0136751740</v>
      </c>
      <c r="E241" s="30" t="str">
        <f>'BIO DATA'!E129</f>
        <v>Chelsea Safaraz Majiid</v>
      </c>
      <c r="F241" s="150" t="str">
        <f>'BIO DATA'!Y129</f>
        <v>SD Muhammadiyah Kajen Kab. Pekalongan</v>
      </c>
      <c r="G241" s="71">
        <f>'BIO DATA'!I129</f>
        <v>3</v>
      </c>
      <c r="H241" s="30" t="str">
        <f>'BIO DATA'!M129</f>
        <v>Pekalongan</v>
      </c>
      <c r="I241" s="136" t="str">
        <f>'BIO DATA'!P129</f>
        <v>13 Desember 2013</v>
      </c>
      <c r="J241" s="30" t="str">
        <f>'BIO DATA'!S129</f>
        <v>Lingk. Bandungan Wetan Rt.11 Rw.03 Kelurahan Kajen Kec. Kajen Kab. Pekalongan Jawa Tengah</v>
      </c>
      <c r="K241" s="146" t="str">
        <f>'BIO DATA'!AB129</f>
        <v>Sudarmadji</v>
      </c>
      <c r="L241" s="147" t="str">
        <f>'BIO DATA'!AG129</f>
        <v>085842390208</v>
      </c>
      <c r="M241" s="30" t="str">
        <f>'BIO DATA'!AI129</f>
        <v>Sri Sofiyati Hafsah</v>
      </c>
      <c r="N241" s="147" t="str">
        <f>'BIO DATA'!AN116</f>
        <v>081347220915</v>
      </c>
      <c r="O241" s="150" t="str">
        <f>'BIO DATA'!AE129</f>
        <v>Pegawai Swasta</v>
      </c>
      <c r="P241" s="30" t="str">
        <f>'BIO DATA'!AL129</f>
        <v>PNS</v>
      </c>
      <c r="Q241" s="183" t="s">
        <v>228</v>
      </c>
    </row>
    <row r="242" spans="2:19" s="35" customFormat="1" ht="48.75" customHeight="1">
      <c r="B242" s="28">
        <v>9</v>
      </c>
      <c r="C242" s="29">
        <f>'BIO DATA'!C130</f>
        <v>12521</v>
      </c>
      <c r="D242" s="61">
        <f>'BIO DATA'!D130</f>
        <v>3147299385</v>
      </c>
      <c r="E242" s="30" t="str">
        <f>'BIO DATA'!E130</f>
        <v>Daffa Fritzie Alghifari</v>
      </c>
      <c r="F242" s="150" t="str">
        <f>'BIO DATA'!Y130</f>
        <v>SD Yapis Serui</v>
      </c>
      <c r="G242" s="71">
        <f>'BIO DATA'!I130</f>
        <v>2</v>
      </c>
      <c r="H242" s="30" t="str">
        <f>'BIO DATA'!M130</f>
        <v>Sorong</v>
      </c>
      <c r="I242" s="136" t="str">
        <f>'BIO DATA'!P130</f>
        <v>12 Januari 2014</v>
      </c>
      <c r="J242" s="30" t="str">
        <f>'BIO DATA'!S130</f>
        <v>Jalan KPR Dusun RT 001 RW 002 Famboaman Amotaurei Kepulauan Yapen Papua</v>
      </c>
      <c r="K242" s="146" t="str">
        <f>'BIO DATA'!AB130</f>
        <v>Ariady Hafid</v>
      </c>
      <c r="L242" s="147" t="str">
        <f>'BIO DATA'!AG130</f>
        <v>081259962679</v>
      </c>
      <c r="M242" s="30" t="str">
        <f>'BIO DATA'!AI130</f>
        <v>Evie Rahmi Syahrul</v>
      </c>
      <c r="N242" s="147" t="str">
        <f>'BIO DATA'!AN117</f>
        <v>085935667444</v>
      </c>
      <c r="O242" s="150" t="str">
        <f>'BIO DATA'!AE130</f>
        <v>Wiraswasta</v>
      </c>
      <c r="P242" s="30" t="str">
        <f>'BIO DATA'!AL130</f>
        <v>PNS</v>
      </c>
      <c r="Q242" s="183" t="s">
        <v>228</v>
      </c>
    </row>
    <row r="243" spans="2:19" s="35" customFormat="1" ht="48.75" customHeight="1">
      <c r="B243" s="28">
        <v>10</v>
      </c>
      <c r="C243" s="29">
        <f>'BIO DATA'!C131</f>
        <v>12525</v>
      </c>
      <c r="D243" s="61" t="str">
        <f>'BIO DATA'!D131</f>
        <v>0134929445</v>
      </c>
      <c r="E243" s="30" t="str">
        <f>'BIO DATA'!E131</f>
        <v>Danes Edgar Abdima Pratama</v>
      </c>
      <c r="F243" s="150" t="str">
        <f>'BIO DATA'!Y131</f>
        <v>SDIT Muhammadiyah Bandongan Magelang</v>
      </c>
      <c r="G243" s="71">
        <f>'BIO DATA'!I131</f>
        <v>1</v>
      </c>
      <c r="H243" s="30" t="str">
        <f>'BIO DATA'!M131</f>
        <v>Magelang</v>
      </c>
      <c r="I243" s="136" t="str">
        <f>'BIO DATA'!P131</f>
        <v>26 Juni 2013</v>
      </c>
      <c r="J243" s="30" t="str">
        <f>'BIO DATA'!S131</f>
        <v>Godegan RT 001 RW 002 Ngargosoko Kaliangkirik Magelang Jawa Tengah</v>
      </c>
      <c r="K243" s="146" t="str">
        <f>'BIO DATA'!AB131</f>
        <v>Abdul Ghofar</v>
      </c>
      <c r="L243" s="147" t="str">
        <f>'BIO DATA'!AG131</f>
        <v>085326455552</v>
      </c>
      <c r="M243" s="30" t="str">
        <f>'BIO DATA'!AI131</f>
        <v>Ima Wuni Wulandari</v>
      </c>
      <c r="N243" s="147" t="str">
        <f>'BIO DATA'!AN118</f>
        <v>081915005460</v>
      </c>
      <c r="O243" s="150" t="str">
        <f>'BIO DATA'!AE131</f>
        <v>Wiraswasta</v>
      </c>
      <c r="P243" s="30" t="str">
        <f>'BIO DATA'!AL131</f>
        <v>Tidak Bekerja</v>
      </c>
      <c r="Q243" s="183" t="s">
        <v>228</v>
      </c>
    </row>
    <row r="244" spans="2:19" s="35" customFormat="1" ht="39.75" customHeight="1">
      <c r="B244" s="28">
        <v>11</v>
      </c>
      <c r="C244" s="29">
        <f>'BIO DATA'!C132</f>
        <v>12532</v>
      </c>
      <c r="D244" s="148" t="str">
        <f>'BIO DATA'!D132</f>
        <v>0139173873</v>
      </c>
      <c r="E244" s="30" t="str">
        <f>'BIO DATA'!E132</f>
        <v>Evan Rafif Firjatullah</v>
      </c>
      <c r="F244" s="150" t="str">
        <f>'BIO DATA'!Y132</f>
        <v>SD MBF aladzkiya wonosobo</v>
      </c>
      <c r="G244" s="71">
        <f>'BIO DATA'!I132</f>
        <v>2</v>
      </c>
      <c r="H244" s="30" t="str">
        <f>'BIO DATA'!M132</f>
        <v>Wonosobo</v>
      </c>
      <c r="I244" s="136" t="str">
        <f>'BIO DATA'!P132</f>
        <v>19 Agustus 2013</v>
      </c>
      <c r="J244" s="30" t="str">
        <f>'BIO DATA'!S132</f>
        <v>Puri candi bogang blok E4. Kalierang. Selomerto. Wonosobo Jawa Tengah</v>
      </c>
      <c r="K244" s="146" t="str">
        <f>'BIO DATA'!AB132</f>
        <v>Sugeng Nur Singgih</v>
      </c>
      <c r="L244" s="147" t="str">
        <f>'BIO DATA'!AG132</f>
        <v>085227199464</v>
      </c>
      <c r="M244" s="30" t="str">
        <f>'BIO DATA'!AI132</f>
        <v>Septina kurniasari</v>
      </c>
      <c r="N244" s="147" t="str">
        <f>'BIO DATA'!AN119</f>
        <v>085888583659</v>
      </c>
      <c r="O244" s="150" t="str">
        <f>'BIO DATA'!AE132</f>
        <v>Pegawai Swasta</v>
      </c>
      <c r="P244" s="30" t="str">
        <f>'BIO DATA'!AL132</f>
        <v>PNS</v>
      </c>
      <c r="Q244" s="183">
        <f>'BIO DATA'!H132</f>
        <v>0</v>
      </c>
    </row>
    <row r="245" spans="2:19" s="35" customFormat="1" ht="25.5">
      <c r="B245" s="28">
        <v>12</v>
      </c>
      <c r="C245" s="29">
        <f>'BIO DATA'!C133</f>
        <v>12535</v>
      </c>
      <c r="D245" s="61" t="str">
        <f>'BIO DATA'!D133</f>
        <v>0134644132</v>
      </c>
      <c r="E245" s="30" t="str">
        <f>'BIO DATA'!E133</f>
        <v>Faaza Muhammad Widaad</v>
      </c>
      <c r="F245" s="150" t="str">
        <f>'BIO DATA'!Y133</f>
        <v>SD Muhammadiyah Pakel Yogyakarta</v>
      </c>
      <c r="G245" s="71">
        <f>'BIO DATA'!I133</f>
        <v>1</v>
      </c>
      <c r="H245" s="30" t="str">
        <f>'BIO DATA'!M133</f>
        <v>Banjarnegara</v>
      </c>
      <c r="I245" s="136" t="str">
        <f>'BIO DATA'!P133</f>
        <v>19 Juli 2013</v>
      </c>
      <c r="J245" s="30" t="str">
        <f>'BIO DATA'!S133</f>
        <v>Mayungan RT 5 Potorono Banguntapan Bantul</v>
      </c>
      <c r="K245" s="146" t="str">
        <f>'BIO DATA'!AB133</f>
        <v>Jefree Fahana</v>
      </c>
      <c r="L245" s="147" t="str">
        <f>'BIO DATA'!AG133</f>
        <v>081314196044</v>
      </c>
      <c r="M245" s="30" t="str">
        <f>'BIO DATA'!AI133</f>
        <v>Tsania Husna Dzakiyyah</v>
      </c>
      <c r="N245" s="147" t="str">
        <f>'BIO DATA'!AN120</f>
        <v>082313111817</v>
      </c>
      <c r="O245" s="150" t="str">
        <f>'BIO DATA'!AE133</f>
        <v>Guru/Dosen</v>
      </c>
      <c r="P245" s="30" t="str">
        <f>'BIO DATA'!AL133</f>
        <v>Tidak Bekerja</v>
      </c>
      <c r="Q245" s="183" t="s">
        <v>228</v>
      </c>
    </row>
    <row r="246" spans="2:19" s="35" customFormat="1" ht="39" customHeight="1">
      <c r="B246" s="28">
        <v>13</v>
      </c>
      <c r="C246" s="29">
        <f>'BIO DATA'!C134</f>
        <v>12538</v>
      </c>
      <c r="D246" s="148" t="str">
        <f>'BIO DATA'!D134</f>
        <v>0134402411</v>
      </c>
      <c r="E246" s="30" t="str">
        <f>'BIO DATA'!E134</f>
        <v>Faeyza Azizan Santoso</v>
      </c>
      <c r="F246" s="150" t="str">
        <f>'BIO DATA'!Y134</f>
        <v>SD Islam ta'alumul huda</v>
      </c>
      <c r="G246" s="147" t="s">
        <v>228</v>
      </c>
      <c r="H246" s="30" t="str">
        <f>'BIO DATA'!M134</f>
        <v>Brebes</v>
      </c>
      <c r="I246" s="136" t="str">
        <f>'BIO DATA'!P134</f>
        <v>30 Mei 2013</v>
      </c>
      <c r="J246" s="30" t="str">
        <f>'BIO DATA'!S134</f>
        <v>Dk. Beran RT 06 RW 04 Cilibur Paguyangan Brebes</v>
      </c>
      <c r="K246" s="146" t="str">
        <f>'BIO DATA'!AB134</f>
        <v>Makmur Santoso</v>
      </c>
      <c r="L246" s="147" t="str">
        <f>'BIO DATA'!AG134</f>
        <v>088801968059</v>
      </c>
      <c r="M246" s="30" t="str">
        <f>'BIO DATA'!AI134</f>
        <v>Eli Yuliati</v>
      </c>
      <c r="N246" s="147" t="str">
        <f>'BIO DATA'!AN121</f>
        <v>085325252280</v>
      </c>
      <c r="O246" s="146" t="str">
        <f>'BIO DATA'!AE134</f>
        <v>Petani/Peternak</v>
      </c>
      <c r="P246" s="150" t="str">
        <f>'BIO DATA'!AL134</f>
        <v>Wiraswasta</v>
      </c>
      <c r="Q246" s="183">
        <f>'BIO DATA'!H134</f>
        <v>0</v>
      </c>
    </row>
    <row r="247" spans="2:19" s="35" customFormat="1" ht="36" customHeight="1">
      <c r="B247" s="28">
        <v>14</v>
      </c>
      <c r="C247" s="29">
        <f>'BIO DATA'!C135</f>
        <v>12547</v>
      </c>
      <c r="D247" s="61" t="str">
        <f>'BIO DATA'!D135</f>
        <v>0137225595</v>
      </c>
      <c r="E247" s="30" t="str">
        <f>'BIO DATA'!E135</f>
        <v>Fardan Rasya Bofatra</v>
      </c>
      <c r="F247" s="150" t="str">
        <f>'BIO DATA'!Y135</f>
        <v>SDIT Insan Mulia Kota Semarang</v>
      </c>
      <c r="G247" s="71">
        <f>'BIO DATA'!I135</f>
        <v>1</v>
      </c>
      <c r="H247" s="30" t="str">
        <f>'BIO DATA'!M135</f>
        <v>Samarinda</v>
      </c>
      <c r="I247" s="136" t="str">
        <f>'BIO DATA'!P135</f>
        <v>7 September 2013</v>
      </c>
      <c r="J247" s="30" t="str">
        <f>'BIO DATA'!S135</f>
        <v>Jalan Bukit Beringin Barat No. B-47, RT10 RW14, Kel. Wonosari, Kec. Ngaliyan, Kota Semarang Jawa Tengah</v>
      </c>
      <c r="K247" s="146" t="str">
        <f>'BIO DATA'!AB135</f>
        <v>Wibowo Saputro Nugroho</v>
      </c>
      <c r="L247" s="147" t="str">
        <f>'BIO DATA'!AG135</f>
        <v>082137674786</v>
      </c>
      <c r="M247" s="30" t="str">
        <f>'BIO DATA'!AI135</f>
        <v>Zulfa Nur Rohmah</v>
      </c>
      <c r="N247" s="147" t="str">
        <f>'BIO DATA'!AN122</f>
        <v>081218913625</v>
      </c>
      <c r="O247" s="150" t="str">
        <f>'BIO DATA'!AE135</f>
        <v>PNS</v>
      </c>
      <c r="P247" s="30" t="str">
        <f>'BIO DATA'!AL135</f>
        <v>PNS</v>
      </c>
      <c r="Q247" s="183" t="s">
        <v>228</v>
      </c>
    </row>
    <row r="248" spans="2:19" s="35" customFormat="1" ht="25.5">
      <c r="B248" s="28">
        <v>15</v>
      </c>
      <c r="C248" s="29">
        <f>'BIO DATA'!C136</f>
        <v>12559</v>
      </c>
      <c r="D248" s="61" t="str">
        <f>'BIO DATA'!D136</f>
        <v>0138023729</v>
      </c>
      <c r="E248" s="30" t="str">
        <f>'BIO DATA'!E136</f>
        <v>Hafidz Ramadhani</v>
      </c>
      <c r="F248" s="150" t="str">
        <f>'BIO DATA'!Y136</f>
        <v>SD IT Ulul Albab Weleri Kendal</v>
      </c>
      <c r="G248" s="71">
        <f>'BIO DATA'!I136</f>
        <v>2</v>
      </c>
      <c r="H248" s="30" t="str">
        <f>'BIO DATA'!M136</f>
        <v>Kendal</v>
      </c>
      <c r="I248" s="136" t="str">
        <f>'BIO DATA'!P136</f>
        <v>5 Agustus 2013</v>
      </c>
      <c r="J248" s="30" t="str">
        <f>'BIO DATA'!S136</f>
        <v>Sambongsari RT 03/ RW 01 Weleri Kendal Jawa Tengah</v>
      </c>
      <c r="K248" s="146" t="str">
        <f>'BIO DATA'!AB136</f>
        <v>Amin Sudarmo</v>
      </c>
      <c r="L248" s="147" t="str">
        <f>'BIO DATA'!AG136</f>
        <v>08122906183</v>
      </c>
      <c r="M248" s="30" t="str">
        <f>'BIO DATA'!AI136</f>
        <v>Eriya Adha Usana Badar</v>
      </c>
      <c r="N248" s="147" t="str">
        <f>'BIO DATA'!AN123</f>
        <v>081327091347</v>
      </c>
      <c r="O248" s="150" t="str">
        <f>'BIO DATA'!AE136</f>
        <v>Wiraswasta</v>
      </c>
      <c r="P248" s="30" t="str">
        <f>'BIO DATA'!AL136</f>
        <v>Wiraswasta</v>
      </c>
      <c r="Q248" s="183" t="s">
        <v>228</v>
      </c>
    </row>
    <row r="249" spans="2:19" s="35" customFormat="1" ht="51">
      <c r="B249" s="28">
        <v>16</v>
      </c>
      <c r="C249" s="29">
        <f>'BIO DATA'!C137</f>
        <v>12565</v>
      </c>
      <c r="D249" s="148" t="str">
        <f>'BIO DATA'!D137</f>
        <v>0145617855</v>
      </c>
      <c r="E249" s="30" t="str">
        <f>'BIO DATA'!E137</f>
        <v>Hamizan Uays Arsy</v>
      </c>
      <c r="F249" s="150" t="str">
        <f>'BIO DATA'!Y137</f>
        <v>SDIT Mutiara Hati Semarang</v>
      </c>
      <c r="G249" s="71">
        <f>'BIO DATA'!I137</f>
        <v>2</v>
      </c>
      <c r="H249" s="30" t="str">
        <f>'BIO DATA'!M137</f>
        <v>Banjarnegara</v>
      </c>
      <c r="I249" s="136" t="str">
        <f>'BIO DATA'!P137</f>
        <v>3 Februari 2014</v>
      </c>
      <c r="J249" s="30" t="str">
        <f>'BIO DATA'!S137</f>
        <v>Jl. Puntan Gg. Gusdur 1 no.7 RT 2/RW 1, kelurahan Ngijo, kecamatan Gunungpati, Kota Semarang Jawa Tengah</v>
      </c>
      <c r="K249" s="146" t="str">
        <f>'BIO DATA'!AB137</f>
        <v>Asep Purwo Yudi Utomo</v>
      </c>
      <c r="L249" s="147" t="str">
        <f>'BIO DATA'!AG137</f>
        <v>085640240001</v>
      </c>
      <c r="M249" s="30" t="str">
        <f>'BIO DATA'!AI137</f>
        <v>Rossi Galih Kesuma</v>
      </c>
      <c r="N249" s="147" t="str">
        <f>'BIO DATA'!AN137</f>
        <v>085640511000</v>
      </c>
      <c r="O249" s="150" t="str">
        <f>'BIO DATA'!AE137</f>
        <v>PNS</v>
      </c>
      <c r="P249" s="30" t="str">
        <f>'BIO DATA'!AL137</f>
        <v>PNS</v>
      </c>
      <c r="Q249" s="183" t="s">
        <v>228</v>
      </c>
    </row>
    <row r="250" spans="2:19" s="35" customFormat="1" ht="38.25">
      <c r="B250" s="28">
        <v>17</v>
      </c>
      <c r="C250" s="29">
        <f>'BIO DATA'!C138</f>
        <v>12566</v>
      </c>
      <c r="D250" s="148" t="str">
        <f>'BIO DATA'!D138</f>
        <v>0148324190</v>
      </c>
      <c r="E250" s="30" t="str">
        <f>'BIO DATA'!E138</f>
        <v>Hamizan Yafiq Azfar</v>
      </c>
      <c r="F250" s="31" t="str">
        <f>'BIO DATA'!Y138</f>
        <v>SDN Kuala Jelai 1</v>
      </c>
      <c r="G250" s="71">
        <f>'BIO DATA'!I138</f>
        <v>1</v>
      </c>
      <c r="H250" s="30" t="str">
        <f>'BIO DATA'!M138</f>
        <v>Banyuwangi</v>
      </c>
      <c r="I250" s="136" t="str">
        <f>'BIO DATA'!P138</f>
        <v>4 Mei 2014</v>
      </c>
      <c r="J250" s="30" t="str">
        <f>'BIO DATA'!S138</f>
        <v>Jl. Patianom No. 33 Kuala Jelai, Kec. Jelai, Kab. Sukamara, Kalimantan Tengah</v>
      </c>
      <c r="K250" s="30" t="str">
        <f>'BIO DATA'!AB138</f>
        <v>Poniran</v>
      </c>
      <c r="L250" s="33" t="str">
        <f>'BIO DATA'!AG138</f>
        <v>082255337214</v>
      </c>
      <c r="M250" s="30" t="str">
        <f>'BIO DATA'!AI138</f>
        <v>Ninin Kurnia Rahmayanti</v>
      </c>
      <c r="N250" s="147" t="str">
        <f>'BIO DATA'!AN138</f>
        <v>082282953114</v>
      </c>
      <c r="O250" s="30" t="str">
        <f>'BIO DATA'!AE138</f>
        <v>PNS</v>
      </c>
      <c r="P250" s="30" t="str">
        <f>'BIO DATA'!AL138</f>
        <v>PNS</v>
      </c>
      <c r="Q250" s="183" t="s">
        <v>228</v>
      </c>
    </row>
    <row r="251" spans="2:19" s="23" customFormat="1" ht="18.75">
      <c r="B251" s="59"/>
      <c r="C251" s="59"/>
      <c r="D251" s="59"/>
      <c r="E251" s="59"/>
      <c r="F251" s="59"/>
      <c r="G251" s="67"/>
      <c r="H251" s="59"/>
      <c r="I251" s="59"/>
      <c r="J251" s="59"/>
      <c r="K251" s="59"/>
      <c r="L251" s="59"/>
      <c r="M251" s="59" t="s">
        <v>205</v>
      </c>
      <c r="N251" s="59"/>
      <c r="O251" s="59"/>
      <c r="P251" s="59"/>
      <c r="Q251" s="59"/>
    </row>
    <row r="252" spans="2:19" s="26" customFormat="1" ht="15.75" customHeight="1">
      <c r="B252" s="414" t="s">
        <v>0</v>
      </c>
      <c r="C252" s="415" t="s">
        <v>147</v>
      </c>
      <c r="D252" s="416" t="s">
        <v>2</v>
      </c>
      <c r="E252" s="414" t="s">
        <v>3</v>
      </c>
      <c r="F252" s="414" t="s">
        <v>8</v>
      </c>
      <c r="G252" s="414" t="s">
        <v>148</v>
      </c>
      <c r="H252" s="414" t="s">
        <v>149</v>
      </c>
      <c r="I252" s="414"/>
      <c r="J252" s="414" t="s">
        <v>6</v>
      </c>
      <c r="K252" s="417" t="s">
        <v>150</v>
      </c>
      <c r="L252" s="417"/>
      <c r="M252" s="417"/>
      <c r="N252" s="417"/>
      <c r="O252" s="414" t="s">
        <v>151</v>
      </c>
      <c r="P252" s="414"/>
      <c r="Q252" s="414" t="s">
        <v>174</v>
      </c>
    </row>
    <row r="253" spans="2:19" s="26" customFormat="1" ht="15.75" customHeight="1">
      <c r="B253" s="414"/>
      <c r="C253" s="415"/>
      <c r="D253" s="416"/>
      <c r="E253" s="414"/>
      <c r="F253" s="414"/>
      <c r="G253" s="414"/>
      <c r="H253" s="388" t="s">
        <v>153</v>
      </c>
      <c r="I253" s="388" t="s">
        <v>154</v>
      </c>
      <c r="J253" s="414"/>
      <c r="K253" s="388" t="s">
        <v>155</v>
      </c>
      <c r="L253" s="389" t="s">
        <v>155</v>
      </c>
      <c r="M253" s="388" t="s">
        <v>156</v>
      </c>
      <c r="N253" s="389" t="s">
        <v>157</v>
      </c>
      <c r="O253" s="388" t="s">
        <v>158</v>
      </c>
      <c r="P253" s="388" t="s">
        <v>159</v>
      </c>
      <c r="Q253" s="414"/>
      <c r="R253" s="27"/>
      <c r="S253" s="27"/>
    </row>
    <row r="254" spans="2:19" s="35" customFormat="1" ht="38.25">
      <c r="B254" s="28">
        <v>18</v>
      </c>
      <c r="C254" s="29">
        <f>'BIO DATA'!C139</f>
        <v>12573</v>
      </c>
      <c r="D254" s="61" t="str">
        <f>'BIO DATA'!D139</f>
        <v>0133338949</v>
      </c>
      <c r="E254" s="30" t="str">
        <f>'BIO DATA'!E139</f>
        <v>Ibrahim Arkaan Dhiya Ulhaq</v>
      </c>
      <c r="F254" s="31" t="str">
        <f>'BIO DATA'!Y139</f>
        <v>SDIT Cahaya Insani Temanggung</v>
      </c>
      <c r="G254" s="71">
        <f>'BIO DATA'!I139</f>
        <v>0</v>
      </c>
      <c r="H254" s="30" t="str">
        <f>'BIO DATA'!M139</f>
        <v>Klaten</v>
      </c>
      <c r="I254" s="136" t="str">
        <f>'BIO DATA'!P139</f>
        <v>23 September 2013</v>
      </c>
      <c r="J254" s="30" t="str">
        <f>'BIO DATA'!S139</f>
        <v>Perum Kowangan Utama, Gang Apel,Blok C No 8,Kowangan, Temanggung, Jawa Tengah</v>
      </c>
      <c r="K254" s="30" t="str">
        <f>'BIO DATA'!AB139</f>
        <v>Wimbo Adie Prihantoro</v>
      </c>
      <c r="L254" s="33" t="str">
        <f>'BIO DATA'!AG139</f>
        <v>083128854748</v>
      </c>
      <c r="M254" s="30" t="str">
        <f>'BIO DATA'!AI139</f>
        <v>Kurniawati</v>
      </c>
      <c r="N254" s="147" t="str">
        <f>'BIO DATA'!AN139</f>
        <v>088216248741</v>
      </c>
      <c r="O254" s="30" t="str">
        <f>'BIO DATA'!AE139</f>
        <v>Wiraswasta</v>
      </c>
      <c r="P254" s="30" t="str">
        <f>'BIO DATA'!AL139</f>
        <v>PNS</v>
      </c>
      <c r="Q254" s="183" t="s">
        <v>228</v>
      </c>
    </row>
    <row r="255" spans="2:19" s="35" customFormat="1" ht="38.25">
      <c r="B255" s="28">
        <v>19</v>
      </c>
      <c r="C255" s="29">
        <f>'BIO DATA'!C140</f>
        <v>12576</v>
      </c>
      <c r="D255" s="61" t="str">
        <f>'BIO DATA'!D140</f>
        <v>0139635381</v>
      </c>
      <c r="E255" s="30" t="str">
        <f>'BIO DATA'!E140</f>
        <v>Ihtisyam Al Quds Anas</v>
      </c>
      <c r="F255" s="31" t="str">
        <f>'BIO DATA'!Y140</f>
        <v>MI Muhammadiyah Caruban</v>
      </c>
      <c r="G255" s="71">
        <f>'BIO DATA'!I140</f>
        <v>3</v>
      </c>
      <c r="H255" s="30" t="str">
        <f>'BIO DATA'!M140</f>
        <v>Madiun</v>
      </c>
      <c r="I255" s="136" t="str">
        <f>'BIO DATA'!P140</f>
        <v>31 Agustus 2013</v>
      </c>
      <c r="J255" s="30" t="str">
        <f>'BIO DATA'!S140</f>
        <v>Dusun Kenep RT 017 RW 004 Sumbersari Saradan Madiun Jawa Timur</v>
      </c>
      <c r="K255" s="30" t="str">
        <f>'BIO DATA'!AB140</f>
        <v>Anas Hilal</v>
      </c>
      <c r="L255" s="33" t="str">
        <f>'BIO DATA'!AG140</f>
        <v>08119705089</v>
      </c>
      <c r="M255" s="30" t="str">
        <f>'BIO DATA'!AI140</f>
        <v>Anis Martaviatin</v>
      </c>
      <c r="N255" s="147" t="str">
        <f>'BIO DATA'!AN140</f>
        <v>082338033317</v>
      </c>
      <c r="O255" s="30" t="str">
        <f>'BIO DATA'!AE140</f>
        <v>PNS</v>
      </c>
      <c r="P255" s="150" t="str">
        <f>'BIO DATA'!AL140</f>
        <v>Guru/Dosen</v>
      </c>
      <c r="Q255" s="183" t="s">
        <v>228</v>
      </c>
    </row>
    <row r="256" spans="2:19" s="35" customFormat="1" ht="39" customHeight="1">
      <c r="B256" s="28">
        <v>20</v>
      </c>
      <c r="C256" s="29">
        <f>'BIO DATA'!C141</f>
        <v>12580</v>
      </c>
      <c r="D256" s="61" t="str">
        <f>'BIO DATA'!D141</f>
        <v>0137163799</v>
      </c>
      <c r="E256" s="30" t="str">
        <f>'BIO DATA'!E141</f>
        <v>Jinan Kiano Saba</v>
      </c>
      <c r="F256" s="31" t="str">
        <f>'BIO DATA'!Y141</f>
        <v>SD Muhammadiyah 1 Alternatif Kota Magelang</v>
      </c>
      <c r="G256" s="71">
        <f>'BIO DATA'!I141</f>
        <v>2</v>
      </c>
      <c r="H256" s="30" t="str">
        <f>'BIO DATA'!M141</f>
        <v>Magelang</v>
      </c>
      <c r="I256" s="136" t="str">
        <f>'BIO DATA'!P141</f>
        <v>15 November 2013</v>
      </c>
      <c r="J256" s="30" t="str">
        <f>'BIO DATA'!S141</f>
        <v>Jl. Melon Lembah Asri 001/001 Mantenan Mertoyudan Magelang</v>
      </c>
      <c r="K256" s="30" t="str">
        <f>'BIO DATA'!AB141</f>
        <v>Rifqi Kurniadi Suryanto</v>
      </c>
      <c r="L256" s="33" t="str">
        <f>'BIO DATA'!AG141</f>
        <v>08211622281</v>
      </c>
      <c r="M256" s="30" t="str">
        <f>'BIO DATA'!AI141</f>
        <v>Erisa Susiana</v>
      </c>
      <c r="N256" s="147" t="str">
        <f>'BIO DATA'!AN141</f>
        <v>082116222281</v>
      </c>
      <c r="O256" s="261" t="s">
        <v>228</v>
      </c>
      <c r="P256" s="30" t="str">
        <f>'BIO DATA'!AL141</f>
        <v>PNS</v>
      </c>
      <c r="Q256" s="183" t="s">
        <v>228</v>
      </c>
    </row>
    <row r="257" spans="2:17" s="35" customFormat="1" ht="51">
      <c r="B257" s="28">
        <v>21</v>
      </c>
      <c r="C257" s="29">
        <f>'BIO DATA'!C142</f>
        <v>12600</v>
      </c>
      <c r="D257" s="61">
        <f>'BIO DATA'!D142</f>
        <v>3136991117</v>
      </c>
      <c r="E257" s="30" t="str">
        <f>'BIO DATA'!E142</f>
        <v>Mahatma Putra Insani</v>
      </c>
      <c r="F257" s="31" t="str">
        <f>'BIO DATA'!Y142</f>
        <v>SD Muhammadiyah Belik</v>
      </c>
      <c r="G257" s="135" t="s">
        <v>228</v>
      </c>
      <c r="H257" s="30" t="str">
        <f>'BIO DATA'!M142</f>
        <v>Pemalang</v>
      </c>
      <c r="I257" s="136" t="str">
        <f>'BIO DATA'!P142</f>
        <v>22 Oktober 2013</v>
      </c>
      <c r="J257" s="30" t="str">
        <f>'BIO DATA'!S142</f>
        <v>DESA BELIK RT 09 RW 01 KECAMATAN BELIK KABUPATEN PEMALANG PROVINSI JAWA TENGAH</v>
      </c>
      <c r="K257" s="30" t="str">
        <f>'BIO DATA'!AB142</f>
        <v>Rochali</v>
      </c>
      <c r="L257" s="33" t="str">
        <f>'BIO DATA'!AG142</f>
        <v>081327849410</v>
      </c>
      <c r="M257" s="30" t="str">
        <f>'BIO DATA'!AI142</f>
        <v>Komariyah</v>
      </c>
      <c r="N257" s="147" t="str">
        <f>'BIO DATA'!AN142</f>
        <v>087838271896</v>
      </c>
      <c r="O257" s="30" t="str">
        <f>'BIO DATA'!AE142</f>
        <v>Lain-lain</v>
      </c>
      <c r="P257" s="30" t="str">
        <f>'BIO DATA'!AL142</f>
        <v>Lain-lain</v>
      </c>
      <c r="Q257" s="183" t="s">
        <v>228</v>
      </c>
    </row>
    <row r="258" spans="2:17" s="35" customFormat="1" ht="39.75" customHeight="1">
      <c r="B258" s="28">
        <v>22</v>
      </c>
      <c r="C258" s="29">
        <f>'BIO DATA'!C143</f>
        <v>12607</v>
      </c>
      <c r="D258" s="148" t="str">
        <f>'BIO DATA'!D143</f>
        <v>0131036270</v>
      </c>
      <c r="E258" s="30" t="str">
        <f>'BIO DATA'!E143</f>
        <v>Muhammad Abdul Rasyid</v>
      </c>
      <c r="F258" s="31" t="str">
        <f>'BIO DATA'!Y143</f>
        <v>SD Muhammadiyah Nitikan</v>
      </c>
      <c r="G258" s="71">
        <f>'BIO DATA'!I143</f>
        <v>3</v>
      </c>
      <c r="H258" s="30" t="str">
        <f>'BIO DATA'!M143</f>
        <v>Yogyakarta</v>
      </c>
      <c r="I258" s="136" t="str">
        <f>'BIO DATA'!P143</f>
        <v>23 Oktober 2013</v>
      </c>
      <c r="J258" s="30" t="str">
        <f>'BIO DATA'!S143</f>
        <v>Kragilan RT 04 Tamanan Banguntapan Bantul DIY</v>
      </c>
      <c r="K258" s="30" t="str">
        <f>'BIO DATA'!AB143</f>
        <v>Wartijo</v>
      </c>
      <c r="L258" s="149" t="str">
        <f>'BIO DATA'!AG143</f>
        <v>0895609734466</v>
      </c>
      <c r="M258" s="30" t="str">
        <f>'BIO DATA'!AI143</f>
        <v>Kusningrum Marsi Pujiastuti</v>
      </c>
      <c r="N258" s="147" t="str">
        <f>'BIO DATA'!AN143</f>
        <v>08989007579</v>
      </c>
      <c r="O258" s="30" t="str">
        <f>'BIO DATA'!AE143</f>
        <v>Lain-lain</v>
      </c>
      <c r="P258" s="30" t="str">
        <f>'BIO DATA'!AL143</f>
        <v>Guru/Dosen</v>
      </c>
      <c r="Q258" s="183" t="s">
        <v>228</v>
      </c>
    </row>
    <row r="259" spans="2:17" s="35" customFormat="1" ht="38.25">
      <c r="B259" s="28">
        <v>23</v>
      </c>
      <c r="C259" s="29">
        <f>'BIO DATA'!C144</f>
        <v>12618</v>
      </c>
      <c r="D259" s="61" t="str">
        <f>'BIO DATA'!D144</f>
        <v>0146300636</v>
      </c>
      <c r="E259" s="30" t="str">
        <f>'BIO DATA'!E144</f>
        <v>Muhammad Arif Fatikhayat</v>
      </c>
      <c r="F259" s="31" t="str">
        <f>'BIO DATA'!Y144</f>
        <v>UPTD SDN 15 Teddaopu</v>
      </c>
      <c r="G259" s="71">
        <f>'BIO DATA'!I144</f>
        <v>3</v>
      </c>
      <c r="H259" s="30" t="str">
        <f>'BIO DATA'!M144</f>
        <v>Sengkang</v>
      </c>
      <c r="I259" s="136" t="str">
        <f>'BIO DATA'!P144</f>
        <v>30 April 2014</v>
      </c>
      <c r="J259" s="30" t="str">
        <f>'BIO DATA'!S144</f>
        <v>Dusun Cempalagi RT 001 RW 001 Campalagi Tempe Wajo Sulawesi Selatan 90911</v>
      </c>
      <c r="K259" s="30" t="str">
        <f>'BIO DATA'!AB144</f>
        <v>Rustam Abdul Gani</v>
      </c>
      <c r="L259" s="33" t="str">
        <f>'BIO DATA'!AG144</f>
        <v>085242521234</v>
      </c>
      <c r="M259" s="30" t="str">
        <f>'BIO DATA'!AI144</f>
        <v>Sri Hartati</v>
      </c>
      <c r="N259" s="147" t="str">
        <f>'BIO DATA'!AN144</f>
        <v>081342418744</v>
      </c>
      <c r="O259" s="261" t="s">
        <v>228</v>
      </c>
      <c r="P259" s="30" t="str">
        <f>'BIO DATA'!AL144</f>
        <v>Guru/Dosen</v>
      </c>
      <c r="Q259" s="183" t="s">
        <v>228</v>
      </c>
    </row>
    <row r="260" spans="2:17" s="35" customFormat="1" ht="38.25">
      <c r="B260" s="28">
        <v>24</v>
      </c>
      <c r="C260" s="29">
        <f>'BIO DATA'!C145</f>
        <v>12620</v>
      </c>
      <c r="D260" s="61">
        <f>'BIO DATA'!D145</f>
        <v>3138099112</v>
      </c>
      <c r="E260" s="30" t="str">
        <f>'BIO DATA'!E145</f>
        <v>Muhammad Arya Pamenang</v>
      </c>
      <c r="F260" s="31" t="str">
        <f>'BIO DATA'!Y145</f>
        <v>SD IT Ibnu Mas ud</v>
      </c>
      <c r="G260" s="135" t="s">
        <v>228</v>
      </c>
      <c r="H260" s="30" t="str">
        <f>'BIO DATA'!M145</f>
        <v>Kulon progo</v>
      </c>
      <c r="I260" s="136" t="str">
        <f>'BIO DATA'!P145</f>
        <v>12 November 2013</v>
      </c>
      <c r="J260" s="30" t="str">
        <f>'BIO DATA'!S145</f>
        <v>Pengasih RT03 RW01 Pengasih Pengasih Kulonprogo 55652</v>
      </c>
      <c r="K260" s="30" t="str">
        <f>'BIO DATA'!AB145</f>
        <v>Tavif Hendrasetiawan, SH., MM</v>
      </c>
      <c r="L260" s="33" t="str">
        <f>'BIO DATA'!AG145</f>
        <v>081355128061</v>
      </c>
      <c r="M260" s="30" t="str">
        <f>'BIO DATA'!AI145</f>
        <v>Diah Anung Putri Yanti</v>
      </c>
      <c r="N260" s="147" t="str">
        <f>'BIO DATA'!AN145</f>
        <v>08112655338</v>
      </c>
      <c r="O260" s="30" t="str">
        <f>'BIO DATA'!AE145</f>
        <v>TNI/Polri</v>
      </c>
      <c r="P260" s="30" t="str">
        <f>'BIO DATA'!AL145</f>
        <v>Lain-lain</v>
      </c>
      <c r="Q260" s="183" t="s">
        <v>228</v>
      </c>
    </row>
    <row r="261" spans="2:17" s="35" customFormat="1" ht="37.5" customHeight="1">
      <c r="B261" s="28">
        <v>25</v>
      </c>
      <c r="C261" s="29">
        <f>'BIO DATA'!C146</f>
        <v>12627</v>
      </c>
      <c r="D261" s="61" t="str">
        <f>'BIO DATA'!D146</f>
        <v>0142486187</v>
      </c>
      <c r="E261" s="30" t="str">
        <f>'BIO DATA'!E146</f>
        <v>Muhammad Dhanurendra Abhimata Wihrasto</v>
      </c>
      <c r="F261" s="31" t="str">
        <f>'BIO DATA'!Y146</f>
        <v>SD Islam Terpadu Sultan Agung 05 Kriyan, Jepara, Jawa Tengah, Indonesia.</v>
      </c>
      <c r="G261" s="71">
        <f>'BIO DATA'!I146</f>
        <v>3</v>
      </c>
      <c r="H261" s="30" t="str">
        <f>'BIO DATA'!M146</f>
        <v>Jepara</v>
      </c>
      <c r="I261" s="136" t="str">
        <f>'BIO DATA'!P146</f>
        <v>11 Januari 2014</v>
      </c>
      <c r="J261" s="30" t="str">
        <f>'BIO DATA'!S146</f>
        <v>Jl. Kauman II RT 003 RW 002, Desa Kuanyar, Kecamatan Mayong, Kabupaten Jepara, Propinsi Jawa Tengah, Indonesia, 59465</v>
      </c>
      <c r="K261" s="146" t="str">
        <f>'BIO DATA'!AB146</f>
        <v>H. Jati Prihantono</v>
      </c>
      <c r="L261" s="181" t="s">
        <v>228</v>
      </c>
      <c r="M261" s="30" t="str">
        <f>'BIO DATA'!AI146</f>
        <v>Hj. Suci Mulyani</v>
      </c>
      <c r="N261" s="147" t="s">
        <v>228</v>
      </c>
      <c r="O261" s="30" t="str">
        <f>'BIO DATA'!AE146</f>
        <v>Guru/Dosen</v>
      </c>
      <c r="P261" s="30" t="str">
        <f>'BIO DATA'!AL146</f>
        <v>Wiraswasta</v>
      </c>
      <c r="Q261" s="183" t="s">
        <v>228</v>
      </c>
    </row>
    <row r="262" spans="2:17" s="35" customFormat="1" ht="43.5" customHeight="1">
      <c r="B262" s="28">
        <v>26</v>
      </c>
      <c r="C262" s="29">
        <f>'BIO DATA'!C147</f>
        <v>12630</v>
      </c>
      <c r="D262" s="61" t="str">
        <f>'BIO DATA'!D147</f>
        <v>0144740059</v>
      </c>
      <c r="E262" s="30" t="str">
        <f>'BIO DATA'!E147</f>
        <v>Muhammad Fadlan Kurnia</v>
      </c>
      <c r="F262" s="31" t="str">
        <f>'BIO DATA'!Y147</f>
        <v>Madrasah Pembangunan UIN Jakarta</v>
      </c>
      <c r="G262" s="71">
        <f>'BIO DATA'!I147</f>
        <v>1</v>
      </c>
      <c r="H262" s="30" t="str">
        <f>'BIO DATA'!M147</f>
        <v>Jakarta</v>
      </c>
      <c r="I262" s="136" t="str">
        <f>'BIO DATA'!P147</f>
        <v>7 April 2014</v>
      </c>
      <c r="J262" s="30" t="str">
        <f>'BIO DATA'!S147</f>
        <v xml:space="preserve">Jl.H.Juanda Gg Saman rt 05/01 no.60 Gintung Cempaka Putih Ciputat Timur Kota Tangerang Selatan Banten </v>
      </c>
      <c r="K262" s="30" t="str">
        <f>'BIO DATA'!AB147</f>
        <v>Iwa Kurnia S.kom</v>
      </c>
      <c r="L262" s="33" t="str">
        <f>'BIO DATA'!AG147</f>
        <v>081314446810</v>
      </c>
      <c r="M262" s="30" t="str">
        <f>'BIO DATA'!AI147</f>
        <v>dr.Farah Khiyatie</v>
      </c>
      <c r="N262" s="147" t="str">
        <f>'BIO DATA'!AN147</f>
        <v>081290218383</v>
      </c>
      <c r="O262" s="30" t="str">
        <f>'BIO DATA'!AE147</f>
        <v>PNS</v>
      </c>
      <c r="P262" s="30" t="str">
        <f>'BIO DATA'!AL147</f>
        <v>Dokter/Bidan/Perawat</v>
      </c>
      <c r="Q262" s="183">
        <f>'BIO DATA'!H147</f>
        <v>0</v>
      </c>
    </row>
    <row r="263" spans="2:17" s="35" customFormat="1" ht="38.25">
      <c r="B263" s="28">
        <v>27</v>
      </c>
      <c r="C263" s="29">
        <f>'BIO DATA'!C148</f>
        <v>12644</v>
      </c>
      <c r="D263" s="61">
        <f>'BIO DATA'!D148</f>
        <v>3147551538</v>
      </c>
      <c r="E263" s="30" t="str">
        <f>'BIO DATA'!E148</f>
        <v>Muhammad Lantang Wirayudha Akbar</v>
      </c>
      <c r="F263" s="31" t="str">
        <f>'BIO DATA'!Y148</f>
        <v>SD Muhammadiyah Domban 4</v>
      </c>
      <c r="G263" s="71">
        <f>'BIO DATA'!I148</f>
        <v>1</v>
      </c>
      <c r="H263" s="30" t="str">
        <f>'BIO DATA'!M148</f>
        <v>Sleman</v>
      </c>
      <c r="I263" s="136" t="str">
        <f>'BIO DATA'!P148</f>
        <v>14 Juni 2014</v>
      </c>
      <c r="J263" s="30" t="str">
        <f>'BIO DATA'!S148</f>
        <v>Temulawak RT 001 RW 036 Triharjo Sleman Sleman DIY</v>
      </c>
      <c r="K263" s="30" t="str">
        <f>'BIO DATA'!AB148</f>
        <v>Lutfi Verdian Akbar</v>
      </c>
      <c r="L263" s="33" t="str">
        <f>'BIO DATA'!AG148</f>
        <v>08122118546</v>
      </c>
      <c r="M263" s="30" t="str">
        <f>'BIO DATA'!AI148</f>
        <v>Bikan Aulia Noor Rachmani El Zulba</v>
      </c>
      <c r="N263" s="147" t="str">
        <f>'BIO DATA'!AN148</f>
        <v>081227005551</v>
      </c>
      <c r="O263" s="30" t="str">
        <f>'BIO DATA'!AE148</f>
        <v>Wiraswasta</v>
      </c>
      <c r="P263" s="30" t="str">
        <f>'BIO DATA'!AL148</f>
        <v>Pegawai Swasta</v>
      </c>
      <c r="Q263" s="183" t="str">
        <f>'BIO DATA'!H148</f>
        <v>111202623357944</v>
      </c>
    </row>
    <row r="264" spans="2:17" s="35" customFormat="1" ht="37.5" customHeight="1">
      <c r="B264" s="28">
        <v>28</v>
      </c>
      <c r="C264" s="29">
        <f>'BIO DATA'!C149</f>
        <v>12661</v>
      </c>
      <c r="D264" s="61" t="str">
        <f>'BIO DATA'!D149</f>
        <v>0148185222</v>
      </c>
      <c r="E264" s="30" t="str">
        <f>'BIO DATA'!E149</f>
        <v>Muhammad Ziyad Avicenna</v>
      </c>
      <c r="F264" s="31" t="str">
        <f>'BIO DATA'!Y149</f>
        <v>SD Muhammadiyah Manyar</v>
      </c>
      <c r="G264" s="71">
        <f>'BIO DATA'!I149</f>
        <v>2</v>
      </c>
      <c r="H264" s="30" t="str">
        <f>'BIO DATA'!M149</f>
        <v>Gresik</v>
      </c>
      <c r="I264" s="136" t="str">
        <f>'BIO DATA'!P149</f>
        <v>31 Agustus 2014</v>
      </c>
      <c r="J264" s="30" t="str">
        <f>'BIO DATA'!S149</f>
        <v>Jln. Kapten Darmosugondo Gg XII No 53 RT 006 RW 002 Indro Kebomas Gresik Jawa Timur</v>
      </c>
      <c r="K264" s="30" t="str">
        <f>'BIO DATA'!AB149</f>
        <v>Rudi Purnawan</v>
      </c>
      <c r="L264" s="33" t="str">
        <f>'BIO DATA'!AG149</f>
        <v>082146784785</v>
      </c>
      <c r="M264" s="30" t="str">
        <f>'BIO DATA'!AI149</f>
        <v>Imroatus Sa'adah</v>
      </c>
      <c r="N264" s="147" t="str">
        <f>'BIO DATA'!AN149</f>
        <v>081332724291</v>
      </c>
      <c r="O264" s="30" t="str">
        <f>'BIO DATA'!AE149</f>
        <v>Guru/Dosen</v>
      </c>
      <c r="P264" s="30" t="str">
        <f>'BIO DATA'!AL149</f>
        <v>Guru/Dosen</v>
      </c>
      <c r="Q264" s="183" t="s">
        <v>228</v>
      </c>
    </row>
    <row r="265" spans="2:17" s="35" customFormat="1" ht="38.25">
      <c r="B265" s="28">
        <v>29</v>
      </c>
      <c r="C265" s="29">
        <f>'BIO DATA'!C150</f>
        <v>12662</v>
      </c>
      <c r="D265" s="61">
        <f>'BIO DATA'!D150</f>
        <v>3148199373</v>
      </c>
      <c r="E265" s="30" t="str">
        <f>'BIO DATA'!E150</f>
        <v>Nabhan Ghazy Pradipta</v>
      </c>
      <c r="F265" s="31" t="str">
        <f>'BIO DATA'!Y150</f>
        <v>SDN 1 Clapar Madukara Banjaranegara</v>
      </c>
      <c r="G265" s="71">
        <f>'BIO DATA'!I150</f>
        <v>1</v>
      </c>
      <c r="H265" s="30" t="str">
        <f>'BIO DATA'!M150</f>
        <v>Jakarta</v>
      </c>
      <c r="I265" s="136" t="str">
        <f>'BIO DATA'!P150</f>
        <v>11 Juli 2014</v>
      </c>
      <c r="J265" s="30" t="str">
        <f>'BIO DATA'!S150</f>
        <v>Griya Cilebut Asri 2 Blok C11 Jl. Kp. Batu Gede Cilebut Sukaraja Bogor Jawa Barat</v>
      </c>
      <c r="K265" s="30" t="str">
        <f>'BIO DATA'!AB150</f>
        <v>Eko Andri Saputra</v>
      </c>
      <c r="L265" s="33" t="str">
        <f>'BIO DATA'!AG150</f>
        <v>085718350205</v>
      </c>
      <c r="M265" s="30" t="str">
        <f>'BIO DATA'!AI150</f>
        <v>Yayu Mutmainah</v>
      </c>
      <c r="N265" s="147" t="str">
        <f>'BIO DATA'!AN150</f>
        <v>081389909752</v>
      </c>
      <c r="O265" s="30" t="str">
        <f>'BIO DATA'!AE150</f>
        <v>Pegawai Swasta</v>
      </c>
      <c r="P265" s="30" t="str">
        <f>'BIO DATA'!AL150</f>
        <v>Pegawai Swasta</v>
      </c>
      <c r="Q265" s="183">
        <f>'BIO DATA'!H150</f>
        <v>0</v>
      </c>
    </row>
    <row r="266" spans="2:17" s="35" customFormat="1" ht="51">
      <c r="B266" s="28">
        <v>30</v>
      </c>
      <c r="C266" s="29">
        <f>'BIO DATA'!C151</f>
        <v>12687</v>
      </c>
      <c r="D266" s="61" t="str">
        <f>'BIO DATA'!D151</f>
        <v>0138158648</v>
      </c>
      <c r="E266" s="30" t="str">
        <f>'BIO DATA'!E151</f>
        <v>Randa Kamil Bahta</v>
      </c>
      <c r="F266" s="31" t="str">
        <f>'BIO DATA'!Y151</f>
        <v>SDN Rawajati 08</v>
      </c>
      <c r="G266" s="71">
        <f>'BIO DATA'!I151</f>
        <v>1</v>
      </c>
      <c r="H266" s="30" t="str">
        <f>'BIO DATA'!M151</f>
        <v>Jakarta</v>
      </c>
      <c r="I266" s="136" t="str">
        <f>'BIO DATA'!P151</f>
        <v>26 Desember 2013</v>
      </c>
      <c r="J266" s="30" t="str">
        <f>'BIO DATA'!S151</f>
        <v>Jalan Batumerah IV No. 47 RT 009 RW 02 Pejaten Timur Pasar Minggu, Jakarta Selatan DKI Jakarta</v>
      </c>
      <c r="K266" s="30" t="str">
        <f>'BIO DATA'!AB151</f>
        <v>Sedek Bahta</v>
      </c>
      <c r="L266" s="33" t="str">
        <f>'BIO DATA'!AG151</f>
        <v>085194881881</v>
      </c>
      <c r="M266" s="30" t="str">
        <f>'BIO DATA'!AI151</f>
        <v>Azizah Clarissa Randa</v>
      </c>
      <c r="N266" s="147" t="str">
        <f>'BIO DATA'!AN151</f>
        <v>081312585086</v>
      </c>
      <c r="O266" s="30" t="str">
        <f>'BIO DATA'!AE151</f>
        <v>Pengacara/Jaksa/Hakim/Notaris</v>
      </c>
      <c r="P266" s="30" t="str">
        <f>'BIO DATA'!AL151</f>
        <v>Wiraswasta</v>
      </c>
      <c r="Q266" s="183" t="s">
        <v>228</v>
      </c>
    </row>
    <row r="267" spans="2:17" s="35" customFormat="1" ht="7.5" customHeight="1">
      <c r="B267" s="37"/>
      <c r="C267" s="38"/>
      <c r="D267" s="123"/>
      <c r="E267" s="39"/>
      <c r="F267" s="34"/>
      <c r="G267" s="124"/>
      <c r="H267" s="39"/>
      <c r="I267" s="139"/>
      <c r="J267" s="39"/>
      <c r="K267" s="140"/>
      <c r="L267" s="140"/>
      <c r="M267" s="39"/>
      <c r="N267" s="40"/>
      <c r="O267" s="140"/>
      <c r="P267" s="39"/>
      <c r="Q267" s="140"/>
    </row>
    <row r="268" spans="2:17" s="35" customFormat="1" ht="7.5" customHeight="1">
      <c r="B268" s="37"/>
      <c r="C268" s="38"/>
      <c r="D268" s="123"/>
      <c r="E268" s="39"/>
      <c r="F268" s="34"/>
      <c r="G268" s="124"/>
      <c r="H268" s="39"/>
      <c r="I268" s="139"/>
      <c r="J268" s="39"/>
      <c r="K268" s="140"/>
      <c r="L268" s="140"/>
      <c r="M268" s="39"/>
      <c r="N268" s="40"/>
      <c r="O268" s="140"/>
      <c r="P268" s="39"/>
      <c r="Q268" s="140"/>
    </row>
    <row r="269" spans="2:17" s="35" customFormat="1" ht="7.5" customHeight="1">
      <c r="B269" s="37"/>
      <c r="C269" s="38"/>
      <c r="D269" s="123"/>
      <c r="E269" s="39"/>
      <c r="F269" s="34"/>
      <c r="G269" s="124"/>
      <c r="H269" s="39"/>
      <c r="I269" s="139"/>
      <c r="J269" s="39"/>
      <c r="K269" s="140"/>
      <c r="L269" s="140"/>
      <c r="M269" s="39"/>
      <c r="N269" s="40"/>
      <c r="O269" s="140"/>
      <c r="P269" s="39"/>
      <c r="Q269" s="140"/>
    </row>
    <row r="270" spans="2:17" s="35" customFormat="1" ht="7.5" customHeight="1">
      <c r="B270" s="37"/>
      <c r="C270" s="38"/>
      <c r="D270" s="123"/>
      <c r="E270" s="39"/>
      <c r="F270" s="34"/>
      <c r="G270" s="124"/>
      <c r="H270" s="39"/>
      <c r="I270" s="139"/>
      <c r="J270" s="39"/>
      <c r="K270" s="140"/>
      <c r="L270" s="140"/>
      <c r="M270" s="39"/>
      <c r="N270" s="40"/>
      <c r="O270" s="140"/>
      <c r="P270" s="39"/>
      <c r="Q270" s="140"/>
    </row>
    <row r="271" spans="2:17" s="35" customFormat="1" ht="7.5" customHeight="1">
      <c r="B271" s="37"/>
      <c r="C271" s="38"/>
      <c r="D271" s="123"/>
      <c r="E271" s="39"/>
      <c r="F271" s="34"/>
      <c r="G271" s="124"/>
      <c r="H271" s="39"/>
      <c r="I271" s="139"/>
      <c r="J271" s="39"/>
      <c r="K271" s="140"/>
      <c r="L271" s="140"/>
      <c r="M271" s="39"/>
      <c r="N271" s="40"/>
      <c r="O271" s="140"/>
      <c r="P271" s="39"/>
      <c r="Q271" s="140"/>
    </row>
    <row r="272" spans="2:17" s="35" customFormat="1" ht="7.5" customHeight="1">
      <c r="B272" s="37"/>
      <c r="C272" s="38"/>
      <c r="D272" s="123"/>
      <c r="E272" s="39"/>
      <c r="F272" s="34"/>
      <c r="G272" s="124"/>
      <c r="H272" s="39"/>
      <c r="I272" s="139"/>
      <c r="J272" s="39"/>
      <c r="K272" s="140"/>
      <c r="L272" s="140"/>
      <c r="M272" s="39"/>
      <c r="N272" s="40"/>
      <c r="O272" s="140"/>
      <c r="P272" s="39"/>
      <c r="Q272" s="140"/>
    </row>
    <row r="273" spans="2:17" s="35" customFormat="1" ht="7.5" customHeight="1">
      <c r="B273" s="37"/>
      <c r="C273" s="38"/>
      <c r="D273" s="123"/>
      <c r="E273" s="39"/>
      <c r="F273" s="34"/>
      <c r="G273" s="124"/>
      <c r="H273" s="39"/>
      <c r="I273" s="139"/>
      <c r="J273" s="39"/>
      <c r="K273" s="140"/>
      <c r="L273" s="140"/>
      <c r="M273" s="39"/>
      <c r="N273" s="40"/>
      <c r="O273" s="140"/>
      <c r="P273" s="39"/>
      <c r="Q273" s="140"/>
    </row>
    <row r="274" spans="2:17" s="35" customFormat="1" ht="7.5" customHeight="1">
      <c r="B274" s="37"/>
      <c r="C274" s="38"/>
      <c r="D274" s="123"/>
      <c r="E274" s="39"/>
      <c r="F274" s="34"/>
      <c r="G274" s="124"/>
      <c r="H274" s="39"/>
      <c r="I274" s="139"/>
      <c r="J274" s="39"/>
      <c r="K274" s="140"/>
      <c r="L274" s="140"/>
      <c r="M274" s="39"/>
      <c r="N274" s="40"/>
      <c r="O274" s="140"/>
      <c r="P274" s="39"/>
      <c r="Q274" s="140"/>
    </row>
    <row r="275" spans="2:17" s="35" customFormat="1" ht="7.5" customHeight="1">
      <c r="B275" s="37"/>
      <c r="C275" s="38"/>
      <c r="D275" s="123"/>
      <c r="E275" s="39"/>
      <c r="F275" s="34"/>
      <c r="G275" s="124"/>
      <c r="H275" s="39"/>
      <c r="I275" s="139"/>
      <c r="J275" s="39"/>
      <c r="K275" s="140"/>
      <c r="L275" s="140"/>
      <c r="M275" s="39"/>
      <c r="N275" s="40"/>
      <c r="O275" s="140"/>
      <c r="P275" s="39"/>
      <c r="Q275" s="140"/>
    </row>
    <row r="276" spans="2:17" s="35" customFormat="1" ht="7.5" customHeight="1">
      <c r="B276" s="37"/>
      <c r="C276" s="38"/>
      <c r="D276" s="123"/>
      <c r="E276" s="39"/>
      <c r="F276" s="34"/>
      <c r="G276" s="124"/>
      <c r="H276" s="39"/>
      <c r="I276" s="139"/>
      <c r="J276" s="39"/>
      <c r="K276" s="140"/>
      <c r="L276" s="140"/>
      <c r="M276" s="39"/>
      <c r="N276" s="40"/>
      <c r="O276" s="140"/>
      <c r="P276" s="39"/>
      <c r="Q276" s="140"/>
    </row>
    <row r="277" spans="2:17" s="35" customFormat="1" ht="7.5" customHeight="1">
      <c r="B277" s="37"/>
      <c r="C277" s="38"/>
      <c r="D277" s="123"/>
      <c r="E277" s="39"/>
      <c r="F277" s="34"/>
      <c r="G277" s="124"/>
      <c r="H277" s="39"/>
      <c r="I277" s="139"/>
      <c r="J277" s="39"/>
      <c r="K277" s="140"/>
      <c r="L277" s="140"/>
      <c r="M277" s="39"/>
      <c r="N277" s="40"/>
      <c r="O277" s="140"/>
      <c r="P277" s="39"/>
      <c r="Q277" s="140"/>
    </row>
    <row r="278" spans="2:17" s="35" customFormat="1" ht="7.5" customHeight="1">
      <c r="B278" s="37"/>
      <c r="C278" s="38"/>
      <c r="D278" s="123"/>
      <c r="E278" s="39"/>
      <c r="F278" s="34"/>
      <c r="G278" s="124"/>
      <c r="H278" s="39"/>
      <c r="I278" s="139"/>
      <c r="J278" s="39"/>
      <c r="K278" s="140"/>
      <c r="L278" s="140"/>
      <c r="M278" s="39"/>
      <c r="N278" s="40"/>
      <c r="O278" s="140"/>
      <c r="P278" s="39"/>
      <c r="Q278" s="140"/>
    </row>
    <row r="279" spans="2:17" s="35" customFormat="1" ht="7.5" customHeight="1">
      <c r="B279" s="37"/>
      <c r="C279" s="38"/>
      <c r="D279" s="123"/>
      <c r="E279" s="39"/>
      <c r="F279" s="34"/>
      <c r="G279" s="124"/>
      <c r="H279" s="39"/>
      <c r="I279" s="139"/>
      <c r="J279" s="39"/>
      <c r="K279" s="140"/>
      <c r="L279" s="140"/>
      <c r="M279" s="39"/>
      <c r="N279" s="40"/>
      <c r="O279" s="140"/>
      <c r="P279" s="39"/>
      <c r="Q279" s="140"/>
    </row>
    <row r="280" spans="2:17" s="35" customFormat="1" ht="7.5" customHeight="1">
      <c r="B280" s="37"/>
      <c r="C280" s="38"/>
      <c r="D280" s="123"/>
      <c r="E280" s="39"/>
      <c r="F280" s="34"/>
      <c r="G280" s="124"/>
      <c r="H280" s="39"/>
      <c r="I280" s="139"/>
      <c r="J280" s="39"/>
      <c r="K280" s="140"/>
      <c r="L280" s="140"/>
      <c r="M280" s="39"/>
      <c r="N280" s="40"/>
      <c r="O280" s="140"/>
      <c r="P280" s="39"/>
      <c r="Q280" s="140"/>
    </row>
    <row r="281" spans="2:17" s="35" customFormat="1" ht="7.5" customHeight="1">
      <c r="B281" s="37"/>
      <c r="C281" s="38"/>
      <c r="D281" s="123"/>
      <c r="E281" s="39"/>
      <c r="F281" s="34"/>
      <c r="G281" s="124"/>
      <c r="H281" s="39"/>
      <c r="I281" s="139"/>
      <c r="J281" s="39"/>
      <c r="K281" s="140"/>
      <c r="L281" s="140"/>
      <c r="M281" s="39"/>
      <c r="N281" s="40"/>
      <c r="O281" s="140"/>
      <c r="P281" s="39"/>
      <c r="Q281" s="140"/>
    </row>
    <row r="282" spans="2:17" s="35" customFormat="1" ht="7.5" customHeight="1">
      <c r="B282" s="37"/>
      <c r="C282" s="38"/>
      <c r="D282" s="123"/>
      <c r="E282" s="39"/>
      <c r="F282" s="34"/>
      <c r="G282" s="124"/>
      <c r="H282" s="39"/>
      <c r="I282" s="139"/>
      <c r="J282" s="39"/>
      <c r="K282" s="140"/>
      <c r="L282" s="140"/>
      <c r="M282" s="39"/>
      <c r="N282" s="40"/>
      <c r="O282" s="140"/>
      <c r="P282" s="39"/>
      <c r="Q282" s="140"/>
    </row>
    <row r="283" spans="2:17" s="35" customFormat="1" ht="7.5" customHeight="1">
      <c r="B283" s="37"/>
      <c r="C283" s="38"/>
      <c r="D283" s="123"/>
      <c r="E283" s="39"/>
      <c r="F283" s="34"/>
      <c r="G283" s="124"/>
      <c r="H283" s="39"/>
      <c r="I283" s="139"/>
      <c r="J283" s="39"/>
      <c r="K283" s="140"/>
      <c r="L283" s="140"/>
      <c r="M283" s="39"/>
      <c r="N283" s="40"/>
      <c r="O283" s="140"/>
      <c r="P283" s="39"/>
      <c r="Q283" s="140"/>
    </row>
    <row r="284" spans="2:17" s="35" customFormat="1" ht="7.5" customHeight="1">
      <c r="B284" s="37"/>
      <c r="C284" s="38"/>
      <c r="D284" s="123"/>
      <c r="E284" s="39"/>
      <c r="F284" s="34"/>
      <c r="G284" s="124"/>
      <c r="H284" s="39"/>
      <c r="I284" s="139"/>
      <c r="J284" s="39"/>
      <c r="K284" s="140"/>
      <c r="L284" s="140"/>
      <c r="M284" s="39"/>
      <c r="N284" s="40"/>
      <c r="O284" s="140"/>
      <c r="P284" s="39"/>
      <c r="Q284" s="140"/>
    </row>
    <row r="285" spans="2:17" s="35" customFormat="1" ht="7.5" customHeight="1">
      <c r="B285" s="37"/>
      <c r="C285" s="38"/>
      <c r="D285" s="123"/>
      <c r="E285" s="39"/>
      <c r="F285" s="34"/>
      <c r="G285" s="124"/>
      <c r="H285" s="39"/>
      <c r="I285" s="139"/>
      <c r="J285" s="39"/>
      <c r="K285" s="140"/>
      <c r="L285" s="140"/>
      <c r="M285" s="39"/>
      <c r="N285" s="40"/>
      <c r="O285" s="140"/>
      <c r="P285" s="39"/>
      <c r="Q285" s="140"/>
    </row>
    <row r="286" spans="2:17" s="35" customFormat="1" ht="7.5" customHeight="1">
      <c r="B286" s="37"/>
      <c r="C286" s="38"/>
      <c r="D286" s="123"/>
      <c r="E286" s="39"/>
      <c r="F286" s="34"/>
      <c r="G286" s="124"/>
      <c r="H286" s="39"/>
      <c r="I286" s="139"/>
      <c r="J286" s="39"/>
      <c r="K286" s="140"/>
      <c r="L286" s="140"/>
      <c r="M286" s="39"/>
      <c r="N286" s="40"/>
      <c r="O286" s="140"/>
      <c r="P286" s="39"/>
      <c r="Q286" s="140"/>
    </row>
    <row r="287" spans="2:17" s="35" customFormat="1" ht="7.5" customHeight="1">
      <c r="B287" s="37"/>
      <c r="C287" s="38"/>
      <c r="D287" s="123"/>
      <c r="E287" s="39"/>
      <c r="F287" s="34"/>
      <c r="G287" s="124"/>
      <c r="H287" s="39"/>
      <c r="I287" s="139"/>
      <c r="J287" s="39"/>
      <c r="K287" s="140"/>
      <c r="L287" s="140"/>
      <c r="M287" s="39"/>
      <c r="N287" s="40"/>
      <c r="O287" s="140"/>
      <c r="P287" s="39"/>
      <c r="Q287" s="140"/>
    </row>
    <row r="288" spans="2:17" s="35" customFormat="1" ht="7.5" customHeight="1">
      <c r="B288" s="37"/>
      <c r="C288" s="38"/>
      <c r="D288" s="123"/>
      <c r="E288" s="39"/>
      <c r="F288" s="34"/>
      <c r="G288" s="124"/>
      <c r="H288" s="39"/>
      <c r="I288" s="139"/>
      <c r="J288" s="39"/>
      <c r="K288" s="140"/>
      <c r="L288" s="140"/>
      <c r="M288" s="39"/>
      <c r="N288" s="40"/>
      <c r="O288" s="140"/>
      <c r="P288" s="39"/>
      <c r="Q288" s="140"/>
    </row>
    <row r="289" spans="2:19" s="35" customFormat="1" ht="7.5" customHeight="1">
      <c r="B289" s="37"/>
      <c r="C289" s="38"/>
      <c r="D289" s="123"/>
      <c r="E289" s="39"/>
      <c r="F289" s="34"/>
      <c r="G289" s="124"/>
      <c r="H289" s="39"/>
      <c r="I289" s="139"/>
      <c r="J289" s="39"/>
      <c r="K289" s="140"/>
      <c r="L289" s="140"/>
      <c r="M289" s="39"/>
      <c r="N289" s="40"/>
      <c r="O289" s="140"/>
      <c r="P289" s="39"/>
      <c r="Q289" s="140"/>
    </row>
    <row r="290" spans="2:19" s="35" customFormat="1" ht="7.5" customHeight="1">
      <c r="B290" s="37"/>
      <c r="C290" s="38"/>
      <c r="D290" s="123"/>
      <c r="E290" s="39"/>
      <c r="F290" s="34"/>
      <c r="G290" s="124"/>
      <c r="H290" s="39"/>
      <c r="I290" s="139"/>
      <c r="J290" s="39"/>
      <c r="K290" s="140"/>
      <c r="L290" s="140"/>
      <c r="M290" s="39"/>
      <c r="N290" s="40"/>
      <c r="O290" s="140"/>
      <c r="P290" s="39"/>
      <c r="Q290" s="140"/>
    </row>
    <row r="291" spans="2:19" s="35" customFormat="1" ht="7.5" customHeight="1">
      <c r="B291" s="37"/>
      <c r="C291" s="38"/>
      <c r="D291" s="123"/>
      <c r="E291" s="39"/>
      <c r="F291" s="34"/>
      <c r="G291" s="124"/>
      <c r="H291" s="39"/>
      <c r="I291" s="139"/>
      <c r="J291" s="39"/>
      <c r="K291" s="140"/>
      <c r="L291" s="140"/>
      <c r="M291" s="39"/>
      <c r="N291" s="40"/>
      <c r="O291" s="140"/>
      <c r="P291" s="39"/>
      <c r="Q291" s="140"/>
    </row>
    <row r="292" spans="2:19" s="35" customFormat="1" ht="7.5" customHeight="1">
      <c r="B292" s="37"/>
      <c r="C292" s="38"/>
      <c r="D292" s="123"/>
      <c r="E292" s="39"/>
      <c r="F292" s="34"/>
      <c r="G292" s="124"/>
      <c r="H292" s="39"/>
      <c r="I292" s="139"/>
      <c r="J292" s="39"/>
      <c r="K292" s="140"/>
      <c r="L292" s="140"/>
      <c r="M292" s="39"/>
      <c r="N292" s="40"/>
      <c r="O292" s="140"/>
      <c r="P292" s="39"/>
      <c r="Q292" s="140"/>
    </row>
    <row r="293" spans="2:19" s="35" customFormat="1" ht="7.5" customHeight="1">
      <c r="B293" s="37"/>
      <c r="C293" s="38"/>
      <c r="D293" s="123"/>
      <c r="E293" s="39"/>
      <c r="F293" s="34"/>
      <c r="G293" s="124"/>
      <c r="H293" s="39"/>
      <c r="I293" s="139"/>
      <c r="J293" s="39"/>
      <c r="K293" s="140"/>
      <c r="L293" s="140"/>
      <c r="M293" s="39"/>
      <c r="N293" s="40"/>
      <c r="O293" s="140"/>
      <c r="P293" s="39"/>
      <c r="Q293" s="140"/>
    </row>
    <row r="294" spans="2:19" s="23" customFormat="1" ht="18.75">
      <c r="B294" s="408" t="s">
        <v>231</v>
      </c>
      <c r="C294" s="408"/>
      <c r="D294" s="408"/>
      <c r="E294" s="408"/>
      <c r="F294" s="408"/>
      <c r="G294" s="408"/>
      <c r="H294" s="408"/>
      <c r="I294" s="408"/>
      <c r="J294" s="408"/>
      <c r="K294" s="408"/>
      <c r="L294" s="408"/>
      <c r="M294" s="408"/>
      <c r="N294" s="408"/>
      <c r="O294" s="408"/>
      <c r="P294" s="408"/>
      <c r="Q294" s="408"/>
    </row>
    <row r="295" spans="2:19" s="23" customFormat="1" ht="18.75">
      <c r="B295" s="408" t="s">
        <v>234</v>
      </c>
      <c r="C295" s="408"/>
      <c r="D295" s="408"/>
      <c r="E295" s="408"/>
      <c r="F295" s="408"/>
      <c r="G295" s="408"/>
      <c r="H295" s="408"/>
      <c r="I295" s="408"/>
      <c r="J295" s="408"/>
      <c r="K295" s="408"/>
      <c r="L295" s="408"/>
      <c r="M295" s="408"/>
      <c r="N295" s="408"/>
      <c r="O295" s="408"/>
      <c r="P295" s="408"/>
      <c r="Q295" s="408"/>
    </row>
    <row r="296" spans="2:19" s="23" customFormat="1" ht="18.75">
      <c r="B296" s="413" t="s">
        <v>237</v>
      </c>
      <c r="C296" s="413"/>
      <c r="D296" s="413"/>
      <c r="E296" s="413"/>
      <c r="F296" s="413"/>
      <c r="G296" s="413"/>
      <c r="H296" s="413"/>
      <c r="I296" s="413"/>
      <c r="J296" s="413"/>
      <c r="K296" s="413"/>
      <c r="L296" s="413"/>
      <c r="M296" s="413"/>
      <c r="N296" s="413"/>
      <c r="O296" s="413"/>
      <c r="P296" s="413"/>
      <c r="Q296" s="413"/>
    </row>
    <row r="297" spans="2:19" s="24" customFormat="1" ht="15.75" customHeight="1">
      <c r="B297" s="405" t="s">
        <v>0</v>
      </c>
      <c r="C297" s="410" t="s">
        <v>147</v>
      </c>
      <c r="D297" s="411" t="s">
        <v>2</v>
      </c>
      <c r="E297" s="412" t="s">
        <v>3</v>
      </c>
      <c r="F297" s="412" t="s">
        <v>8</v>
      </c>
      <c r="G297" s="405" t="s">
        <v>148</v>
      </c>
      <c r="H297" s="405" t="s">
        <v>149</v>
      </c>
      <c r="I297" s="405"/>
      <c r="J297" s="406" t="s">
        <v>6</v>
      </c>
      <c r="K297" s="407" t="s">
        <v>150</v>
      </c>
      <c r="L297" s="407"/>
      <c r="M297" s="407"/>
      <c r="N297" s="407"/>
      <c r="O297" s="409" t="s">
        <v>151</v>
      </c>
      <c r="P297" s="409"/>
      <c r="Q297" s="405" t="s">
        <v>152</v>
      </c>
    </row>
    <row r="298" spans="2:19" s="24" customFormat="1" ht="15.75" customHeight="1">
      <c r="B298" s="405"/>
      <c r="C298" s="410"/>
      <c r="D298" s="411"/>
      <c r="E298" s="412"/>
      <c r="F298" s="412"/>
      <c r="G298" s="405"/>
      <c r="H298" s="391" t="s">
        <v>153</v>
      </c>
      <c r="I298" s="391" t="s">
        <v>154</v>
      </c>
      <c r="J298" s="406"/>
      <c r="K298" s="390" t="s">
        <v>155</v>
      </c>
      <c r="L298" s="392" t="s">
        <v>155</v>
      </c>
      <c r="M298" s="390" t="s">
        <v>156</v>
      </c>
      <c r="N298" s="392" t="s">
        <v>157</v>
      </c>
      <c r="O298" s="391" t="s">
        <v>158</v>
      </c>
      <c r="P298" s="391" t="s">
        <v>159</v>
      </c>
      <c r="Q298" s="405"/>
      <c r="R298" s="8"/>
      <c r="S298" s="8"/>
    </row>
    <row r="299" spans="2:19" s="35" customFormat="1" ht="36" customHeight="1">
      <c r="B299" s="28">
        <v>1</v>
      </c>
      <c r="C299" s="29">
        <f>'BIO DATA'!C152</f>
        <v>12693</v>
      </c>
      <c r="D299" s="148" t="str">
        <f>'BIO DATA'!D152</f>
        <v>0138699898</v>
      </c>
      <c r="E299" s="30" t="str">
        <f>'BIO DATA'!E152</f>
        <v>Rayyan Al-Hamdy</v>
      </c>
      <c r="F299" s="31" t="str">
        <f>'BIO DATA'!Y152</f>
        <v>SD IT Taruna Al-Quran</v>
      </c>
      <c r="G299" s="71">
        <f>'BIO DATA'!I152</f>
        <v>3</v>
      </c>
      <c r="H299" s="122" t="str">
        <f>'BIO DATA'!M152</f>
        <v>Sleman</v>
      </c>
      <c r="I299" s="136" t="str">
        <f>'BIO DATA'!P152</f>
        <v>3 November 2013</v>
      </c>
      <c r="J299" s="30" t="str">
        <f>'BIO DATA'!S152</f>
        <v>Rt.09.Rw.27, Nglempong Sari, Sariharjo, Ngaglik, Sleman DIY</v>
      </c>
      <c r="K299" s="30" t="str">
        <f>'BIO DATA'!AB152</f>
        <v>Priyono</v>
      </c>
      <c r="L299" s="147" t="str">
        <f>'BIO DATA'!AG152</f>
        <v>081947073865</v>
      </c>
      <c r="M299" s="30" t="str">
        <f>'BIO DATA'!AI152</f>
        <v>Sampuni</v>
      </c>
      <c r="N299" s="147" t="str">
        <f>'BIO DATA'!AN152</f>
        <v>085101807824</v>
      </c>
      <c r="O299" s="30" t="str">
        <f>'BIO DATA'!AE152</f>
        <v>Pegawai Swasta</v>
      </c>
      <c r="P299" s="30" t="str">
        <f>'BIO DATA'!AL152</f>
        <v>Wiraswasta</v>
      </c>
      <c r="Q299" s="183" t="s">
        <v>228</v>
      </c>
    </row>
    <row r="300" spans="2:19" s="35" customFormat="1" ht="38.25">
      <c r="B300" s="28">
        <v>2</v>
      </c>
      <c r="C300" s="29">
        <f>'BIO DATA'!C153</f>
        <v>12708</v>
      </c>
      <c r="D300" s="61" t="str">
        <f>'BIO DATA'!D152</f>
        <v>0138699898</v>
      </c>
      <c r="E300" s="30" t="str">
        <f>'BIO DATA'!E153</f>
        <v>Syauqi Musyaffa Fikri</v>
      </c>
      <c r="F300" s="31" t="str">
        <f>'BIO DATA'!Y153</f>
        <v>MI Muhammadiyah 03 Jogoroto</v>
      </c>
      <c r="G300" s="71">
        <f>'BIO DATA'!I153</f>
        <v>1</v>
      </c>
      <c r="H300" s="122" t="str">
        <f>'BIO DATA'!M153</f>
        <v>Jombang</v>
      </c>
      <c r="I300" s="136" t="str">
        <f>'BIO DATA'!P153</f>
        <v>2 Oktober 2013</v>
      </c>
      <c r="J300" s="30" t="str">
        <f>'BIO DATA'!S153</f>
        <v>Dsn.Sumberbendo 8/5 Ds.Jogoroto Kec.Jogoroto Kab Jombang Jawa Timur</v>
      </c>
      <c r="K300" s="30" t="str">
        <f>'BIO DATA'!AB153</f>
        <v>Fikri Mubarok</v>
      </c>
      <c r="L300" s="147" t="str">
        <f>'BIO DATA'!AG153</f>
        <v>081216308422</v>
      </c>
      <c r="M300" s="30" t="str">
        <f>'BIO DATA'!AI153</f>
        <v>Lily Suprapti</v>
      </c>
      <c r="N300" s="147" t="str">
        <f>'BIO DATA'!AN153</f>
        <v>08122546161</v>
      </c>
      <c r="O300" s="30" t="str">
        <f>'BIO DATA'!AE153</f>
        <v>PNS</v>
      </c>
      <c r="P300" s="30" t="str">
        <f>'BIO DATA'!AL153</f>
        <v>Lain-lain</v>
      </c>
      <c r="Q300" s="183" t="s">
        <v>228</v>
      </c>
    </row>
    <row r="301" spans="2:19" s="35" customFormat="1" ht="25.5">
      <c r="B301" s="28">
        <v>3</v>
      </c>
      <c r="C301" s="29">
        <f>'BIO DATA'!C154</f>
        <v>12464</v>
      </c>
      <c r="D301" s="148" t="str">
        <f>'BIO DATA'!D153</f>
        <v>0137655050</v>
      </c>
      <c r="E301" s="30" t="str">
        <f>'BIO DATA'!E154</f>
        <v>Acapella Akbar Alhafizh Hartono</v>
      </c>
      <c r="F301" s="31" t="str">
        <f>'BIO DATA'!Y154</f>
        <v>SD Muhammadiyah Parakan</v>
      </c>
      <c r="G301" s="71">
        <f>'BIO DATA'!I154</f>
        <v>1</v>
      </c>
      <c r="H301" s="122" t="str">
        <f>'BIO DATA'!M154</f>
        <v>Temanggung</v>
      </c>
      <c r="I301" s="136" t="str">
        <f>'BIO DATA'!P154</f>
        <v>8 Oktober 2113</v>
      </c>
      <c r="J301" s="30" t="str">
        <f>'BIO DATA'!S154</f>
        <v>Jambenom 01/02,Larangan Luwok, Bejen, Temanggung</v>
      </c>
      <c r="K301" s="30" t="str">
        <f>'BIO DATA'!AB154</f>
        <v>Arif Hartono</v>
      </c>
      <c r="L301" s="149" t="str">
        <f>'BIO DATA'!AG154</f>
        <v>081365492994</v>
      </c>
      <c r="M301" s="30" t="str">
        <f>'BIO DATA'!AI154</f>
        <v>Etik Suwarni</v>
      </c>
      <c r="N301" s="147" t="str">
        <f>'BIO DATA'!AN154</f>
        <v>08816564404</v>
      </c>
      <c r="O301" s="30" t="str">
        <f>'BIO DATA'!AE154</f>
        <v>Pegawai Swasta</v>
      </c>
      <c r="P301" s="30" t="str">
        <f>'BIO DATA'!AL154</f>
        <v>PNS</v>
      </c>
      <c r="Q301" s="183" t="s">
        <v>228</v>
      </c>
    </row>
    <row r="302" spans="2:19" s="35" customFormat="1" ht="38.25" customHeight="1">
      <c r="B302" s="28">
        <v>4</v>
      </c>
      <c r="C302" s="29">
        <f>'BIO DATA'!C155</f>
        <v>12467</v>
      </c>
      <c r="D302" s="61" t="str">
        <f>'BIO DATA'!D154</f>
        <v>0139496509</v>
      </c>
      <c r="E302" s="30" t="str">
        <f>'BIO DATA'!E155</f>
        <v>Aditya Ainurrahman</v>
      </c>
      <c r="F302" s="31" t="str">
        <f>'BIO DATA'!Y155</f>
        <v>SD Muhammadiyah Pakel Program Plus</v>
      </c>
      <c r="G302" s="71">
        <f>'BIO DATA'!I155</f>
        <v>4</v>
      </c>
      <c r="H302" s="122" t="str">
        <f>'BIO DATA'!M155</f>
        <v>Yogyakarta</v>
      </c>
      <c r="I302" s="136" t="str">
        <f>'BIO DATA'!P155</f>
        <v>17 Oktober 2013</v>
      </c>
      <c r="J302" s="30" t="str">
        <f>'BIO DATA'!S155</f>
        <v>Nitikan UH.6/488.RT.48.RW.12.Sorosutan Umbulharjo Yokyakarta 55162</v>
      </c>
      <c r="K302" s="30" t="str">
        <f>'BIO DATA'!AB155</f>
        <v>Barwanto</v>
      </c>
      <c r="L302" s="149" t="str">
        <f>'BIO DATA'!AG155</f>
        <v>08123893624</v>
      </c>
      <c r="M302" s="30" t="str">
        <f>'BIO DATA'!AI155</f>
        <v>Sartini</v>
      </c>
      <c r="N302" s="147" t="str">
        <f>'BIO DATA'!AN155</f>
        <v>082325055044</v>
      </c>
      <c r="O302" s="30" t="str">
        <f>'BIO DATA'!AE155</f>
        <v>PNS</v>
      </c>
      <c r="P302" s="30" t="str">
        <f>'BIO DATA'!AL155</f>
        <v>Lain-lain</v>
      </c>
      <c r="Q302" s="183" t="s">
        <v>228</v>
      </c>
    </row>
    <row r="303" spans="2:19" s="35" customFormat="1" ht="63.75">
      <c r="B303" s="28">
        <v>5</v>
      </c>
      <c r="C303" s="29">
        <f>'BIO DATA'!C156</f>
        <v>12472</v>
      </c>
      <c r="D303" s="61" t="str">
        <f>'BIO DATA'!D155</f>
        <v>0129758535</v>
      </c>
      <c r="E303" s="30" t="str">
        <f>'BIO DATA'!E156</f>
        <v>Agna Nizama Khalif Diniy Adz Zaki</v>
      </c>
      <c r="F303" s="31" t="str">
        <f>'BIO DATA'!Y156</f>
        <v>SDI Al-Istiqomah</v>
      </c>
      <c r="G303" s="185" t="s">
        <v>228</v>
      </c>
      <c r="H303" s="122" t="str">
        <f>'BIO DATA'!M156</f>
        <v>Balangan</v>
      </c>
      <c r="I303" s="136" t="str">
        <f>'BIO DATA'!P156</f>
        <v>9 April 2014</v>
      </c>
      <c r="J303" s="30" t="str">
        <f>'BIO DATA'!S156</f>
        <v>Jl.Merdeka RT.VI RW.III No.23 Kelurahan Paringin Kota Kecamatan Paringin Kabupaten Balangan Provinsi Kalimantan Selatan</v>
      </c>
      <c r="K303" s="30" t="str">
        <f>'BIO DATA'!AB156</f>
        <v>Zaki Mubarak</v>
      </c>
      <c r="L303" s="149" t="str">
        <f>'BIO DATA'!AG156</f>
        <v>081348799107</v>
      </c>
      <c r="M303" s="30" t="str">
        <f>'BIO DATA'!AI156</f>
        <v>Mardhatina Diniy</v>
      </c>
      <c r="N303" s="147" t="str">
        <f>'BIO DATA'!AN156</f>
        <v>081253302964</v>
      </c>
      <c r="O303" s="30" t="str">
        <f>'BIO DATA'!AE156</f>
        <v>Lain-lain</v>
      </c>
      <c r="P303" s="30" t="str">
        <f>'BIO DATA'!AL156</f>
        <v>Lain-lain</v>
      </c>
      <c r="Q303" s="183" t="s">
        <v>228</v>
      </c>
    </row>
    <row r="304" spans="2:19" s="35" customFormat="1" ht="25.5">
      <c r="B304" s="28">
        <v>6</v>
      </c>
      <c r="C304" s="29">
        <f>'BIO DATA'!C157</f>
        <v>12476</v>
      </c>
      <c r="D304" s="61" t="str">
        <f>'BIO DATA'!D156</f>
        <v>0148169252</v>
      </c>
      <c r="E304" s="30" t="str">
        <f>'BIO DATA'!E157</f>
        <v>Ahmad Kenzie Kayana</v>
      </c>
      <c r="F304" s="31" t="str">
        <f>'BIO DATA'!Y157</f>
        <v>SD Islam Hidayatullah</v>
      </c>
      <c r="G304" s="71">
        <f>'BIO DATA'!I157</f>
        <v>1</v>
      </c>
      <c r="H304" s="122" t="str">
        <f>'BIO DATA'!M157</f>
        <v>Semarang</v>
      </c>
      <c r="I304" s="136">
        <f>'BIO DATA'!P157</f>
        <v>41679</v>
      </c>
      <c r="J304" s="30" t="str">
        <f>'BIO DATA'!S157</f>
        <v>Pandana Merdeka Blok P26 Bringin, Ngaliyan, Semarang</v>
      </c>
      <c r="K304" s="30" t="str">
        <f>'BIO DATA'!AB157</f>
        <v>Jauhari Ahmad</v>
      </c>
      <c r="L304" s="149" t="str">
        <f>'BIO DATA'!AG157</f>
        <v>081225825860</v>
      </c>
      <c r="M304" s="30" t="str">
        <f>'BIO DATA'!AI157</f>
        <v>Annisa Fitria Emmuty</v>
      </c>
      <c r="N304" s="147" t="str">
        <f>'BIO DATA'!AN157</f>
        <v>081225000272</v>
      </c>
      <c r="O304" s="30" t="str">
        <f>'BIO DATA'!AE157</f>
        <v>Wiraswasta</v>
      </c>
      <c r="P304" s="30" t="str">
        <f>'BIO DATA'!AL157</f>
        <v>Tidak Bekerja</v>
      </c>
      <c r="Q304" s="183" t="s">
        <v>228</v>
      </c>
    </row>
    <row r="305" spans="2:19" s="35" customFormat="1" ht="39.75" customHeight="1">
      <c r="B305" s="28">
        <v>7</v>
      </c>
      <c r="C305" s="29">
        <f>'BIO DATA'!C158</f>
        <v>12480</v>
      </c>
      <c r="D305" s="61" t="str">
        <f>'BIO DATA'!D158</f>
        <v>0131959527</v>
      </c>
      <c r="E305" s="30" t="str">
        <f>'BIO DATA'!E158</f>
        <v>Ahsan El Amin</v>
      </c>
      <c r="F305" s="31" t="str">
        <f>'BIO DATA'!Y158</f>
        <v>SDIT Insan Utama</v>
      </c>
      <c r="G305" s="71">
        <f>'BIO DATA'!I158</f>
        <v>3</v>
      </c>
      <c r="H305" s="122" t="str">
        <f>'BIO DATA'!M158</f>
        <v>Yogyakarta</v>
      </c>
      <c r="I305" s="136" t="str">
        <f>'BIO DATA'!P158</f>
        <v>3 Desember 2013</v>
      </c>
      <c r="J305" s="30" t="str">
        <f>'BIO DATA'!S158</f>
        <v>Peleman Kidul RT 09, Bangunjiwo, Kasihan , Bantul DIY</v>
      </c>
      <c r="K305" s="30" t="str">
        <f>'BIO DATA'!AB158</f>
        <v>Sumaryono</v>
      </c>
      <c r="L305" s="149" t="str">
        <f>'BIO DATA'!AG158</f>
        <v>087838149459</v>
      </c>
      <c r="M305" s="30" t="str">
        <f>'BIO DATA'!AI158</f>
        <v>Krisnawati</v>
      </c>
      <c r="N305" s="147" t="str">
        <f>'BIO DATA'!AN158</f>
        <v>0896-7158-88</v>
      </c>
      <c r="O305" s="30" t="str">
        <f>'BIO DATA'!AE158</f>
        <v>Karyawan Swasta</v>
      </c>
      <c r="P305" s="30" t="str">
        <f>'BIO DATA'!AL158</f>
        <v>Karyawan Swasta</v>
      </c>
      <c r="Q305" s="183">
        <f>'BIO DATA'!H158</f>
        <v>0</v>
      </c>
    </row>
    <row r="306" spans="2:19" s="35" customFormat="1" ht="36.75" customHeight="1">
      <c r="B306" s="28">
        <v>8</v>
      </c>
      <c r="C306" s="29">
        <f>'BIO DATA'!C159</f>
        <v>12493</v>
      </c>
      <c r="D306" s="61" t="str">
        <f>'BIO DATA'!D159</f>
        <v>0144185383</v>
      </c>
      <c r="E306" s="30" t="str">
        <f>'BIO DATA'!E159</f>
        <v>Arakata Aqila Jannahpia</v>
      </c>
      <c r="F306" s="31" t="str">
        <f>'BIO DATA'!Y159</f>
        <v>SD IT Alam Nurul Islam</v>
      </c>
      <c r="G306" s="71">
        <f>'BIO DATA'!I159</f>
        <v>1</v>
      </c>
      <c r="H306" s="122" t="str">
        <f>'BIO DATA'!M159</f>
        <v>Bantul</v>
      </c>
      <c r="I306" s="136" t="str">
        <f>'BIO DATA'!P159</f>
        <v>4 Januari 2014</v>
      </c>
      <c r="J306" s="30" t="str">
        <f>'BIO DATA'!S159</f>
        <v>Jetis RT 4 RW 32, Tirtoadi, Mlati, Sleman DIY</v>
      </c>
      <c r="K306" s="30" t="str">
        <f>'BIO DATA'!AB159</f>
        <v>Arief Wibowo</v>
      </c>
      <c r="L306" s="149" t="str">
        <f>'BIO DATA'!AG159</f>
        <v>081238693253</v>
      </c>
      <c r="M306" s="30" t="str">
        <f>'BIO DATA'!AI159</f>
        <v>Pipit Utami</v>
      </c>
      <c r="N306" s="147" t="str">
        <f>'BIO DATA'!AN159</f>
        <v>0895385376559</v>
      </c>
      <c r="O306" s="30" t="str">
        <f>'BIO DATA'!AE159</f>
        <v>Wiraswasta</v>
      </c>
      <c r="P306" s="30" t="str">
        <f>'BIO DATA'!AL159</f>
        <v>PNS</v>
      </c>
      <c r="Q306" s="183">
        <f>'BIO DATA'!H159</f>
        <v>0</v>
      </c>
    </row>
    <row r="307" spans="2:19" s="35" customFormat="1" ht="25.5">
      <c r="B307" s="28">
        <v>9</v>
      </c>
      <c r="C307" s="29">
        <f>'BIO DATA'!C160</f>
        <v>12494</v>
      </c>
      <c r="D307" s="148" t="str">
        <f>'BIO DATA'!D160</f>
        <v>0149694871</v>
      </c>
      <c r="E307" s="30" t="str">
        <f>'BIO DATA'!E160</f>
        <v>Ararya Genius El Hafizh Nugroho</v>
      </c>
      <c r="F307" s="31" t="str">
        <f>'BIO DATA'!Y160</f>
        <v>SDIT Assalaam Sanden</v>
      </c>
      <c r="G307" s="71">
        <f>'BIO DATA'!I160</f>
        <v>2</v>
      </c>
      <c r="H307" s="122" t="str">
        <f>'BIO DATA'!M160</f>
        <v>Bantul</v>
      </c>
      <c r="I307" s="136" t="str">
        <f>'BIO DATA'!P160</f>
        <v>27 April 2014</v>
      </c>
      <c r="J307" s="30" t="str">
        <f>'BIO DATA'!S160</f>
        <v>Ketalo RT 1 Gadingsari Sanden Bantul DIY</v>
      </c>
      <c r="K307" s="30" t="str">
        <f>'BIO DATA'!AB160</f>
        <v>Nurhadi Sapto Nugroho</v>
      </c>
      <c r="L307" s="149" t="str">
        <f>'BIO DATA'!AG160</f>
        <v>08121590620</v>
      </c>
      <c r="M307" s="30" t="str">
        <f>'BIO DATA'!AI160</f>
        <v>Ratnawati</v>
      </c>
      <c r="N307" s="147" t="str">
        <f>'BIO DATA'!AN160</f>
        <v>081328348020</v>
      </c>
      <c r="O307" s="30" t="str">
        <f>'BIO DATA'!AE160</f>
        <v>Pegawai Swasta</v>
      </c>
      <c r="P307" s="30" t="str">
        <f>'BIO DATA'!AL160</f>
        <v>Dokter/Bidan/Perawat</v>
      </c>
      <c r="Q307" s="183" t="s">
        <v>228</v>
      </c>
    </row>
    <row r="308" spans="2:19" s="35" customFormat="1" ht="39" customHeight="1">
      <c r="B308" s="28">
        <v>10</v>
      </c>
      <c r="C308" s="29">
        <f>'BIO DATA'!C161</f>
        <v>12501</v>
      </c>
      <c r="D308" s="61" t="str">
        <f>'BIO DATA'!D161</f>
        <v>0131638143</v>
      </c>
      <c r="E308" s="30" t="str">
        <f>'BIO DATA'!E161</f>
        <v>Asadulloh Al-Fathnany</v>
      </c>
      <c r="F308" s="31" t="str">
        <f>'BIO DATA'!Y161</f>
        <v>SD Muhammadiyah Ngijon 2</v>
      </c>
      <c r="G308" s="185" t="s">
        <v>228</v>
      </c>
      <c r="H308" s="122" t="str">
        <f>'BIO DATA'!M161</f>
        <v>Sleman</v>
      </c>
      <c r="I308" s="136" t="str">
        <f>'BIO DATA'!P161</f>
        <v>5 Desember 2013</v>
      </c>
      <c r="J308" s="30" t="str">
        <f>'BIO DATA'!S161</f>
        <v>Kaliduren 1 RT 02/RW 17, Sumberagung, Moyudan Sleman DIY</v>
      </c>
      <c r="K308" s="30" t="str">
        <f>'BIO DATA'!AB161</f>
        <v>Alm.Imam Hudaya</v>
      </c>
      <c r="L308" s="147" t="s">
        <v>228</v>
      </c>
      <c r="M308" s="30" t="str">
        <f>'BIO DATA'!AI161</f>
        <v>Sujimah</v>
      </c>
      <c r="N308" s="147" t="str">
        <f>'BIO DATA'!AN161</f>
        <v>081325021991</v>
      </c>
      <c r="O308" s="30" t="str">
        <f>'BIO DATA'!AE161</f>
        <v>Pensiunan</v>
      </c>
      <c r="P308" s="30" t="str">
        <f>'BIO DATA'!AL161</f>
        <v>Tidak Bekerja</v>
      </c>
      <c r="Q308" s="183" t="s">
        <v>228</v>
      </c>
    </row>
    <row r="309" spans="2:19" s="35" customFormat="1" ht="51">
      <c r="B309" s="28">
        <v>11</v>
      </c>
      <c r="C309" s="29">
        <f>'BIO DATA'!C162</f>
        <v>12507</v>
      </c>
      <c r="D309" s="61">
        <f>'BIO DATA'!D162</f>
        <v>3148321609</v>
      </c>
      <c r="E309" s="30" t="str">
        <f>'BIO DATA'!E162</f>
        <v>Aufaa Al Ghifari</v>
      </c>
      <c r="F309" s="31" t="str">
        <f>'BIO DATA'!Y162</f>
        <v>SDIT Mushab Bin Umair</v>
      </c>
      <c r="G309" s="71">
        <f>'BIO DATA'!I162</f>
        <v>1</v>
      </c>
      <c r="H309" s="122" t="str">
        <f>'BIO DATA'!M162</f>
        <v>Palembang</v>
      </c>
      <c r="I309" s="136" t="str">
        <f>'BIO DATA'!P162</f>
        <v>21 Juli 2014</v>
      </c>
      <c r="J309" s="30" t="str">
        <f>'BIO DATA'!S162</f>
        <v>Lorong Pribadi No. 439 RT 010 RW 003 Sentosa Seberang Ulu Dua Kota Palembang Sumatera Selatan 30265</v>
      </c>
      <c r="K309" s="30" t="str">
        <f>'BIO DATA'!AB162</f>
        <v>Muhammad Yasin</v>
      </c>
      <c r="L309" s="149" t="str">
        <f>'BIO DATA'!AG162</f>
        <v>085228571448</v>
      </c>
      <c r="M309" s="30" t="str">
        <f>'BIO DATA'!AI162</f>
        <v>Ummi Kalsum</v>
      </c>
      <c r="N309" s="147" t="str">
        <f>'BIO DATA'!AN162</f>
        <v>081277770228</v>
      </c>
      <c r="O309" s="30" t="str">
        <f>'BIO DATA'!AE162</f>
        <v>Wiraswasta</v>
      </c>
      <c r="P309" s="30" t="str">
        <f>'BIO DATA'!AL162</f>
        <v>Wiraswasta</v>
      </c>
      <c r="Q309" s="183">
        <f>'BIO DATA'!H162</f>
        <v>0</v>
      </c>
    </row>
    <row r="310" spans="2:19" s="35" customFormat="1" ht="39.75" customHeight="1">
      <c r="B310" s="28">
        <v>12</v>
      </c>
      <c r="C310" s="29">
        <f>'BIO DATA'!C163</f>
        <v>12517</v>
      </c>
      <c r="D310" s="61" t="str">
        <f>'BIO DATA'!D163</f>
        <v>0138525161</v>
      </c>
      <c r="E310" s="30" t="str">
        <f>'BIO DATA'!E163</f>
        <v>Bisma Hilal Mahadika Abiyu Haidar</v>
      </c>
      <c r="F310" s="31" t="str">
        <f>'BIO DATA'!Y163</f>
        <v>SD Negeri Maguwoharjo 1</v>
      </c>
      <c r="G310" s="71">
        <f>'BIO DATA'!I163</f>
        <v>1</v>
      </c>
      <c r="H310" s="122" t="str">
        <f>'BIO DATA'!M163</f>
        <v>Malang</v>
      </c>
      <c r="I310" s="136" t="str">
        <f>'BIO DATA'!P163</f>
        <v>23 Januari 2013</v>
      </c>
      <c r="J310" s="30" t="str">
        <f>'BIO DATA'!S163</f>
        <v>Grogol Tempel Kadisoka, Rt 06 Rw 02, Purwomartani, Kalasan, Sleman, DIY</v>
      </c>
      <c r="K310" s="30" t="str">
        <f>'BIO DATA'!AB163</f>
        <v>Sarwidi Supanggih</v>
      </c>
      <c r="L310" s="149" t="str">
        <f>'BIO DATA'!AG163</f>
        <v>082140340385</v>
      </c>
      <c r="M310" s="30" t="str">
        <f>'BIO DATA'!AI163</f>
        <v>Yuni Sulistyawati</v>
      </c>
      <c r="N310" s="147" t="str">
        <f>'BIO DATA'!AN163</f>
        <v>082140340386</v>
      </c>
      <c r="O310" s="30" t="str">
        <f>'BIO DATA'!AE163</f>
        <v>TNI/Polri</v>
      </c>
      <c r="P310" s="30" t="str">
        <f>'BIO DATA'!AL163</f>
        <v>Tidak Bekerja</v>
      </c>
      <c r="Q310" s="183">
        <f>'BIO DATA'!H163</f>
        <v>0</v>
      </c>
    </row>
    <row r="311" spans="2:19" s="35" customFormat="1" ht="25.5">
      <c r="B311" s="28">
        <v>13</v>
      </c>
      <c r="C311" s="29">
        <f>'BIO DATA'!C164</f>
        <v>12528</v>
      </c>
      <c r="D311" s="61" t="str">
        <f>'BIO DATA'!D163</f>
        <v>0138525161</v>
      </c>
      <c r="E311" s="30" t="str">
        <f>'BIO DATA'!E164</f>
        <v>Davin Al Nazri</v>
      </c>
      <c r="F311" s="31" t="str">
        <f>'BIO DATA'!Y164</f>
        <v>SDIT Alam Nurul Islam</v>
      </c>
      <c r="G311" s="147" t="s">
        <v>228</v>
      </c>
      <c r="H311" s="122" t="str">
        <f>'BIO DATA'!M164</f>
        <v>Sleman</v>
      </c>
      <c r="I311" s="136" t="str">
        <f>'BIO DATA'!P164</f>
        <v>10 Februari 2014</v>
      </c>
      <c r="J311" s="30" t="str">
        <f>'BIO DATA'!S164</f>
        <v>Pundung RT07 RW27 Nogotirto Gamping Sleman Yogyakarta</v>
      </c>
      <c r="K311" s="30" t="str">
        <f>'BIO DATA'!AB164</f>
        <v>Riris Wijananto</v>
      </c>
      <c r="L311" s="149" t="str">
        <f>'BIO DATA'!AG164</f>
        <v>085228841792</v>
      </c>
      <c r="M311" s="30" t="str">
        <f>'BIO DATA'!AI164</f>
        <v>Nasifah Nurlaela</v>
      </c>
      <c r="N311" s="147" t="str">
        <f>'BIO DATA'!AN164</f>
        <v>085292820660</v>
      </c>
      <c r="O311" s="30" t="str">
        <f>'BIO DATA'!AE164</f>
        <v>Pegawai Swasta</v>
      </c>
      <c r="P311" s="146" t="str">
        <f>'BIO DATA'!AL164</f>
        <v>Pegawai Swasta</v>
      </c>
      <c r="Q311" s="183" t="s">
        <v>228</v>
      </c>
    </row>
    <row r="312" spans="2:19" s="35" customFormat="1" ht="38.25">
      <c r="B312" s="28">
        <v>14</v>
      </c>
      <c r="C312" s="29">
        <f>'BIO DATA'!C165</f>
        <v>12544</v>
      </c>
      <c r="D312" s="61" t="str">
        <f>'BIO DATA'!D164</f>
        <v>0143455461</v>
      </c>
      <c r="E312" s="30" t="str">
        <f>'BIO DATA'!E165</f>
        <v>Faqih Ibnu Iskandar</v>
      </c>
      <c r="F312" s="31" t="str">
        <f>'BIO DATA'!Y165</f>
        <v>SD Muhammadiyah MBS prambanan</v>
      </c>
      <c r="G312" s="71">
        <f>'BIO DATA'!I165</f>
        <v>1</v>
      </c>
      <c r="H312" s="122" t="str">
        <f>'BIO DATA'!M165</f>
        <v>Sleman</v>
      </c>
      <c r="I312" s="136" t="str">
        <f>'BIO DATA'!P165</f>
        <v>25 September 2013</v>
      </c>
      <c r="J312" s="30" t="str">
        <f>'BIO DATA'!S165</f>
        <v>Macanan rt 06 rw 23 Madurejo Prambanan Sleman Yogyakarta</v>
      </c>
      <c r="K312" s="30" t="str">
        <f>'BIO DATA'!AB165</f>
        <v>Dany Aryanto</v>
      </c>
      <c r="L312" s="149" t="str">
        <f>'BIO DATA'!AG165</f>
        <v>081329006446</v>
      </c>
      <c r="M312" s="30" t="str">
        <f>'BIO DATA'!AI165</f>
        <v>Daswati Rofiatun Sahifah</v>
      </c>
      <c r="N312" s="147" t="str">
        <f>'BIO DATA'!AN165</f>
        <v>085742371715</v>
      </c>
      <c r="O312" s="30" t="str">
        <f>'BIO DATA'!AE165</f>
        <v>Wiraswasta</v>
      </c>
      <c r="P312" s="30" t="str">
        <f>'BIO DATA'!AL165</f>
        <v>Guru/Dosen</v>
      </c>
      <c r="Q312" s="183" t="s">
        <v>228</v>
      </c>
    </row>
    <row r="313" spans="2:19" s="35" customFormat="1" ht="38.25">
      <c r="B313" s="28">
        <v>15</v>
      </c>
      <c r="C313" s="29">
        <f>'BIO DATA'!C166</f>
        <v>12560</v>
      </c>
      <c r="D313" s="61" t="str">
        <f>'BIO DATA'!D165</f>
        <v>0132620545</v>
      </c>
      <c r="E313" s="30" t="str">
        <f>'BIO DATA'!E166</f>
        <v>Hafiz Mursi Ramadhan</v>
      </c>
      <c r="F313" s="31" t="str">
        <f>'BIO DATA'!Y166</f>
        <v>Sdit alauliya 1 balikpapan</v>
      </c>
      <c r="G313" s="185" t="s">
        <v>228</v>
      </c>
      <c r="H313" s="122" t="str">
        <f>'BIO DATA'!M166</f>
        <v>Balikpapan</v>
      </c>
      <c r="I313" s="136" t="str">
        <f>'BIO DATA'!P166</f>
        <v>16 Juli 2013</v>
      </c>
      <c r="J313" s="30" t="str">
        <f>'BIO DATA'!S166</f>
        <v>Jl. Bunyu No 716 RT 34 Karang Jati Balikpapan Tengah Kota Balikpapan Kalimantan Timur</v>
      </c>
      <c r="K313" s="30" t="str">
        <f>'BIO DATA'!AB166</f>
        <v>Rusli</v>
      </c>
      <c r="L313" s="149" t="str">
        <f>'BIO DATA'!AG166</f>
        <v>081350580538</v>
      </c>
      <c r="M313" s="30" t="str">
        <f>'BIO DATA'!AI166</f>
        <v>Lita hambeg tri p</v>
      </c>
      <c r="N313" s="147" t="str">
        <f>'BIO DATA'!AN166</f>
        <v>085246700727</v>
      </c>
      <c r="O313" s="30" t="str">
        <f>'BIO DATA'!AE166</f>
        <v>Karyawan BUMN</v>
      </c>
      <c r="P313" s="30" t="str">
        <f>'BIO DATA'!AL166</f>
        <v>Ibu Rumah Tangga</v>
      </c>
      <c r="Q313" s="183" t="s">
        <v>228</v>
      </c>
    </row>
    <row r="314" spans="2:19" s="35" customFormat="1" ht="25.5">
      <c r="B314" s="28">
        <v>16</v>
      </c>
      <c r="C314" s="29">
        <f>'BIO DATA'!C167</f>
        <v>12564</v>
      </c>
      <c r="D314" s="148" t="str">
        <f>'BIO DATA'!D166</f>
        <v>0133881621</v>
      </c>
      <c r="E314" s="30" t="str">
        <f>'BIO DATA'!E167</f>
        <v>Hamdan Pandega</v>
      </c>
      <c r="F314" s="31" t="str">
        <f>'BIO DATA'!Y167</f>
        <v>SD Muhammadiyah Prambanan</v>
      </c>
      <c r="G314" s="71">
        <f>'BIO DATA'!I167</f>
        <v>1</v>
      </c>
      <c r="H314" s="122" t="str">
        <f>'BIO DATA'!M167</f>
        <v>Yogyakarta</v>
      </c>
      <c r="I314" s="136" t="str">
        <f>'BIO DATA'!P167</f>
        <v>23 September 2013</v>
      </c>
      <c r="J314" s="30" t="str">
        <f>'BIO DATA'!S167</f>
        <v>Trukan Rt 04 Rw 02 Selomartani Kalasan Sleman Yogyakarta 55571</v>
      </c>
      <c r="K314" s="30" t="str">
        <f>'BIO DATA'!AB167</f>
        <v>Prima Luqman Prasetya</v>
      </c>
      <c r="L314" s="134" t="s">
        <v>228</v>
      </c>
      <c r="M314" s="30" t="str">
        <f>'BIO DATA'!AI167</f>
        <v>Wikanti Iffah Juliani</v>
      </c>
      <c r="N314" s="134" t="s">
        <v>228</v>
      </c>
      <c r="O314" s="30" t="str">
        <f>'BIO DATA'!AE167</f>
        <v>Guru/Dosen</v>
      </c>
      <c r="P314" s="30" t="str">
        <f>'BIO DATA'!AL167</f>
        <v>Guru/Dosen</v>
      </c>
      <c r="Q314" s="183">
        <f>'BIO DATA'!H167</f>
        <v>0</v>
      </c>
    </row>
    <row r="315" spans="2:19" s="35" customFormat="1" ht="38.25">
      <c r="B315" s="28">
        <v>17</v>
      </c>
      <c r="C315" s="29">
        <f>'BIO DATA'!C168</f>
        <v>12585</v>
      </c>
      <c r="D315" s="61" t="str">
        <f>'BIO DATA'!D167</f>
        <v>0135748134</v>
      </c>
      <c r="E315" s="30" t="str">
        <f>'BIO DATA'!E168</f>
        <v>Kennard Belmiro Asmara</v>
      </c>
      <c r="F315" s="31" t="str">
        <f>'BIO DATA'!Y168</f>
        <v>SD Islam Al Fajar Bekasi</v>
      </c>
      <c r="G315" s="71">
        <f>'BIO DATA'!I168</f>
        <v>1</v>
      </c>
      <c r="H315" s="122" t="str">
        <f>'BIO DATA'!M168</f>
        <v>Jakarta</v>
      </c>
      <c r="I315" s="136" t="str">
        <f>'BIO DATA'!P168</f>
        <v>21 Agustus 2013</v>
      </c>
      <c r="J315" s="30" t="str">
        <f>'BIO DATA'!S168</f>
        <v>Perumahan Legenda Wisata, Cluster Lumihous, Blok V6-10, Gunung Putri, Bogor Jawa Barat</v>
      </c>
      <c r="K315" s="30" t="str">
        <f>'BIO DATA'!AB168</f>
        <v>Awan Asmara Frima</v>
      </c>
      <c r="L315" s="149" t="str">
        <f>'BIO DATA'!AG168</f>
        <v>087877240208</v>
      </c>
      <c r="M315" s="30" t="str">
        <f>'BIO DATA'!AI168</f>
        <v>Nurulita Aditya Safitri</v>
      </c>
      <c r="N315" s="147" t="s">
        <v>228</v>
      </c>
      <c r="O315" s="30" t="str">
        <f>'BIO DATA'!AE168</f>
        <v>Pegawai Swasta</v>
      </c>
      <c r="P315" s="30" t="str">
        <f>'BIO DATA'!AL168</f>
        <v>Wiraswasta</v>
      </c>
      <c r="Q315" s="183" t="s">
        <v>228</v>
      </c>
    </row>
    <row r="316" spans="2:19" s="35" customFormat="1" ht="38.25">
      <c r="B316" s="28">
        <v>18</v>
      </c>
      <c r="C316" s="29">
        <f>'BIO DATA'!C169</f>
        <v>12591</v>
      </c>
      <c r="D316" s="148">
        <f>'BIO DATA'!D169</f>
        <v>313735049</v>
      </c>
      <c r="E316" s="30" t="str">
        <f>'BIO DATA'!E169</f>
        <v>Latief Haziq Maulana</v>
      </c>
      <c r="F316" s="31" t="str">
        <f>'BIO DATA'!Y169</f>
        <v>SDIQ Al Abidin Surakarta</v>
      </c>
      <c r="G316" s="71">
        <f>'BIO DATA'!I169</f>
        <v>2</v>
      </c>
      <c r="H316" s="122" t="str">
        <f>'BIO DATA'!M169</f>
        <v>Surakarta</v>
      </c>
      <c r="I316" s="136" t="str">
        <f>'BIO DATA'!P169</f>
        <v>12 November 2013</v>
      </c>
      <c r="J316" s="30" t="str">
        <f>'BIO DATA'!S169</f>
        <v>Clolo RT02 RW05, Banjarsari Kec. Banjarsari Kota Surakarta Jawa Tengah</v>
      </c>
      <c r="K316" s="30" t="str">
        <f>'BIO DATA'!AB169</f>
        <v>Nanang Sulistyo,SH</v>
      </c>
      <c r="L316" s="149" t="str">
        <f>'BIO DATA'!AG169</f>
        <v>085642393432</v>
      </c>
      <c r="M316" s="30" t="str">
        <f>'BIO DATA'!AI169</f>
        <v>Lia Sukmayanti, A.Md.Keb</v>
      </c>
      <c r="N316" s="147" t="str">
        <f>'BIO DATA'!AN169</f>
        <v>085801655685</v>
      </c>
      <c r="O316" s="261" t="s">
        <v>228</v>
      </c>
      <c r="P316" s="30" t="str">
        <f>'BIO DATA'!AL169</f>
        <v>Dokter/Bidan/Perawat</v>
      </c>
      <c r="Q316" s="183" t="s">
        <v>228</v>
      </c>
    </row>
    <row r="317" spans="2:19" s="35" customFormat="1" ht="38.25">
      <c r="B317" s="28">
        <v>19</v>
      </c>
      <c r="C317" s="29">
        <f>'BIO DATA'!C170</f>
        <v>12592</v>
      </c>
      <c r="D317" s="148">
        <f>'BIO DATA'!D170</f>
        <v>3146417745</v>
      </c>
      <c r="E317" s="30" t="str">
        <f>'BIO DATA'!E170</f>
        <v>Lazward Mumtaz Ahmad Adz Dzaky</v>
      </c>
      <c r="F317" s="31" t="str">
        <f>'BIO DATA'!Y170</f>
        <v>SD Muhammadiyah Sokonandi Yogyakarta</v>
      </c>
      <c r="G317" s="71">
        <f>'BIO DATA'!I170</f>
        <v>1</v>
      </c>
      <c r="H317" s="122" t="str">
        <f>'BIO DATA'!M170</f>
        <v>Yogyakarta</v>
      </c>
      <c r="I317" s="136" t="str">
        <f>'BIO DATA'!P170</f>
        <v>18 Juli 2014</v>
      </c>
      <c r="J317" s="30" t="str">
        <f>'BIO DATA'!S170</f>
        <v>Jl. Kaliurang KM. 7 No. 33 A Kolombo RT 4 RW 58 Joho Condongcatur Depok Sleman</v>
      </c>
      <c r="K317" s="30" t="str">
        <f>'BIO DATA'!AB170</f>
        <v>Ahmad Maftuhin</v>
      </c>
      <c r="L317" s="149" t="str">
        <f>'BIO DATA'!AG170</f>
        <v>081332291107</v>
      </c>
      <c r="M317" s="30" t="str">
        <f>'BIO DATA'!AI170</f>
        <v>Nanik Arkiyah</v>
      </c>
      <c r="N317" s="147" t="str">
        <f>'BIO DATA'!AN170</f>
        <v>08121556696</v>
      </c>
      <c r="O317" s="183" t="s">
        <v>228</v>
      </c>
      <c r="P317" s="30" t="str">
        <f>'BIO DATA'!AL170</f>
        <v>Pegawai Swasta</v>
      </c>
      <c r="Q317" s="183" t="s">
        <v>228</v>
      </c>
    </row>
    <row r="318" spans="2:19" s="23" customFormat="1" ht="18.75">
      <c r="B318" s="59"/>
      <c r="C318" s="59"/>
      <c r="D318" s="59"/>
      <c r="E318" s="59"/>
      <c r="F318" s="59"/>
      <c r="G318" s="67"/>
      <c r="H318" s="59"/>
      <c r="I318" s="59"/>
      <c r="J318" s="59"/>
      <c r="K318" s="59"/>
      <c r="L318" s="59"/>
      <c r="M318" s="59" t="s">
        <v>206</v>
      </c>
      <c r="N318" s="59"/>
      <c r="O318" s="59"/>
      <c r="P318" s="59"/>
      <c r="Q318" s="59"/>
    </row>
    <row r="319" spans="2:19" s="26" customFormat="1" ht="15.75" customHeight="1">
      <c r="B319" s="414" t="s">
        <v>0</v>
      </c>
      <c r="C319" s="415" t="s">
        <v>147</v>
      </c>
      <c r="D319" s="416" t="s">
        <v>2</v>
      </c>
      <c r="E319" s="414" t="s">
        <v>3</v>
      </c>
      <c r="F319" s="414" t="s">
        <v>8</v>
      </c>
      <c r="G319" s="414" t="s">
        <v>148</v>
      </c>
      <c r="H319" s="414" t="s">
        <v>149</v>
      </c>
      <c r="I319" s="414"/>
      <c r="J319" s="414" t="s">
        <v>6</v>
      </c>
      <c r="K319" s="417" t="s">
        <v>150</v>
      </c>
      <c r="L319" s="417"/>
      <c r="M319" s="417"/>
      <c r="N319" s="417"/>
      <c r="O319" s="414" t="s">
        <v>151</v>
      </c>
      <c r="P319" s="414"/>
      <c r="Q319" s="414" t="s">
        <v>174</v>
      </c>
    </row>
    <row r="320" spans="2:19" s="26" customFormat="1" ht="15.75" customHeight="1">
      <c r="B320" s="414"/>
      <c r="C320" s="415"/>
      <c r="D320" s="416"/>
      <c r="E320" s="414"/>
      <c r="F320" s="414"/>
      <c r="G320" s="414"/>
      <c r="H320" s="388" t="s">
        <v>153</v>
      </c>
      <c r="I320" s="388" t="s">
        <v>154</v>
      </c>
      <c r="J320" s="414"/>
      <c r="K320" s="388" t="s">
        <v>155</v>
      </c>
      <c r="L320" s="389" t="s">
        <v>155</v>
      </c>
      <c r="M320" s="388" t="s">
        <v>156</v>
      </c>
      <c r="N320" s="389" t="s">
        <v>157</v>
      </c>
      <c r="O320" s="388" t="s">
        <v>158</v>
      </c>
      <c r="P320" s="388" t="s">
        <v>159</v>
      </c>
      <c r="Q320" s="414"/>
      <c r="R320" s="27"/>
      <c r="S320" s="27"/>
    </row>
    <row r="321" spans="2:17" s="35" customFormat="1" ht="38.25">
      <c r="B321" s="28">
        <v>20</v>
      </c>
      <c r="C321" s="29">
        <f>'BIO DATA'!C171</f>
        <v>12594</v>
      </c>
      <c r="D321" s="148" t="str">
        <f>'BIO DATA'!D171</f>
        <v>0144950770</v>
      </c>
      <c r="E321" s="30" t="str">
        <f>'BIO DATA'!E171</f>
        <v>Lionel Ibrahim Althof</v>
      </c>
      <c r="F321" s="31" t="str">
        <f>'BIO DATA'!Y171</f>
        <v>SD Al Hasna</v>
      </c>
      <c r="G321" s="71">
        <f>'BIO DATA'!I171</f>
        <v>1</v>
      </c>
      <c r="H321" s="122" t="str">
        <f>'BIO DATA'!M171</f>
        <v>Yogyakarta</v>
      </c>
      <c r="I321" s="136" t="str">
        <f>'BIO DATA'!P171</f>
        <v>22 April 2014</v>
      </c>
      <c r="J321" s="30" t="str">
        <f>'BIO DATA'!S171</f>
        <v>Cucukan RT 003 RW 006 Wonoboyo Jogonalan Klaten Jawa Tengah</v>
      </c>
      <c r="K321" s="30" t="str">
        <f>'BIO DATA'!AB171</f>
        <v>Teguh Prasetyo</v>
      </c>
      <c r="L321" s="149" t="str">
        <f>'BIO DATA'!AG171</f>
        <v>081351450768</v>
      </c>
      <c r="M321" s="30" t="str">
        <f>'BIO DATA'!AI171</f>
        <v>Sari Sri Lestari</v>
      </c>
      <c r="N321" s="147" t="str">
        <f>'BIO DATA'!AN171</f>
        <v>085642340901</v>
      </c>
      <c r="O321" s="30" t="str">
        <f>'BIO DATA'!AE171</f>
        <v>Pegawai Swasta</v>
      </c>
      <c r="P321" s="30" t="str">
        <f>'BIO DATA'!AL171</f>
        <v>Tidak Bekerja</v>
      </c>
      <c r="Q321" s="183">
        <f>'BIO DATA'!H171</f>
        <v>0</v>
      </c>
    </row>
    <row r="322" spans="2:17" s="35" customFormat="1" ht="25.5">
      <c r="B322" s="28">
        <v>21</v>
      </c>
      <c r="C322" s="29">
        <f>'BIO DATA'!C172</f>
        <v>12597</v>
      </c>
      <c r="D322" s="148">
        <f>'BIO DATA'!D172</f>
        <v>3134724300</v>
      </c>
      <c r="E322" s="30" t="str">
        <f>'BIO DATA'!E172</f>
        <v>Luthfi Muhammad Zaky</v>
      </c>
      <c r="F322" s="31" t="str">
        <f>'BIO DATA'!Y172</f>
        <v>SD Muhammadiyah Mantaran Sleman DIY</v>
      </c>
      <c r="G322" s="71">
        <f>'BIO DATA'!I172</f>
        <v>2</v>
      </c>
      <c r="H322" s="122" t="str">
        <f>'BIO DATA'!M172</f>
        <v>Sleman</v>
      </c>
      <c r="I322" s="136" t="str">
        <f>'BIO DATA'!P172</f>
        <v>30 Agustus 2013</v>
      </c>
      <c r="J322" s="30" t="str">
        <f>'BIO DATA'!S172</f>
        <v>Lungguhrejo Wonokerto Turi Sleman</v>
      </c>
      <c r="K322" s="30" t="str">
        <f>'BIO DATA'!AB172</f>
        <v>Tri Rahmad Subagyo</v>
      </c>
      <c r="L322" s="149" t="str">
        <f>'BIO DATA'!AG172</f>
        <v>087839287090</v>
      </c>
      <c r="M322" s="30" t="str">
        <f>'BIO DATA'!AI172</f>
        <v>Leni Triastuti</v>
      </c>
      <c r="N322" s="147" t="str">
        <f>'BIO DATA'!AN172</f>
        <v>085329676034</v>
      </c>
      <c r="O322" s="30" t="str">
        <f>'BIO DATA'!AE172</f>
        <v>Pegawai Swasta</v>
      </c>
      <c r="P322" s="30" t="str">
        <f>'BIO DATA'!AL172</f>
        <v>Pegawai Swasta</v>
      </c>
      <c r="Q322" s="183" t="s">
        <v>228</v>
      </c>
    </row>
    <row r="323" spans="2:17" s="35" customFormat="1" ht="25.5">
      <c r="B323" s="28">
        <v>22</v>
      </c>
      <c r="C323" s="29">
        <f>'BIO DATA'!C173</f>
        <v>12598</v>
      </c>
      <c r="D323" s="148" t="str">
        <f>'BIO DATA'!D173</f>
        <v>0133770822</v>
      </c>
      <c r="E323" s="30" t="str">
        <f>'BIO DATA'!E173</f>
        <v>Luvairel Atharizz Calief</v>
      </c>
      <c r="F323" s="31" t="str">
        <f>'BIO DATA'!Y173</f>
        <v>SD Aisyiyah Full Day Wedi</v>
      </c>
      <c r="G323" s="71">
        <f>'BIO DATA'!I173</f>
        <v>1</v>
      </c>
      <c r="H323" s="122" t="str">
        <f>'BIO DATA'!M173</f>
        <v>Klaten</v>
      </c>
      <c r="I323" s="136" t="str">
        <f>'BIO DATA'!P173</f>
        <v>14 Agustus 2013</v>
      </c>
      <c r="J323" s="30" t="str">
        <f>'BIO DATA'!S173</f>
        <v>Pacalan Rt 03 Rw 05 Sukorejo Wedi Klaten Jawa Tengah</v>
      </c>
      <c r="K323" s="30" t="str">
        <f>'BIO DATA'!AB173</f>
        <v>Bachtiar Qomarudin</v>
      </c>
      <c r="L323" s="149" t="str">
        <f>'BIO DATA'!AG173</f>
        <v>081567659342</v>
      </c>
      <c r="M323" s="30" t="str">
        <f>'BIO DATA'!AI173</f>
        <v>Miranti Mekar Asri</v>
      </c>
      <c r="N323" s="147" t="str">
        <f>'BIO DATA'!AN173</f>
        <v>085643070721</v>
      </c>
      <c r="O323" s="30" t="str">
        <f>'BIO DATA'!AE173</f>
        <v>Wiraswasta</v>
      </c>
      <c r="P323" s="30" t="str">
        <f>'BIO DATA'!AL173</f>
        <v>Tidak Bekerja</v>
      </c>
      <c r="Q323" s="183">
        <f>'BIO DATA'!H173</f>
        <v>0</v>
      </c>
    </row>
    <row r="324" spans="2:17" s="35" customFormat="1" ht="51">
      <c r="B324" s="28">
        <v>23</v>
      </c>
      <c r="C324" s="29">
        <f>'BIO DATA'!C174</f>
        <v>12599</v>
      </c>
      <c r="D324" s="148" t="str">
        <f>'BIO DATA'!D174</f>
        <v>0145860261</v>
      </c>
      <c r="E324" s="30" t="str">
        <f>'BIO DATA'!E174</f>
        <v>Muhammad Adib Keenan Wahyudianto</v>
      </c>
      <c r="F324" s="31" t="str">
        <f>'BIO DATA'!Y174</f>
        <v>SD Muhammadiyah Manyar (SDMM)</v>
      </c>
      <c r="G324" s="71">
        <f>'BIO DATA'!I174</f>
        <v>1</v>
      </c>
      <c r="H324" s="122" t="str">
        <f>'BIO DATA'!M174</f>
        <v>Gresik</v>
      </c>
      <c r="I324" s="136" t="str">
        <f>'BIO DATA'!P174</f>
        <v>10 Januari 2014</v>
      </c>
      <c r="J324" s="30" t="str">
        <f>'BIO DATA'!S174</f>
        <v>Jl.Permata Utara no 24 Graha Bunder Asri RT 001 RW 005 Kembangan Kebomas Gresik Jawa Timur</v>
      </c>
      <c r="K324" s="30" t="str">
        <f>'BIO DATA'!AB174</f>
        <v>Andri Rukmi Kurnianto</v>
      </c>
      <c r="L324" s="149" t="str">
        <f>'BIO DATA'!AG174</f>
        <v>08121705521</v>
      </c>
      <c r="M324" s="30" t="str">
        <f>'BIO DATA'!AI174</f>
        <v>Wahyu Wulandari</v>
      </c>
      <c r="N324" s="147" t="str">
        <f>'BIO DATA'!AN174</f>
        <v>082140279040</v>
      </c>
      <c r="O324" s="30" t="str">
        <f>'BIO DATA'!AE174</f>
        <v>PNS</v>
      </c>
      <c r="P324" s="30" t="str">
        <f>'BIO DATA'!AL174</f>
        <v>PNS</v>
      </c>
      <c r="Q324" s="183" t="s">
        <v>228</v>
      </c>
    </row>
    <row r="325" spans="2:17" s="35" customFormat="1" ht="38.25">
      <c r="B325" s="28">
        <v>24</v>
      </c>
      <c r="C325" s="29">
        <f>'BIO DATA'!C175</f>
        <v>12609</v>
      </c>
      <c r="D325" s="148" t="str">
        <f>'BIO DATA'!D175</f>
        <v>0131846190</v>
      </c>
      <c r="E325" s="30" t="str">
        <f>'BIO DATA'!E175</f>
        <v>Muhammad Afadana Elfaza</v>
      </c>
      <c r="F325" s="31" t="str">
        <f>'BIO DATA'!Y175</f>
        <v>SD Muhammadiyah Kuwarasan</v>
      </c>
      <c r="G325" s="185" t="s">
        <v>228</v>
      </c>
      <c r="H325" s="122" t="str">
        <f>'BIO DATA'!M175</f>
        <v>Magelang</v>
      </c>
      <c r="I325" s="136" t="str">
        <f>'BIO DATA'!P175</f>
        <v>25 November 2013</v>
      </c>
      <c r="J325" s="30" t="str">
        <f>'BIO DATA'!S175</f>
        <v>Nglipar Lor 04/03, Nglipar, Nglipar, Gunungkidul, D. I. Yogyakarta</v>
      </c>
      <c r="K325" s="30" t="str">
        <f>'BIO DATA'!AB175</f>
        <v>Faried Rochman Hakim</v>
      </c>
      <c r="L325" s="149" t="str">
        <f>'BIO DATA'!AG175</f>
        <v>087834187100</v>
      </c>
      <c r="M325" s="30" t="str">
        <f>'BIO DATA'!AI175</f>
        <v>Luthfina Fatimah Hapsari</v>
      </c>
      <c r="N325" s="147" t="str">
        <f>'BIO DATA'!AN175</f>
        <v>087739151100</v>
      </c>
      <c r="O325" s="30" t="str">
        <f>'BIO DATA'!AE175</f>
        <v>Guru/Dosen</v>
      </c>
      <c r="P325" s="30" t="str">
        <f>'BIO DATA'!AL175</f>
        <v>Tidak Bekerja</v>
      </c>
      <c r="Q325" s="183" t="s">
        <v>228</v>
      </c>
    </row>
    <row r="326" spans="2:17" s="35" customFormat="1" ht="25.5">
      <c r="B326" s="28">
        <v>25</v>
      </c>
      <c r="C326" s="29">
        <f>'BIO DATA'!C176</f>
        <v>12646</v>
      </c>
      <c r="D326" s="148" t="str">
        <f>'BIO DATA'!D176</f>
        <v>0143892092</v>
      </c>
      <c r="E326" s="30" t="str">
        <f>'BIO DATA'!E176</f>
        <v>Muhammad Naufal Rahman</v>
      </c>
      <c r="F326" s="31" t="str">
        <f>'BIO DATA'!Y176</f>
        <v>SDIT Pertama Hati</v>
      </c>
      <c r="G326" s="71">
        <f>'BIO DATA'!I176</f>
        <v>0</v>
      </c>
      <c r="H326" s="122" t="str">
        <f>'BIO DATA'!M176</f>
        <v>Banjarnegara</v>
      </c>
      <c r="I326" s="136" t="str">
        <f>'BIO DATA'!P176</f>
        <v>9 Februari 2014</v>
      </c>
      <c r="J326" s="30" t="str">
        <f>'BIO DATA'!S176</f>
        <v>Parakancanggah rt02 rw10 Banjarnegara Jawa Tengah</v>
      </c>
      <c r="K326" s="30" t="str">
        <f>'BIO DATA'!AB176</f>
        <v>Arifin</v>
      </c>
      <c r="L326" s="149" t="str">
        <f>'BIO DATA'!AG176</f>
        <v>082225747576</v>
      </c>
      <c r="M326" s="30" t="str">
        <f>'BIO DATA'!AI176</f>
        <v>Dina Hardiana Rahmanti</v>
      </c>
      <c r="N326" s="147" t="str">
        <f>'BIO DATA'!AN176</f>
        <v>085385377575</v>
      </c>
      <c r="O326" s="30" t="str">
        <f>'BIO DATA'!AE176</f>
        <v>Wiraswasta</v>
      </c>
      <c r="P326" s="30" t="str">
        <f>'BIO DATA'!AL176</f>
        <v>Tidak Bekerja</v>
      </c>
      <c r="Q326" s="183" t="s">
        <v>228</v>
      </c>
    </row>
    <row r="327" spans="2:17" s="35" customFormat="1" ht="38.25">
      <c r="B327" s="28">
        <v>26</v>
      </c>
      <c r="C327" s="29">
        <f>'BIO DATA'!C177</f>
        <v>12653</v>
      </c>
      <c r="D327" s="148">
        <f>'BIO DATA'!D177</f>
        <v>3134401899</v>
      </c>
      <c r="E327" s="30" t="str">
        <f>'BIO DATA'!E177</f>
        <v>Muhammad Rioki Alfath</v>
      </c>
      <c r="F327" s="31" t="str">
        <f>'BIO DATA'!Y177</f>
        <v>SDS Muhammadiyah 1 Karawang</v>
      </c>
      <c r="G327" s="71">
        <f>'BIO DATA'!I177</f>
        <v>2</v>
      </c>
      <c r="H327" s="122" t="str">
        <f>'BIO DATA'!M177</f>
        <v>Karawang</v>
      </c>
      <c r="I327" s="136" t="str">
        <f>'BIO DATA'!P177</f>
        <v>5 September 2013</v>
      </c>
      <c r="J327" s="30" t="str">
        <f>'BIO DATA'!S177</f>
        <v>Jatirasa tengah no 37 RT 01/05 Karangpawitan, Karawang Barat, Karawang, Jawa Barat</v>
      </c>
      <c r="K327" s="30" t="str">
        <f>'BIO DATA'!AB177</f>
        <v>Oki Wastriyanto</v>
      </c>
      <c r="L327" s="149" t="str">
        <f>'BIO DATA'!AG177</f>
        <v>081385695819</v>
      </c>
      <c r="M327" s="30" t="str">
        <f>'BIO DATA'!AI177</f>
        <v>Rina Fadzillah</v>
      </c>
      <c r="N327" s="147" t="str">
        <f>'BIO DATA'!AN177</f>
        <v>081381118237</v>
      </c>
      <c r="O327" s="30" t="str">
        <f>'BIO DATA'!AE177</f>
        <v>Pegawai Swasta</v>
      </c>
      <c r="P327" s="30" t="str">
        <f>'BIO DATA'!AL177</f>
        <v>PNS</v>
      </c>
      <c r="Q327" s="183" t="s">
        <v>228</v>
      </c>
    </row>
    <row r="328" spans="2:17" s="35" customFormat="1" ht="38.25" customHeight="1">
      <c r="B328" s="28">
        <v>27</v>
      </c>
      <c r="C328" s="29">
        <f>'BIO DATA'!C178</f>
        <v>12655</v>
      </c>
      <c r="D328" s="148" t="str">
        <f>'BIO DATA'!D178</f>
        <v>0125821698</v>
      </c>
      <c r="E328" s="30" t="str">
        <f>'BIO DATA'!E178</f>
        <v>Muhammad Roykhan Arkana</v>
      </c>
      <c r="F328" s="31" t="str">
        <f>'BIO DATA'!Y178</f>
        <v>SD Tegalrejo 2</v>
      </c>
      <c r="G328" s="185" t="s">
        <v>228</v>
      </c>
      <c r="H328" s="122" t="str">
        <f>'BIO DATA'!M178</f>
        <v>Sleman</v>
      </c>
      <c r="I328" s="136" t="str">
        <f>'BIO DATA'!P178</f>
        <v>17 Desember 2012</v>
      </c>
      <c r="J328" s="30" t="str">
        <f>'BIO DATA'!S178</f>
        <v>Perum Kejati No 6 Geplakan Banyuraden Gamping Sleman DIY</v>
      </c>
      <c r="K328" s="30" t="str">
        <f>'BIO DATA'!AB178</f>
        <v>Tri Cahyo Adhyaksa</v>
      </c>
      <c r="L328" s="149" t="str">
        <f>'BIO DATA'!AG178</f>
        <v>081227384363</v>
      </c>
      <c r="M328" s="30" t="str">
        <f>'BIO DATA'!AI178</f>
        <v>Fetri kurnianingsih</v>
      </c>
      <c r="N328" s="147" t="str">
        <f>'BIO DATA'!AN178</f>
        <v>08558905318</v>
      </c>
      <c r="O328" s="30" t="str">
        <f>'BIO DATA'!AE178</f>
        <v>PNS</v>
      </c>
      <c r="P328" s="30" t="str">
        <f>'BIO DATA'!AL178</f>
        <v>Lain-lain</v>
      </c>
      <c r="Q328" s="183" t="s">
        <v>228</v>
      </c>
    </row>
    <row r="329" spans="2:17" s="35" customFormat="1" ht="38.25">
      <c r="B329" s="28">
        <v>28</v>
      </c>
      <c r="C329" s="29">
        <f>'BIO DATA'!C179</f>
        <v>12689</v>
      </c>
      <c r="D329" s="148" t="str">
        <f>'BIO DATA'!D179</f>
        <v>0139934333</v>
      </c>
      <c r="E329" s="30" t="str">
        <f>'BIO DATA'!E179</f>
        <v>Rasyid Azka Alvaro</v>
      </c>
      <c r="F329" s="31" t="str">
        <f>'BIO DATA'!Y179</f>
        <v>SDTQ AL Bayan</v>
      </c>
      <c r="G329" s="71">
        <f>'BIO DATA'!I179</f>
        <v>1</v>
      </c>
      <c r="H329" s="122" t="str">
        <f>'BIO DATA'!M179</f>
        <v>Batang</v>
      </c>
      <c r="I329" s="136" t="str">
        <f>'BIO DATA'!P179</f>
        <v>14 September 2013</v>
      </c>
      <c r="J329" s="30" t="str">
        <f>'BIO DATA'!S179</f>
        <v>Jl Yos Sudarso Pungkursari RT 5/8 No 15 Karangasem Utara Batang Jawa Tengah</v>
      </c>
      <c r="K329" s="30" t="str">
        <f>'BIO DATA'!AB179</f>
        <v>Moch Lukman</v>
      </c>
      <c r="L329" s="149" t="str">
        <f>'BIO DATA'!AG179</f>
        <v>085290014684</v>
      </c>
      <c r="M329" s="30" t="str">
        <f>'BIO DATA'!AI179</f>
        <v>Lusi Indriyani</v>
      </c>
      <c r="N329" s="147" t="str">
        <f>'BIO DATA'!AN179</f>
        <v>081225676330</v>
      </c>
      <c r="O329" s="30" t="str">
        <f>'BIO DATA'!AE179</f>
        <v>Pegawai Swasta</v>
      </c>
      <c r="P329" s="30" t="str">
        <f>'BIO DATA'!AL179</f>
        <v>Tidak Bekerja</v>
      </c>
      <c r="Q329" s="183">
        <f>'BIO DATA'!H179</f>
        <v>0</v>
      </c>
    </row>
    <row r="330" spans="2:17" s="35" customFormat="1" ht="51">
      <c r="B330" s="28">
        <v>29</v>
      </c>
      <c r="C330" s="29">
        <f>'BIO DATA'!C180</f>
        <v>12694</v>
      </c>
      <c r="D330" s="148" t="str">
        <f>'BIO DATA'!D180</f>
        <v>0134045600</v>
      </c>
      <c r="E330" s="30" t="str">
        <f>'BIO DATA'!E180</f>
        <v>Razan Javier Syarof</v>
      </c>
      <c r="F330" s="31" t="str">
        <f>'BIO DATA'!Y180</f>
        <v>SDIT Granada tangerang</v>
      </c>
      <c r="G330" s="71">
        <f>'BIO DATA'!I180</f>
        <v>2</v>
      </c>
      <c r="H330" s="122" t="str">
        <f>'BIO DATA'!M180</f>
        <v>Tangerang Selatan</v>
      </c>
      <c r="I330" s="136" t="str">
        <f>'BIO DATA'!P180</f>
        <v>9 September 2013</v>
      </c>
      <c r="J330" s="30" t="str">
        <f>'BIO DATA'!S180</f>
        <v>Perumahan Suvarna Sutera Cluster Fedora Park 2 no 18 Sindang jaya warna Kerta tangerang</v>
      </c>
      <c r="K330" s="30" t="str">
        <f>'BIO DATA'!AB180</f>
        <v>Ade Barkah</v>
      </c>
      <c r="L330" s="149" t="str">
        <f>'BIO DATA'!AG180</f>
        <v>08119401428</v>
      </c>
      <c r="M330" s="30" t="str">
        <f>'BIO DATA'!AI180</f>
        <v>Rahmalia Andini</v>
      </c>
      <c r="N330" s="147" t="str">
        <f>'BIO DATA'!AN180</f>
        <v>085693068716</v>
      </c>
      <c r="O330" s="30" t="str">
        <f>'BIO DATA'!AE180</f>
        <v>Pegawai Swasta</v>
      </c>
      <c r="P330" s="30" t="str">
        <f>'BIO DATA'!AL180</f>
        <v>Wiraswasta</v>
      </c>
      <c r="Q330" s="183">
        <f>'BIO DATA'!H180</f>
        <v>0</v>
      </c>
    </row>
    <row r="331" spans="2:17" s="35" customFormat="1" ht="38.25">
      <c r="B331" s="28">
        <v>30</v>
      </c>
      <c r="C331" s="29">
        <f>'BIO DATA'!C181</f>
        <v>12712</v>
      </c>
      <c r="D331" s="148" t="str">
        <f>'BIO DATA'!D181</f>
        <v>0133696677</v>
      </c>
      <c r="E331" s="30" t="str">
        <f>'BIO DATA'!E181</f>
        <v>Uwais Naufal El Kamal</v>
      </c>
      <c r="F331" s="31" t="str">
        <f>'BIO DATA'!Y181</f>
        <v>SDIT Lukman Al Hakim Yogyakarta</v>
      </c>
      <c r="G331" s="71">
        <f>'BIO DATA'!I181</f>
        <v>1</v>
      </c>
      <c r="H331" s="122" t="str">
        <f>'BIO DATA'!M181</f>
        <v>Yogyakarta</v>
      </c>
      <c r="I331" s="136" t="str">
        <f>'BIO DATA'!P181</f>
        <v>26 Agustus 2013</v>
      </c>
      <c r="J331" s="30" t="str">
        <f>'BIO DATA'!S181</f>
        <v>Jl. Kauman no.44 Rt.45 / Rw.12 Ngupasan Gondomanan Kota Yogyakarta DIY</v>
      </c>
      <c r="K331" s="30" t="str">
        <f>'BIO DATA'!AB181</f>
        <v>Al A'rof Kamal</v>
      </c>
      <c r="L331" s="149" t="str">
        <f>'BIO DATA'!AG181</f>
        <v>0818468648</v>
      </c>
      <c r="M331" s="30" t="str">
        <f>'BIO DATA'!AI181</f>
        <v>Shinta Martiana</v>
      </c>
      <c r="N331" s="147" t="str">
        <f>'BIO DATA'!AN181</f>
        <v>0818468648</v>
      </c>
      <c r="O331" s="30" t="str">
        <f>'BIO DATA'!AE181</f>
        <v>Wiraswasta</v>
      </c>
      <c r="P331" s="30" t="str">
        <f>'BIO DATA'!AL181</f>
        <v>Wiraswasta</v>
      </c>
      <c r="Q331" s="183">
        <f>'BIO DATA'!H181</f>
        <v>0</v>
      </c>
    </row>
    <row r="332" spans="2:17" s="35" customFormat="1" ht="38.25">
      <c r="B332" s="28">
        <v>31</v>
      </c>
      <c r="C332" s="29">
        <f>'BIO DATA'!C182</f>
        <v>12718</v>
      </c>
      <c r="D332" s="148" t="str">
        <f>'BIO DATA'!D182</f>
        <v>0149798482</v>
      </c>
      <c r="E332" s="107" t="str">
        <f>'BIO DATA'!E182</f>
        <v>Yusuf Arfa</v>
      </c>
      <c r="F332" s="31" t="str">
        <f>'BIO DATA'!Y182</f>
        <v>SDIT Cahaya Insani Parakan</v>
      </c>
      <c r="G332" s="185" t="s">
        <v>228</v>
      </c>
      <c r="H332" s="122" t="str">
        <f>'BIO DATA'!M182</f>
        <v>Temanggung</v>
      </c>
      <c r="I332" s="136" t="str">
        <f>'BIO DATA'!P182</f>
        <v>2 Juni 2014</v>
      </c>
      <c r="J332" s="30" t="str">
        <f>'BIO DATA'!S182</f>
        <v>Campursalam Rt02 Rw01 Parakan, Kabupaten Temanggung Jawa Tengah</v>
      </c>
      <c r="K332" s="30" t="str">
        <f>'BIO DATA'!AB182</f>
        <v>Andi Handoyo</v>
      </c>
      <c r="L332" s="149" t="str">
        <f>'BIO DATA'!AG182</f>
        <v>081328326180</v>
      </c>
      <c r="M332" s="30" t="str">
        <f>'BIO DATA'!AI182</f>
        <v>Fitriana Ambarwati</v>
      </c>
      <c r="N332" s="147" t="str">
        <f>'BIO DATA'!AN182</f>
        <v>081392059335</v>
      </c>
      <c r="O332" s="30" t="str">
        <f>'BIO DATA'!AE182</f>
        <v>PNS</v>
      </c>
      <c r="P332" s="30" t="str">
        <f>'BIO DATA'!AL182</f>
        <v>PNS</v>
      </c>
      <c r="Q332" s="183" t="s">
        <v>228</v>
      </c>
    </row>
    <row r="333" spans="2:17" s="35" customFormat="1" ht="25.5">
      <c r="B333" s="28">
        <v>32</v>
      </c>
      <c r="C333" s="29">
        <f>'BIO DATA'!C183</f>
        <v>12724</v>
      </c>
      <c r="D333" s="148" t="str">
        <f>'BIO DATA'!D183</f>
        <v>0135297432</v>
      </c>
      <c r="E333" s="30" t="str">
        <f>'BIO DATA'!E183</f>
        <v>Zufar Calief Nurdaffa</v>
      </c>
      <c r="F333" s="31" t="str">
        <f>'BIO DATA'!Y183</f>
        <v>SD Muhammadiyah Kasuran Seyegan</v>
      </c>
      <c r="G333" s="71">
        <f>'BIO DATA'!I183</f>
        <v>1</v>
      </c>
      <c r="H333" s="122" t="str">
        <f>'BIO DATA'!M183</f>
        <v>Sleman</v>
      </c>
      <c r="I333" s="136" t="str">
        <f>'BIO DATA'!P183</f>
        <v>12 September 2013</v>
      </c>
      <c r="J333" s="30" t="str">
        <f>'BIO DATA'!S183</f>
        <v>Padon RT.03 RW.029 Sendangrejo Minggir Sleman Yogyakarta</v>
      </c>
      <c r="K333" s="30" t="str">
        <f>'BIO DATA'!AB183</f>
        <v>Nur Rochmad</v>
      </c>
      <c r="L333" s="149" t="str">
        <f>'BIO DATA'!AG183</f>
        <v>081931743956</v>
      </c>
      <c r="M333" s="30" t="str">
        <f>'BIO DATA'!AI183</f>
        <v>Dewi Cahya Ningrum</v>
      </c>
      <c r="N333" s="147" t="str">
        <f>'BIO DATA'!AN183</f>
        <v>081905200672</v>
      </c>
      <c r="O333" s="30" t="str">
        <f>'BIO DATA'!AE183</f>
        <v>Lain-lain</v>
      </c>
      <c r="P333" s="30" t="str">
        <f>'BIO DATA'!AL183</f>
        <v>Pegawai Swasta</v>
      </c>
      <c r="Q333" s="183" t="s">
        <v>228</v>
      </c>
    </row>
    <row r="334" spans="2:17" s="35" customFormat="1" ht="20.100000000000001" customHeight="1">
      <c r="G334" s="37"/>
    </row>
    <row r="335" spans="2:17" s="35" customFormat="1" ht="20.100000000000001" customHeight="1">
      <c r="G335" s="37"/>
    </row>
    <row r="336" spans="2:17" s="35" customFormat="1" ht="20.100000000000001" customHeight="1">
      <c r="G336" s="37"/>
    </row>
    <row r="337" spans="2:19" s="35" customFormat="1" ht="20.100000000000001" customHeight="1">
      <c r="G337" s="37"/>
    </row>
    <row r="338" spans="2:19" s="35" customFormat="1" ht="20.100000000000001" customHeight="1">
      <c r="G338" s="37"/>
    </row>
    <row r="339" spans="2:19" s="35" customFormat="1" ht="20.100000000000001" customHeight="1">
      <c r="G339" s="37"/>
    </row>
    <row r="340" spans="2:19" s="35" customFormat="1" ht="20.100000000000001" customHeight="1">
      <c r="G340" s="37"/>
    </row>
    <row r="341" spans="2:19" s="35" customFormat="1" ht="20.100000000000001" customHeight="1">
      <c r="G341" s="37"/>
    </row>
    <row r="342" spans="2:19" s="35" customFormat="1" ht="20.100000000000001" customHeight="1">
      <c r="G342" s="37"/>
    </row>
    <row r="343" spans="2:19" s="35" customFormat="1" ht="20.100000000000001" customHeight="1">
      <c r="G343" s="37"/>
    </row>
    <row r="344" spans="2:19" s="35" customFormat="1" ht="20.100000000000001" customHeight="1">
      <c r="G344" s="37"/>
    </row>
    <row r="345" spans="2:19" s="35" customFormat="1" ht="20.100000000000001" customHeight="1">
      <c r="G345" s="37"/>
    </row>
    <row r="346" spans="2:19" s="35" customFormat="1" ht="20.100000000000001" customHeight="1">
      <c r="G346" s="37"/>
    </row>
    <row r="347" spans="2:19" s="23" customFormat="1" ht="18.75">
      <c r="B347" s="408" t="s">
        <v>208</v>
      </c>
      <c r="C347" s="408"/>
      <c r="D347" s="408"/>
      <c r="E347" s="408"/>
      <c r="F347" s="408"/>
      <c r="G347" s="408"/>
      <c r="H347" s="408"/>
      <c r="I347" s="408"/>
      <c r="J347" s="408"/>
      <c r="K347" s="408"/>
      <c r="L347" s="408"/>
      <c r="M347" s="408"/>
      <c r="N347" s="408"/>
      <c r="O347" s="408"/>
      <c r="P347" s="408"/>
      <c r="Q347" s="408"/>
    </row>
    <row r="348" spans="2:19" s="23" customFormat="1" ht="18.75">
      <c r="B348" s="408" t="s">
        <v>234</v>
      </c>
      <c r="C348" s="408"/>
      <c r="D348" s="408"/>
      <c r="E348" s="408"/>
      <c r="F348" s="408"/>
      <c r="G348" s="408"/>
      <c r="H348" s="408"/>
      <c r="I348" s="408"/>
      <c r="J348" s="408"/>
      <c r="K348" s="408"/>
      <c r="L348" s="408"/>
      <c r="M348" s="408"/>
      <c r="N348" s="408"/>
      <c r="O348" s="408"/>
      <c r="P348" s="408"/>
      <c r="Q348" s="408"/>
    </row>
    <row r="349" spans="2:19" s="23" customFormat="1" ht="18.75">
      <c r="B349" s="413" t="s">
        <v>237</v>
      </c>
      <c r="C349" s="413"/>
      <c r="D349" s="413"/>
      <c r="E349" s="413"/>
      <c r="F349" s="413"/>
      <c r="G349" s="413"/>
      <c r="H349" s="413"/>
      <c r="I349" s="413"/>
      <c r="J349" s="413"/>
      <c r="K349" s="413"/>
      <c r="L349" s="413"/>
      <c r="M349" s="413"/>
      <c r="N349" s="413"/>
      <c r="O349" s="413"/>
      <c r="P349" s="413"/>
      <c r="Q349" s="413"/>
    </row>
    <row r="350" spans="2:19" s="24" customFormat="1" ht="15.75" customHeight="1">
      <c r="B350" s="405" t="s">
        <v>0</v>
      </c>
      <c r="C350" s="410" t="s">
        <v>147</v>
      </c>
      <c r="D350" s="411" t="s">
        <v>2</v>
      </c>
      <c r="E350" s="412" t="s">
        <v>3</v>
      </c>
      <c r="F350" s="412" t="s">
        <v>8</v>
      </c>
      <c r="G350" s="405" t="s">
        <v>148</v>
      </c>
      <c r="H350" s="405" t="s">
        <v>149</v>
      </c>
      <c r="I350" s="405"/>
      <c r="J350" s="406" t="s">
        <v>6</v>
      </c>
      <c r="K350" s="407" t="s">
        <v>150</v>
      </c>
      <c r="L350" s="407"/>
      <c r="M350" s="407"/>
      <c r="N350" s="407"/>
      <c r="O350" s="409" t="s">
        <v>151</v>
      </c>
      <c r="P350" s="409"/>
      <c r="Q350" s="405" t="s">
        <v>152</v>
      </c>
    </row>
    <row r="351" spans="2:19" s="24" customFormat="1" ht="15.75" customHeight="1">
      <c r="B351" s="405"/>
      <c r="C351" s="410"/>
      <c r="D351" s="411"/>
      <c r="E351" s="412"/>
      <c r="F351" s="412"/>
      <c r="G351" s="405"/>
      <c r="H351" s="391" t="s">
        <v>153</v>
      </c>
      <c r="I351" s="391" t="s">
        <v>154</v>
      </c>
      <c r="J351" s="406"/>
      <c r="K351" s="390" t="s">
        <v>155</v>
      </c>
      <c r="L351" s="392" t="s">
        <v>155</v>
      </c>
      <c r="M351" s="390" t="s">
        <v>156</v>
      </c>
      <c r="N351" s="392" t="s">
        <v>157</v>
      </c>
      <c r="O351" s="391" t="s">
        <v>158</v>
      </c>
      <c r="P351" s="391" t="s">
        <v>159</v>
      </c>
      <c r="Q351" s="405"/>
      <c r="R351" s="8"/>
      <c r="S351" s="8"/>
    </row>
    <row r="352" spans="2:19" s="35" customFormat="1" ht="38.25">
      <c r="B352" s="28">
        <v>1</v>
      </c>
      <c r="C352" s="29">
        <f>'BIO DATA'!C184</f>
        <v>12465</v>
      </c>
      <c r="D352" s="148" t="str">
        <f>'BIO DATA'!D184</f>
        <v>0147559625</v>
      </c>
      <c r="E352" s="30" t="str">
        <f>'BIO DATA'!E184</f>
        <v>Adam Iskandar</v>
      </c>
      <c r="F352" s="31" t="str">
        <f>'BIO DATA'!Y184</f>
        <v>SD Islam AlAzhar 38 Bantul</v>
      </c>
      <c r="G352" s="185">
        <f>'BIO DATA'!I184</f>
        <v>2</v>
      </c>
      <c r="H352" s="30" t="str">
        <f>'BIO DATA'!M184</f>
        <v>Bantul</v>
      </c>
      <c r="I352" s="136" t="str">
        <f>'BIO DATA'!P184</f>
        <v>3 November 2013</v>
      </c>
      <c r="J352" s="30" t="str">
        <f>'BIO DATA'!S184</f>
        <v>Deresan Ringinharjo Bantul rt 07 , Bantul, Bantul, Bantul, Daerah Istimewa Yogyakarta</v>
      </c>
      <c r="K352" s="30" t="str">
        <f>'BIO DATA'!AB184</f>
        <v>Iskandarta</v>
      </c>
      <c r="L352" s="147" t="str">
        <f>'BIO DATA'!AG184</f>
        <v>081392486559</v>
      </c>
      <c r="M352" s="30" t="str">
        <f>'BIO DATA'!AI184</f>
        <v>Wuri Adiyanti</v>
      </c>
      <c r="N352" s="147" t="str">
        <f>'BIO DATA'!AN184</f>
        <v>085225555166</v>
      </c>
      <c r="O352" s="30" t="str">
        <f>'BIO DATA'!AE184</f>
        <v>Wiraswasta</v>
      </c>
      <c r="P352" s="30" t="str">
        <f>'BIO DATA'!AL184</f>
        <v>Lain-lain</v>
      </c>
      <c r="Q352" s="183"/>
    </row>
    <row r="353" spans="2:17" s="35" customFormat="1" ht="37.5" customHeight="1">
      <c r="B353" s="28">
        <v>2</v>
      </c>
      <c r="C353" s="29">
        <f>'BIO DATA'!C185</f>
        <v>12489</v>
      </c>
      <c r="D353" s="148" t="str">
        <f>'BIO DATA'!D185</f>
        <v>0138150319</v>
      </c>
      <c r="E353" s="30" t="str">
        <f>'BIO DATA'!E185</f>
        <v>Ammar Tejananta Himawan</v>
      </c>
      <c r="F353" s="31" t="str">
        <f>'BIO DATA'!Y185</f>
        <v>SD Muhammadiyah Kutoarjo</v>
      </c>
      <c r="G353" s="185">
        <f>'BIO DATA'!I185</f>
        <v>2</v>
      </c>
      <c r="H353" s="30" t="str">
        <f>'BIO DATA'!M185</f>
        <v>Purworejo</v>
      </c>
      <c r="I353" s="136" t="str">
        <f>'BIO DATA'!P185</f>
        <v>16 Agustus 2013</v>
      </c>
      <c r="J353" s="30" t="str">
        <f>'BIO DATA'!S185</f>
        <v>Perum Pepabri no.25 Borokulon Banyuurip Purworejo Jawa Tengah</v>
      </c>
      <c r="K353" s="30" t="str">
        <f>'BIO DATA'!AB185</f>
        <v>Aris Himawan</v>
      </c>
      <c r="L353" s="147" t="str">
        <f>'BIO DATA'!AG185</f>
        <v>085176955277</v>
      </c>
      <c r="M353" s="30" t="str">
        <f>'BIO DATA'!AI185</f>
        <v>Tejaningrum</v>
      </c>
      <c r="N353" s="147" t="str">
        <f>'BIO DATA'!AN185</f>
        <v>082296852453</v>
      </c>
      <c r="O353" s="30" t="str">
        <f>'BIO DATA'!AE185</f>
        <v>Pegawai Swasta</v>
      </c>
      <c r="P353" s="30" t="str">
        <f>'BIO DATA'!AL185</f>
        <v>PNS</v>
      </c>
      <c r="Q353" s="183"/>
    </row>
    <row r="354" spans="2:17" s="35" customFormat="1" ht="36.75" customHeight="1">
      <c r="B354" s="28">
        <v>3</v>
      </c>
      <c r="C354" s="29">
        <f>'BIO DATA'!C186</f>
        <v>12490</v>
      </c>
      <c r="D354" s="148" t="str">
        <f>'BIO DATA'!D186</f>
        <v>0147752340</v>
      </c>
      <c r="E354" s="30" t="str">
        <f>'BIO DATA'!E186</f>
        <v>Amsyar Fadhlurrahman Setyawan</v>
      </c>
      <c r="F354" s="31" t="str">
        <f>'BIO DATA'!Y186</f>
        <v>SD Muhammadiyah Condongcatur</v>
      </c>
      <c r="G354" s="185">
        <f>'BIO DATA'!I186</f>
        <v>2</v>
      </c>
      <c r="H354" s="30" t="str">
        <f>'BIO DATA'!M186</f>
        <v>Sleman</v>
      </c>
      <c r="I354" s="136" t="str">
        <f>'BIO DATA'!P186</f>
        <v>8 Februari 2014</v>
      </c>
      <c r="J354" s="30" t="str">
        <f>'BIO DATA'!S186</f>
        <v>Jalan Palagan Tentara Pelajar Km 8.5 Perum Griya Sekawan no 3 Mudal no 50 Sariharjo Ngaglik Sleman</v>
      </c>
      <c r="K354" s="30" t="str">
        <f>'BIO DATA'!AB186</f>
        <v>Ari Setyawan</v>
      </c>
      <c r="L354" s="147" t="str">
        <f>'BIO DATA'!AG186</f>
        <v>081578082046</v>
      </c>
      <c r="M354" s="30" t="str">
        <f>'BIO DATA'!AI186</f>
        <v>Anyta Nur Wulan</v>
      </c>
      <c r="N354" s="147" t="str">
        <f>'BIO DATA'!AN186</f>
        <v>081578872005</v>
      </c>
      <c r="O354" s="30" t="str">
        <f>'BIO DATA'!AE186</f>
        <v>Guru/Dosen</v>
      </c>
      <c r="P354" s="30" t="str">
        <f>'BIO DATA'!AL186</f>
        <v>Tidak Bekerja</v>
      </c>
      <c r="Q354" s="183"/>
    </row>
    <row r="355" spans="2:17" s="35" customFormat="1" ht="25.5">
      <c r="B355" s="28">
        <v>4</v>
      </c>
      <c r="C355" s="29">
        <f>'BIO DATA'!C187</f>
        <v>12499</v>
      </c>
      <c r="D355" s="148" t="str">
        <f>'BIO DATA'!D187</f>
        <v>0149571316</v>
      </c>
      <c r="E355" s="30" t="str">
        <f>'BIO DATA'!E187</f>
        <v>Arundaya Wisanggeni Ma'arif</v>
      </c>
      <c r="F355" s="31" t="str">
        <f>'BIO DATA'!Y187</f>
        <v>SD N 01 Kalibakung</v>
      </c>
      <c r="G355" s="185">
        <f>'BIO DATA'!I187</f>
        <v>1</v>
      </c>
      <c r="H355" s="30" t="str">
        <f>'BIO DATA'!M187</f>
        <v>Sleman</v>
      </c>
      <c r="I355" s="136" t="str">
        <f>'BIO DATA'!P187</f>
        <v>24 Maret 2014</v>
      </c>
      <c r="J355" s="30" t="str">
        <f>'BIO DATA'!S187</f>
        <v>Warak Kidul RT 05/ RW 10, Sumberadi, Mlati, Sleman, DIY</v>
      </c>
      <c r="K355" s="30" t="str">
        <f>'BIO DATA'!AB187</f>
        <v>Faqih Ma'arif</v>
      </c>
      <c r="L355" s="147" t="str">
        <f>'BIO DATA'!AG187</f>
        <v>081319488184</v>
      </c>
      <c r="M355" s="30" t="str">
        <f>'BIO DATA'!AI187</f>
        <v>Ratih Andi K</v>
      </c>
      <c r="N355" s="147" t="str">
        <f>'BIO DATA'!AN187</f>
        <v>081380550887</v>
      </c>
      <c r="O355" s="30" t="str">
        <f>'BIO DATA'!AE187</f>
        <v>Guru/Dosen</v>
      </c>
      <c r="P355" s="30" t="str">
        <f>'BIO DATA'!AL187</f>
        <v>PNS</v>
      </c>
      <c r="Q355" s="183"/>
    </row>
    <row r="356" spans="2:17" s="35" customFormat="1" ht="25.5">
      <c r="B356" s="28">
        <v>5</v>
      </c>
      <c r="C356" s="29">
        <f>'BIO DATA'!C188</f>
        <v>12513</v>
      </c>
      <c r="D356" s="148" t="str">
        <f>'BIO DATA'!D188</f>
        <v>0137477920</v>
      </c>
      <c r="E356" s="30" t="str">
        <f>'BIO DATA'!E188</f>
        <v>Bara Putra Pratama</v>
      </c>
      <c r="F356" s="31" t="str">
        <f>'BIO DATA'!Y188</f>
        <v>SD IT Assalam Sanden</v>
      </c>
      <c r="G356" s="185">
        <f>'BIO DATA'!I188</f>
        <v>1</v>
      </c>
      <c r="H356" s="30" t="str">
        <f>'BIO DATA'!M188</f>
        <v>Bantul</v>
      </c>
      <c r="I356" s="136" t="str">
        <f>'BIO DATA'!P188</f>
        <v>8 Juli 2013</v>
      </c>
      <c r="J356" s="30" t="str">
        <f>'BIO DATA'!S188</f>
        <v>Tegallayang 10 RT 06, caturharjo, Pandak, Bantul</v>
      </c>
      <c r="K356" s="30" t="str">
        <f>'BIO DATA'!AB188</f>
        <v>Mizan Suryanto</v>
      </c>
      <c r="L356" s="147" t="str">
        <f>'BIO DATA'!AG188</f>
        <v>085643533853</v>
      </c>
      <c r="M356" s="30" t="str">
        <f>'BIO DATA'!AI188</f>
        <v>Nur Fitri Luthfiah</v>
      </c>
      <c r="N356" s="147" t="str">
        <f>'BIO DATA'!AN188</f>
        <v>085742412347</v>
      </c>
      <c r="O356" s="30" t="str">
        <f>'BIO DATA'!AE188</f>
        <v>Pegawai Swasta</v>
      </c>
      <c r="P356" s="30" t="str">
        <f>'BIO DATA'!AL188</f>
        <v>Pegawai Swasta</v>
      </c>
      <c r="Q356" s="183"/>
    </row>
    <row r="357" spans="2:17" s="35" customFormat="1" ht="34.5" customHeight="1">
      <c r="B357" s="28">
        <v>6</v>
      </c>
      <c r="C357" s="29">
        <f>'BIO DATA'!C189</f>
        <v>12530</v>
      </c>
      <c r="D357" s="148" t="str">
        <f>'BIO DATA'!D189</f>
        <v>0157179162</v>
      </c>
      <c r="E357" s="30" t="str">
        <f>'BIO DATA'!E189</f>
        <v>Dydan Yusuf Ivander</v>
      </c>
      <c r="F357" s="31" t="str">
        <f>'BIO DATA'!Y189</f>
        <v>SD Muhammadiyah Paesan</v>
      </c>
      <c r="G357" s="185">
        <f>'BIO DATA'!I189</f>
        <v>1</v>
      </c>
      <c r="H357" s="30" t="str">
        <f>'BIO DATA'!M189</f>
        <v>Kab. Semarang</v>
      </c>
      <c r="I357" s="136" t="str">
        <f>'BIO DATA'!P189</f>
        <v>22 April 2013</v>
      </c>
      <c r="J357" s="30" t="str">
        <f>'BIO DATA'!S189</f>
        <v>Kec. Kedungwuni Kab. Pekalongan</v>
      </c>
      <c r="K357" s="30" t="str">
        <f>'BIO DATA'!AB189</f>
        <v>Daniasmara Hardiyanto</v>
      </c>
      <c r="L357" s="147" t="str">
        <f>'BIO DATA'!AG189</f>
        <v>085640316922</v>
      </c>
      <c r="M357" s="30" t="str">
        <f>'BIO DATA'!AI189</f>
        <v>Dysa Martina</v>
      </c>
      <c r="N357" s="147" t="str">
        <f>'BIO DATA'!AN189</f>
        <v>082314700423</v>
      </c>
      <c r="O357" s="30" t="str">
        <f>'BIO DATA'!AE189</f>
        <v>Karyawan Swasta</v>
      </c>
      <c r="P357" s="30" t="str">
        <f>'BIO DATA'!AL189</f>
        <v>Karyawan Swasta</v>
      </c>
      <c r="Q357" s="183"/>
    </row>
    <row r="358" spans="2:17" s="35" customFormat="1" ht="40.5" customHeight="1">
      <c r="B358" s="28">
        <v>7</v>
      </c>
      <c r="C358" s="29">
        <f>'BIO DATA'!C190</f>
        <v>12534</v>
      </c>
      <c r="D358" s="148" t="str">
        <f>'BIO DATA'!D190</f>
        <v>0134787250</v>
      </c>
      <c r="E358" s="30" t="str">
        <f>'BIO DATA'!E190</f>
        <v>Fa Virendra Ahza</v>
      </c>
      <c r="F358" s="31" t="str">
        <f>'BIO DATA'!Y190</f>
        <v>SDIT Tunas Harapan Semarang</v>
      </c>
      <c r="G358" s="185">
        <f>'BIO DATA'!I190</f>
        <v>4</v>
      </c>
      <c r="H358" s="30" t="str">
        <f>'BIO DATA'!M190</f>
        <v>Semarang</v>
      </c>
      <c r="I358" s="136" t="str">
        <f>'BIO DATA'!P190</f>
        <v>21 November 2013</v>
      </c>
      <c r="J358" s="30" t="str">
        <f>'BIO DATA'!S190</f>
        <v>Jl. Bukit Teratai I no 35A Perumnas Sendang Mulyo, Tembalang, Semarang Jawa Tengah</v>
      </c>
      <c r="K358" s="30" t="str">
        <f>'BIO DATA'!AB190</f>
        <v>Dr. Teguh Hadi Prayitno,M.M.,M.Hum</v>
      </c>
      <c r="L358" s="147" t="str">
        <f>'BIO DATA'!AG190</f>
        <v>087831473351</v>
      </c>
      <c r="M358" s="30" t="str">
        <f>'BIO DATA'!AI190</f>
        <v>Prehanita Agung Wijayanti, S.S</v>
      </c>
      <c r="N358" s="147" t="str">
        <f>'BIO DATA'!AN190</f>
        <v>081325134122</v>
      </c>
      <c r="O358" s="30" t="str">
        <f>'BIO DATA'!AE190</f>
        <v>Pegawai Swasta</v>
      </c>
      <c r="P358" s="30" t="str">
        <f>'BIO DATA'!AL190</f>
        <v>Lain-lain</v>
      </c>
      <c r="Q358" s="183"/>
    </row>
    <row r="359" spans="2:17" s="35" customFormat="1" ht="25.5">
      <c r="B359" s="28">
        <v>8</v>
      </c>
      <c r="C359" s="29">
        <f>'BIO DATA'!C191</f>
        <v>12536</v>
      </c>
      <c r="D359" s="148" t="str">
        <f>'BIO DATA'!D191</f>
        <v>0133321299</v>
      </c>
      <c r="E359" s="30" t="str">
        <f>'BIO DATA'!E191</f>
        <v>Fadhil Akhtar Hartono</v>
      </c>
      <c r="F359" s="31" t="str">
        <f>'BIO DATA'!Y191</f>
        <v>SDIT Nurul Istiqlal</v>
      </c>
      <c r="G359" s="185">
        <f>'BIO DATA'!I191</f>
        <v>1</v>
      </c>
      <c r="H359" s="30" t="str">
        <f>'BIO DATA'!M191</f>
        <v>Klaten</v>
      </c>
      <c r="I359" s="136" t="str">
        <f>'BIO DATA'!P191</f>
        <v>1 Oktober 2013</v>
      </c>
      <c r="J359" s="30" t="str">
        <f>'BIO DATA'!S191</f>
        <v>Geneng,Sidomulyo,Delanggu Klaten Jawa Tengah</v>
      </c>
      <c r="K359" s="30" t="str">
        <f>'BIO DATA'!AB191</f>
        <v>Budi Hartono</v>
      </c>
      <c r="L359" s="147" t="str">
        <f>'BIO DATA'!AG191</f>
        <v>085647246155</v>
      </c>
      <c r="M359" s="30" t="str">
        <f>'BIO DATA'!AI191</f>
        <v>Utami Naning Apriyanti</v>
      </c>
      <c r="N359" s="147" t="str">
        <f>'BIO DATA'!AN191</f>
        <v>081392250228</v>
      </c>
      <c r="O359" s="30" t="str">
        <f>'BIO DATA'!AE191</f>
        <v>Karyawan Swasta</v>
      </c>
      <c r="P359" s="30" t="str">
        <f>'BIO DATA'!AL191</f>
        <v>Karyawan Swasta</v>
      </c>
      <c r="Q359" s="183"/>
    </row>
    <row r="360" spans="2:17" s="35" customFormat="1" ht="25.5">
      <c r="B360" s="28">
        <v>9</v>
      </c>
      <c r="C360" s="29">
        <f>'BIO DATA'!C192</f>
        <v>12549</v>
      </c>
      <c r="D360" s="148" t="str">
        <f>'BIO DATA'!D192</f>
        <v>0133299661</v>
      </c>
      <c r="E360" s="30" t="str">
        <f>'BIO DATA'!E192</f>
        <v>Fatih Shuja Arkana</v>
      </c>
      <c r="F360" s="31" t="str">
        <f>'BIO DATA'!Y192</f>
        <v>SDIT Salsabila 4 Jetis</v>
      </c>
      <c r="G360" s="185">
        <f>'BIO DATA'!I192</f>
        <v>1</v>
      </c>
      <c r="H360" s="30" t="str">
        <f>'BIO DATA'!M192</f>
        <v>Purworejo</v>
      </c>
      <c r="I360" s="136" t="str">
        <f>'BIO DATA'!P192</f>
        <v>22 April 2013</v>
      </c>
      <c r="J360" s="30" t="str">
        <f>'BIO DATA'!S192</f>
        <v>Cabean, Panggungharjo, Sewon, Bantul</v>
      </c>
      <c r="K360" s="30" t="str">
        <f>'BIO DATA'!AB192</f>
        <v>Wachid Agus Wijiantoro</v>
      </c>
      <c r="L360" s="147" t="str">
        <f>'BIO DATA'!AG192</f>
        <v>081216949204</v>
      </c>
      <c r="M360" s="30" t="str">
        <f>'BIO DATA'!AI192</f>
        <v>Desi Indriasari</v>
      </c>
      <c r="N360" s="147" t="str">
        <f>'BIO DATA'!AN192</f>
        <v>085643788989</v>
      </c>
      <c r="O360" s="30" t="str">
        <f>'BIO DATA'!AE192</f>
        <v>Pegawai Swasta</v>
      </c>
      <c r="P360" s="30" t="str">
        <f>'BIO DATA'!AL192</f>
        <v>Guru/Dosen</v>
      </c>
      <c r="Q360" s="183"/>
    </row>
    <row r="361" spans="2:17" s="35" customFormat="1" ht="51">
      <c r="B361" s="28">
        <v>10</v>
      </c>
      <c r="C361" s="29">
        <f>'BIO DATA'!C193</f>
        <v>12569</v>
      </c>
      <c r="D361" s="148">
        <f>'BIO DATA'!D193</f>
        <v>3144307094</v>
      </c>
      <c r="E361" s="30" t="str">
        <f>'BIO DATA'!E193</f>
        <v>Hilmi Ar Raihan</v>
      </c>
      <c r="F361" s="31" t="str">
        <f>'BIO DATA'!Y193</f>
        <v>MIS. Mathlaul Ulum</v>
      </c>
      <c r="G361" s="185">
        <f>'BIO DATA'!I193</f>
        <v>3</v>
      </c>
      <c r="H361" s="30" t="str">
        <f>'BIO DATA'!M193</f>
        <v>Bekasi</v>
      </c>
      <c r="I361" s="136" t="str">
        <f>'BIO DATA'!P193</f>
        <v>25 Juli 2014</v>
      </c>
      <c r="J361" s="30" t="str">
        <f>'BIO DATA'!S193</f>
        <v>Perum Metland Cibitung Blok AF 1 No 1 RT 002 RW 022 Telagamurni Cikarang Barat Bekasi Jawa Barat</v>
      </c>
      <c r="K361" s="30" t="str">
        <f>'BIO DATA'!AB193</f>
        <v>Gunawan Budianto</v>
      </c>
      <c r="L361" s="147" t="str">
        <f>'BIO DATA'!AG193</f>
        <v>081281027205</v>
      </c>
      <c r="M361" s="30" t="str">
        <f>'BIO DATA'!AI193</f>
        <v>Dr. Murtaqiatusholihat</v>
      </c>
      <c r="N361" s="147" t="str">
        <f>'BIO DATA'!AN193</f>
        <v>087787620884</v>
      </c>
      <c r="O361" s="30" t="str">
        <f>'BIO DATA'!AE193</f>
        <v>Pegawai Swasta</v>
      </c>
      <c r="P361" s="30" t="str">
        <f>'BIO DATA'!AL193</f>
        <v>Guru/Dosen</v>
      </c>
      <c r="Q361" s="183"/>
    </row>
    <row r="362" spans="2:17" s="35" customFormat="1" ht="39.75" customHeight="1">
      <c r="B362" s="28">
        <v>11</v>
      </c>
      <c r="C362" s="29">
        <f>'BIO DATA'!C194</f>
        <v>12570</v>
      </c>
      <c r="D362" s="148" t="str">
        <f>'BIO DATA'!D194</f>
        <v>0136496374</v>
      </c>
      <c r="E362" s="30" t="str">
        <f>'BIO DATA'!E194</f>
        <v>Hisyam Aufa Syarif</v>
      </c>
      <c r="F362" s="31" t="str">
        <f>'BIO DATA'!Y194</f>
        <v>SD Muhammadiyah 11 Surabaya</v>
      </c>
      <c r="G362" s="185">
        <f>'BIO DATA'!I194</f>
        <v>1</v>
      </c>
      <c r="H362" s="30" t="str">
        <f>'BIO DATA'!M194</f>
        <v>Surabaya</v>
      </c>
      <c r="I362" s="136" t="str">
        <f>'BIO DATA'!P194</f>
        <v>21 Juni 2013</v>
      </c>
      <c r="J362" s="30" t="str">
        <f>'BIO DATA'!S194</f>
        <v>Jl. Genting 3 no. 15 RT 002 RW 003 Genting Kalianak Asemrowo Kota Surabaya Jawa Timur</v>
      </c>
      <c r="K362" s="30" t="str">
        <f>'BIO DATA'!AB194</f>
        <v>Fauzi Oktavima</v>
      </c>
      <c r="L362" s="147" t="str">
        <f>'BIO DATA'!AG194</f>
        <v>081331991696</v>
      </c>
      <c r="M362" s="30" t="str">
        <f>'BIO DATA'!AI194</f>
        <v>Ria Putri Wulandari</v>
      </c>
      <c r="N362" s="147" t="str">
        <f>'BIO DATA'!AN194</f>
        <v>08563326584</v>
      </c>
      <c r="O362" s="30" t="str">
        <f>'BIO DATA'!AE194</f>
        <v>Pegawai Swasta</v>
      </c>
      <c r="P362" s="30" t="str">
        <f>'BIO DATA'!AL194</f>
        <v>Wiraswasta</v>
      </c>
      <c r="Q362" s="183"/>
    </row>
    <row r="363" spans="2:17" s="35" customFormat="1" ht="37.5" customHeight="1">
      <c r="B363" s="28">
        <v>12</v>
      </c>
      <c r="C363" s="29">
        <f>'BIO DATA'!C195</f>
        <v>12595</v>
      </c>
      <c r="D363" s="148" t="str">
        <f>'BIO DATA'!D195</f>
        <v>0134314264</v>
      </c>
      <c r="E363" s="30" t="str">
        <f>'BIO DATA'!E195</f>
        <v>Lisan Shidqie</v>
      </c>
      <c r="F363" s="31" t="str">
        <f>'BIO DATA'!Y195</f>
        <v>SDIT Mutiara Hati Semarang</v>
      </c>
      <c r="G363" s="185">
        <f>'BIO DATA'!I195</f>
        <v>1</v>
      </c>
      <c r="H363" s="30" t="str">
        <f>'BIO DATA'!M195</f>
        <v>Semarang</v>
      </c>
      <c r="I363" s="136" t="str">
        <f>'BIO DATA'!P195</f>
        <v>22 Juli 2013</v>
      </c>
      <c r="J363" s="30" t="str">
        <f>'BIO DATA'!S195</f>
        <v>Perum Green Village 25 RT 08 RW 03 Ngijo Gunungpati Kota Semarang Jawa Tengah 50228</v>
      </c>
      <c r="K363" s="30" t="str">
        <f>'BIO DATA'!AB195</f>
        <v>Amri Hana Muhammad</v>
      </c>
      <c r="L363" s="147" t="str">
        <f>'BIO DATA'!AG195</f>
        <v>085641111175</v>
      </c>
      <c r="M363" s="30" t="str">
        <f>'BIO DATA'!AI195</f>
        <v>Dian Kamalia Kholidah</v>
      </c>
      <c r="N363" s="147" t="str">
        <f>'BIO DATA'!AN195</f>
        <v>08562946477</v>
      </c>
      <c r="O363" s="30" t="str">
        <f>'BIO DATA'!AE195</f>
        <v>PNS</v>
      </c>
      <c r="P363" s="30" t="str">
        <f>'BIO DATA'!AL195</f>
        <v>Pegawai Swasta</v>
      </c>
      <c r="Q363" s="183"/>
    </row>
    <row r="364" spans="2:17" s="35" customFormat="1" ht="39.75" customHeight="1">
      <c r="B364" s="28">
        <v>13</v>
      </c>
      <c r="C364" s="29">
        <f>'BIO DATA'!C196</f>
        <v>12604</v>
      </c>
      <c r="D364" s="148">
        <f>'BIO DATA'!D196</f>
        <v>235</v>
      </c>
      <c r="E364" s="30" t="str">
        <f>'BIO DATA'!E196</f>
        <v>Mochammad Fauzan Wardana</v>
      </c>
      <c r="F364" s="31" t="str">
        <f>'BIO DATA'!Y196</f>
        <v>SDIT Alifsmart Surakarta</v>
      </c>
      <c r="G364" s="185">
        <f>'BIO DATA'!I196</f>
        <v>2</v>
      </c>
      <c r="H364" s="30" t="str">
        <f>'BIO DATA'!M196</f>
        <v>Surakarta</v>
      </c>
      <c r="I364" s="136" t="str">
        <f>'BIO DATA'!P196</f>
        <v>21 Oktober 2013</v>
      </c>
      <c r="J364" s="30" t="str">
        <f>'BIO DATA'!S196</f>
        <v>Perumahan graha mitra berseri Blok D3 wonorejo gondangrejo karanganyar Jawa Tengah</v>
      </c>
      <c r="K364" s="30" t="str">
        <f>'BIO DATA'!AB196</f>
        <v>Mochamad Taufik Nur Sapto Wardono</v>
      </c>
      <c r="L364" s="147" t="str">
        <f>'BIO DATA'!AG196</f>
        <v>081392203798</v>
      </c>
      <c r="M364" s="30" t="str">
        <f>'BIO DATA'!AI196</f>
        <v>Tri Mulyowati S.KM.M.Sc</v>
      </c>
      <c r="N364" s="147" t="str">
        <f>'BIO DATA'!AN196</f>
        <v>087836880232</v>
      </c>
      <c r="O364" s="30" t="str">
        <f>'BIO DATA'!AE196</f>
        <v>Pegawai Swasta</v>
      </c>
      <c r="P364" s="30" t="str">
        <f>'BIO DATA'!AL196</f>
        <v>Guru/Dosen</v>
      </c>
      <c r="Q364" s="183"/>
    </row>
    <row r="365" spans="2:17" s="35" customFormat="1" ht="51">
      <c r="B365" s="28">
        <v>14</v>
      </c>
      <c r="C365" s="29">
        <f>'BIO DATA'!C197</f>
        <v>12613</v>
      </c>
      <c r="D365" s="148" t="str">
        <f>'BIO DATA'!D197</f>
        <v>0143079739</v>
      </c>
      <c r="E365" s="30" t="str">
        <f>'BIO DATA'!E197</f>
        <v>Muhammad Aksan Al Fatih</v>
      </c>
      <c r="F365" s="31" t="str">
        <f>'BIO DATA'!Y197</f>
        <v>MI Arifah</v>
      </c>
      <c r="G365" s="185">
        <f>'BIO DATA'!I197</f>
        <v>1</v>
      </c>
      <c r="H365" s="30" t="str">
        <f>'BIO DATA'!M197</f>
        <v>Makassar</v>
      </c>
      <c r="I365" s="136" t="str">
        <f>'BIO DATA'!P197</f>
        <v>13 Mei 2014</v>
      </c>
      <c r="J365" s="30" t="str">
        <f>'BIO DATA'!S197</f>
        <v>Jl. Biring Romang IV Blok I No. 38 RT 002 RW 001 Manggala Manggala Kota Makassar Sulawesi Selatan 90234</v>
      </c>
      <c r="K365" s="30" t="str">
        <f>'BIO DATA'!AB197</f>
        <v>Akbar H Aksan</v>
      </c>
      <c r="L365" s="147" t="str">
        <f>'BIO DATA'!AG197</f>
        <v>08114614977</v>
      </c>
      <c r="M365" s="30" t="str">
        <f>'BIO DATA'!AI197</f>
        <v>Haslindayani</v>
      </c>
      <c r="N365" s="147" t="str">
        <f>'BIO DATA'!AN197</f>
        <v>08114613789</v>
      </c>
      <c r="O365" s="30" t="str">
        <f>'BIO DATA'!AE197</f>
        <v>Wiraswasta</v>
      </c>
      <c r="P365" s="30" t="str">
        <f>'BIO DATA'!AL197</f>
        <v>Tidak Bekerja</v>
      </c>
      <c r="Q365" s="183"/>
    </row>
    <row r="366" spans="2:17" s="35" customFormat="1" ht="51">
      <c r="B366" s="28">
        <v>15</v>
      </c>
      <c r="C366" s="29">
        <f>'BIO DATA'!C198</f>
        <v>12631</v>
      </c>
      <c r="D366" s="148">
        <f>'BIO DATA'!D198</f>
        <v>3149697112</v>
      </c>
      <c r="E366" s="30" t="str">
        <f>'BIO DATA'!E198</f>
        <v>Muhammad Faeyza Alvaro Ardiansyah</v>
      </c>
      <c r="F366" s="31" t="str">
        <f>'BIO DATA'!Y198</f>
        <v>SDIT NURUL HIKMAH 3 PURWAKARTA</v>
      </c>
      <c r="G366" s="185">
        <f>'BIO DATA'!I198</f>
        <v>1</v>
      </c>
      <c r="H366" s="30" t="str">
        <f>'BIO DATA'!M198</f>
        <v>Purwakarta</v>
      </c>
      <c r="I366" s="136" t="str">
        <f>'BIO DATA'!P198</f>
        <v>31 Januari 2014</v>
      </c>
      <c r="J366" s="30" t="str">
        <f>'BIO DATA'!S198</f>
        <v>Kp Purnawarman Selatan RT 18 RW 13 kelurahan Sindang kasih kecamatan Purwakarta kabupaten Purwakarta</v>
      </c>
      <c r="K366" s="30" t="str">
        <f>'BIO DATA'!AB198</f>
        <v>Deki Ardiansyah</v>
      </c>
      <c r="L366" s="147" t="str">
        <f>'BIO DATA'!AG198</f>
        <v>087786577331</v>
      </c>
      <c r="M366" s="30" t="str">
        <f>'BIO DATA'!AI198</f>
        <v>Windi Astuti</v>
      </c>
      <c r="N366" s="147" t="str">
        <f>'BIO DATA'!AN198</f>
        <v>087779994188</v>
      </c>
      <c r="O366" s="30" t="str">
        <f>'BIO DATA'!AE198</f>
        <v>Pegawai Swasta</v>
      </c>
      <c r="P366" s="30" t="str">
        <f>'BIO DATA'!AL198</f>
        <v>Pegawai Swasta</v>
      </c>
      <c r="Q366" s="183"/>
    </row>
    <row r="367" spans="2:17" s="35" customFormat="1" ht="38.25">
      <c r="B367" s="28">
        <v>16</v>
      </c>
      <c r="C367" s="29">
        <f>'BIO DATA'!C199</f>
        <v>12645</v>
      </c>
      <c r="D367" s="148" t="str">
        <f>'BIO DATA'!D199</f>
        <v>0132780482</v>
      </c>
      <c r="E367" s="30" t="str">
        <f>'BIO DATA'!E199</f>
        <v>Muhammad Marselin Seto Jovanka</v>
      </c>
      <c r="F367" s="31" t="str">
        <f>'BIO DATA'!Y199</f>
        <v>SD MUHAMMADIYYAH MUTIAN WATES</v>
      </c>
      <c r="G367" s="185">
        <f>'BIO DATA'!I199</f>
        <v>1</v>
      </c>
      <c r="H367" s="30" t="str">
        <f>'BIO DATA'!M199</f>
        <v>Kulonprogo</v>
      </c>
      <c r="I367" s="136" t="str">
        <f>'BIO DATA'!P199</f>
        <v>2 Oktober 2013</v>
      </c>
      <c r="J367" s="30" t="str">
        <f>'BIO DATA'!S199</f>
        <v>Pedukuhan VII Ngaran Lor Bojong RT 06 RW 013 Panjatan Kulon Progo DIY</v>
      </c>
      <c r="K367" s="30" t="str">
        <f>'BIO DATA'!AB199</f>
        <v>Sigit Santoso</v>
      </c>
      <c r="L367" s="147" t="str">
        <f>'BIO DATA'!AG199</f>
        <v>088226907071</v>
      </c>
      <c r="M367" s="30" t="str">
        <f>'BIO DATA'!AI199</f>
        <v>Fitri Atmani</v>
      </c>
      <c r="N367" s="147" t="str">
        <f>'BIO DATA'!AN199</f>
        <v>081227180332</v>
      </c>
      <c r="O367" s="30" t="str">
        <f>'BIO DATA'!AE199</f>
        <v>Wiraswasta</v>
      </c>
      <c r="P367" s="30" t="str">
        <f>'BIO DATA'!AL199</f>
        <v>Wiraswasta</v>
      </c>
      <c r="Q367" s="183"/>
    </row>
    <row r="368" spans="2:17" s="35" customFormat="1" ht="38.25">
      <c r="B368" s="28">
        <v>17</v>
      </c>
      <c r="C368" s="29">
        <f>'BIO DATA'!C200</f>
        <v>12648</v>
      </c>
      <c r="D368" s="148" t="str">
        <f>'BIO DATA'!D200</f>
        <v>0138653220</v>
      </c>
      <c r="E368" s="30" t="str">
        <f>'BIO DATA'!E200</f>
        <v>Muhammad Nur Bilal</v>
      </c>
      <c r="F368" s="31" t="str">
        <f>'BIO DATA'!Y200</f>
        <v>SD Muhammadiyah wirobrajan 3</v>
      </c>
      <c r="G368" s="185">
        <f>'BIO DATA'!I200</f>
        <v>2</v>
      </c>
      <c r="H368" s="30" t="str">
        <f>'BIO DATA'!M200</f>
        <v>Yogyakarta</v>
      </c>
      <c r="I368" s="136" t="str">
        <f>'BIO DATA'!P200</f>
        <v>4 Oktober 2013</v>
      </c>
      <c r="J368" s="30" t="str">
        <f>'BIO DATA'!S200</f>
        <v>Wirobrajan RT 40 RW 09, Yogyakarta</v>
      </c>
      <c r="K368" s="30" t="str">
        <f>'BIO DATA'!AB200</f>
        <v>Triagus Setiawan</v>
      </c>
      <c r="L368" s="147" t="str">
        <f>'BIO DATA'!AG200</f>
        <v>087713599438</v>
      </c>
      <c r="M368" s="30" t="str">
        <f>'BIO DATA'!AI200</f>
        <v>Wulan Pangestu Ningsih</v>
      </c>
      <c r="N368" s="147" t="str">
        <f>'BIO DATA'!AN200</f>
        <v>087713599438</v>
      </c>
      <c r="O368" s="30" t="str">
        <f>'BIO DATA'!AE200</f>
        <v>Karyawan Swasta</v>
      </c>
      <c r="P368" s="30" t="str">
        <f>'BIO DATA'!AL200</f>
        <v>Wiraswasta</v>
      </c>
      <c r="Q368" s="183"/>
    </row>
    <row r="369" spans="2:19" s="35" customFormat="1" ht="38.25">
      <c r="B369" s="28">
        <v>18</v>
      </c>
      <c r="C369" s="29">
        <f>'BIO DATA'!C201</f>
        <v>12649</v>
      </c>
      <c r="D369" s="148" t="str">
        <f>'BIO DATA'!D201</f>
        <v>0148185802</v>
      </c>
      <c r="E369" s="30" t="str">
        <f>'BIO DATA'!E201</f>
        <v>Muhammad Ozil</v>
      </c>
      <c r="F369" s="31" t="str">
        <f>'BIO DATA'!Y201</f>
        <v>SD Muhammadiyah Purwodiningratan</v>
      </c>
      <c r="G369" s="185">
        <f>'BIO DATA'!I201</f>
        <v>1</v>
      </c>
      <c r="H369" s="30" t="str">
        <f>'BIO DATA'!M201</f>
        <v>Jakarta</v>
      </c>
      <c r="I369" s="136" t="str">
        <f>'BIO DATA'!P201</f>
        <v>9 Februari 2014</v>
      </c>
      <c r="J369" s="30" t="str">
        <f>'BIO DATA'!S201</f>
        <v>Pondok Permai Tamantirta 2, Cluster 1 blok C37, Bangunjiwo, Kasihan, Bantul DIY</v>
      </c>
      <c r="K369" s="30" t="str">
        <f>'BIO DATA'!AB201</f>
        <v>Afrizal</v>
      </c>
      <c r="L369" s="147" t="str">
        <f>'BIO DATA'!AG201</f>
        <v>085697495551</v>
      </c>
      <c r="M369" s="30" t="str">
        <f>'BIO DATA'!AI201</f>
        <v>Rahmi</v>
      </c>
      <c r="N369" s="147" t="str">
        <f>'BIO DATA'!AN201</f>
        <v>085693431317</v>
      </c>
      <c r="O369" s="30" t="str">
        <f>'BIO DATA'!AE201</f>
        <v>Pegawai Swasta</v>
      </c>
      <c r="P369" s="30" t="str">
        <f>'BIO DATA'!AL201</f>
        <v>Lain-lain</v>
      </c>
      <c r="Q369" s="183"/>
    </row>
    <row r="370" spans="2:19" s="35" customFormat="1" ht="12.75">
      <c r="B370" s="37"/>
      <c r="C370" s="38"/>
      <c r="D370" s="186"/>
      <c r="E370" s="39"/>
      <c r="F370" s="34"/>
      <c r="G370" s="124"/>
      <c r="H370" s="187"/>
      <c r="I370" s="139"/>
      <c r="J370" s="39"/>
      <c r="K370" s="39"/>
      <c r="L370" s="188"/>
      <c r="M370" s="39"/>
      <c r="N370" s="184"/>
      <c r="O370" s="39"/>
      <c r="P370" s="39"/>
      <c r="Q370" s="189"/>
    </row>
    <row r="371" spans="2:19" s="35" customFormat="1" ht="12.75">
      <c r="B371" s="37"/>
      <c r="C371" s="38"/>
      <c r="D371" s="186"/>
      <c r="E371" s="39"/>
      <c r="F371" s="34"/>
      <c r="G371" s="124"/>
      <c r="H371" s="187"/>
      <c r="I371" s="139"/>
      <c r="J371" s="39"/>
      <c r="K371" s="39"/>
      <c r="L371" s="188"/>
      <c r="M371" s="39"/>
      <c r="N371" s="184"/>
      <c r="O371" s="39"/>
      <c r="P371" s="39"/>
      <c r="Q371" s="189"/>
    </row>
    <row r="372" spans="2:19" s="23" customFormat="1" ht="18.75">
      <c r="B372" s="59"/>
      <c r="C372" s="59"/>
      <c r="D372" s="59"/>
      <c r="E372" s="59"/>
      <c r="F372" s="59"/>
      <c r="G372" s="67"/>
      <c r="H372" s="59"/>
      <c r="I372" s="59"/>
      <c r="J372" s="59"/>
      <c r="K372" s="59"/>
      <c r="L372" s="59"/>
      <c r="M372" s="59" t="s">
        <v>207</v>
      </c>
      <c r="N372" s="59"/>
      <c r="O372" s="59"/>
      <c r="P372" s="59"/>
      <c r="Q372" s="59"/>
    </row>
    <row r="373" spans="2:19" s="26" customFormat="1" ht="15.75" customHeight="1">
      <c r="B373" s="414" t="s">
        <v>0</v>
      </c>
      <c r="C373" s="415" t="s">
        <v>147</v>
      </c>
      <c r="D373" s="416" t="s">
        <v>2</v>
      </c>
      <c r="E373" s="414" t="s">
        <v>3</v>
      </c>
      <c r="F373" s="414" t="s">
        <v>8</v>
      </c>
      <c r="G373" s="414" t="s">
        <v>148</v>
      </c>
      <c r="H373" s="414" t="s">
        <v>149</v>
      </c>
      <c r="I373" s="414"/>
      <c r="J373" s="414" t="s">
        <v>6</v>
      </c>
      <c r="K373" s="417" t="s">
        <v>150</v>
      </c>
      <c r="L373" s="417"/>
      <c r="M373" s="417"/>
      <c r="N373" s="417"/>
      <c r="O373" s="414" t="s">
        <v>151</v>
      </c>
      <c r="P373" s="414"/>
      <c r="Q373" s="414" t="s">
        <v>174</v>
      </c>
    </row>
    <row r="374" spans="2:19" s="26" customFormat="1" ht="15.75" customHeight="1">
      <c r="B374" s="414"/>
      <c r="C374" s="415"/>
      <c r="D374" s="416"/>
      <c r="E374" s="414"/>
      <c r="F374" s="414"/>
      <c r="G374" s="414"/>
      <c r="H374" s="388" t="s">
        <v>153</v>
      </c>
      <c r="I374" s="388" t="s">
        <v>154</v>
      </c>
      <c r="J374" s="414"/>
      <c r="K374" s="388" t="s">
        <v>155</v>
      </c>
      <c r="L374" s="389" t="s">
        <v>155</v>
      </c>
      <c r="M374" s="388" t="s">
        <v>156</v>
      </c>
      <c r="N374" s="389" t="s">
        <v>157</v>
      </c>
      <c r="O374" s="388" t="s">
        <v>158</v>
      </c>
      <c r="P374" s="388" t="s">
        <v>159</v>
      </c>
      <c r="Q374" s="414"/>
      <c r="R374" s="27"/>
      <c r="S374" s="27"/>
    </row>
    <row r="375" spans="2:19" s="35" customFormat="1" ht="38.25" customHeight="1">
      <c r="B375" s="28">
        <v>19</v>
      </c>
      <c r="C375" s="29">
        <f>'BIO DATA'!C202</f>
        <v>12650</v>
      </c>
      <c r="D375" s="148">
        <f>'BIO DATA'!D202</f>
        <v>3136913270</v>
      </c>
      <c r="E375" s="30" t="str">
        <f>'BIO DATA'!E202</f>
        <v>Muhammad Qoidun Nafi' Al Murtadho</v>
      </c>
      <c r="F375" s="31" t="str">
        <f>'BIO DATA'!Y202</f>
        <v>Sekolah Al Qur'an Insan Quantum</v>
      </c>
      <c r="G375" s="185">
        <f>'BIO DATA'!I202</f>
        <v>3</v>
      </c>
      <c r="H375" s="30" t="str">
        <f>'BIO DATA'!M202</f>
        <v>Sleman</v>
      </c>
      <c r="I375" s="136" t="str">
        <f>'BIO DATA'!P202</f>
        <v>21 November 2013</v>
      </c>
      <c r="J375" s="30" t="str">
        <f>'BIO DATA'!S202</f>
        <v>Sunggingan RT 03 RW 12, Sendangrejo, Minggir, Sleman, Yogyakarta</v>
      </c>
      <c r="K375" s="30" t="str">
        <f>'BIO DATA'!AB202</f>
        <v>Sunarto</v>
      </c>
      <c r="L375" s="147" t="str">
        <f>'BIO DATA'!AG202</f>
        <v>0895363577599</v>
      </c>
      <c r="M375" s="30" t="str">
        <f>'BIO DATA'!AI202</f>
        <v>Surip Safutri</v>
      </c>
      <c r="N375" s="147" t="str">
        <f>'BIO DATA'!AN202</f>
        <v>089652951221</v>
      </c>
      <c r="O375" s="30" t="str">
        <f>'BIO DATA'!AE202</f>
        <v>Guru/Dosen</v>
      </c>
      <c r="P375" s="30" t="str">
        <f>'BIO DATA'!AL202</f>
        <v>Tidak Bekerja</v>
      </c>
      <c r="Q375" s="183"/>
    </row>
    <row r="376" spans="2:19" s="35" customFormat="1" ht="39.75" customHeight="1">
      <c r="B376" s="28">
        <v>20</v>
      </c>
      <c r="C376" s="29">
        <f>'BIO DATA'!C203</f>
        <v>12656</v>
      </c>
      <c r="D376" s="148">
        <f>'BIO DATA'!D203</f>
        <v>3149344710</v>
      </c>
      <c r="E376" s="30" t="str">
        <f>'BIO DATA'!E203</f>
        <v>Muhammad Syauqi Chusairi</v>
      </c>
      <c r="F376" s="31" t="str">
        <f>'BIO DATA'!Y203</f>
        <v>SD Budi Mulia Dua Sedayu</v>
      </c>
      <c r="G376" s="71">
        <f>'BIO DATA'!I203</f>
        <v>2</v>
      </c>
      <c r="H376" s="30" t="str">
        <f>'BIO DATA'!M203</f>
        <v>Sleman</v>
      </c>
      <c r="I376" s="136" t="str">
        <f>'BIO DATA'!P203</f>
        <v>21 Mei 2013</v>
      </c>
      <c r="J376" s="30" t="str">
        <f>'BIO DATA'!S203</f>
        <v>Bandut Kidul Rt 40 Argorejo Sedayu Bantul</v>
      </c>
      <c r="K376" s="30" t="str">
        <f>'BIO DATA'!AB203</f>
        <v>Moh Shoim Khusyairi</v>
      </c>
      <c r="L376" s="149" t="str">
        <f>'BIO DATA'!AG203</f>
        <v>081328727977</v>
      </c>
      <c r="M376" s="30" t="str">
        <f>'BIO DATA'!AI203</f>
        <v>Anna Nurkhaeni</v>
      </c>
      <c r="N376" s="147" t="str">
        <f>'BIO DATA'!AN203</f>
        <v>081228407810</v>
      </c>
      <c r="O376" s="30" t="str">
        <f>'BIO DATA'!AE203</f>
        <v>Pegawai Swasta</v>
      </c>
      <c r="P376" s="30" t="str">
        <f>'BIO DATA'!AL203</f>
        <v>Pegawai Swasta</v>
      </c>
      <c r="Q376" s="183">
        <f>'BIO DATA'!H203</f>
        <v>0</v>
      </c>
    </row>
    <row r="377" spans="2:19" s="35" customFormat="1" ht="38.25">
      <c r="B377" s="28">
        <v>21</v>
      </c>
      <c r="C377" s="29">
        <f>'BIO DATA'!C204</f>
        <v>12657</v>
      </c>
      <c r="D377" s="148" t="str">
        <f>'BIO DATA'!D204</f>
        <v>0144899890</v>
      </c>
      <c r="E377" s="30" t="str">
        <f>'BIO DATA'!E204</f>
        <v>Muhammad Tsaqib Azizan Rabbani</v>
      </c>
      <c r="F377" s="31" t="str">
        <f>'BIO DATA'!Y204</f>
        <v>SDIT Nurul Fikri Banjarmasin</v>
      </c>
      <c r="G377" s="71">
        <f>'BIO DATA'!I204</f>
        <v>1</v>
      </c>
      <c r="H377" s="30" t="str">
        <f>'BIO DATA'!M204</f>
        <v>Banjarmasin</v>
      </c>
      <c r="I377" s="136" t="str">
        <f>'BIO DATA'!P204</f>
        <v>19 Maret 2014</v>
      </c>
      <c r="J377" s="30" t="str">
        <f>'BIO DATA'!S204</f>
        <v>Jl. Sutoyo S Gg Purnawirawan No. 78 Rt.15 Rw. 001, Kelurahan Pelambuan Banjarmasin 70118</v>
      </c>
      <c r="K377" s="30" t="str">
        <f>'BIO DATA'!AB204</f>
        <v>Byna Susanto</v>
      </c>
      <c r="L377" s="149" t="str">
        <f>'BIO DATA'!AG204</f>
        <v>08115114855</v>
      </c>
      <c r="M377" s="30" t="str">
        <f>'BIO DATA'!AI204</f>
        <v>Arry Widya Purnamasari</v>
      </c>
      <c r="N377" s="147" t="str">
        <f>'BIO DATA'!AN204</f>
        <v>081251969990</v>
      </c>
      <c r="O377" s="30" t="str">
        <f>'BIO DATA'!AE204</f>
        <v>Pegawai Swasta</v>
      </c>
      <c r="P377" s="30" t="str">
        <f>'BIO DATA'!AL204</f>
        <v>PNS</v>
      </c>
      <c r="Q377" s="183">
        <f>'BIO DATA'!H204</f>
        <v>0</v>
      </c>
    </row>
    <row r="378" spans="2:19" s="35" customFormat="1" ht="51">
      <c r="B378" s="28">
        <v>22</v>
      </c>
      <c r="C378" s="29">
        <f>'BIO DATA'!C205</f>
        <v>12658</v>
      </c>
      <c r="D378" s="148" t="str">
        <f>'BIO DATA'!D205</f>
        <v>0143597976</v>
      </c>
      <c r="E378" s="30" t="str">
        <f>'BIO DATA'!E205</f>
        <v>Muhammad Yafik Ubaidillah</v>
      </c>
      <c r="F378" s="31" t="str">
        <f>'BIO DATA'!Y205</f>
        <v>SD IT Mutiara Hati Purworejo Klampok Banjarnegara</v>
      </c>
      <c r="G378" s="71">
        <f>'BIO DATA'!I205</f>
        <v>1</v>
      </c>
      <c r="H378" s="30" t="str">
        <f>'BIO DATA'!M205</f>
        <v>Banjarnegara</v>
      </c>
      <c r="I378" s="136" t="str">
        <f>'BIO DATA'!P205</f>
        <v>5 Januari 2014</v>
      </c>
      <c r="J378" s="30" t="str">
        <f>'BIO DATA'!S205</f>
        <v>Panggisari Rt 05 Rw 01 kec. Mandiraja Kab. Banjarnegara Jawa Tengah</v>
      </c>
      <c r="K378" s="30" t="str">
        <f>'BIO DATA'!AB205</f>
        <v>Setyo Eko Widodo</v>
      </c>
      <c r="L378" s="149" t="str">
        <f>'BIO DATA'!AG205</f>
        <v>082315556189</v>
      </c>
      <c r="M378" s="30" t="str">
        <f>'BIO DATA'!AI205</f>
        <v>Alin Sri Endar Puspitawati Suprihatingsing</v>
      </c>
      <c r="N378" s="147" t="str">
        <f>'BIO DATA'!AN205</f>
        <v>081326465064</v>
      </c>
      <c r="O378" s="30" t="str">
        <f>'BIO DATA'!AE205</f>
        <v>Guru/Dosen</v>
      </c>
      <c r="P378" s="30" t="str">
        <f>'BIO DATA'!AL205</f>
        <v>Pegawai Swasta</v>
      </c>
      <c r="Q378" s="183">
        <f>'BIO DATA'!H205</f>
        <v>0</v>
      </c>
    </row>
    <row r="379" spans="2:19" s="35" customFormat="1" ht="32.25" customHeight="1">
      <c r="B379" s="320">
        <v>23</v>
      </c>
      <c r="C379" s="29">
        <f>'BIO DATA'!C206</f>
        <v>12676</v>
      </c>
      <c r="D379" s="148">
        <f>'BIO DATA'!D206</f>
        <v>3147802581</v>
      </c>
      <c r="E379" s="30" t="str">
        <f>'BIO DATA'!E206</f>
        <v>Primadona Apriliano Putra Budianto</v>
      </c>
      <c r="F379" s="31" t="str">
        <f>'BIO DATA'!Y206</f>
        <v>PKBM STQ Telaga Ilmu</v>
      </c>
      <c r="G379" s="71">
        <f>'BIO DATA'!I206</f>
        <v>1</v>
      </c>
      <c r="H379" s="30" t="str">
        <f>'BIO DATA'!M206</f>
        <v>Kab. Bantul</v>
      </c>
      <c r="I379" s="136" t="str">
        <f>'BIO DATA'!P206</f>
        <v>24 April 2014</v>
      </c>
      <c r="J379" s="30" t="str">
        <f>'BIO DATA'!S206</f>
        <v>Puri wirokerten asri b14 glondong wirokerten Banguntapan Bantul</v>
      </c>
      <c r="K379" s="30" t="str">
        <f>'BIO DATA'!AB206</f>
        <v>Eko Budianto</v>
      </c>
      <c r="L379" s="149" t="str">
        <f>'BIO DATA'!AG206</f>
        <v>087838511752</v>
      </c>
      <c r="M379" s="30" t="str">
        <f>'BIO DATA'!AI206</f>
        <v>Umi Habibah</v>
      </c>
      <c r="N379" s="147" t="str">
        <f>'BIO DATA'!AN206</f>
        <v>081227035559</v>
      </c>
      <c r="O379" s="30" t="str">
        <f>'BIO DATA'!AE206</f>
        <v>Pegawai Swasta</v>
      </c>
      <c r="P379" s="30" t="str">
        <f>'BIO DATA'!AL206</f>
        <v>Pegawai Swasta</v>
      </c>
      <c r="Q379" s="183">
        <f>'BIO DATA'!H206</f>
        <v>0</v>
      </c>
    </row>
    <row r="380" spans="2:19" s="35" customFormat="1" ht="49.5" customHeight="1">
      <c r="B380" s="28">
        <v>24</v>
      </c>
      <c r="C380" s="29">
        <f>'BIO DATA'!C207</f>
        <v>12680</v>
      </c>
      <c r="D380" s="148" t="str">
        <f>'BIO DATA'!D207</f>
        <v>0131352101</v>
      </c>
      <c r="E380" s="30" t="str">
        <f>'BIO DATA'!E207</f>
        <v>Raditya Candra Arsakha</v>
      </c>
      <c r="F380" s="31" t="str">
        <f>'BIO DATA'!Y207</f>
        <v>SD Muhammadiyah Sudagaran Wonosobo</v>
      </c>
      <c r="G380" s="71">
        <f>'BIO DATA'!I207</f>
        <v>2</v>
      </c>
      <c r="H380" s="30" t="str">
        <f>'BIO DATA'!M207</f>
        <v>Wonosobo</v>
      </c>
      <c r="I380" s="136" t="str">
        <f>'BIO DATA'!P207</f>
        <v>17 Juni 2013</v>
      </c>
      <c r="J380" s="30" t="str">
        <f>'BIO DATA'!S207</f>
        <v>Sribit Rt 3 Rw 3 Desa Wonolelo Kec Wonosobo Kab Wonosobo Jawa Tengah</v>
      </c>
      <c r="K380" s="30" t="str">
        <f>'BIO DATA'!AB207</f>
        <v>Sukur</v>
      </c>
      <c r="L380" s="149" t="str">
        <f>'BIO DATA'!AG207</f>
        <v>081327220418</v>
      </c>
      <c r="M380" s="30" t="str">
        <f>'BIO DATA'!AI207</f>
        <v>Ismiyati</v>
      </c>
      <c r="N380" s="147" t="str">
        <f>'BIO DATA'!AN207</f>
        <v>085292168456</v>
      </c>
      <c r="O380" s="30" t="str">
        <f>'BIO DATA'!AE207</f>
        <v>Wiraswasta</v>
      </c>
      <c r="P380" s="30" t="str">
        <f>'BIO DATA'!AL207</f>
        <v>Tidak Bekerja</v>
      </c>
      <c r="Q380" s="183">
        <f>'BIO DATA'!H207</f>
        <v>0</v>
      </c>
    </row>
    <row r="381" spans="2:19" s="35" customFormat="1" ht="25.5">
      <c r="B381" s="28">
        <v>25</v>
      </c>
      <c r="C381" s="29">
        <f>'BIO DATA'!C208</f>
        <v>12692</v>
      </c>
      <c r="D381" s="148" t="str">
        <f>'BIO DATA'!D208</f>
        <v>0138990611</v>
      </c>
      <c r="E381" s="30" t="str">
        <f>'BIO DATA'!E208</f>
        <v>Ravindra Putra Pramudya</v>
      </c>
      <c r="F381" s="31" t="str">
        <f>'BIO DATA'!Y208</f>
        <v>SD Muhammadiyah Sudagaran Wonosobo</v>
      </c>
      <c r="G381" s="71">
        <f>'BIO DATA'!I208</f>
        <v>2</v>
      </c>
      <c r="H381" s="30" t="str">
        <f>'BIO DATA'!M208</f>
        <v>Wonosobo</v>
      </c>
      <c r="I381" s="136" t="str">
        <f>'BIO DATA'!P208</f>
        <v>8 November 2013</v>
      </c>
      <c r="J381" s="30" t="str">
        <f>'BIO DATA'!S208</f>
        <v>Krasak mojotengah Wonosobo Jawa Tengah</v>
      </c>
      <c r="K381" s="30" t="str">
        <f>'BIO DATA'!AB208</f>
        <v>Febriyanto</v>
      </c>
      <c r="L381" s="149" t="str">
        <f>'BIO DATA'!AG208</f>
        <v>082323897270</v>
      </c>
      <c r="M381" s="30" t="str">
        <f>'BIO DATA'!AI208</f>
        <v>Dina Oktiana</v>
      </c>
      <c r="N381" s="147" t="str">
        <f>'BIO DATA'!AN208</f>
        <v>085225195315</v>
      </c>
      <c r="O381" s="30" t="str">
        <f>'BIO DATA'!AE208</f>
        <v>Pegawai Swasta</v>
      </c>
      <c r="P381" s="30" t="str">
        <f>'BIO DATA'!AL208</f>
        <v>Wiraswasta</v>
      </c>
      <c r="Q381" s="183">
        <f>'BIO DATA'!H208</f>
        <v>0</v>
      </c>
    </row>
    <row r="382" spans="2:19" s="35" customFormat="1" ht="38.25">
      <c r="B382" s="28">
        <v>26</v>
      </c>
      <c r="C382" s="29">
        <f>'BIO DATA'!C209</f>
        <v>12697</v>
      </c>
      <c r="D382" s="148" t="str">
        <f>'BIO DATA'!D209</f>
        <v>0149834368</v>
      </c>
      <c r="E382" s="30" t="str">
        <f>'BIO DATA'!E209</f>
        <v>Riffat Ahsan Al Ghifari</v>
      </c>
      <c r="F382" s="31" t="str">
        <f>'BIO DATA'!Y209</f>
        <v>SDIT AL Kautsar Tosari Brangsong Kendal</v>
      </c>
      <c r="G382" s="71">
        <f>'BIO DATA'!I209</f>
        <v>2</v>
      </c>
      <c r="H382" s="30" t="str">
        <f>'BIO DATA'!M209</f>
        <v>Kendal</v>
      </c>
      <c r="I382" s="136" t="str">
        <f>'BIO DATA'!P209</f>
        <v>2 April 2014</v>
      </c>
      <c r="J382" s="30" t="str">
        <f>'BIO DATA'!S209</f>
        <v>Sekopek Wetan Rt 08/Rw 01 Ds. Sarirejo Kec. Kaliwungu Kab. Kendal</v>
      </c>
      <c r="K382" s="30" t="str">
        <f>'BIO DATA'!AB209</f>
        <v>Mohammad Taufani Sofa Raharja</v>
      </c>
      <c r="L382" s="149" t="str">
        <f>'BIO DATA'!AG209</f>
        <v>081225414827</v>
      </c>
      <c r="M382" s="30" t="str">
        <f>'BIO DATA'!AI209</f>
        <v>Ima Nurfajriyah</v>
      </c>
      <c r="N382" s="147" t="str">
        <f>'BIO DATA'!AN209</f>
        <v>081328917845</v>
      </c>
      <c r="O382" s="30" t="str">
        <f>'BIO DATA'!AE209</f>
        <v>Wiraswasta</v>
      </c>
      <c r="P382" s="30" t="str">
        <f>'BIO DATA'!AL209</f>
        <v>Wiraswasta</v>
      </c>
      <c r="Q382" s="183">
        <f>'BIO DATA'!H209</f>
        <v>0</v>
      </c>
    </row>
    <row r="383" spans="2:19" s="35" customFormat="1" ht="38.25" customHeight="1">
      <c r="B383" s="28">
        <v>27</v>
      </c>
      <c r="C383" s="29">
        <f>'BIO DATA'!C210</f>
        <v>12704</v>
      </c>
      <c r="D383" s="148" t="str">
        <f>'BIO DATA'!D210</f>
        <v>0138648562</v>
      </c>
      <c r="E383" s="30" t="str">
        <f>'BIO DATA'!E210</f>
        <v>Sultan Fizhansyah Fauzi</v>
      </c>
      <c r="F383" s="31" t="str">
        <f>'BIO DATA'!Y210</f>
        <v>SDIT Anak Sholeh Sedayu</v>
      </c>
      <c r="G383" s="71">
        <f>'BIO DATA'!I210</f>
        <v>2</v>
      </c>
      <c r="H383" s="30" t="str">
        <f>'BIO DATA'!M210</f>
        <v>Timika</v>
      </c>
      <c r="I383" s="136" t="str">
        <f>'BIO DATA'!P210</f>
        <v>28 Agustus 2013</v>
      </c>
      <c r="J383" s="30" t="str">
        <f>'BIO DATA'!S210</f>
        <v>Dususn gayam RT.38 Argosari, Sedayu, Bantul, DIY</v>
      </c>
      <c r="K383" s="30" t="str">
        <f>'BIO DATA'!AB210</f>
        <v>Fauzi Firmansyah</v>
      </c>
      <c r="L383" s="149" t="str">
        <f>'BIO DATA'!AG210</f>
        <v>082226688626</v>
      </c>
      <c r="M383" s="30" t="str">
        <f>'BIO DATA'!AI210</f>
        <v>Anna Widiasari</v>
      </c>
      <c r="N383" s="147" t="str">
        <f>'BIO DATA'!AN210</f>
        <v>081288803507</v>
      </c>
      <c r="O383" s="30" t="str">
        <f>'BIO DATA'!AE210</f>
        <v>PNS</v>
      </c>
      <c r="P383" s="30" t="str">
        <f>'BIO DATA'!AL210</f>
        <v>PNS</v>
      </c>
      <c r="Q383" s="183">
        <f>'BIO DATA'!H210</f>
        <v>0</v>
      </c>
    </row>
    <row r="384" spans="2:19" s="35" customFormat="1" ht="37.5" customHeight="1">
      <c r="B384" s="28">
        <v>28</v>
      </c>
      <c r="C384" s="29">
        <f>'BIO DATA'!C211</f>
        <v>12705</v>
      </c>
      <c r="D384" s="148" t="str">
        <f>'BIO DATA'!D211</f>
        <v>0148834993</v>
      </c>
      <c r="E384" s="30" t="str">
        <f>'BIO DATA'!E211</f>
        <v>Sulthan Alfaraby Abduh</v>
      </c>
      <c r="F384" s="31" t="str">
        <f>'BIO DATA'!Y211</f>
        <v>SD Muhammadiyah Parakan Temanggung</v>
      </c>
      <c r="G384" s="71">
        <f>'BIO DATA'!I211</f>
        <v>1</v>
      </c>
      <c r="H384" s="30" t="str">
        <f>'BIO DATA'!M211</f>
        <v>Tangerang</v>
      </c>
      <c r="I384" s="136" t="str">
        <f>'BIO DATA'!P211</f>
        <v>11 Januari 2014</v>
      </c>
      <c r="J384" s="30" t="str">
        <f>'BIO DATA'!S211</f>
        <v>Perum Sebening Embun RT 003 RW 0002 Tegalurung Bulu Temanggung Jawa Tengah</v>
      </c>
      <c r="K384" s="30" t="str">
        <f>'BIO DATA'!AB211</f>
        <v>Berianto laoli</v>
      </c>
      <c r="L384" s="149" t="str">
        <f>'BIO DATA'!AG211</f>
        <v>085210492270</v>
      </c>
      <c r="M384" s="30" t="str">
        <f>'BIO DATA'!AI211</f>
        <v>dr. Mecca Lestina Arsy, MARS</v>
      </c>
      <c r="N384" s="147" t="str">
        <f>'BIO DATA'!AN211</f>
        <v>085278883550</v>
      </c>
      <c r="O384" s="30" t="str">
        <f>'BIO DATA'!AE211</f>
        <v>Wiraswasta</v>
      </c>
      <c r="P384" s="30" t="str">
        <f>'BIO DATA'!AL211</f>
        <v>Dokter/Bidan/Perawat</v>
      </c>
      <c r="Q384" s="183">
        <f>'BIO DATA'!H211</f>
        <v>0</v>
      </c>
    </row>
    <row r="385" spans="2:17" s="35" customFormat="1" ht="38.25">
      <c r="B385" s="28">
        <v>29</v>
      </c>
      <c r="C385" s="29">
        <f>'BIO DATA'!C212</f>
        <v>12709</v>
      </c>
      <c r="D385" s="148" t="str">
        <f>'BIO DATA'!D212</f>
        <v>0141331002</v>
      </c>
      <c r="E385" s="30" t="str">
        <f>'BIO DATA'!E212</f>
        <v>Taj Azri Akmal</v>
      </c>
      <c r="F385" s="31" t="str">
        <f>'BIO DATA'!Y212</f>
        <v>SDS Muhamadiyah</v>
      </c>
      <c r="G385" s="71">
        <f>'BIO DATA'!I212</f>
        <v>2</v>
      </c>
      <c r="H385" s="30" t="str">
        <f>'BIO DATA'!M212</f>
        <v>Aceh Teanggara</v>
      </c>
      <c r="I385" s="136" t="str">
        <f>'BIO DATA'!P212</f>
        <v>25 Februari 2014</v>
      </c>
      <c r="J385" s="30" t="str">
        <f>'BIO DATA'!S212</f>
        <v>lingk 1 strak pisang jl.a.yani no 14 Kota kutacane Babussalam Aceh Tenggara Aceh</v>
      </c>
      <c r="K385" s="30" t="str">
        <f>'BIO DATA'!AB212</f>
        <v>Rinaldi Dinar</v>
      </c>
      <c r="L385" s="149" t="str">
        <f>'BIO DATA'!AG212</f>
        <v>081973123269</v>
      </c>
      <c r="M385" s="30" t="str">
        <f>'BIO DATA'!AI212</f>
        <v>Siti Rohmah</v>
      </c>
      <c r="N385" s="147" t="str">
        <f>'BIO DATA'!AN212</f>
        <v>081265498333</v>
      </c>
      <c r="O385" s="30" t="str">
        <f>'BIO DATA'!AE212</f>
        <v>Wiraswasta</v>
      </c>
      <c r="P385" s="30" t="str">
        <f>'BIO DATA'!AL212</f>
        <v>Tidak Bekerja</v>
      </c>
      <c r="Q385" s="183">
        <f>'BIO DATA'!H212</f>
        <v>0</v>
      </c>
    </row>
    <row r="386" spans="2:17" s="35" customFormat="1" ht="51">
      <c r="B386" s="28">
        <v>30</v>
      </c>
      <c r="C386" s="29">
        <f>'BIO DATA'!C213</f>
        <v>12717</v>
      </c>
      <c r="D386" s="148" t="str">
        <f>'BIO DATA'!D213</f>
        <v>0132968411</v>
      </c>
      <c r="E386" s="30" t="str">
        <f>'BIO DATA'!E213</f>
        <v>Yudhistira Putra Prabowo</v>
      </c>
      <c r="F386" s="31" t="str">
        <f>'BIO DATA'!Y213</f>
        <v>SD Muhammadiyah Hajjah Nuriyah</v>
      </c>
      <c r="G386" s="71">
        <f>'BIO DATA'!I213</f>
        <v>1</v>
      </c>
      <c r="H386" s="30" t="str">
        <f>'BIO DATA'!M213</f>
        <v>Bekasi</v>
      </c>
      <c r="I386" s="136" t="str">
        <f>'BIO DATA'!P213</f>
        <v>23 Januari 2013</v>
      </c>
      <c r="J386" s="30" t="str">
        <f>'BIO DATA'!S213</f>
        <v>Griya Pinus Lestari Blok G.3 Loktabat utara, Banjarbaru Utara, Kota Banjarbaru kalimantan Selatan</v>
      </c>
      <c r="K386" s="30" t="str">
        <f>'BIO DATA'!AB213</f>
        <v>Ari Prabowo</v>
      </c>
      <c r="L386" s="149" t="str">
        <f>'BIO DATA'!AG213</f>
        <v>082124298836</v>
      </c>
      <c r="M386" s="30" t="str">
        <f>'BIO DATA'!AI213</f>
        <v>Richana Asih Susilo</v>
      </c>
      <c r="N386" s="147" t="str">
        <f>'BIO DATA'!AN213</f>
        <v>085695780009</v>
      </c>
      <c r="O386" s="30" t="str">
        <f>'BIO DATA'!AE213</f>
        <v>Pegawai Swasta</v>
      </c>
      <c r="P386" s="30" t="str">
        <f>'BIO DATA'!AL213</f>
        <v>Tidak Bekerja</v>
      </c>
      <c r="Q386" s="183">
        <f>'BIO DATA'!H213</f>
        <v>0</v>
      </c>
    </row>
    <row r="387" spans="2:17" s="35" customFormat="1" ht="12.75">
      <c r="B387" s="37"/>
      <c r="C387" s="38"/>
      <c r="D387" s="186"/>
      <c r="E387" s="39"/>
      <c r="F387" s="34"/>
      <c r="G387" s="124"/>
      <c r="H387" s="187"/>
      <c r="I387" s="139"/>
      <c r="J387" s="39"/>
      <c r="K387" s="39"/>
      <c r="L387" s="188"/>
      <c r="M387" s="39"/>
      <c r="N387" s="184"/>
      <c r="O387" s="39"/>
      <c r="P387" s="39"/>
      <c r="Q387" s="189"/>
    </row>
    <row r="388" spans="2:17" s="35" customFormat="1" ht="12.75">
      <c r="B388" s="37"/>
      <c r="C388" s="38"/>
      <c r="D388" s="186"/>
      <c r="E388" s="39"/>
      <c r="F388" s="34"/>
      <c r="G388" s="124"/>
      <c r="H388" s="187"/>
      <c r="I388" s="139"/>
      <c r="J388" s="39"/>
      <c r="K388" s="39"/>
      <c r="L388" s="188"/>
      <c r="M388" s="39"/>
      <c r="N388" s="184"/>
      <c r="O388" s="39"/>
      <c r="P388" s="39"/>
      <c r="Q388" s="189"/>
    </row>
    <row r="389" spans="2:17" s="35" customFormat="1" ht="12.75">
      <c r="B389" s="37"/>
      <c r="C389" s="38"/>
      <c r="D389" s="186"/>
      <c r="E389" s="39"/>
      <c r="F389" s="34"/>
      <c r="G389" s="124"/>
      <c r="H389" s="187"/>
      <c r="I389" s="139"/>
      <c r="J389" s="39"/>
      <c r="K389" s="39"/>
      <c r="L389" s="188"/>
      <c r="M389" s="39"/>
      <c r="N389" s="184"/>
      <c r="O389" s="39"/>
      <c r="P389" s="39"/>
      <c r="Q389" s="189"/>
    </row>
    <row r="390" spans="2:17" s="35" customFormat="1" ht="12.75">
      <c r="B390" s="37"/>
      <c r="C390" s="38"/>
      <c r="D390" s="186"/>
      <c r="E390" s="39"/>
      <c r="F390" s="34"/>
      <c r="G390" s="124"/>
      <c r="H390" s="187"/>
      <c r="I390" s="139"/>
      <c r="J390" s="39"/>
      <c r="K390" s="39"/>
      <c r="L390" s="188"/>
      <c r="M390" s="39"/>
      <c r="N390" s="184"/>
      <c r="O390" s="39"/>
      <c r="P390" s="39"/>
      <c r="Q390" s="189"/>
    </row>
    <row r="391" spans="2:17" s="35" customFormat="1" ht="12.75">
      <c r="B391" s="37"/>
      <c r="C391" s="38"/>
      <c r="D391" s="186"/>
      <c r="E391" s="39"/>
      <c r="F391" s="34"/>
      <c r="G391" s="124"/>
      <c r="H391" s="187"/>
      <c r="I391" s="139"/>
      <c r="J391" s="39"/>
      <c r="K391" s="39"/>
      <c r="L391" s="188"/>
      <c r="M391" s="39"/>
      <c r="N391" s="184"/>
      <c r="O391" s="39"/>
      <c r="P391" s="39"/>
      <c r="Q391" s="189"/>
    </row>
    <row r="392" spans="2:17" s="35" customFormat="1" ht="12.75">
      <c r="B392" s="37"/>
      <c r="C392" s="38"/>
      <c r="D392" s="186"/>
      <c r="E392" s="39"/>
      <c r="F392" s="34"/>
      <c r="G392" s="124"/>
      <c r="H392" s="187"/>
      <c r="I392" s="139"/>
      <c r="J392" s="39"/>
      <c r="K392" s="39"/>
      <c r="L392" s="188"/>
      <c r="M392" s="39"/>
      <c r="N392" s="184"/>
      <c r="O392" s="39"/>
      <c r="P392" s="39"/>
      <c r="Q392" s="189"/>
    </row>
    <row r="393" spans="2:17" s="35" customFormat="1" ht="12.75">
      <c r="B393" s="37"/>
      <c r="C393" s="38"/>
      <c r="D393" s="186"/>
      <c r="E393" s="39"/>
      <c r="F393" s="34"/>
      <c r="G393" s="124"/>
      <c r="H393" s="187"/>
      <c r="I393" s="139"/>
      <c r="J393" s="39"/>
      <c r="K393" s="39"/>
      <c r="L393" s="188"/>
      <c r="M393" s="39"/>
      <c r="N393" s="184"/>
      <c r="O393" s="39"/>
      <c r="P393" s="39"/>
      <c r="Q393" s="189"/>
    </row>
    <row r="394" spans="2:17" s="35" customFormat="1" ht="12.75">
      <c r="B394" s="37"/>
      <c r="C394" s="38"/>
      <c r="D394" s="186"/>
      <c r="E394" s="39"/>
      <c r="F394" s="34"/>
      <c r="G394" s="124"/>
      <c r="H394" s="187"/>
      <c r="I394" s="139"/>
      <c r="J394" s="39"/>
      <c r="K394" s="39"/>
      <c r="L394" s="188"/>
      <c r="M394" s="39"/>
      <c r="N394" s="184"/>
      <c r="O394" s="39"/>
      <c r="P394" s="39"/>
      <c r="Q394" s="189"/>
    </row>
    <row r="395" spans="2:17" s="35" customFormat="1" ht="12.75">
      <c r="B395" s="37"/>
      <c r="C395" s="38"/>
      <c r="D395" s="186"/>
      <c r="E395" s="39"/>
      <c r="F395" s="34"/>
      <c r="G395" s="124"/>
      <c r="H395" s="187"/>
      <c r="I395" s="139"/>
      <c r="J395" s="39"/>
      <c r="K395" s="39"/>
      <c r="L395" s="188"/>
      <c r="M395" s="39"/>
      <c r="N395" s="184"/>
      <c r="O395" s="39"/>
      <c r="P395" s="39"/>
      <c r="Q395" s="189"/>
    </row>
    <row r="396" spans="2:17" s="35" customFormat="1" ht="12.75">
      <c r="B396" s="37"/>
      <c r="C396" s="38"/>
      <c r="D396" s="186"/>
      <c r="E396" s="39"/>
      <c r="F396" s="34"/>
      <c r="G396" s="124"/>
      <c r="H396" s="187"/>
      <c r="I396" s="139"/>
      <c r="J396" s="39"/>
      <c r="K396" s="39"/>
      <c r="L396" s="188"/>
      <c r="M396" s="39"/>
      <c r="N396" s="184"/>
      <c r="O396" s="39"/>
      <c r="P396" s="39"/>
      <c r="Q396" s="189"/>
    </row>
    <row r="397" spans="2:17" s="35" customFormat="1" ht="12.75">
      <c r="B397" s="37"/>
      <c r="C397" s="38"/>
      <c r="D397" s="186"/>
      <c r="E397" s="39"/>
      <c r="F397" s="34"/>
      <c r="G397" s="124"/>
      <c r="H397" s="187"/>
      <c r="I397" s="139"/>
      <c r="J397" s="39"/>
      <c r="K397" s="39"/>
      <c r="L397" s="188"/>
      <c r="M397" s="39"/>
      <c r="N397" s="184"/>
      <c r="O397" s="39"/>
      <c r="P397" s="39"/>
      <c r="Q397" s="189"/>
    </row>
    <row r="398" spans="2:17" s="35" customFormat="1" ht="12.75">
      <c r="B398" s="37"/>
      <c r="C398" s="38"/>
      <c r="D398" s="186"/>
      <c r="E398" s="39"/>
      <c r="F398" s="34"/>
      <c r="G398" s="124"/>
      <c r="H398" s="187"/>
      <c r="I398" s="139"/>
      <c r="J398" s="39"/>
      <c r="K398" s="39"/>
      <c r="L398" s="188"/>
      <c r="M398" s="39"/>
      <c r="N398" s="184"/>
      <c r="O398" s="39"/>
      <c r="P398" s="39"/>
      <c r="Q398" s="189"/>
    </row>
    <row r="399" spans="2:17" s="35" customFormat="1" ht="12.75">
      <c r="B399" s="37"/>
      <c r="C399" s="38"/>
      <c r="D399" s="186"/>
      <c r="E399" s="39"/>
      <c r="F399" s="34"/>
      <c r="G399" s="124"/>
      <c r="H399" s="187"/>
      <c r="I399" s="139"/>
      <c r="J399" s="39"/>
      <c r="K399" s="39"/>
      <c r="L399" s="188"/>
      <c r="M399" s="39"/>
      <c r="N399" s="184"/>
      <c r="O399" s="39"/>
      <c r="P399" s="39"/>
      <c r="Q399" s="189"/>
    </row>
    <row r="400" spans="2:17" s="35" customFormat="1" ht="12.75">
      <c r="B400" s="37"/>
      <c r="C400" s="38"/>
      <c r="D400" s="186"/>
      <c r="E400" s="39"/>
      <c r="F400" s="34"/>
      <c r="G400" s="124"/>
      <c r="H400" s="187"/>
      <c r="I400" s="139"/>
      <c r="J400" s="39"/>
      <c r="K400" s="39"/>
      <c r="L400" s="188"/>
      <c r="M400" s="39"/>
      <c r="N400" s="184"/>
      <c r="O400" s="39"/>
      <c r="P400" s="39"/>
      <c r="Q400" s="189"/>
    </row>
    <row r="401" spans="2:19" s="35" customFormat="1" ht="12.75">
      <c r="B401" s="37"/>
      <c r="C401" s="38"/>
      <c r="D401" s="186"/>
      <c r="E401" s="39"/>
      <c r="F401" s="34"/>
      <c r="G401" s="124"/>
      <c r="H401" s="187"/>
      <c r="I401" s="139"/>
      <c r="J401" s="39"/>
      <c r="K401" s="39"/>
      <c r="L401" s="188"/>
      <c r="M401" s="39"/>
      <c r="N401" s="184"/>
      <c r="O401" s="39"/>
      <c r="P401" s="39"/>
      <c r="Q401" s="189"/>
    </row>
    <row r="402" spans="2:19" s="35" customFormat="1" ht="12.75">
      <c r="B402" s="37"/>
      <c r="C402" s="38"/>
      <c r="D402" s="186"/>
      <c r="E402" s="39"/>
      <c r="F402" s="34"/>
      <c r="G402" s="124"/>
      <c r="H402" s="187"/>
      <c r="I402" s="139"/>
      <c r="J402" s="39"/>
      <c r="K402" s="39"/>
      <c r="L402" s="188"/>
      <c r="M402" s="39"/>
      <c r="N402" s="184"/>
      <c r="O402" s="39"/>
      <c r="P402" s="39"/>
      <c r="Q402" s="189"/>
    </row>
    <row r="403" spans="2:19" s="35" customFormat="1" ht="12.75">
      <c r="B403" s="37"/>
      <c r="C403" s="38"/>
      <c r="D403" s="186"/>
      <c r="E403" s="39"/>
      <c r="F403" s="34"/>
      <c r="G403" s="124"/>
      <c r="H403" s="187"/>
      <c r="I403" s="139"/>
      <c r="J403" s="39"/>
      <c r="K403" s="39"/>
      <c r="L403" s="188"/>
      <c r="M403" s="39"/>
      <c r="N403" s="184"/>
      <c r="O403" s="39"/>
      <c r="P403" s="39"/>
      <c r="Q403" s="189"/>
    </row>
    <row r="404" spans="2:19" s="35" customFormat="1" ht="12.75">
      <c r="B404" s="37"/>
      <c r="C404" s="38"/>
      <c r="D404" s="186"/>
      <c r="E404" s="39"/>
      <c r="F404" s="34"/>
      <c r="G404" s="124"/>
      <c r="H404" s="187"/>
      <c r="I404" s="139"/>
      <c r="J404" s="39"/>
      <c r="K404" s="39"/>
      <c r="L404" s="188"/>
      <c r="M404" s="39"/>
      <c r="N404" s="184"/>
      <c r="O404" s="39"/>
      <c r="P404" s="39"/>
      <c r="Q404" s="189"/>
    </row>
    <row r="405" spans="2:19" s="35" customFormat="1" ht="12.75">
      <c r="B405" s="37"/>
      <c r="C405" s="38"/>
      <c r="D405" s="186"/>
      <c r="E405" s="39"/>
      <c r="F405" s="34"/>
      <c r="G405" s="124"/>
      <c r="H405" s="187"/>
      <c r="I405" s="139"/>
      <c r="J405" s="39"/>
      <c r="K405" s="39"/>
      <c r="L405" s="188"/>
      <c r="M405" s="39"/>
      <c r="N405" s="184"/>
      <c r="O405" s="39"/>
      <c r="P405" s="39"/>
      <c r="Q405" s="189"/>
    </row>
    <row r="406" spans="2:19" s="35" customFormat="1" ht="12.75">
      <c r="B406" s="37"/>
      <c r="C406" s="38"/>
      <c r="D406" s="186"/>
      <c r="E406" s="39"/>
      <c r="F406" s="34"/>
      <c r="G406" s="124"/>
      <c r="H406" s="187"/>
      <c r="I406" s="139"/>
      <c r="J406" s="39"/>
      <c r="K406" s="39"/>
      <c r="L406" s="188"/>
      <c r="M406" s="39"/>
      <c r="N406" s="184"/>
      <c r="O406" s="39"/>
      <c r="P406" s="39"/>
      <c r="Q406" s="189"/>
    </row>
    <row r="407" spans="2:19" s="35" customFormat="1" ht="12.75">
      <c r="B407" s="37"/>
      <c r="C407" s="38"/>
      <c r="D407" s="186"/>
      <c r="E407" s="39"/>
      <c r="F407" s="34"/>
      <c r="G407" s="124"/>
      <c r="H407" s="187"/>
      <c r="I407" s="139"/>
      <c r="J407" s="39"/>
      <c r="K407" s="39"/>
      <c r="L407" s="188"/>
      <c r="M407" s="39"/>
      <c r="N407" s="184"/>
      <c r="O407" s="39"/>
      <c r="P407" s="39"/>
      <c r="Q407" s="189"/>
    </row>
    <row r="408" spans="2:19" s="35" customFormat="1" ht="18.75">
      <c r="B408" s="408" t="s">
        <v>235</v>
      </c>
      <c r="C408" s="408"/>
      <c r="D408" s="408"/>
      <c r="E408" s="408"/>
      <c r="F408" s="408"/>
      <c r="G408" s="408"/>
      <c r="H408" s="408"/>
      <c r="I408" s="408"/>
      <c r="J408" s="408"/>
      <c r="K408" s="408"/>
      <c r="L408" s="408"/>
      <c r="M408" s="408"/>
      <c r="N408" s="408"/>
      <c r="O408" s="408"/>
      <c r="P408" s="408"/>
      <c r="Q408" s="408"/>
    </row>
    <row r="409" spans="2:19" s="23" customFormat="1" ht="18.75">
      <c r="B409" s="408" t="s">
        <v>234</v>
      </c>
      <c r="C409" s="408"/>
      <c r="D409" s="408"/>
      <c r="E409" s="408"/>
      <c r="F409" s="408"/>
      <c r="G409" s="408"/>
      <c r="H409" s="408"/>
      <c r="I409" s="408"/>
      <c r="J409" s="408"/>
      <c r="K409" s="408"/>
      <c r="L409" s="408"/>
      <c r="M409" s="408"/>
      <c r="N409" s="408"/>
      <c r="O409" s="408"/>
      <c r="P409" s="408"/>
      <c r="Q409" s="408"/>
    </row>
    <row r="410" spans="2:19" s="23" customFormat="1" ht="18.75">
      <c r="B410" s="413" t="s">
        <v>237</v>
      </c>
      <c r="C410" s="413"/>
      <c r="D410" s="413"/>
      <c r="E410" s="413"/>
      <c r="F410" s="413"/>
      <c r="G410" s="413"/>
      <c r="H410" s="413"/>
      <c r="I410" s="413"/>
      <c r="J410" s="413"/>
      <c r="K410" s="413"/>
      <c r="L410" s="413"/>
      <c r="M410" s="413"/>
      <c r="N410" s="413"/>
      <c r="O410" s="413"/>
      <c r="P410" s="413"/>
      <c r="Q410" s="413"/>
    </row>
    <row r="411" spans="2:19" s="23" customFormat="1" ht="15">
      <c r="B411" s="405" t="s">
        <v>0</v>
      </c>
      <c r="C411" s="410" t="s">
        <v>147</v>
      </c>
      <c r="D411" s="411" t="s">
        <v>2</v>
      </c>
      <c r="E411" s="412" t="s">
        <v>3</v>
      </c>
      <c r="F411" s="412" t="s">
        <v>8</v>
      </c>
      <c r="G411" s="405" t="s">
        <v>148</v>
      </c>
      <c r="H411" s="405" t="s">
        <v>149</v>
      </c>
      <c r="I411" s="405"/>
      <c r="J411" s="406" t="s">
        <v>6</v>
      </c>
      <c r="K411" s="407" t="s">
        <v>150</v>
      </c>
      <c r="L411" s="407"/>
      <c r="M411" s="407"/>
      <c r="N411" s="407"/>
      <c r="O411" s="409" t="s">
        <v>151</v>
      </c>
      <c r="P411" s="409"/>
      <c r="Q411" s="405" t="s">
        <v>152</v>
      </c>
    </row>
    <row r="412" spans="2:19" s="24" customFormat="1" ht="15.75" customHeight="1">
      <c r="B412" s="405"/>
      <c r="C412" s="410"/>
      <c r="D412" s="411"/>
      <c r="E412" s="412"/>
      <c r="F412" s="412"/>
      <c r="G412" s="405"/>
      <c r="H412" s="391" t="s">
        <v>153</v>
      </c>
      <c r="I412" s="391" t="s">
        <v>154</v>
      </c>
      <c r="J412" s="406"/>
      <c r="K412" s="390" t="s">
        <v>155</v>
      </c>
      <c r="L412" s="392" t="s">
        <v>155</v>
      </c>
      <c r="M412" s="390" t="s">
        <v>156</v>
      </c>
      <c r="N412" s="392" t="s">
        <v>157</v>
      </c>
      <c r="O412" s="391" t="s">
        <v>158</v>
      </c>
      <c r="P412" s="391" t="s">
        <v>159</v>
      </c>
      <c r="Q412" s="405"/>
    </row>
    <row r="413" spans="2:19" s="24" customFormat="1" ht="38.25">
      <c r="B413" s="28">
        <v>1</v>
      </c>
      <c r="C413" s="29">
        <f>'BIO DATA'!C214</f>
        <v>12461</v>
      </c>
      <c r="D413" s="148" t="str">
        <f>'BIO DATA'!D214</f>
        <v>0142571651</v>
      </c>
      <c r="E413" s="30" t="str">
        <f>'BIO DATA'!E214</f>
        <v>Abid Tsaqif Atha Jati</v>
      </c>
      <c r="F413" s="32" t="str">
        <f>'BIO DATA'!Y214</f>
        <v>SDIT Al-Madinah Kebumen Jawa Tengah</v>
      </c>
      <c r="G413" s="71">
        <f>'BIO DATA'!I214</f>
        <v>1</v>
      </c>
      <c r="H413" s="30" t="str">
        <f>'BIO DATA'!M214</f>
        <v>Yogyakarta</v>
      </c>
      <c r="I413" s="136" t="str">
        <f>'BIO DATA'!P214</f>
        <v>22 Maret 2014</v>
      </c>
      <c r="J413" s="30" t="str">
        <f>'BIO DATA'!S214</f>
        <v>Perumahan Bunga Alam Residence Blok D14 Kebumen Jawa Tengah</v>
      </c>
      <c r="K413" s="30" t="str">
        <f>'BIO DATA'!AB214</f>
        <v>Arianom Jati Pamungkas</v>
      </c>
      <c r="L413" s="149" t="str">
        <f>'BIO DATA'!AG214</f>
        <v>081578781906</v>
      </c>
      <c r="M413" s="147" t="str">
        <f>'BIO DATA'!AI214</f>
        <v>Dian Sinta Anggraini</v>
      </c>
      <c r="N413" s="147" t="str">
        <f>'BIO DATA'!AN214</f>
        <v>08122789934</v>
      </c>
      <c r="O413" s="146" t="str">
        <f>'BIO DATA'!AE214</f>
        <v>Wiraswasta</v>
      </c>
      <c r="P413" s="30" t="str">
        <f>'BIO DATA'!AL214</f>
        <v>Pegawai Swasta</v>
      </c>
      <c r="Q413" s="134" t="s">
        <v>228</v>
      </c>
      <c r="R413" s="8"/>
      <c r="S413" s="8"/>
    </row>
    <row r="414" spans="2:19" s="35" customFormat="1" ht="25.5">
      <c r="B414" s="28">
        <v>2</v>
      </c>
      <c r="C414" s="29">
        <f>'BIO DATA'!C215</f>
        <v>12482</v>
      </c>
      <c r="D414" s="148" t="str">
        <f>'BIO DATA'!D215</f>
        <v>0138780394</v>
      </c>
      <c r="E414" s="30" t="str">
        <f>'BIO DATA'!E215</f>
        <v>Ahza Danish Fahreza</v>
      </c>
      <c r="F414" s="32" t="str">
        <f>'BIO DATA'!Y215</f>
        <v>SD Muh Sokonandi</v>
      </c>
      <c r="G414" s="71">
        <f>'BIO DATA'!I215</f>
        <v>2</v>
      </c>
      <c r="H414" s="30" t="str">
        <f>'BIO DATA'!M215</f>
        <v>Yogyakarta</v>
      </c>
      <c r="I414" s="136" t="str">
        <f>'BIO DATA'!P215</f>
        <v>16 November 2013</v>
      </c>
      <c r="J414" s="30" t="str">
        <f>'BIO DATA'!S215</f>
        <v>Jomblangan RT 12 BLOK C No 20 Banguntapan Bantul DIY</v>
      </c>
      <c r="K414" s="30" t="str">
        <f>'BIO DATA'!AB215</f>
        <v>Sunarto Wakit</v>
      </c>
      <c r="L414" s="149" t="str">
        <f>'BIO DATA'!AG215</f>
        <v>085743038072</v>
      </c>
      <c r="M414" s="147" t="str">
        <f>'BIO DATA'!AI215</f>
        <v>Muthmainah Fajar</v>
      </c>
      <c r="N414" s="147" t="str">
        <f>'BIO DATA'!AN215</f>
        <v>085719552381</v>
      </c>
      <c r="O414" s="146" t="str">
        <f>'BIO DATA'!AE215</f>
        <v>Wiraswasta</v>
      </c>
      <c r="P414" s="30" t="str">
        <f>'BIO DATA'!AL215</f>
        <v>Tidak Bekerja</v>
      </c>
      <c r="Q414" s="134" t="s">
        <v>228</v>
      </c>
    </row>
    <row r="415" spans="2:19" s="35" customFormat="1" ht="25.5">
      <c r="B415" s="28">
        <v>3</v>
      </c>
      <c r="C415" s="29">
        <f>'BIO DATA'!C216</f>
        <v>12483</v>
      </c>
      <c r="D415" s="148" t="str">
        <f>'BIO DATA'!D216</f>
        <v>0142991389</v>
      </c>
      <c r="E415" s="30" t="str">
        <f>'BIO DATA'!E216</f>
        <v>Akhtar Haidar Arief</v>
      </c>
      <c r="F415" s="32" t="str">
        <f>'BIO DATA'!Y216</f>
        <v>SD Negeri 1 Gadingrejo</v>
      </c>
      <c r="G415" s="71">
        <f>'BIO DATA'!I216</f>
        <v>1</v>
      </c>
      <c r="H415" s="30" t="str">
        <f>'BIO DATA'!M216</f>
        <v>Wonosobo</v>
      </c>
      <c r="I415" s="136" t="str">
        <f>'BIO DATA'!P216</f>
        <v>3 April 2014</v>
      </c>
      <c r="J415" s="30" t="str">
        <f>'BIO DATA'!S216</f>
        <v>Kapulogo Tengah Rt 07/ Rw 03, Kapulogo, Kepil, Wonosobo</v>
      </c>
      <c r="K415" s="30" t="str">
        <f>'BIO DATA'!AB216</f>
        <v>Arif Biyanto</v>
      </c>
      <c r="L415" s="149" t="str">
        <f>'BIO DATA'!AG216</f>
        <v>081391042679</v>
      </c>
      <c r="M415" s="147" t="str">
        <f>'BIO DATA'!AI216</f>
        <v>Amin Khoirul Musliana</v>
      </c>
      <c r="N415" s="147" t="str">
        <f>'BIO DATA'!AN216</f>
        <v>085293611700</v>
      </c>
      <c r="O415" s="146" t="str">
        <f>'BIO DATA'!AE216</f>
        <v>Lain-lain</v>
      </c>
      <c r="P415" s="30" t="str">
        <f>'BIO DATA'!AL216</f>
        <v>Guru/Dosen</v>
      </c>
      <c r="Q415" s="134" t="s">
        <v>228</v>
      </c>
    </row>
    <row r="416" spans="2:19" s="35" customFormat="1" ht="39.950000000000003" customHeight="1">
      <c r="B416" s="28">
        <v>4</v>
      </c>
      <c r="C416" s="29">
        <f>'BIO DATA'!C217</f>
        <v>12491</v>
      </c>
      <c r="D416" s="148">
        <f>'BIO DATA'!D217</f>
        <v>3145662291</v>
      </c>
      <c r="E416" s="30" t="str">
        <f>'BIO DATA'!E217</f>
        <v>Andik Dwi Prayoga</v>
      </c>
      <c r="F416" s="32" t="str">
        <f>'BIO DATA'!Y217</f>
        <v>SD Unggulan 'Aisyiyah Pandak</v>
      </c>
      <c r="G416" s="71">
        <f>'BIO DATA'!I217</f>
        <v>1</v>
      </c>
      <c r="H416" s="30" t="str">
        <f>'BIO DATA'!M217</f>
        <v>Bantul</v>
      </c>
      <c r="I416" s="136">
        <f>'BIO DATA'!P217</f>
        <v>41792</v>
      </c>
      <c r="J416" s="30" t="str">
        <f>'BIO DATA'!S217</f>
        <v>Prembulan Rt.18/Rw.08, Pandowan, Galur, Kulonprogo, DI Yogyakarta</v>
      </c>
      <c r="K416" s="30" t="str">
        <f>'BIO DATA'!AB217</f>
        <v>Amir Suprapto</v>
      </c>
      <c r="L416" s="149" t="str">
        <f>'BIO DATA'!AG217</f>
        <v>081229074334</v>
      </c>
      <c r="M416" s="147" t="str">
        <f>'BIO DATA'!AI217</f>
        <v>Suprapti</v>
      </c>
      <c r="N416" s="147" t="str">
        <f>'BIO DATA'!AN217</f>
        <v>081390390057</v>
      </c>
      <c r="O416" s="146" t="str">
        <f>'BIO DATA'!AE217</f>
        <v>Wiraswasta</v>
      </c>
      <c r="P416" s="30" t="str">
        <f>'BIO DATA'!AL217</f>
        <v>Wiraswasta</v>
      </c>
      <c r="Q416" s="134" t="s">
        <v>228</v>
      </c>
    </row>
    <row r="417" spans="2:17" s="35" customFormat="1" ht="38.25">
      <c r="B417" s="28">
        <v>5</v>
      </c>
      <c r="C417" s="29">
        <f>'BIO DATA'!C218</f>
        <v>12514</v>
      </c>
      <c r="D417" s="148">
        <f>'BIO DATA'!D218</f>
        <v>3131203489</v>
      </c>
      <c r="E417" s="30" t="str">
        <f>'BIO DATA'!E218</f>
        <v>Bilal Abdurrohman Sholih</v>
      </c>
      <c r="F417" s="32" t="str">
        <f>'BIO DATA'!Y218</f>
        <v>SDIT Al Muthiin</v>
      </c>
      <c r="G417" s="71">
        <f>'BIO DATA'!I218</f>
        <v>1</v>
      </c>
      <c r="H417" s="30" t="str">
        <f>'BIO DATA'!M218</f>
        <v>Sleman</v>
      </c>
      <c r="I417" s="136" t="str">
        <f>'BIO DATA'!P218</f>
        <v>13 Mei 2013</v>
      </c>
      <c r="J417" s="30" t="str">
        <f>'BIO DATA'!S218</f>
        <v>Maredan RT 004 RW 040 , Sendangtirto Berbah Sleman DIY</v>
      </c>
      <c r="K417" s="30" t="str">
        <f>'BIO DATA'!AB218</f>
        <v>Almarhum Shaleh Achmad S</v>
      </c>
      <c r="L417" s="149" t="str">
        <f>'BIO DATA'!AG218</f>
        <v>089528239705</v>
      </c>
      <c r="M417" s="147" t="str">
        <f>'BIO DATA'!AI218</f>
        <v>Dian Siti Komariyah</v>
      </c>
      <c r="N417" s="147" t="str">
        <f>'BIO DATA'!AN218</f>
        <v>089528239705</v>
      </c>
      <c r="O417" s="146" t="str">
        <f>'BIO DATA'!AE218</f>
        <v>Lain-lain</v>
      </c>
      <c r="P417" s="30" t="str">
        <f>'BIO DATA'!AL218</f>
        <v>Pegawai Swasta</v>
      </c>
      <c r="Q417" s="134" t="s">
        <v>228</v>
      </c>
    </row>
    <row r="418" spans="2:17" s="35" customFormat="1" ht="38.25">
      <c r="B418" s="28">
        <v>6</v>
      </c>
      <c r="C418" s="29">
        <f>'BIO DATA'!C219</f>
        <v>12523</v>
      </c>
      <c r="D418" s="148" t="str">
        <f>'BIO DATA'!D219</f>
        <v>0145961987</v>
      </c>
      <c r="E418" s="30" t="str">
        <f>'BIO DATA'!E219</f>
        <v>Daffa Saad Rafie</v>
      </c>
      <c r="F418" s="32" t="str">
        <f>'BIO DATA'!Y219</f>
        <v>SDIT Al-Amin Kuala Kapuas</v>
      </c>
      <c r="G418" s="71">
        <f>'BIO DATA'!I219</f>
        <v>1</v>
      </c>
      <c r="H418" s="30" t="str">
        <f>'BIO DATA'!M219</f>
        <v>Banjarmasin</v>
      </c>
      <c r="I418" s="136" t="str">
        <f>'BIO DATA'!P219</f>
        <v>10 April 2014</v>
      </c>
      <c r="J418" s="30" t="str">
        <f>'BIO DATA'!S219</f>
        <v>Jalan Melati No 59 RT 29 RW 03 Kel. Selat Tengah Kec. Selat Kuala Kapuas</v>
      </c>
      <c r="K418" s="30" t="str">
        <f>'BIO DATA'!AB219</f>
        <v>Alm Irfan Syarif Wahyudi</v>
      </c>
      <c r="L418" s="149" t="str">
        <f>'BIO DATA'!AG219</f>
        <v>085251512992</v>
      </c>
      <c r="M418" s="147" t="str">
        <f>'BIO DATA'!AI219</f>
        <v>Aulia Madina</v>
      </c>
      <c r="N418" s="147" t="str">
        <f>'BIO DATA'!AN219</f>
        <v>085251512992</v>
      </c>
      <c r="O418" s="146" t="str">
        <f>'BIO DATA'!AE219</f>
        <v>Lain-lain</v>
      </c>
      <c r="P418" s="30" t="str">
        <f>'BIO DATA'!AL219</f>
        <v>Wiraswasta</v>
      </c>
      <c r="Q418" s="134" t="s">
        <v>228</v>
      </c>
    </row>
    <row r="419" spans="2:17" s="35" customFormat="1" ht="38.25">
      <c r="B419" s="28">
        <v>7</v>
      </c>
      <c r="C419" s="29">
        <f>'BIO DATA'!C220</f>
        <v>12524</v>
      </c>
      <c r="D419" s="148" t="str">
        <f>'BIO DATA'!D220</f>
        <v>0149219254</v>
      </c>
      <c r="E419" s="30" t="str">
        <f>'BIO DATA'!E220</f>
        <v>Danendra Athallah Zaheen</v>
      </c>
      <c r="F419" s="32" t="str">
        <f>'BIO DATA'!Y220</f>
        <v>SDIT BIAS Cilacap</v>
      </c>
      <c r="G419" s="71">
        <f>'BIO DATA'!I220</f>
        <v>2</v>
      </c>
      <c r="H419" s="30" t="str">
        <f>'BIO DATA'!M220</f>
        <v>Cilacap</v>
      </c>
      <c r="I419" s="136" t="str">
        <f>'BIO DATA'!P220</f>
        <v>1 Juli 2014</v>
      </c>
      <c r="J419" s="30" t="str">
        <f>'BIO DATA'!S220</f>
        <v>Perumahan Pertamina Donan Jl.Klandasan IV no.71 Cilacap, Jateng 53221</v>
      </c>
      <c r="K419" s="30">
        <f>'BIO DATA'!AB220</f>
        <v>0</v>
      </c>
      <c r="L419" s="149" t="str">
        <f>'BIO DATA'!AG220</f>
        <v>085647711611</v>
      </c>
      <c r="M419" s="147" t="str">
        <f>'BIO DATA'!AI220</f>
        <v>Ayu Wenning Gayatrie</v>
      </c>
      <c r="N419" s="147" t="str">
        <f>'BIO DATA'!AN220</f>
        <v>085647647666</v>
      </c>
      <c r="O419" s="146" t="str">
        <f>'BIO DATA'!AE220</f>
        <v>Lain-lain</v>
      </c>
      <c r="P419" s="30" t="str">
        <f>'BIO DATA'!AL220</f>
        <v>Tidak Bekerja</v>
      </c>
      <c r="Q419" s="134" t="s">
        <v>228</v>
      </c>
    </row>
    <row r="420" spans="2:17" s="35" customFormat="1" ht="25.5">
      <c r="B420" s="28">
        <v>8</v>
      </c>
      <c r="C420" s="29">
        <f>'BIO DATA'!C221</f>
        <v>12533</v>
      </c>
      <c r="D420" s="148" t="str">
        <f>'BIO DATA'!D221</f>
        <v>0143753655</v>
      </c>
      <c r="E420" s="30" t="str">
        <f>'BIO DATA'!E221</f>
        <v>Excellendra Azka Raffaza</v>
      </c>
      <c r="F420" s="32" t="str">
        <f>'BIO DATA'!Y221</f>
        <v>SD Muhamadiyah Sleman</v>
      </c>
      <c r="G420" s="71">
        <f>'BIO DATA'!I221</f>
        <v>1</v>
      </c>
      <c r="H420" s="30" t="str">
        <f>'BIO DATA'!M221</f>
        <v>SLEMAN</v>
      </c>
      <c r="I420" s="136" t="str">
        <f>'BIO DATA'!P221</f>
        <v>30 April 2014</v>
      </c>
      <c r="J420" s="30" t="str">
        <f>'BIO DATA'!S221</f>
        <v>Karangmloko RT 3 RW 18 Sariharjo Ngaglik Sleman DIY</v>
      </c>
      <c r="K420" s="30" t="str">
        <f>'BIO DATA'!AB221</f>
        <v>Kresna Andri Wibowo</v>
      </c>
      <c r="L420" s="149" t="str">
        <f>'BIO DATA'!AG221</f>
        <v>081227505150</v>
      </c>
      <c r="M420" s="147" t="str">
        <f>'BIO DATA'!AI221</f>
        <v>Beti Nur Anggraini</v>
      </c>
      <c r="N420" s="147" t="str">
        <f>'BIO DATA'!AN221</f>
        <v>08112997268</v>
      </c>
      <c r="O420" s="146" t="str">
        <f>'BIO DATA'!AE221</f>
        <v>TNI/Polri</v>
      </c>
      <c r="P420" s="30" t="str">
        <f>'BIO DATA'!AL221</f>
        <v>Wiraswasta</v>
      </c>
      <c r="Q420" s="134" t="s">
        <v>228</v>
      </c>
    </row>
    <row r="421" spans="2:17" s="35" customFormat="1" ht="39.950000000000003" customHeight="1">
      <c r="B421" s="28">
        <v>9</v>
      </c>
      <c r="C421" s="29">
        <f>'BIO DATA'!C222</f>
        <v>12543</v>
      </c>
      <c r="D421" s="148" t="str">
        <f>'BIO DATA'!D222</f>
        <v>0144850481</v>
      </c>
      <c r="E421" s="30" t="str">
        <f>'BIO DATA'!E222</f>
        <v>Fajri Fakhri IW</v>
      </c>
      <c r="F421" s="32" t="str">
        <f>'BIO DATA'!Y222</f>
        <v>SDTQ Al Abidin Surakarta</v>
      </c>
      <c r="G421" s="71">
        <f>'BIO DATA'!I222</f>
        <v>2</v>
      </c>
      <c r="H421" s="30" t="str">
        <f>'BIO DATA'!M222</f>
        <v>Jakarta</v>
      </c>
      <c r="I421" s="136" t="str">
        <f>'BIO DATA'!P222</f>
        <v>9 April 2014</v>
      </c>
      <c r="J421" s="30" t="str">
        <f>'BIO DATA'!S222</f>
        <v>Griya Sakinah 2 / B2 Karanganyar Gedongan Colomadu Karanganyar Jawa Tengah</v>
      </c>
      <c r="K421" s="30" t="str">
        <f>'BIO DATA'!AB222</f>
        <v>Soleh Ismuni</v>
      </c>
      <c r="L421" s="149" t="str">
        <f>'BIO DATA'!AG222</f>
        <v>081218279950</v>
      </c>
      <c r="M421" s="147" t="str">
        <f>'BIO DATA'!AI222</f>
        <v>Bina Sugiyanti</v>
      </c>
      <c r="N421" s="147" t="str">
        <f>'BIO DATA'!AN222</f>
        <v>081226299474</v>
      </c>
      <c r="O421" s="146" t="str">
        <f>'BIO DATA'!AE222</f>
        <v>Pegawai Swasta</v>
      </c>
      <c r="P421" s="30" t="str">
        <f>'BIO DATA'!AL222</f>
        <v>Lain-lain</v>
      </c>
      <c r="Q421" s="134" t="s">
        <v>228</v>
      </c>
    </row>
    <row r="422" spans="2:17" s="35" customFormat="1" ht="44.25" customHeight="1">
      <c r="B422" s="28">
        <v>10</v>
      </c>
      <c r="C422" s="29">
        <f>'BIO DATA'!C223</f>
        <v>12553</v>
      </c>
      <c r="D422" s="148" t="str">
        <f>'BIO DATA'!D223</f>
        <v>0134079176</v>
      </c>
      <c r="E422" s="30" t="str">
        <f>'BIO DATA'!E223</f>
        <v>Fikri Nur Fauzan</v>
      </c>
      <c r="F422" s="32" t="str">
        <f>'BIO DATA'!Y223</f>
        <v>MI Sudirman Munggur</v>
      </c>
      <c r="G422" s="71">
        <f>'BIO DATA'!I223</f>
        <v>1</v>
      </c>
      <c r="H422" s="30" t="str">
        <f>'BIO DATA'!M223</f>
        <v>Karanganyar</v>
      </c>
      <c r="I422" s="136" t="str">
        <f>'BIO DATA'!P223</f>
        <v>21 September 2013</v>
      </c>
      <c r="J422" s="30" t="str">
        <f>'BIO DATA'!S223</f>
        <v>Mlandang Rt 03/06, Kedungjeruk, Mojogedang, Karanganyar Jawa Tengah</v>
      </c>
      <c r="K422" s="30" t="str">
        <f>'BIO DATA'!AB223</f>
        <v>Nuryadi</v>
      </c>
      <c r="L422" s="149">
        <f>'BIO DATA'!AG223</f>
        <v>0</v>
      </c>
      <c r="M422" s="147" t="str">
        <f>'BIO DATA'!AI223</f>
        <v>Aulia Nuriyana, SE</v>
      </c>
      <c r="N422" s="147">
        <f>'BIO DATA'!AN223</f>
        <v>0</v>
      </c>
      <c r="O422" s="146" t="str">
        <f>'BIO DATA'!AE223</f>
        <v>Wiraswasta</v>
      </c>
      <c r="P422" s="30" t="str">
        <f>'BIO DATA'!AL223</f>
        <v>Karyawan Swasta</v>
      </c>
      <c r="Q422" s="134" t="s">
        <v>228</v>
      </c>
    </row>
    <row r="423" spans="2:17" s="35" customFormat="1" ht="39.950000000000003" customHeight="1">
      <c r="B423" s="28">
        <v>11</v>
      </c>
      <c r="C423" s="29">
        <f>'BIO DATA'!C224</f>
        <v>12616</v>
      </c>
      <c r="D423" s="148" t="str">
        <f>'BIO DATA'!D224</f>
        <v>0145768647</v>
      </c>
      <c r="E423" s="30" t="str">
        <f>'BIO DATA'!E224</f>
        <v>Muhammad Alfath Arroyyan</v>
      </c>
      <c r="F423" s="32" t="str">
        <f>'BIO DATA'!Y224</f>
        <v>SDIT Annajiyah</v>
      </c>
      <c r="G423" s="71">
        <f>'BIO DATA'!I224</f>
        <v>2</v>
      </c>
      <c r="H423" s="30" t="str">
        <f>'BIO DATA'!M224</f>
        <v>Sampit</v>
      </c>
      <c r="I423" s="136" t="str">
        <f>'BIO DATA'!P224</f>
        <v>29 Maret 2014</v>
      </c>
      <c r="J423" s="30" t="str">
        <f>'BIO DATA'!S224</f>
        <v>Jln. Dr. Adam Malik Kel. Kuala Pembuang II Kec. Seruyan Hilir Kab. Seruyan Kalimantan Tengah</v>
      </c>
      <c r="K423" s="30" t="str">
        <f>'BIO DATA'!AB224</f>
        <v>Edy Suryono</v>
      </c>
      <c r="L423" s="149" t="str">
        <f>'BIO DATA'!AG224</f>
        <v>085247691010</v>
      </c>
      <c r="M423" s="147" t="str">
        <f>'BIO DATA'!AI224</f>
        <v>Desy Embun Kejora</v>
      </c>
      <c r="N423" s="147" t="str">
        <f>'BIO DATA'!AN224</f>
        <v>085251719666</v>
      </c>
      <c r="O423" s="146" t="str">
        <f>'BIO DATA'!AE224</f>
        <v>PNS</v>
      </c>
      <c r="P423" s="30" t="str">
        <f>'BIO DATA'!AL224</f>
        <v>PNS</v>
      </c>
      <c r="Q423" s="134" t="s">
        <v>228</v>
      </c>
    </row>
    <row r="424" spans="2:17" s="35" customFormat="1" ht="51">
      <c r="B424" s="28">
        <v>12</v>
      </c>
      <c r="C424" s="29">
        <f>'BIO DATA'!C225</f>
        <v>12660</v>
      </c>
      <c r="D424" s="148" t="str">
        <f>'BIO DATA'!D225</f>
        <v>0137161908</v>
      </c>
      <c r="E424" s="30" t="str">
        <f>'BIO DATA'!E225</f>
        <v>Muhammad Ziyad Akhsan</v>
      </c>
      <c r="F424" s="32" t="str">
        <f>'BIO DATA'!Y225</f>
        <v>SD slam Hidayatullah Semarang</v>
      </c>
      <c r="G424" s="71">
        <f>'BIO DATA'!I225</f>
        <v>1</v>
      </c>
      <c r="H424" s="30" t="str">
        <f>'BIO DATA'!M225</f>
        <v>Sleman</v>
      </c>
      <c r="I424" s="136" t="str">
        <f>'BIO DATA'!P225</f>
        <v>27 Maret 2013</v>
      </c>
      <c r="J424" s="30" t="str">
        <f>'BIO DATA'!S225</f>
        <v>Jln Mediatama no.17 Taman Setiabudi Kel. Srondol Wetan Kec. Banyumanik Kota Semarang Jawa Tengah</v>
      </c>
      <c r="K424" s="30" t="str">
        <f>'BIO DATA'!AB225</f>
        <v>Muhammad Royanul Firdaus</v>
      </c>
      <c r="L424" s="149" t="str">
        <f>'BIO DATA'!AG225</f>
        <v>08122889052</v>
      </c>
      <c r="M424" s="147" t="str">
        <f>'BIO DATA'!AI225</f>
        <v>Dwi Hestu Anindita</v>
      </c>
      <c r="N424" s="147" t="str">
        <f>'BIO DATA'!AN225</f>
        <v>08112571318</v>
      </c>
      <c r="O424" s="146" t="str">
        <f>'BIO DATA'!AE225</f>
        <v>PNS</v>
      </c>
      <c r="P424" s="30" t="str">
        <f>'BIO DATA'!AL225</f>
        <v>PNS</v>
      </c>
      <c r="Q424" s="134" t="s">
        <v>228</v>
      </c>
    </row>
    <row r="425" spans="2:17" s="35" customFormat="1" ht="38.25">
      <c r="B425" s="28">
        <v>13</v>
      </c>
      <c r="C425" s="29">
        <f>'BIO DATA'!C226</f>
        <v>12666</v>
      </c>
      <c r="D425" s="148">
        <f>'BIO DATA'!D226</f>
        <v>3149343910</v>
      </c>
      <c r="E425" s="30" t="str">
        <f>'BIO DATA'!E226</f>
        <v>Nara Ganindhira Albar</v>
      </c>
      <c r="F425" s="32" t="str">
        <f>'BIO DATA'!Y226</f>
        <v>SD Negeri 1 Wanareja</v>
      </c>
      <c r="G425" s="71">
        <f>'BIO DATA'!I226</f>
        <v>1</v>
      </c>
      <c r="H425" s="30" t="str">
        <f>'BIO DATA'!M226</f>
        <v>Brebes</v>
      </c>
      <c r="I425" s="136" t="str">
        <f>'BIO DATA'!P226</f>
        <v>2 April 2014</v>
      </c>
      <c r="J425" s="30" t="str">
        <f>'BIO DATA'!S226</f>
        <v>RT 1 RW 1 Desa Wanareja Kec Sirampog Kab Brebes Jawa Tengah 52272</v>
      </c>
      <c r="K425" s="30" t="str">
        <f>'BIO DATA'!AB226</f>
        <v>Suryo Albar</v>
      </c>
      <c r="L425" s="149" t="str">
        <f>'BIO DATA'!AG226</f>
        <v>085292255551</v>
      </c>
      <c r="M425" s="147" t="str">
        <f>'BIO DATA'!AI226</f>
        <v>Wanti Widyastuti</v>
      </c>
      <c r="N425" s="147" t="str">
        <f>'BIO DATA'!AN226</f>
        <v>085290898235</v>
      </c>
      <c r="O425" s="146" t="str">
        <f>'BIO DATA'!AE226</f>
        <v>Pegawai Swasta</v>
      </c>
      <c r="P425" s="30" t="str">
        <f>'BIO DATA'!AL226</f>
        <v>Tidak Bekerja</v>
      </c>
      <c r="Q425" s="134" t="s">
        <v>228</v>
      </c>
    </row>
    <row r="426" spans="2:17" s="35" customFormat="1" ht="25.5">
      <c r="B426" s="28">
        <v>14</v>
      </c>
      <c r="C426" s="29">
        <f>'BIO DATA'!C227</f>
        <v>12673</v>
      </c>
      <c r="D426" s="148" t="str">
        <f>'BIO DATA'!D227</f>
        <v>0202101751</v>
      </c>
      <c r="E426" s="30" t="str">
        <f>'BIO DATA'!E227</f>
        <v>Pangkala Fiqra El Ghazali</v>
      </c>
      <c r="F426" s="32" t="str">
        <f>'BIO DATA'!Y227</f>
        <v>SD Muhammadiyah 1 Cileungsi</v>
      </c>
      <c r="G426" s="71">
        <f>'BIO DATA'!I227</f>
        <v>1</v>
      </c>
      <c r="H426" s="30" t="str">
        <f>'BIO DATA'!M227</f>
        <v>Bogor</v>
      </c>
      <c r="I426" s="136" t="str">
        <f>'BIO DATA'!P227</f>
        <v>13 Juni 2013</v>
      </c>
      <c r="J426" s="30" t="str">
        <f>'BIO DATA'!S227</f>
        <v>Metland Transyogi Cluster Samara Blok TJXIB 09</v>
      </c>
      <c r="K426" s="30" t="str">
        <f>'BIO DATA'!AB227</f>
        <v>Agung Rahmat Gunawan</v>
      </c>
      <c r="L426" s="149" t="str">
        <f>'BIO DATA'!AG227</f>
        <v>081350505806</v>
      </c>
      <c r="M426" s="147" t="str">
        <f>'BIO DATA'!AI227</f>
        <v>Arissa</v>
      </c>
      <c r="N426" s="147" t="str">
        <f>'BIO DATA'!AN227</f>
        <v>082124163166</v>
      </c>
      <c r="O426" s="146" t="str">
        <f>'BIO DATA'!AE227</f>
        <v>Wiraswasta</v>
      </c>
      <c r="P426" s="30" t="str">
        <f>'BIO DATA'!AL227</f>
        <v>Tidak Bekerja</v>
      </c>
      <c r="Q426" s="134" t="s">
        <v>228</v>
      </c>
    </row>
    <row r="427" spans="2:17" s="35" customFormat="1" ht="38.25">
      <c r="B427" s="28">
        <v>15</v>
      </c>
      <c r="C427" s="29">
        <f>'BIO DATA'!C228</f>
        <v>12675</v>
      </c>
      <c r="D427" s="148" t="str">
        <f>'BIO DATA'!D228</f>
        <v>0142828531</v>
      </c>
      <c r="E427" s="30" t="str">
        <f>'BIO DATA'!E228</f>
        <v>Pramudya Achsan Kamil</v>
      </c>
      <c r="F427" s="32" t="str">
        <f>'BIO DATA'!Y228</f>
        <v>SD Muhammadiyah Karangkajen Yogyakarta</v>
      </c>
      <c r="G427" s="71">
        <f>'BIO DATA'!I228</f>
        <v>1</v>
      </c>
      <c r="H427" s="30" t="str">
        <f>'BIO DATA'!M228</f>
        <v>Yogyakarta</v>
      </c>
      <c r="I427" s="136" t="str">
        <f>'BIO DATA'!P228</f>
        <v>18 Februari 2014</v>
      </c>
      <c r="J427" s="30" t="str">
        <f>'BIO DATA'!S228</f>
        <v>Niten DK X RT 006 Tirtonirmolo Kasihan Bantul DIY</v>
      </c>
      <c r="K427" s="30" t="str">
        <f>'BIO DATA'!AB228</f>
        <v>Syaiful Harjanto</v>
      </c>
      <c r="L427" s="149" t="str">
        <f>'BIO DATA'!AG228</f>
        <v>081386574757</v>
      </c>
      <c r="M427" s="147" t="str">
        <f>'BIO DATA'!AI228</f>
        <v>Anna Kurniawati</v>
      </c>
      <c r="N427" s="147" t="str">
        <f>'BIO DATA'!AN228</f>
        <v>085225529409</v>
      </c>
      <c r="O427" s="146" t="str">
        <f>'BIO DATA'!AE228</f>
        <v>PNS</v>
      </c>
      <c r="P427" s="30" t="str">
        <f>'BIO DATA'!AL228</f>
        <v>PNS</v>
      </c>
      <c r="Q427" s="134" t="s">
        <v>228</v>
      </c>
    </row>
    <row r="428" spans="2:17" s="35" customFormat="1" ht="51">
      <c r="B428" s="28">
        <v>16</v>
      </c>
      <c r="C428" s="29">
        <f>'BIO DATA'!C229</f>
        <v>12682</v>
      </c>
      <c r="D428" s="148" t="str">
        <f>'BIO DATA'!D229</f>
        <v>0131563783</v>
      </c>
      <c r="E428" s="30" t="str">
        <f>'BIO DATA'!E229</f>
        <v>Rafa Ulil Azmi</v>
      </c>
      <c r="F428" s="32" t="str">
        <f>'BIO DATA'!Y229</f>
        <v>SD Muhammadiyah 30 Poris Jaya</v>
      </c>
      <c r="G428" s="71">
        <f>'BIO DATA'!I229</f>
        <v>1</v>
      </c>
      <c r="H428" s="30" t="str">
        <f>'BIO DATA'!M229</f>
        <v>Tangerang</v>
      </c>
      <c r="I428" s="136" t="str">
        <f>'BIO DATA'!P229</f>
        <v>2 Mei 2013</v>
      </c>
      <c r="J428" s="30" t="str">
        <f>'BIO DATA'!S229</f>
        <v>Jl. KH Maulana Hasanudin Gg. Gudig 2 RT 07/01 No.15 Kel. Cipondoh Kec.Cipondoh Kota Tangerang - Banten</v>
      </c>
      <c r="K428" s="30" t="str">
        <f>'BIO DATA'!AB229</f>
        <v>Daryatmo</v>
      </c>
      <c r="L428" s="149" t="str">
        <f>'BIO DATA'!AG229</f>
        <v>081333317012</v>
      </c>
      <c r="M428" s="147" t="str">
        <f>'BIO DATA'!AI229</f>
        <v>Yusriati Istiqomah</v>
      </c>
      <c r="N428" s="147" t="str">
        <f>'BIO DATA'!AN229</f>
        <v>08974178512</v>
      </c>
      <c r="O428" s="146" t="str">
        <f>'BIO DATA'!AE229</f>
        <v>Lain-lain</v>
      </c>
      <c r="P428" s="30" t="str">
        <f>'BIO DATA'!AL229</f>
        <v>PNS</v>
      </c>
      <c r="Q428" s="134" t="s">
        <v>228</v>
      </c>
    </row>
    <row r="429" spans="2:17" s="35" customFormat="1" ht="38.25">
      <c r="B429" s="28">
        <v>17</v>
      </c>
      <c r="C429" s="29">
        <f>'BIO DATA'!C230</f>
        <v>12688</v>
      </c>
      <c r="D429" s="148" t="str">
        <f>'BIO DATA'!D230</f>
        <v>0134571342</v>
      </c>
      <c r="E429" s="30" t="str">
        <f>'BIO DATA'!E230</f>
        <v>Rangga prasetyo anandika</v>
      </c>
      <c r="F429" s="32">
        <f>'BIO DATA'!Y230</f>
        <v>0</v>
      </c>
      <c r="G429" s="71">
        <f>'BIO DATA'!I230</f>
        <v>1</v>
      </c>
      <c r="H429" s="30" t="str">
        <f>'BIO DATA'!M230</f>
        <v>Bima</v>
      </c>
      <c r="I429" s="136" t="str">
        <f>'BIO DATA'!P230</f>
        <v>30 September 2013</v>
      </c>
      <c r="J429" s="30" t="str">
        <f>'BIO DATA'!S230</f>
        <v>Jl. Letjen Sutoyo No. 5 RT 001 RW 016 Mojosongo Jebres Kota Surakarta Jawa Tengah 57127</v>
      </c>
      <c r="K429" s="30" t="str">
        <f>'BIO DATA'!AB230</f>
        <v>Wahyudin</v>
      </c>
      <c r="L429" s="149" t="str">
        <f>'BIO DATA'!AG230</f>
        <v>082322606116</v>
      </c>
      <c r="M429" s="147" t="str">
        <f>'BIO DATA'!AI230</f>
        <v>Bentika Sukmawati</v>
      </c>
      <c r="N429" s="147" t="str">
        <f>'BIO DATA'!AN230</f>
        <v>085336562516</v>
      </c>
      <c r="O429" s="146" t="str">
        <f>'BIO DATA'!AE230</f>
        <v>Notaris</v>
      </c>
      <c r="P429" s="30" t="str">
        <f>'BIO DATA'!AL230</f>
        <v>Ibu Rumah Tangga</v>
      </c>
      <c r="Q429" s="134" t="s">
        <v>228</v>
      </c>
    </row>
    <row r="430" spans="2:17" s="35" customFormat="1" ht="55.5" customHeight="1">
      <c r="B430" s="28">
        <v>18</v>
      </c>
      <c r="C430" s="29">
        <f>'BIO DATA'!C231</f>
        <v>12691</v>
      </c>
      <c r="D430" s="148" t="str">
        <f>'BIO DATA'!D231</f>
        <v>0139602445</v>
      </c>
      <c r="E430" s="30" t="str">
        <f>'BIO DATA'!E231</f>
        <v>Raufa Arkhan Akhtara</v>
      </c>
      <c r="F430" s="32" t="str">
        <f>'BIO DATA'!Y231</f>
        <v>SD Daarut Tauhiid</v>
      </c>
      <c r="G430" s="71">
        <f>'BIO DATA'!I231</f>
        <v>2</v>
      </c>
      <c r="H430" s="30" t="str">
        <f>'BIO DATA'!M231</f>
        <v>Bandung</v>
      </c>
      <c r="I430" s="136" t="str">
        <f>'BIO DATA'!P231</f>
        <v>28 Juli 2013</v>
      </c>
      <c r="J430" s="30" t="str">
        <f>'BIO DATA'!S231</f>
        <v>Kavling UPI, Jl. Sukamulya Endah IV Nomor 1 RT 2 RW 3 Kampung Sukamulya Cihideung Parongpong Bandung Barat Jawa Barat</v>
      </c>
      <c r="K430" s="30" t="str">
        <f>'BIO DATA'!AB231</f>
        <v>Yudi Yanuar</v>
      </c>
      <c r="L430" s="149" t="str">
        <f>'BIO DATA'!AG231</f>
        <v>08568585595</v>
      </c>
      <c r="M430" s="147" t="str">
        <f>'BIO DATA'!AI231</f>
        <v>Puri Andarini</v>
      </c>
      <c r="N430" s="147" t="str">
        <f>'BIO DATA'!AN231</f>
        <v>085695088544</v>
      </c>
      <c r="O430" s="146" t="str">
        <f>'BIO DATA'!AE231</f>
        <v>PNS</v>
      </c>
      <c r="P430" s="30" t="str">
        <f>'BIO DATA'!AL231</f>
        <v>PNS</v>
      </c>
      <c r="Q430" s="134" t="s">
        <v>228</v>
      </c>
    </row>
    <row r="431" spans="2:17" s="35" customFormat="1" ht="12.75">
      <c r="B431" s="373"/>
      <c r="C431" s="374"/>
      <c r="D431" s="375"/>
      <c r="E431" s="376"/>
      <c r="F431" s="394"/>
      <c r="G431" s="377"/>
      <c r="H431" s="376"/>
      <c r="I431" s="378"/>
      <c r="J431" s="376"/>
      <c r="K431" s="376"/>
      <c r="L431" s="393"/>
      <c r="M431" s="379"/>
      <c r="N431" s="379"/>
      <c r="O431" s="395"/>
      <c r="P431" s="376"/>
      <c r="Q431" s="380"/>
    </row>
    <row r="432" spans="2:17" s="35" customFormat="1" ht="18.75" customHeight="1">
      <c r="B432" s="408" t="s">
        <v>236</v>
      </c>
      <c r="C432" s="408"/>
      <c r="D432" s="408"/>
      <c r="E432" s="408"/>
      <c r="F432" s="408"/>
      <c r="G432" s="408"/>
      <c r="H432" s="408"/>
      <c r="I432" s="408"/>
      <c r="J432" s="408"/>
      <c r="K432" s="408"/>
      <c r="L432" s="408"/>
      <c r="M432" s="408"/>
      <c r="N432" s="408"/>
      <c r="O432" s="408"/>
      <c r="P432" s="408"/>
      <c r="Q432" s="408"/>
    </row>
    <row r="433" spans="2:17" s="35" customFormat="1" ht="19.5" customHeight="1">
      <c r="B433" s="408" t="s">
        <v>234</v>
      </c>
      <c r="C433" s="408"/>
      <c r="D433" s="408"/>
      <c r="E433" s="408"/>
      <c r="F433" s="408"/>
      <c r="G433" s="408"/>
      <c r="H433" s="408"/>
      <c r="I433" s="408"/>
      <c r="J433" s="408"/>
      <c r="K433" s="408"/>
      <c r="L433" s="408"/>
      <c r="M433" s="408"/>
      <c r="N433" s="408"/>
      <c r="O433" s="408"/>
      <c r="P433" s="408"/>
      <c r="Q433" s="408"/>
    </row>
    <row r="434" spans="2:17" s="35" customFormat="1" ht="15" customHeight="1">
      <c r="B434" s="413" t="s">
        <v>237</v>
      </c>
      <c r="C434" s="413"/>
      <c r="D434" s="413"/>
      <c r="E434" s="413"/>
      <c r="F434" s="413"/>
      <c r="G434" s="413"/>
      <c r="H434" s="413"/>
      <c r="I434" s="413"/>
      <c r="J434" s="413"/>
      <c r="K434" s="413"/>
      <c r="L434" s="413"/>
      <c r="M434" s="413"/>
      <c r="N434" s="413"/>
      <c r="O434" s="413"/>
      <c r="P434" s="413"/>
      <c r="Q434" s="413"/>
    </row>
    <row r="435" spans="2:17" s="35" customFormat="1" ht="12.75">
      <c r="B435" s="405" t="s">
        <v>0</v>
      </c>
      <c r="C435" s="410" t="s">
        <v>147</v>
      </c>
      <c r="D435" s="411" t="s">
        <v>2</v>
      </c>
      <c r="E435" s="412" t="s">
        <v>3</v>
      </c>
      <c r="F435" s="412" t="s">
        <v>8</v>
      </c>
      <c r="G435" s="405" t="s">
        <v>148</v>
      </c>
      <c r="H435" s="405" t="s">
        <v>149</v>
      </c>
      <c r="I435" s="405"/>
      <c r="J435" s="406" t="s">
        <v>6</v>
      </c>
      <c r="K435" s="407" t="s">
        <v>150</v>
      </c>
      <c r="L435" s="407"/>
      <c r="M435" s="407"/>
      <c r="N435" s="407"/>
      <c r="O435" s="409" t="s">
        <v>151</v>
      </c>
      <c r="P435" s="409"/>
      <c r="Q435" s="405" t="s">
        <v>152</v>
      </c>
    </row>
    <row r="436" spans="2:17" s="35" customFormat="1" ht="12.75">
      <c r="B436" s="405"/>
      <c r="C436" s="410"/>
      <c r="D436" s="411"/>
      <c r="E436" s="412"/>
      <c r="F436" s="412"/>
      <c r="G436" s="405"/>
      <c r="H436" s="391" t="s">
        <v>153</v>
      </c>
      <c r="I436" s="391" t="s">
        <v>154</v>
      </c>
      <c r="J436" s="406"/>
      <c r="K436" s="390" t="s">
        <v>155</v>
      </c>
      <c r="L436" s="392" t="s">
        <v>155</v>
      </c>
      <c r="M436" s="390" t="s">
        <v>156</v>
      </c>
      <c r="N436" s="392" t="s">
        <v>157</v>
      </c>
      <c r="O436" s="391" t="s">
        <v>158</v>
      </c>
      <c r="P436" s="391" t="s">
        <v>159</v>
      </c>
      <c r="Q436" s="405"/>
    </row>
    <row r="437" spans="2:17" s="35" customFormat="1" ht="38.25">
      <c r="B437" s="28">
        <v>1</v>
      </c>
      <c r="C437" s="29">
        <f>'BIO DATA'!C232</f>
        <v>12462</v>
      </c>
      <c r="D437" s="151" t="str">
        <f>'BIO DATA'!D232</f>
        <v>0135087807</v>
      </c>
      <c r="E437" s="30" t="str">
        <f>'BIO DATA'!E232</f>
        <v>Abimantrana Keitaro Jevera</v>
      </c>
      <c r="F437" s="31" t="str">
        <f>'BIO DATA'!Y232</f>
        <v>Sdit Salsabila Klaseman</v>
      </c>
      <c r="G437" s="71">
        <f>'BIO DATA'!I232</f>
        <v>1</v>
      </c>
      <c r="H437" s="122" t="str">
        <f>'BIO DATA'!M232</f>
        <v>Temanggung</v>
      </c>
      <c r="I437" s="136" t="str">
        <f>'BIO DATA'!P232</f>
        <v>1 Maret 2013</v>
      </c>
      <c r="J437" s="30" t="str">
        <f>'BIO DATA'!S232</f>
        <v>Perum Banteng 3 jalan Argopuro no 45 Manukan Condong Catur Sleman Yogyakarta</v>
      </c>
      <c r="K437" s="147" t="str">
        <f>'BIO DATA'!AB232</f>
        <v>Abimanyu Agung Nugroho</v>
      </c>
      <c r="L437" s="147" t="str">
        <f>'BIO DATA'!AG232</f>
        <v>0895630461499</v>
      </c>
      <c r="M437" s="30" t="str">
        <f>'BIO DATA'!AI232</f>
        <v>Susi Wahyu Aristiyani</v>
      </c>
      <c r="N437" s="147" t="str">
        <f>'BIO DATA'!AN232</f>
        <v>089519401341</v>
      </c>
      <c r="O437" s="183" t="str">
        <f>'BIO DATA'!AE232</f>
        <v>Wiraswasta</v>
      </c>
      <c r="P437" s="30" t="str">
        <f>'BIO DATA'!AL232</f>
        <v>Wiraswasta</v>
      </c>
      <c r="Q437" s="134" t="s">
        <v>228</v>
      </c>
    </row>
    <row r="438" spans="2:17" s="35" customFormat="1" ht="38.25">
      <c r="B438" s="28">
        <v>2</v>
      </c>
      <c r="C438" s="29">
        <f>'BIO DATA'!C233</f>
        <v>12471</v>
      </c>
      <c r="D438" s="151">
        <f>'BIO DATA'!D233</f>
        <v>3140774931</v>
      </c>
      <c r="E438" s="30" t="str">
        <f>'BIO DATA'!E233</f>
        <v>Agha Faeyza El Rafif</v>
      </c>
      <c r="F438" s="31" t="str">
        <f>'BIO DATA'!Y233</f>
        <v>SD Muhammadiyah 12 Pamulang</v>
      </c>
      <c r="G438" s="71">
        <f>'BIO DATA'!I233</f>
        <v>1</v>
      </c>
      <c r="H438" s="122" t="str">
        <f>'BIO DATA'!M233</f>
        <v>Tangerang</v>
      </c>
      <c r="I438" s="136" t="str">
        <f>'BIO DATA'!P233</f>
        <v>20 Mei 2014</v>
      </c>
      <c r="J438" s="30" t="str">
        <f>'BIO DATA'!S233</f>
        <v>Green Serua Residence Blok F2 Serua Ciputat Kota Tangerang Selatan Banten</v>
      </c>
      <c r="K438" s="147" t="str">
        <f>'BIO DATA'!AB233</f>
        <v>Chairudin</v>
      </c>
      <c r="L438" s="147" t="str">
        <f>'BIO DATA'!AG233</f>
        <v>08113030344</v>
      </c>
      <c r="M438" s="30" t="str">
        <f>'BIO DATA'!AI233</f>
        <v>Febyari Nurhayati Sofyan</v>
      </c>
      <c r="N438" s="147" t="str">
        <f>'BIO DATA'!AN233</f>
        <v>08113030355</v>
      </c>
      <c r="O438" s="183" t="str">
        <f>'BIO DATA'!AE233</f>
        <v>Pegawai Swasta</v>
      </c>
      <c r="P438" s="30" t="str">
        <f>'BIO DATA'!AL233</f>
        <v>Tidak Bekerja</v>
      </c>
      <c r="Q438" s="134" t="s">
        <v>228</v>
      </c>
    </row>
    <row r="439" spans="2:17" s="35" customFormat="1" ht="38.25">
      <c r="B439" s="28">
        <v>3</v>
      </c>
      <c r="C439" s="29">
        <f>'BIO DATA'!C234</f>
        <v>12504</v>
      </c>
      <c r="D439" s="151" t="str">
        <f>'BIO DATA'!D234</f>
        <v>013901281</v>
      </c>
      <c r="E439" s="30" t="str">
        <f>'BIO DATA'!E234</f>
        <v>Athiillaah Andharu Fatah</v>
      </c>
      <c r="F439" s="31" t="str">
        <f>'BIO DATA'!Y234</f>
        <v>SD Muhammadiyah 2 Alternatif Kota Magelang</v>
      </c>
      <c r="G439" s="71">
        <f>'BIO DATA'!I234</f>
        <v>1</v>
      </c>
      <c r="H439" s="122" t="str">
        <f>'BIO DATA'!M234</f>
        <v>Sleman</v>
      </c>
      <c r="I439" s="136" t="str">
        <f>'BIO DATA'!P234</f>
        <v>6 April 2013</v>
      </c>
      <c r="J439" s="30" t="str">
        <f>'BIO DATA'!S234</f>
        <v>Dsn. Jomblang RT001/RW009, Jl. H. Abu BakrinKec. Secang, Magelang, Jawa Tengah 56195</v>
      </c>
      <c r="K439" s="147" t="str">
        <f>'BIO DATA'!AB234</f>
        <v>Sugeng Budi Solihan</v>
      </c>
      <c r="L439" s="147" t="str">
        <f>'BIO DATA'!AG234</f>
        <v>081317101353</v>
      </c>
      <c r="M439" s="30" t="str">
        <f>'BIO DATA'!AI234</f>
        <v>Idha Nurhayati</v>
      </c>
      <c r="N439" s="147" t="str">
        <f>'BIO DATA'!AN234</f>
        <v>081227759702</v>
      </c>
      <c r="O439" s="183" t="str">
        <f>'BIO DATA'!AE234</f>
        <v>Pegawai Swasta</v>
      </c>
      <c r="P439" s="30" t="str">
        <f>'BIO DATA'!AL234</f>
        <v>Wiraswasta</v>
      </c>
      <c r="Q439" s="134" t="s">
        <v>228</v>
      </c>
    </row>
    <row r="440" spans="2:17" s="35" customFormat="1" ht="25.5">
      <c r="B440" s="28">
        <v>4</v>
      </c>
      <c r="C440" s="29">
        <f>'BIO DATA'!C235</f>
        <v>12522</v>
      </c>
      <c r="D440" s="151" t="str">
        <f>'BIO DATA'!D235</f>
        <v>0135763892</v>
      </c>
      <c r="E440" s="30" t="str">
        <f>'BIO DATA'!E235</f>
        <v>Daffa Mibras Ghosan</v>
      </c>
      <c r="F440" s="31" t="str">
        <f>'BIO DATA'!Y235</f>
        <v>SD MBF Al Adzkiya wonosobo</v>
      </c>
      <c r="G440" s="71">
        <f>'BIO DATA'!I235</f>
        <v>2</v>
      </c>
      <c r="H440" s="122" t="str">
        <f>'BIO DATA'!M235</f>
        <v>Wonosobo</v>
      </c>
      <c r="I440" s="136" t="str">
        <f>'BIO DATA'!P235</f>
        <v>12 September 2013</v>
      </c>
      <c r="J440" s="30" t="str">
        <f>'BIO DATA'!S235</f>
        <v>Garung rt 14 rw 05 butuh kalikajar Wonosobo Jawa Tengah</v>
      </c>
      <c r="K440" s="147" t="str">
        <f>'BIO DATA'!AB235</f>
        <v>Edy Kuswoyo</v>
      </c>
      <c r="L440" s="147" t="str">
        <f>'BIO DATA'!AG235</f>
        <v>081392118821</v>
      </c>
      <c r="M440" s="30" t="str">
        <f>'BIO DATA'!AI235</f>
        <v>Efi Novarita</v>
      </c>
      <c r="N440" s="147" t="str">
        <f>'BIO DATA'!AN235</f>
        <v>081327575683</v>
      </c>
      <c r="O440" s="183" t="str">
        <f>'BIO DATA'!AE235</f>
        <v>Pegawai Swasta</v>
      </c>
      <c r="P440" s="30" t="str">
        <f>'BIO DATA'!AL235</f>
        <v>Wiraswasta</v>
      </c>
      <c r="Q440" s="134" t="s">
        <v>228</v>
      </c>
    </row>
    <row r="441" spans="2:17" s="35" customFormat="1" ht="25.5">
      <c r="B441" s="28">
        <v>5</v>
      </c>
      <c r="C441" s="29">
        <f>'BIO DATA'!C236</f>
        <v>12546</v>
      </c>
      <c r="D441" s="151" t="str">
        <f>'BIO DATA'!D236</f>
        <v>0138894469</v>
      </c>
      <c r="E441" s="30" t="str">
        <f>'BIO DATA'!E236</f>
        <v>Fardan Althaf Firdausi</v>
      </c>
      <c r="F441" s="31" t="str">
        <f>'BIO DATA'!Y236</f>
        <v>Bina Anak Soleh (BIAS) Muntilan</v>
      </c>
      <c r="G441" s="71">
        <f>'BIO DATA'!I236</f>
        <v>2</v>
      </c>
      <c r="H441" s="122" t="str">
        <f>'BIO DATA'!M236</f>
        <v>Magelang</v>
      </c>
      <c r="I441" s="136" t="str">
        <f>'BIO DATA'!P236</f>
        <v>25 Desember 2013</v>
      </c>
      <c r="J441" s="30" t="str">
        <f>'BIO DATA'!S236</f>
        <v>Karaharjan Gunungpring Muntilan Magelang</v>
      </c>
      <c r="K441" s="147" t="str">
        <f>'BIO DATA'!AB236</f>
        <v>Muhammad Husni Sholikhin</v>
      </c>
      <c r="L441" s="147" t="str">
        <f>'BIO DATA'!AG236</f>
        <v>085728111551</v>
      </c>
      <c r="M441" s="30" t="str">
        <f>'BIO DATA'!AI236</f>
        <v>Citra Ningrum Agustina</v>
      </c>
      <c r="N441" s="147" t="str">
        <f>'BIO DATA'!AN236</f>
        <v>081210167778</v>
      </c>
      <c r="O441" s="183" t="str">
        <f>'BIO DATA'!AE236</f>
        <v>Pegawai Swasta</v>
      </c>
      <c r="P441" s="30" t="str">
        <f>'BIO DATA'!AL236</f>
        <v>Pegawai Swasta</v>
      </c>
      <c r="Q441" s="134" t="s">
        <v>228</v>
      </c>
    </row>
    <row r="442" spans="2:17" s="35" customFormat="1" ht="38.25">
      <c r="B442" s="28">
        <v>6</v>
      </c>
      <c r="C442" s="29">
        <f>'BIO DATA'!C237</f>
        <v>12555</v>
      </c>
      <c r="D442" s="151" t="str">
        <f>'BIO DATA'!D237</f>
        <v>0131528503</v>
      </c>
      <c r="E442" s="30" t="str">
        <f>'BIO DATA'!E237</f>
        <v>Gaza Raditya Sagoro</v>
      </c>
      <c r="F442" s="31" t="str">
        <f>'BIO DATA'!Y237</f>
        <v>SD Adzkia Banjarnegara</v>
      </c>
      <c r="G442" s="71">
        <f>'BIO DATA'!I237</f>
        <v>2</v>
      </c>
      <c r="H442" s="122" t="str">
        <f>'BIO DATA'!M237</f>
        <v>Banyumas</v>
      </c>
      <c r="I442" s="136" t="str">
        <f>'BIO DATA'!P237</f>
        <v>26 Agustus 2013</v>
      </c>
      <c r="J442" s="30" t="str">
        <f>'BIO DATA'!S237</f>
        <v>Perum Limbangan Baru Jl Sedap Malam No 1 Sokanandi Banjarnegara Jawa Tengah</v>
      </c>
      <c r="K442" s="147" t="str">
        <f>'BIO DATA'!AB237</f>
        <v>Heryudhanto Sagoro</v>
      </c>
      <c r="L442" s="147" t="str">
        <f>'BIO DATA'!AG237</f>
        <v>081226652886</v>
      </c>
      <c r="M442" s="30" t="str">
        <f>'BIO DATA'!AI237</f>
        <v>Ari Eka Fisri</v>
      </c>
      <c r="N442" s="147" t="str">
        <f>'BIO DATA'!AN237</f>
        <v>08122759752</v>
      </c>
      <c r="O442" s="183" t="str">
        <f>'BIO DATA'!AE237</f>
        <v>Lain-lain</v>
      </c>
      <c r="P442" s="30" t="str">
        <f>'BIO DATA'!AL237</f>
        <v>PNS</v>
      </c>
      <c r="Q442" s="134" t="s">
        <v>228</v>
      </c>
    </row>
    <row r="443" spans="2:17" s="23" customFormat="1" ht="38.25">
      <c r="B443" s="28">
        <v>7</v>
      </c>
      <c r="C443" s="29">
        <f>'BIO DATA'!C238</f>
        <v>12563</v>
      </c>
      <c r="D443" s="151" t="str">
        <f>'BIO DATA'!D238</f>
        <v>0148519799</v>
      </c>
      <c r="E443" s="30" t="str">
        <f>'BIO DATA'!E238</f>
        <v>Haldis Ghazain Rafay Arif</v>
      </c>
      <c r="F443" s="31" t="str">
        <f>'BIO DATA'!Y238</f>
        <v>SD Muhammadiyah Kota Madiun</v>
      </c>
      <c r="G443" s="71">
        <f>'BIO DATA'!I238</f>
        <v>1</v>
      </c>
      <c r="H443" s="122" t="str">
        <f>'BIO DATA'!M238</f>
        <v>Kota Madiun</v>
      </c>
      <c r="I443" s="136" t="str">
        <f>'BIO DATA'!P238</f>
        <v>9 Maret 2014</v>
      </c>
      <c r="J443" s="30" t="str">
        <f>'BIO DATA'!S238</f>
        <v>Perum Omah Banjar A3 Banjarejo Kecamatan Taman Kota Madiun Jawa Timur</v>
      </c>
      <c r="K443" s="147" t="str">
        <f>'BIO DATA'!AB238</f>
        <v>Arif Sugianto</v>
      </c>
      <c r="L443" s="147" t="str">
        <f>'BIO DATA'!AG238</f>
        <v>082116000076</v>
      </c>
      <c r="M443" s="30" t="str">
        <f>'BIO DATA'!AI238</f>
        <v>Pita Anjarsari</v>
      </c>
      <c r="N443" s="147" t="str">
        <f>'BIO DATA'!AN238</f>
        <v>082143219119</v>
      </c>
      <c r="O443" s="183" t="str">
        <f>'BIO DATA'!AE238</f>
        <v>Dosen</v>
      </c>
      <c r="P443" s="30" t="str">
        <f>'BIO DATA'!AL238</f>
        <v>Karyawan Swasta</v>
      </c>
      <c r="Q443" s="134" t="s">
        <v>228</v>
      </c>
    </row>
    <row r="444" spans="2:17" s="23" customFormat="1" ht="25.5">
      <c r="B444" s="28">
        <v>8</v>
      </c>
      <c r="C444" s="29">
        <f>'BIO DATA'!C239</f>
        <v>12581</v>
      </c>
      <c r="D444" s="151" t="str">
        <f>'BIO DATA'!D239</f>
        <v>0147235018</v>
      </c>
      <c r="E444" s="30" t="str">
        <f>'BIO DATA'!E239</f>
        <v>Kai Raska Ibrahim</v>
      </c>
      <c r="F444" s="31" t="str">
        <f>'BIO DATA'!Y239</f>
        <v>MI Muhammadiyah Banyumudal</v>
      </c>
      <c r="G444" s="71">
        <f>'BIO DATA'!I239</f>
        <v>1</v>
      </c>
      <c r="H444" s="122" t="str">
        <f>'BIO DATA'!M239</f>
        <v>Salatiga</v>
      </c>
      <c r="I444" s="136" t="str">
        <f>'BIO DATA'!P239</f>
        <v>27 Februari 2014</v>
      </c>
      <c r="J444" s="30" t="str">
        <f>'BIO DATA'!S239</f>
        <v>Banyumudal, RT02 RW 07, Moga, Pemalang Jawa Tengah</v>
      </c>
      <c r="K444" s="147" t="str">
        <f>'BIO DATA'!AB239</f>
        <v>Muhammad Tirta Kusuma</v>
      </c>
      <c r="L444" s="147" t="str">
        <f>'BIO DATA'!AG239</f>
        <v>08562556060</v>
      </c>
      <c r="M444" s="30" t="str">
        <f>'BIO DATA'!AI239</f>
        <v>Okky Oktavia</v>
      </c>
      <c r="N444" s="147" t="str">
        <f>'BIO DATA'!AN239</f>
        <v>085842749426</v>
      </c>
      <c r="O444" s="183" t="str">
        <f>'BIO DATA'!AE239</f>
        <v>Wiraswasta</v>
      </c>
      <c r="P444" s="30" t="str">
        <f>'BIO DATA'!AL239</f>
        <v>Wiraswasta</v>
      </c>
      <c r="Q444" s="134" t="s">
        <v>228</v>
      </c>
    </row>
    <row r="445" spans="2:17" s="23" customFormat="1" ht="40.5" customHeight="1">
      <c r="B445" s="28">
        <v>9</v>
      </c>
      <c r="C445" s="29">
        <f>'BIO DATA'!C240</f>
        <v>12583</v>
      </c>
      <c r="D445" s="151">
        <f>'BIO DATA'!D240</f>
        <v>3134994929</v>
      </c>
      <c r="E445" s="30" t="str">
        <f>'BIO DATA'!E240</f>
        <v>Kareem Abraham</v>
      </c>
      <c r="F445" s="31" t="str">
        <f>'BIO DATA'!Y240</f>
        <v>SDS Muhammadiyah 06 Tebet Jakarta Selatan</v>
      </c>
      <c r="G445" s="71">
        <f>'BIO DATA'!I240</f>
        <v>1</v>
      </c>
      <c r="H445" s="122" t="str">
        <f>'BIO DATA'!M240</f>
        <v>Jakarta</v>
      </c>
      <c r="I445" s="136" t="str">
        <f>'BIO DATA'!P240</f>
        <v>30 November 2013</v>
      </c>
      <c r="J445" s="30" t="str">
        <f>'BIO DATA'!S240</f>
        <v>Jl. Jafar 99F RT9 RW2 Balekambang Kramat Jati Jakarta Timur DKI Jakarta</v>
      </c>
      <c r="K445" s="147" t="str">
        <f>'BIO DATA'!AB240</f>
        <v>Prasetiya Aditama</v>
      </c>
      <c r="L445" s="147" t="str">
        <f>'BIO DATA'!AG240</f>
        <v>082118211339</v>
      </c>
      <c r="M445" s="30" t="str">
        <f>'BIO DATA'!AI240</f>
        <v>Annisa Daniati</v>
      </c>
      <c r="N445" s="147" t="str">
        <f>'BIO DATA'!AN240</f>
        <v>081390400301</v>
      </c>
      <c r="O445" s="183" t="str">
        <f>'BIO DATA'!AE240</f>
        <v>PNS</v>
      </c>
      <c r="P445" s="30" t="str">
        <f>'BIO DATA'!AL240</f>
        <v>PNS</v>
      </c>
      <c r="Q445" s="134" t="s">
        <v>228</v>
      </c>
    </row>
    <row r="446" spans="2:17" s="23" customFormat="1" ht="63.75">
      <c r="B446" s="28">
        <v>10</v>
      </c>
      <c r="C446" s="29">
        <f>'BIO DATA'!C241</f>
        <v>12619</v>
      </c>
      <c r="D446" s="151" t="str">
        <f>'BIO DATA'!D241</f>
        <v>0135306186</v>
      </c>
      <c r="E446" s="30" t="str">
        <f>'BIO DATA'!E241</f>
        <v>Muhammad Arizar Reezqyandra</v>
      </c>
      <c r="F446" s="31" t="str">
        <f>'BIO DATA'!Y241</f>
        <v>SD Hasbunallah</v>
      </c>
      <c r="G446" s="71">
        <f>'BIO DATA'!I241</f>
        <v>1</v>
      </c>
      <c r="H446" s="122" t="str">
        <f>'BIO DATA'!M241</f>
        <v>Banjarmasin</v>
      </c>
      <c r="I446" s="136" t="str">
        <f>'BIO DATA'!P241</f>
        <v>25 Desember 2013</v>
      </c>
      <c r="J446" s="30" t="str">
        <f>'BIO DATA'!S241</f>
        <v>Jl Padat Karya Komplek Griya Bumi Selatan No. 10 RT 10. Kel Pembataan Kec Murung Pudak Kab Tabalong, Kalimantan Selatan</v>
      </c>
      <c r="K446" s="147" t="str">
        <f>'BIO DATA'!AB241</f>
        <v>Yunizarrahman</v>
      </c>
      <c r="L446" s="147" t="str">
        <f>'BIO DATA'!AG241</f>
        <v>081154502479</v>
      </c>
      <c r="M446" s="30" t="str">
        <f>'BIO DATA'!AI241</f>
        <v>Rima Noor Indah</v>
      </c>
      <c r="N446" s="147" t="str">
        <f>'BIO DATA'!AN241</f>
        <v>081349700483</v>
      </c>
      <c r="O446" s="183" t="str">
        <f>'BIO DATA'!AE241</f>
        <v>PNS</v>
      </c>
      <c r="P446" s="30" t="str">
        <f>'BIO DATA'!AL241</f>
        <v>Dokter/Bidan/Perawat</v>
      </c>
      <c r="Q446" s="134" t="s">
        <v>228</v>
      </c>
    </row>
    <row r="447" spans="2:17" s="23" customFormat="1" ht="38.25" customHeight="1">
      <c r="B447" s="28">
        <v>11</v>
      </c>
      <c r="C447" s="29">
        <f>'BIO DATA'!C242</f>
        <v>12636</v>
      </c>
      <c r="D447" s="151" t="str">
        <f>'BIO DATA'!D242</f>
        <v>0135855421</v>
      </c>
      <c r="E447" s="30" t="str">
        <f>'BIO DATA'!E242</f>
        <v>Muhammad Haekal Abdullah Andreago</v>
      </c>
      <c r="F447" s="31" t="str">
        <f>'BIO DATA'!Y242</f>
        <v>SD Muhammadiyah Kauman Yogyakarta</v>
      </c>
      <c r="G447" s="71">
        <f>'BIO DATA'!I242</f>
        <v>3</v>
      </c>
      <c r="H447" s="122" t="str">
        <f>'BIO DATA'!M242</f>
        <v>Yogyakarta</v>
      </c>
      <c r="I447" s="136" t="str">
        <f>'BIO DATA'!P242</f>
        <v>6 Oktober 2013</v>
      </c>
      <c r="J447" s="30" t="str">
        <f>'BIO DATA'!S242</f>
        <v>Jl.Kauman No.44 RT:45 RW:12 Ngupasan Gondomanan Kota Yogyakarta DIY</v>
      </c>
      <c r="K447" s="147" t="str">
        <f>'BIO DATA'!AB242</f>
        <v>Muhammad Fuad,. S.E,. MSc</v>
      </c>
      <c r="L447" s="147" t="str">
        <f>'BIO DATA'!AG242</f>
        <v>08176441999</v>
      </c>
      <c r="M447" s="30" t="str">
        <f>'BIO DATA'!AI242</f>
        <v>Nuril Frida Beta,. S.E</v>
      </c>
      <c r="N447" s="147" t="str">
        <f>'BIO DATA'!AN242</f>
        <v>0817534421</v>
      </c>
      <c r="O447" s="183" t="str">
        <f>'BIO DATA'!AE242</f>
        <v>Wiraswasta</v>
      </c>
      <c r="P447" s="30" t="str">
        <f>'BIO DATA'!AL242</f>
        <v>Tidak Bekerja</v>
      </c>
      <c r="Q447" s="134" t="s">
        <v>228</v>
      </c>
    </row>
    <row r="448" spans="2:17" ht="25.5">
      <c r="B448" s="28">
        <v>12</v>
      </c>
      <c r="C448" s="29">
        <f>'BIO DATA'!C243</f>
        <v>12651</v>
      </c>
      <c r="D448" s="151" t="str">
        <f>'BIO DATA'!D243</f>
        <v>0145287117</v>
      </c>
      <c r="E448" s="30" t="str">
        <f>'BIO DATA'!E243</f>
        <v>Muhammad Raffi Ayman Shah</v>
      </c>
      <c r="F448" s="31" t="str">
        <f>'BIO DATA'!Y243</f>
        <v>SDIT Ihsanul Fikri 1 kota Magelang</v>
      </c>
      <c r="G448" s="71">
        <f>'BIO DATA'!I243</f>
        <v>2</v>
      </c>
      <c r="H448" s="122" t="str">
        <f>'BIO DATA'!M243</f>
        <v>Magelang</v>
      </c>
      <c r="I448" s="136" t="str">
        <f>'BIO DATA'!P243</f>
        <v>10 Maret 2014</v>
      </c>
      <c r="J448" s="30" t="str">
        <f>'BIO DATA'!S243</f>
        <v>Jln.Dirham rt 06 rw 07 Jetis Pancuranmas Secang Magelang</v>
      </c>
      <c r="K448" s="147" t="str">
        <f>'BIO DATA'!AB243</f>
        <v>Dharma Subrata</v>
      </c>
      <c r="L448" s="147" t="str">
        <f>'BIO DATA'!AG243</f>
        <v>081255502077</v>
      </c>
      <c r="M448" s="30" t="str">
        <f>'BIO DATA'!AI243</f>
        <v>Yetti Fitriyana</v>
      </c>
      <c r="N448" s="147" t="str">
        <f>'BIO DATA'!AN243</f>
        <v>081255502077</v>
      </c>
      <c r="O448" s="183" t="str">
        <f>'BIO DATA'!AE243</f>
        <v>Pegawai Swasta</v>
      </c>
      <c r="P448" s="30" t="str">
        <f>'BIO DATA'!AL243</f>
        <v>Tidak Bekerja</v>
      </c>
      <c r="Q448" s="134" t="s">
        <v>228</v>
      </c>
    </row>
    <row r="449" spans="2:17" ht="38.25">
      <c r="B449" s="28">
        <v>13</v>
      </c>
      <c r="C449" s="29">
        <f>'BIO DATA'!C244</f>
        <v>12665</v>
      </c>
      <c r="D449" s="151">
        <f>'BIO DATA'!D244</f>
        <v>3134240292</v>
      </c>
      <c r="E449" s="30" t="str">
        <f>'BIO DATA'!E244</f>
        <v>Najmussyafi' Zimamul Haq</v>
      </c>
      <c r="F449" s="31" t="str">
        <f>'BIO DATA'!Y244</f>
        <v>SDIT Ar Rahmah Jakarta</v>
      </c>
      <c r="G449" s="71">
        <f>'BIO DATA'!I244</f>
        <v>1</v>
      </c>
      <c r="H449" s="122" t="str">
        <f>'BIO DATA'!M244</f>
        <v>Kisaran</v>
      </c>
      <c r="I449" s="136" t="str">
        <f>'BIO DATA'!P244</f>
        <v>10 Oktober 2013</v>
      </c>
      <c r="J449" s="30" t="str">
        <f>'BIO DATA'!S244</f>
        <v>Komplek Buaran Baru Jl. Kobra II No F2 Duren Sawit Jakarta Timur DKI Jakarta</v>
      </c>
      <c r="K449" s="147" t="str">
        <f>'BIO DATA'!AB244</f>
        <v>Dimas Aryo Wibisono</v>
      </c>
      <c r="L449" s="147" t="str">
        <f>'BIO DATA'!AG244</f>
        <v>085216097337</v>
      </c>
      <c r="M449" s="30" t="str">
        <f>'BIO DATA'!AI244</f>
        <v>Tiara Yuko Astagini</v>
      </c>
      <c r="N449" s="147" t="str">
        <f>'BIO DATA'!AN244</f>
        <v>08116927788</v>
      </c>
      <c r="O449" s="183" t="str">
        <f>'BIO DATA'!AE244</f>
        <v>Pegawai Swasta</v>
      </c>
      <c r="P449" s="30" t="str">
        <f>'BIO DATA'!AL244</f>
        <v>PNS</v>
      </c>
      <c r="Q449" s="134" t="s">
        <v>228</v>
      </c>
    </row>
    <row r="450" spans="2:17" ht="38.25" customHeight="1">
      <c r="B450" s="28">
        <v>14</v>
      </c>
      <c r="C450" s="29">
        <f>'BIO DATA'!C245</f>
        <v>12690</v>
      </c>
      <c r="D450" s="151" t="str">
        <f>'BIO DATA'!D245</f>
        <v>0144252996</v>
      </c>
      <c r="E450" s="30" t="str">
        <f>'BIO DATA'!E245</f>
        <v>Rauf Hilmi Munajad</v>
      </c>
      <c r="F450" s="31" t="str">
        <f>'BIO DATA'!Y245</f>
        <v>SD Islam Hidayatullah</v>
      </c>
      <c r="G450" s="71">
        <f>'BIO DATA'!I245</f>
        <v>1</v>
      </c>
      <c r="H450" s="122" t="str">
        <f>'BIO DATA'!M245</f>
        <v>Semarang</v>
      </c>
      <c r="I450" s="136" t="str">
        <f>'BIO DATA'!P245</f>
        <v>30 Agustus 2014</v>
      </c>
      <c r="J450" s="30" t="str">
        <f>'BIO DATA'!S245</f>
        <v>Jl Cemara Raya no 5 rt 1 rw 17. Padangsari Banyumanik Semarang 50267</v>
      </c>
      <c r="K450" s="147" t="str">
        <f>'BIO DATA'!AB245</f>
        <v>Choir Munajad</v>
      </c>
      <c r="L450" s="147" t="str">
        <f>'BIO DATA'!AG245</f>
        <v>085713395355</v>
      </c>
      <c r="M450" s="30" t="str">
        <f>'BIO DATA'!AI245</f>
        <v>Hanum Maharsi Narhadini</v>
      </c>
      <c r="N450" s="147" t="str">
        <f>'BIO DATA'!AN245</f>
        <v>081226250090</v>
      </c>
      <c r="O450" s="183" t="str">
        <f>'BIO DATA'!AE245</f>
        <v>Wiraswasta</v>
      </c>
      <c r="P450" s="30" t="str">
        <f>'BIO DATA'!AL245</f>
        <v>PNS</v>
      </c>
      <c r="Q450" s="134" t="s">
        <v>228</v>
      </c>
    </row>
    <row r="451" spans="2:17" ht="38.25">
      <c r="B451" s="28">
        <v>15</v>
      </c>
      <c r="C451" s="29">
        <f>'BIO DATA'!C246</f>
        <v>12699</v>
      </c>
      <c r="D451" s="151">
        <f>'BIO DATA'!D246</f>
        <v>3133132873</v>
      </c>
      <c r="E451" s="30" t="str">
        <f>'BIO DATA'!E246</f>
        <v>Ryuuta Mikan Abdullah</v>
      </c>
      <c r="F451" s="31" t="str">
        <f>'BIO DATA'!Y246</f>
        <v>SD Islam Al Azhar 38 Bantul</v>
      </c>
      <c r="G451" s="71">
        <f>'BIO DATA'!I246</f>
        <v>1</v>
      </c>
      <c r="H451" s="122" t="str">
        <f>'BIO DATA'!M246</f>
        <v>Bantul</v>
      </c>
      <c r="I451" s="136" t="str">
        <f>'BIO DATA'!P246</f>
        <v>31 Mei 2013</v>
      </c>
      <c r="J451" s="30" t="str">
        <f>'BIO DATA'!S246</f>
        <v>Manding Kidul Rt 07 Trirenggo Bantul</v>
      </c>
      <c r="K451" s="147" t="str">
        <f>'BIO DATA'!AB246</f>
        <v>Nugroho Danisworo</v>
      </c>
      <c r="L451" s="147" t="str">
        <f>'BIO DATA'!AG246</f>
        <v>085807225855</v>
      </c>
      <c r="M451" s="30" t="str">
        <f>'BIO DATA'!AI246</f>
        <v>Hesty Purwaningdyah Linggarjati</v>
      </c>
      <c r="N451" s="147" t="str">
        <f>'BIO DATA'!AN246</f>
        <v>08121571126</v>
      </c>
      <c r="O451" s="183" t="str">
        <f>'BIO DATA'!AE246</f>
        <v>Petani/Peternak</v>
      </c>
      <c r="P451" s="30" t="str">
        <f>'BIO DATA'!AL246</f>
        <v>PNS</v>
      </c>
      <c r="Q451" s="134" t="s">
        <v>228</v>
      </c>
    </row>
    <row r="452" spans="2:17" ht="25.5">
      <c r="B452" s="215">
        <v>16</v>
      </c>
      <c r="C452" s="29">
        <f>'BIO DATA'!C247</f>
        <v>12703</v>
      </c>
      <c r="D452" s="151" t="str">
        <f>'BIO DATA'!D247</f>
        <v>0133821645</v>
      </c>
      <c r="E452" s="30" t="str">
        <f>'BIO DATA'!E247</f>
        <v>Sayyaf Maulavi Barra Al Hafsh</v>
      </c>
      <c r="F452" s="31" t="str">
        <f>'BIO DATA'!Y247</f>
        <v>SDIT Al Khairaat Yogyakarta</v>
      </c>
      <c r="G452" s="71">
        <f>'BIO DATA'!I247</f>
        <v>1</v>
      </c>
      <c r="H452" s="122" t="str">
        <f>'BIO DATA'!M247</f>
        <v>Yogyakarta</v>
      </c>
      <c r="I452" s="136" t="str">
        <f>'BIO DATA'!P247</f>
        <v>19 Agustus 2013</v>
      </c>
      <c r="J452" s="30" t="str">
        <f>'BIO DATA'!S247</f>
        <v>Jl. Pandeyan No.11 Umbulharjo Yogyakarta 55161</v>
      </c>
      <c r="K452" s="147" t="str">
        <f>'BIO DATA'!AB247</f>
        <v>Fadlun Amin</v>
      </c>
      <c r="L452" s="147" t="str">
        <f>'BIO DATA'!AG247</f>
        <v>082221231226</v>
      </c>
      <c r="M452" s="30" t="str">
        <f>'BIO DATA'!AI247</f>
        <v>Fatiya Malik</v>
      </c>
      <c r="N452" s="147" t="str">
        <f>'BIO DATA'!AN247</f>
        <v>081226026026</v>
      </c>
      <c r="O452" s="183" t="str">
        <f>'BIO DATA'!AE247</f>
        <v>Wiraswasta</v>
      </c>
      <c r="P452" s="30" t="str">
        <f>'BIO DATA'!AL247</f>
        <v>Dokter/Bidan/Perawat</v>
      </c>
      <c r="Q452" s="134" t="s">
        <v>228</v>
      </c>
    </row>
    <row r="453" spans="2:17" s="23" customFormat="1" ht="38.25">
      <c r="B453" s="28">
        <v>17</v>
      </c>
      <c r="C453" s="29">
        <f>'BIO DATA'!C248</f>
        <v>12706</v>
      </c>
      <c r="D453" s="151" t="str">
        <f>'BIO DATA'!D248</f>
        <v>0135397252</v>
      </c>
      <c r="E453" s="30" t="str">
        <f>'BIO DATA'!E248</f>
        <v>Sunan Bumi Al Quraisj</v>
      </c>
      <c r="F453" s="31" t="str">
        <f>'BIO DATA'!Y248</f>
        <v>SD Alam Arrohmah Malang</v>
      </c>
      <c r="G453" s="71">
        <f>'BIO DATA'!I248</f>
        <v>1</v>
      </c>
      <c r="H453" s="122" t="str">
        <f>'BIO DATA'!M248</f>
        <v>Jember</v>
      </c>
      <c r="I453" s="136" t="str">
        <f>'BIO DATA'!P248</f>
        <v>21 Oktober 2013</v>
      </c>
      <c r="J453" s="30" t="str">
        <f>'BIO DATA'!S248</f>
        <v>Jl. Kalimantan X/ 20 RT 002 RW 028 Sumbersari Sumbersari Jember Jawa Timur</v>
      </c>
      <c r="K453" s="147" t="str">
        <f>'BIO DATA'!AB248</f>
        <v>(Almarhum) Quraisj Wachdin</v>
      </c>
      <c r="L453" s="147" t="str">
        <f>'BIO DATA'!AG248</f>
        <v>082122266689</v>
      </c>
      <c r="M453" s="30" t="str">
        <f>'BIO DATA'!AI248</f>
        <v>Ginanjar Putri Nastiti</v>
      </c>
      <c r="N453" s="147" t="str">
        <f>'BIO DATA'!AN248</f>
        <v>082122266689</v>
      </c>
      <c r="O453" s="183" t="str">
        <f>'BIO DATA'!AE248</f>
        <v>Wiraswasta</v>
      </c>
      <c r="P453" s="30" t="str">
        <f>'BIO DATA'!AL248</f>
        <v>Guru/Dosen</v>
      </c>
      <c r="Q453" s="134" t="s">
        <v>228</v>
      </c>
    </row>
    <row r="454" spans="2:17" ht="51">
      <c r="B454" s="28">
        <v>18</v>
      </c>
      <c r="C454" s="29">
        <f>'BIO DATA'!C249</f>
        <v>12711</v>
      </c>
      <c r="D454" s="151">
        <f>'BIO DATA'!D249</f>
        <v>3133891660</v>
      </c>
      <c r="E454" s="30" t="str">
        <f>'BIO DATA'!E249</f>
        <v>Ukail Madani</v>
      </c>
      <c r="F454" s="31" t="str">
        <f>'BIO DATA'!Y249</f>
        <v>SD Islam Sabilillah Malang</v>
      </c>
      <c r="G454" s="71">
        <f>'BIO DATA'!I249</f>
        <v>3</v>
      </c>
      <c r="H454" s="122" t="str">
        <f>'BIO DATA'!M249</f>
        <v>Malang</v>
      </c>
      <c r="I454" s="136" t="str">
        <f>'BIO DATA'!P249</f>
        <v>27 Maret 2013</v>
      </c>
      <c r="J454" s="30" t="str">
        <f>'BIO DATA'!S249</f>
        <v>Perumahan Pesanggrahan Pratama, Jl. Ampel Pratama III, D3-No.5 Karangploso, Kabn Malang, Jawa Timur</v>
      </c>
      <c r="K454" s="147" t="str">
        <f>'BIO DATA'!AB249</f>
        <v>Ramliyanto</v>
      </c>
      <c r="L454" s="147" t="str">
        <f>'BIO DATA'!AG249</f>
        <v>081333855333</v>
      </c>
      <c r="M454" s="30" t="str">
        <f>'BIO DATA'!AI249</f>
        <v>Lilyana Apriliyanti</v>
      </c>
      <c r="N454" s="147" t="str">
        <f>'BIO DATA'!AN249</f>
        <v>08123357471</v>
      </c>
      <c r="O454" s="183" t="str">
        <f>'BIO DATA'!AE249</f>
        <v>PNS</v>
      </c>
      <c r="P454" s="30" t="str">
        <f>'BIO DATA'!AL249</f>
        <v>Guru/Dosen</v>
      </c>
      <c r="Q454" s="134" t="s">
        <v>228</v>
      </c>
    </row>
    <row r="455" spans="2:17" ht="51">
      <c r="B455" s="28">
        <v>19</v>
      </c>
      <c r="C455" s="29">
        <f>'BIO DATA'!C250</f>
        <v>12720</v>
      </c>
      <c r="D455" s="151" t="str">
        <f>'BIO DATA'!D250</f>
        <v>0138262745</v>
      </c>
      <c r="E455" s="30" t="str">
        <f>'BIO DATA'!E250</f>
        <v>Zaidan Arkaan Adisya</v>
      </c>
      <c r="F455" s="31" t="str">
        <f>'BIO DATA'!Y250</f>
        <v>SD Muhammadiyah 1 Alternatif Kota Magelang</v>
      </c>
      <c r="G455" s="71">
        <f>'BIO DATA'!I250</f>
        <v>4</v>
      </c>
      <c r="H455" s="122" t="str">
        <f>'BIO DATA'!M250</f>
        <v>Magelang</v>
      </c>
      <c r="I455" s="136" t="str">
        <f>'BIO DATA'!P250</f>
        <v>10 Oktober 2013</v>
      </c>
      <c r="J455" s="30" t="str">
        <f>'BIO DATA'!S250</f>
        <v>Jl. Jeruk Timur III NO.16 RT.002 RW.006, Kramat Selatan Magelang Utara Kota Magelang Jawa Tengah</v>
      </c>
      <c r="K455" s="147" t="str">
        <f>'BIO DATA'!AB250</f>
        <v>Dody Budi Prabowo</v>
      </c>
      <c r="L455" s="147" t="str">
        <f>'BIO DATA'!AG250</f>
        <v>087843898424</v>
      </c>
      <c r="M455" s="30" t="str">
        <f>'BIO DATA'!AI250</f>
        <v>Hening Syafitri Sulistyoningsih</v>
      </c>
      <c r="N455" s="147" t="str">
        <f>'BIO DATA'!AN250</f>
        <v>085730412362</v>
      </c>
      <c r="O455" s="183" t="str">
        <f>'BIO DATA'!AE250</f>
        <v>PNS</v>
      </c>
      <c r="P455" s="30" t="str">
        <f>'BIO DATA'!AL250</f>
        <v>PNS</v>
      </c>
      <c r="Q455" s="134" t="s">
        <v>228</v>
      </c>
    </row>
    <row r="456" spans="2:17" ht="18.75">
      <c r="B456" s="408" t="s">
        <v>227</v>
      </c>
      <c r="C456" s="408"/>
      <c r="D456" s="408"/>
      <c r="E456" s="408"/>
      <c r="F456" s="408"/>
      <c r="G456" s="408"/>
      <c r="H456" s="408"/>
      <c r="I456" s="408"/>
      <c r="J456" s="408"/>
      <c r="K456" s="408"/>
      <c r="L456" s="408"/>
      <c r="M456" s="408"/>
      <c r="N456" s="408"/>
      <c r="O456" s="408"/>
      <c r="P456" s="408"/>
      <c r="Q456" s="408"/>
    </row>
    <row r="457" spans="2:17" ht="18.75">
      <c r="B457" s="408" t="s">
        <v>234</v>
      </c>
      <c r="C457" s="408"/>
      <c r="D457" s="408"/>
      <c r="E457" s="408"/>
      <c r="F457" s="408"/>
      <c r="G457" s="408"/>
      <c r="H457" s="408"/>
      <c r="I457" s="408"/>
      <c r="J457" s="408"/>
      <c r="K457" s="408"/>
      <c r="L457" s="408"/>
      <c r="M457" s="408"/>
      <c r="N457" s="408"/>
      <c r="O457" s="408"/>
      <c r="P457" s="408"/>
      <c r="Q457" s="408"/>
    </row>
    <row r="458" spans="2:17" ht="18.75">
      <c r="B458" s="413" t="s">
        <v>237</v>
      </c>
      <c r="C458" s="413"/>
      <c r="D458" s="413"/>
      <c r="E458" s="413"/>
      <c r="F458" s="413"/>
      <c r="G458" s="413"/>
      <c r="H458" s="413"/>
      <c r="I458" s="413"/>
      <c r="J458" s="413"/>
      <c r="K458" s="413"/>
      <c r="L458" s="413"/>
      <c r="M458" s="413"/>
      <c r="N458" s="413"/>
      <c r="O458" s="413"/>
      <c r="P458" s="413"/>
      <c r="Q458" s="413"/>
    </row>
    <row r="459" spans="2:17">
      <c r="B459" s="405" t="s">
        <v>0</v>
      </c>
      <c r="C459" s="410" t="s">
        <v>147</v>
      </c>
      <c r="D459" s="411" t="s">
        <v>2</v>
      </c>
      <c r="E459" s="412" t="s">
        <v>3</v>
      </c>
      <c r="F459" s="412" t="s">
        <v>8</v>
      </c>
      <c r="G459" s="405" t="s">
        <v>148</v>
      </c>
      <c r="H459" s="405" t="s">
        <v>149</v>
      </c>
      <c r="I459" s="405"/>
      <c r="J459" s="406" t="s">
        <v>6</v>
      </c>
      <c r="K459" s="407" t="s">
        <v>150</v>
      </c>
      <c r="L459" s="407"/>
      <c r="M459" s="407"/>
      <c r="N459" s="407"/>
      <c r="O459" s="409" t="s">
        <v>151</v>
      </c>
      <c r="P459" s="409"/>
      <c r="Q459" s="405" t="s">
        <v>152</v>
      </c>
    </row>
    <row r="460" spans="2:17">
      <c r="B460" s="405"/>
      <c r="C460" s="410"/>
      <c r="D460" s="411"/>
      <c r="E460" s="412"/>
      <c r="F460" s="412"/>
      <c r="G460" s="405"/>
      <c r="H460" s="391" t="s">
        <v>153</v>
      </c>
      <c r="I460" s="391" t="s">
        <v>154</v>
      </c>
      <c r="J460" s="406"/>
      <c r="K460" s="390" t="s">
        <v>155</v>
      </c>
      <c r="L460" s="392" t="s">
        <v>155</v>
      </c>
      <c r="M460" s="390" t="s">
        <v>156</v>
      </c>
      <c r="N460" s="392" t="s">
        <v>157</v>
      </c>
      <c r="O460" s="391" t="s">
        <v>158</v>
      </c>
      <c r="P460" s="391" t="s">
        <v>159</v>
      </c>
      <c r="Q460" s="405"/>
    </row>
    <row r="461" spans="2:17" ht="25.5">
      <c r="B461" s="28">
        <v>1</v>
      </c>
      <c r="C461" s="29">
        <f>'BIO DATA'!C251</f>
        <v>12512</v>
      </c>
      <c r="D461" s="180" t="str">
        <f>'BIO DATA'!D251</f>
        <v>0134943887</v>
      </c>
      <c r="E461" s="30" t="str">
        <f>'BIO DATA'!E251</f>
        <v>Bara Habibi Tama</v>
      </c>
      <c r="F461" s="31" t="str">
        <f>'BIO DATA'!Y251</f>
        <v>SD Unggulan Aisyiyah Bantul</v>
      </c>
      <c r="G461" s="71">
        <f>'BIO DATA'!I251</f>
        <v>1</v>
      </c>
      <c r="H461" s="122" t="str">
        <f>'BIO DATA'!M251</f>
        <v>Bantul</v>
      </c>
      <c r="I461" s="136" t="str">
        <f>'BIO DATA'!P251</f>
        <v>7 Januari 2013</v>
      </c>
      <c r="J461" s="30" t="str">
        <f>'BIO DATA'!S251</f>
        <v>Ngentak Palihan Rt 02 Sidomulyo Bambanglipuro Bantul DIY</v>
      </c>
      <c r="K461" s="30" t="str">
        <f>'BIO DATA'!AB251</f>
        <v>Kuat Robby Nugroho</v>
      </c>
      <c r="L461" s="147" t="str">
        <f>'BIO DATA'!AG251</f>
        <v>081350829292</v>
      </c>
      <c r="M461" s="30" t="str">
        <f>'BIO DATA'!AI251</f>
        <v>Hepi Susanti</v>
      </c>
      <c r="N461" s="152" t="str">
        <f>'BIO DATA'!AN251</f>
        <v>081910766777</v>
      </c>
      <c r="O461" s="30" t="str">
        <f>'BIO DATA'!AE251</f>
        <v>Pegawai Swasta</v>
      </c>
      <c r="P461" s="30" t="str">
        <f>'BIO DATA'!AL251</f>
        <v>Guru/Dosen</v>
      </c>
      <c r="Q461" s="134" t="s">
        <v>228</v>
      </c>
    </row>
    <row r="462" spans="2:17" ht="39" customHeight="1">
      <c r="B462" s="28">
        <v>2</v>
      </c>
      <c r="C462" s="29">
        <f>'BIO DATA'!C252</f>
        <v>12515</v>
      </c>
      <c r="D462" s="180" t="str">
        <f>'BIO DATA'!D252</f>
        <v>0132201310</v>
      </c>
      <c r="E462" s="30" t="str">
        <f>'BIO DATA'!E252</f>
        <v>Bilal Geno Al Ghaisan</v>
      </c>
      <c r="F462" s="31" t="str">
        <f>'BIO DATA'!Y252</f>
        <v>SDIT Bina Anak Sholeh Cilacap</v>
      </c>
      <c r="G462" s="71">
        <f>'BIO DATA'!I252</f>
        <v>1</v>
      </c>
      <c r="H462" s="122" t="str">
        <f>'BIO DATA'!M252</f>
        <v>Cilacap</v>
      </c>
      <c r="I462" s="136" t="str">
        <f>'BIO DATA'!P252</f>
        <v>17 Agustus 2013</v>
      </c>
      <c r="J462" s="30" t="str">
        <f>'BIO DATA'!S252</f>
        <v>Perumahan Citra Merapi No F1 RT 03 RW 05, Sidanegara Cilacap Tengah Kab. Cilacap Jawa Tengah</v>
      </c>
      <c r="K462" s="30" t="str">
        <f>'BIO DATA'!AB252</f>
        <v>Bodan Septana Rikky</v>
      </c>
      <c r="L462" s="147" t="str">
        <f>'BIO DATA'!AG252</f>
        <v>081328006565</v>
      </c>
      <c r="M462" s="30" t="str">
        <f>'BIO DATA'!AI252</f>
        <v>Diandra Irnantiasa</v>
      </c>
      <c r="N462" s="152" t="str">
        <f>'BIO DATA'!AN252</f>
        <v>081382797342</v>
      </c>
      <c r="O462" s="30" t="str">
        <f>'BIO DATA'!AE252</f>
        <v>Pegawai Swasta</v>
      </c>
      <c r="P462" s="30" t="str">
        <f>'BIO DATA'!AL252</f>
        <v>Wiraswasta</v>
      </c>
      <c r="Q462" s="134" t="s">
        <v>228</v>
      </c>
    </row>
    <row r="463" spans="2:17" ht="38.25">
      <c r="B463" s="28">
        <v>3</v>
      </c>
      <c r="C463" s="29">
        <f>'BIO DATA'!C253</f>
        <v>12516</v>
      </c>
      <c r="D463" s="180">
        <f>'BIO DATA'!D253</f>
        <v>3130312527</v>
      </c>
      <c r="E463" s="30" t="str">
        <f>'BIO DATA'!E253</f>
        <v>Bilal Hamasah</v>
      </c>
      <c r="F463" s="31" t="str">
        <f>'BIO DATA'!Y253</f>
        <v>SD Muhammadiyah Hj.Nuriyah</v>
      </c>
      <c r="G463" s="71">
        <f>'BIO DATA'!I253</f>
        <v>1</v>
      </c>
      <c r="H463" s="122" t="str">
        <f>'BIO DATA'!M253</f>
        <v>Banjarbaru</v>
      </c>
      <c r="I463" s="136" t="str">
        <f>'BIO DATA'!P253</f>
        <v>29 Desember 2013</v>
      </c>
      <c r="J463" s="30" t="str">
        <f>'BIO DATA'!S253</f>
        <v>Jl.Perambaian III Gg.Nangka 1 No.29A - Sungai Ulin - Kota Banjarbaru- Kalimantan Selatan</v>
      </c>
      <c r="K463" s="30" t="str">
        <f>'BIO DATA'!AB253</f>
        <v>Dwi Wahyu Cahyono</v>
      </c>
      <c r="L463" s="147" t="str">
        <f>'BIO DATA'!AG253</f>
        <v>081220971612</v>
      </c>
      <c r="M463" s="30" t="str">
        <f>'BIO DATA'!AI253</f>
        <v>Heryuntari Dian Cahyani</v>
      </c>
      <c r="N463" s="152" t="str">
        <f>'BIO DATA'!AN253</f>
        <v>081348606161</v>
      </c>
      <c r="O463" s="30" t="str">
        <f>'BIO DATA'!AE253</f>
        <v>TNI/Polri</v>
      </c>
      <c r="P463" s="30" t="str">
        <f>'BIO DATA'!AL253</f>
        <v>Dokter/Bidan/Perawat</v>
      </c>
      <c r="Q463" s="134" t="s">
        <v>228</v>
      </c>
    </row>
    <row r="464" spans="2:17" ht="38.25">
      <c r="B464" s="28">
        <v>4</v>
      </c>
      <c r="C464" s="29">
        <f>'BIO DATA'!C254</f>
        <v>12571</v>
      </c>
      <c r="D464" s="180" t="str">
        <f>'BIO DATA'!D254</f>
        <v>0133849476</v>
      </c>
      <c r="E464" s="30" t="str">
        <f>'BIO DATA'!E254</f>
        <v>Ibnu Hafidz Elfathin</v>
      </c>
      <c r="F464" s="31" t="str">
        <f>'BIO DATA'!Y254</f>
        <v>SDIT Nurul Hikmah</v>
      </c>
      <c r="G464" s="71">
        <f>'BIO DATA'!I254</f>
        <v>1</v>
      </c>
      <c r="H464" s="122" t="str">
        <f>'BIO DATA'!M254</f>
        <v>Penajam Paser Utara</v>
      </c>
      <c r="I464" s="136" t="str">
        <f>'BIO DATA'!P254</f>
        <v>14 September 2013</v>
      </c>
      <c r="J464" s="30" t="str">
        <f>'BIO DATA'!S254</f>
        <v>Jalan propinsi RT 10 Kel. Petung Kec. Penajam Kab. Penajam Paser Utara Kalimantan Timur</v>
      </c>
      <c r="K464" s="30" t="str">
        <f>'BIO DATA'!AB254</f>
        <v>Ilman</v>
      </c>
      <c r="L464" s="147" t="str">
        <f>'BIO DATA'!AG254</f>
        <v>081258296777</v>
      </c>
      <c r="M464" s="30" t="str">
        <f>'BIO DATA'!AI254</f>
        <v>Indrayanni</v>
      </c>
      <c r="N464" s="152" t="str">
        <f>'BIO DATA'!AN254</f>
        <v>085247522616</v>
      </c>
      <c r="O464" s="30" t="str">
        <f>'BIO DATA'!AE254</f>
        <v>Wiraswasta</v>
      </c>
      <c r="P464" s="30" t="str">
        <f>'BIO DATA'!AL254</f>
        <v>Lain-lain</v>
      </c>
      <c r="Q464" s="134" t="s">
        <v>228</v>
      </c>
    </row>
    <row r="465" spans="2:17" ht="38.25">
      <c r="B465" s="28">
        <v>5</v>
      </c>
      <c r="C465" s="29">
        <f>'BIO DATA'!C255</f>
        <v>12586</v>
      </c>
      <c r="D465" s="180" t="str">
        <f>'BIO DATA'!D255</f>
        <v>0139383900</v>
      </c>
      <c r="E465" s="30" t="str">
        <f>'BIO DATA'!E255</f>
        <v>Kenzi Agil Saryoso</v>
      </c>
      <c r="F465" s="31" t="str">
        <f>'BIO DATA'!Y255</f>
        <v>SD Muhammadiyah Pakel</v>
      </c>
      <c r="G465" s="71">
        <f>'BIO DATA'!I255</f>
        <v>1</v>
      </c>
      <c r="H465" s="122" t="str">
        <f>'BIO DATA'!M255</f>
        <v>Surakarta</v>
      </c>
      <c r="I465" s="136" t="str">
        <f>'BIO DATA'!P255</f>
        <v>28 Oktober 2013</v>
      </c>
      <c r="J465" s="30" t="str">
        <f>'BIO DATA'!S255</f>
        <v>Jl.imogiri barat, perumahan Green Jalimbar no C11 Bibis Timbulharjo Sewon Bantul DIY</v>
      </c>
      <c r="K465" s="30" t="str">
        <f>'BIO DATA'!AB255</f>
        <v>Ragil Saryoso</v>
      </c>
      <c r="L465" s="147" t="str">
        <f>'BIO DATA'!AG255</f>
        <v>08995933388</v>
      </c>
      <c r="M465" s="30" t="str">
        <f>'BIO DATA'!AI255</f>
        <v>Diane Angreni Puspitasari</v>
      </c>
      <c r="N465" s="152" t="str">
        <f>'BIO DATA'!AN255</f>
        <v>08996555550</v>
      </c>
      <c r="O465" s="30" t="str">
        <f>'BIO DATA'!AE255</f>
        <v>Pegawai Swasta</v>
      </c>
      <c r="P465" s="30" t="str">
        <f>'BIO DATA'!AL255</f>
        <v>Tidak Bekerja</v>
      </c>
      <c r="Q465" s="134" t="s">
        <v>228</v>
      </c>
    </row>
    <row r="466" spans="2:17" ht="35.25" customHeight="1">
      <c r="B466" s="28">
        <v>6</v>
      </c>
      <c r="C466" s="29">
        <f>'BIO DATA'!C256</f>
        <v>12610</v>
      </c>
      <c r="D466" s="180">
        <f>'BIO DATA'!D256</f>
        <v>3146207336</v>
      </c>
      <c r="E466" s="30" t="str">
        <f>'BIO DATA'!E256</f>
        <v>Muhammad Afif Azizan</v>
      </c>
      <c r="F466" s="31" t="str">
        <f>'BIO DATA'!Y256</f>
        <v>SD Muhammadiyah 1 Melak</v>
      </c>
      <c r="G466" s="71">
        <f>'BIO DATA'!I256</f>
        <v>3</v>
      </c>
      <c r="H466" s="122" t="str">
        <f>'BIO DATA'!M256</f>
        <v>Sendawar</v>
      </c>
      <c r="I466" s="136" t="str">
        <f>'BIO DATA'!P256</f>
        <v>19 Maret 2014</v>
      </c>
      <c r="J466" s="30" t="str">
        <f>'BIO DATA'!S256</f>
        <v>Perum Korpri Blok F No 15 RT 005 Kel, Sekolaq Oday Kec, Sekolaq Darat Kutai Barat Kaltim</v>
      </c>
      <c r="K466" s="30" t="str">
        <f>'BIO DATA'!AB256</f>
        <v>Sasli Rais</v>
      </c>
      <c r="L466" s="147" t="str">
        <f>'BIO DATA'!AG256</f>
        <v>082148113883</v>
      </c>
      <c r="M466" s="30" t="str">
        <f>'BIO DATA'!AI256</f>
        <v>Lia Indah Khatarisna</v>
      </c>
      <c r="N466" s="152" t="str">
        <f>'BIO DATA'!AN256</f>
        <v>0812580627</v>
      </c>
      <c r="O466" s="30" t="str">
        <f>'BIO DATA'!AE256</f>
        <v>PNS</v>
      </c>
      <c r="P466" s="30" t="str">
        <f>'BIO DATA'!AL256</f>
        <v>Pegawai Swasta</v>
      </c>
      <c r="Q466" s="134" t="s">
        <v>228</v>
      </c>
    </row>
    <row r="467" spans="2:17" ht="38.25">
      <c r="B467" s="28">
        <v>7</v>
      </c>
      <c r="C467" s="29">
        <f>'BIO DATA'!C257</f>
        <v>12614</v>
      </c>
      <c r="D467" s="180" t="str">
        <f>'BIO DATA'!D257</f>
        <v>0145355846</v>
      </c>
      <c r="E467" s="30" t="str">
        <f>'BIO DATA'!E257</f>
        <v>Muhammad Al Fatih</v>
      </c>
      <c r="F467" s="31" t="str">
        <f>'BIO DATA'!Y257</f>
        <v>SD Muhammadiyah Sapen Yogyakarta</v>
      </c>
      <c r="G467" s="71">
        <f>'BIO DATA'!I257</f>
        <v>3</v>
      </c>
      <c r="H467" s="122" t="str">
        <f>'BIO DATA'!M257</f>
        <v>Sleman</v>
      </c>
      <c r="I467" s="136" t="str">
        <f>'BIO DATA'!P257</f>
        <v>8 Februari 2014</v>
      </c>
      <c r="J467" s="30" t="str">
        <f>'BIO DATA'!S257</f>
        <v>Jl. Melati wetan no. 26, Baciro, Gondokusuman Kota Yogyakarta DIY</v>
      </c>
      <c r="K467" s="30" t="str">
        <f>'BIO DATA'!AB257</f>
        <v>Umar Syarif</v>
      </c>
      <c r="L467" s="147" t="str">
        <f>'BIO DATA'!AG257</f>
        <v>085385409353</v>
      </c>
      <c r="M467" s="30" t="str">
        <f>'BIO DATA'!AI257</f>
        <v>Rini astuti</v>
      </c>
      <c r="N467" s="152" t="str">
        <f>'BIO DATA'!AN257</f>
        <v>085540103576</v>
      </c>
      <c r="O467" s="30" t="str">
        <f>'BIO DATA'!AE257</f>
        <v>Wiraswasta</v>
      </c>
      <c r="P467" s="30" t="str">
        <f>'BIO DATA'!AL257</f>
        <v>Lain-lain</v>
      </c>
      <c r="Q467" s="134" t="s">
        <v>228</v>
      </c>
    </row>
    <row r="468" spans="2:17" ht="51">
      <c r="B468" s="28">
        <v>8</v>
      </c>
      <c r="C468" s="29">
        <f>'BIO DATA'!C258</f>
        <v>12638</v>
      </c>
      <c r="D468" s="180" t="str">
        <f>'BIO DATA'!D258</f>
        <v>0146440382</v>
      </c>
      <c r="E468" s="30" t="str">
        <f>'BIO DATA'!E258</f>
        <v>Muhammad Haikal Akram</v>
      </c>
      <c r="F468" s="31" t="str">
        <f>'BIO DATA'!Y258</f>
        <v>SD IT Ukuwah Banjarmasin</v>
      </c>
      <c r="G468" s="71">
        <f>'BIO DATA'!I258</f>
        <v>2</v>
      </c>
      <c r="H468" s="122" t="str">
        <f>'BIO DATA'!M258</f>
        <v>Banjarmasin</v>
      </c>
      <c r="I468" s="136" t="str">
        <f>'BIO DATA'!P258</f>
        <v>22 Juni 2014</v>
      </c>
      <c r="J468" s="30" t="str">
        <f>'BIO DATA'!S258</f>
        <v>Jl Pramuka Komp Rahayu Pembina 3 RIL/39 RT 023 RW 002 Sungai Lulut Banjarmasin Timur Kota Banjarmasin Kalsel</v>
      </c>
      <c r="K468" s="30" t="str">
        <f>'BIO DATA'!AB258</f>
        <v>Chairan Asyhadi</v>
      </c>
      <c r="L468" s="147" t="str">
        <f>'BIO DATA'!AG258</f>
        <v>082150000690</v>
      </c>
      <c r="M468" s="30" t="str">
        <f>'BIO DATA'!AI258</f>
        <v>Shofia Hayati (Alm)</v>
      </c>
      <c r="N468" s="152" t="str">
        <f>'BIO DATA'!AN258</f>
        <v>0811500690</v>
      </c>
      <c r="O468" s="30" t="str">
        <f>'BIO DATA'!AE258</f>
        <v>Pegawai Swasta</v>
      </c>
      <c r="P468" s="30" t="str">
        <f>'BIO DATA'!AL258</f>
        <v>Tidak Bekerja</v>
      </c>
      <c r="Q468" s="134" t="s">
        <v>228</v>
      </c>
    </row>
    <row r="469" spans="2:17" ht="51">
      <c r="B469" s="28">
        <v>9</v>
      </c>
      <c r="C469" s="29">
        <f>'BIO DATA'!C259</f>
        <v>12643</v>
      </c>
      <c r="D469" s="180" t="str">
        <f>'BIO DATA'!D259</f>
        <v>0137868105</v>
      </c>
      <c r="E469" s="30" t="str">
        <f>'BIO DATA'!E259</f>
        <v>Muhammad Khalifa Ashshiddiq</v>
      </c>
      <c r="F469" s="31" t="str">
        <f>'BIO DATA'!Y259</f>
        <v>SDIT Tahfidzul Quran Ihsanul Fikri 2 Kota Magelang</v>
      </c>
      <c r="G469" s="71">
        <f>'BIO DATA'!I259</f>
        <v>2</v>
      </c>
      <c r="H469" s="122" t="str">
        <f>'BIO DATA'!M259</f>
        <v>kota magelang</v>
      </c>
      <c r="I469" s="136" t="str">
        <f>'BIO DATA'!P259</f>
        <v>24 Mei 2013</v>
      </c>
      <c r="J469" s="30" t="str">
        <f>'BIO DATA'!S259</f>
        <v>Jl. Duku 5 no 9 Perum Korpri RT002/RW010 Kramat Selatan, Magelang Utara, Kota Magelang, Jawa Tengah 56115</v>
      </c>
      <c r="K469" s="30" t="str">
        <f>'BIO DATA'!AB259</f>
        <v>Bowo Ristiyono</v>
      </c>
      <c r="L469" s="147" t="str">
        <f>'BIO DATA'!AG259</f>
        <v>085842769323</v>
      </c>
      <c r="M469" s="30" t="str">
        <f>'BIO DATA'!AI259</f>
        <v>Siti Nur Arbiyah</v>
      </c>
      <c r="N469" s="152" t="str">
        <f>'BIO DATA'!AN259</f>
        <v>085842769323</v>
      </c>
      <c r="O469" s="30" t="str">
        <f>'BIO DATA'!AE259</f>
        <v>Pegawai Swasta</v>
      </c>
      <c r="P469" s="30" t="str">
        <f>'BIO DATA'!AL259</f>
        <v>Tidak Bekerja</v>
      </c>
      <c r="Q469" s="134" t="s">
        <v>228</v>
      </c>
    </row>
    <row r="470" spans="2:17" ht="38.25">
      <c r="B470" s="28">
        <v>10</v>
      </c>
      <c r="C470" s="29">
        <f>'BIO DATA'!C260</f>
        <v>12659</v>
      </c>
      <c r="D470" s="180" t="str">
        <f>'BIO DATA'!D260</f>
        <v>0149198663</v>
      </c>
      <c r="E470" s="30" t="str">
        <f>'BIO DATA'!E260</f>
        <v>Muhammad Zhafran Mumtaz Usman</v>
      </c>
      <c r="F470" s="31">
        <f>'BIO DATA'!Y260</f>
        <v>0</v>
      </c>
      <c r="G470" s="71">
        <f>'BIO DATA'!I260</f>
        <v>3</v>
      </c>
      <c r="H470" s="122" t="str">
        <f>'BIO DATA'!M260</f>
        <v>Denpasar</v>
      </c>
      <c r="I470" s="136" t="str">
        <f>'BIO DATA'!P260</f>
        <v>7 Februari 2014</v>
      </c>
      <c r="J470" s="30" t="str">
        <f>'BIO DATA'!S260</f>
        <v>Carikan RT 001 RW 002 Gondosuli Muntilan Magelang Jawa Tengah 56451</v>
      </c>
      <c r="K470" s="30" t="str">
        <f>'BIO DATA'!AB260</f>
        <v>Usman Arif Murtopo</v>
      </c>
      <c r="L470" s="147" t="str">
        <f>'BIO DATA'!AG260</f>
        <v>08113500738</v>
      </c>
      <c r="M470" s="30" t="str">
        <f>'BIO DATA'!AI260</f>
        <v>Rina Fauziah</v>
      </c>
      <c r="N470" s="152" t="str">
        <f>'BIO DATA'!AN260</f>
        <v>08122742881</v>
      </c>
      <c r="O470" s="30" t="str">
        <f>'BIO DATA'!AE260</f>
        <v>PNS</v>
      </c>
      <c r="P470" s="30" t="str">
        <f>'BIO DATA'!AL260</f>
        <v>PNS</v>
      </c>
      <c r="Q470" s="134" t="s">
        <v>228</v>
      </c>
    </row>
    <row r="471" spans="2:17" ht="33.75" customHeight="1">
      <c r="B471" s="28">
        <v>11</v>
      </c>
      <c r="C471" s="29">
        <f>'BIO DATA'!C261</f>
        <v>12668</v>
      </c>
      <c r="D471" s="180" t="str">
        <f>'BIO DATA'!D261</f>
        <v>0135614337</v>
      </c>
      <c r="E471" s="30" t="str">
        <f>'BIO DATA'!E261</f>
        <v>Naryama Ascarya Rauf</v>
      </c>
      <c r="F471" s="31" t="str">
        <f>'BIO DATA'!Y261</f>
        <v>SD Muhammadiyah Wirobrajan 3</v>
      </c>
      <c r="G471" s="71">
        <f>'BIO DATA'!I261</f>
        <v>2</v>
      </c>
      <c r="H471" s="122" t="str">
        <f>'BIO DATA'!M261</f>
        <v>Sleman</v>
      </c>
      <c r="I471" s="136" t="str">
        <f>'BIO DATA'!P261</f>
        <v>9 Juni 2013</v>
      </c>
      <c r="J471" s="30" t="str">
        <f>'BIO DATA'!S261</f>
        <v>Pasekan Lor RT 03 RW 03 Balecatur Gamping Sleman DIY</v>
      </c>
      <c r="K471" s="30" t="str">
        <f>'BIO DATA'!AB261</f>
        <v>Agus Amin Syaifuddin</v>
      </c>
      <c r="L471" s="147" t="str">
        <f>'BIO DATA'!AG261</f>
        <v>082134983237</v>
      </c>
      <c r="M471" s="30" t="str">
        <f>'BIO DATA'!AI261</f>
        <v>Nur Azizah Uswatun Hasanah</v>
      </c>
      <c r="N471" s="152" t="str">
        <f>'BIO DATA'!AN261</f>
        <v>081931769898</v>
      </c>
      <c r="O471" s="30" t="str">
        <f>'BIO DATA'!AE261</f>
        <v>Wiraswasta</v>
      </c>
      <c r="P471" s="30" t="str">
        <f>'BIO DATA'!AL261</f>
        <v>Guru/Dosen</v>
      </c>
      <c r="Q471" s="134" t="s">
        <v>228</v>
      </c>
    </row>
    <row r="472" spans="2:17" ht="38.25">
      <c r="B472" s="28">
        <v>12</v>
      </c>
      <c r="C472" s="29">
        <f>'BIO DATA'!C262</f>
        <v>12670</v>
      </c>
      <c r="D472" s="180" t="str">
        <f>'BIO DATA'!D262</f>
        <v>0145346821</v>
      </c>
      <c r="E472" s="30" t="str">
        <f>'BIO DATA'!E262</f>
        <v>Naufal Ahnaf Abqary</v>
      </c>
      <c r="F472" s="31" t="str">
        <f>'BIO DATA'!Y262</f>
        <v>SD Islam Terpadu Al-Fatih Pangkep</v>
      </c>
      <c r="G472" s="71">
        <f>'BIO DATA'!I262</f>
        <v>1</v>
      </c>
      <c r="H472" s="122" t="str">
        <f>'BIO DATA'!M262</f>
        <v>Pangkajene</v>
      </c>
      <c r="I472" s="136" t="str">
        <f>'BIO DATA'!P262</f>
        <v>22 April 2014</v>
      </c>
      <c r="J472" s="30" t="str">
        <f>'BIO DATA'!S262</f>
        <v>Jl. Matahari Padoang Doangan Pangkajene Kab. Pangkajene dan Kepualauan Sulawesi Selatan</v>
      </c>
      <c r="K472" s="30" t="str">
        <f>'BIO DATA'!AB262</f>
        <v>Mutakhir</v>
      </c>
      <c r="L472" s="147" t="str">
        <f>'BIO DATA'!AG262</f>
        <v>081299971016</v>
      </c>
      <c r="M472" s="30" t="str">
        <f>'BIO DATA'!AI262</f>
        <v>Nur Faidah Munir</v>
      </c>
      <c r="N472" s="152" t="str">
        <f>'BIO DATA'!AN262</f>
        <v>085255668909</v>
      </c>
      <c r="O472" s="30" t="str">
        <f>'BIO DATA'!AE262</f>
        <v>Pegawai Swasta</v>
      </c>
      <c r="P472" s="30" t="str">
        <f>'BIO DATA'!AL262</f>
        <v>Guru/Dosen</v>
      </c>
      <c r="Q472" s="134" t="s">
        <v>228</v>
      </c>
    </row>
    <row r="473" spans="2:17" ht="44.25" customHeight="1">
      <c r="B473" s="28">
        <v>13</v>
      </c>
      <c r="C473" s="29">
        <f>'BIO DATA'!C263</f>
        <v>12671</v>
      </c>
      <c r="D473" s="180">
        <f>'BIO DATA'!D263</f>
        <v>3138038345</v>
      </c>
      <c r="E473" s="30" t="str">
        <f>'BIO DATA'!E263</f>
        <v>Nawwar Sukma</v>
      </c>
      <c r="F473" s="31" t="str">
        <f>'BIO DATA'!Y263</f>
        <v>MI Muhammadiyah 02 Solokuro</v>
      </c>
      <c r="G473" s="71">
        <f>'BIO DATA'!I263</f>
        <v>2</v>
      </c>
      <c r="H473" s="122" t="str">
        <f>'BIO DATA'!M263</f>
        <v>Lamongan</v>
      </c>
      <c r="I473" s="136" t="str">
        <f>'BIO DATA'!P263</f>
        <v>4 September 2013</v>
      </c>
      <c r="J473" s="30" t="str">
        <f>'BIO DATA'!S263</f>
        <v>Desa Solokuro RT 001/RW 001, kecamatan Solokuro, kabupaten Lamongan, provinsi Jawa Timur</v>
      </c>
      <c r="K473" s="30" t="str">
        <f>'BIO DATA'!AB263</f>
        <v>Ali Makhfudi, S.Ag., SH</v>
      </c>
      <c r="L473" s="147" t="str">
        <f>'BIO DATA'!AG263</f>
        <v>081357491000</v>
      </c>
      <c r="M473" s="30" t="str">
        <f>'BIO DATA'!AI263</f>
        <v>Munadlifah</v>
      </c>
      <c r="N473" s="152" t="str">
        <f>'BIO DATA'!AN263</f>
        <v>081332288885</v>
      </c>
      <c r="O473" s="30" t="str">
        <f>'BIO DATA'!AE263</f>
        <v>Wiraswasta</v>
      </c>
      <c r="P473" s="30" t="str">
        <f>'BIO DATA'!AL263</f>
        <v>Wiraswasta</v>
      </c>
      <c r="Q473" s="134" t="s">
        <v>228</v>
      </c>
    </row>
    <row r="474" spans="2:17" ht="30.75" customHeight="1">
      <c r="B474" s="28">
        <v>14</v>
      </c>
      <c r="C474" s="29">
        <f>'BIO DATA'!C264</f>
        <v>12674</v>
      </c>
      <c r="D474" s="180">
        <f>'BIO DATA'!D264</f>
        <v>3133388949</v>
      </c>
      <c r="E474" s="30" t="str">
        <f>'BIO DATA'!E264</f>
        <v>Prabu Airlangga Wicaksono</v>
      </c>
      <c r="F474" s="31" t="str">
        <f>'BIO DATA'!Y264</f>
        <v>Al Azhar Syifa Budi Talaga Bestari</v>
      </c>
      <c r="G474" s="71">
        <f>'BIO DATA'!I264</f>
        <v>1</v>
      </c>
      <c r="H474" s="122" t="str">
        <f>'BIO DATA'!M264</f>
        <v>Jakarta</v>
      </c>
      <c r="I474" s="136" t="str">
        <f>'BIO DATA'!P264</f>
        <v>8 Agustus 2013</v>
      </c>
      <c r="J474" s="30" t="str">
        <f>'BIO DATA'!S264</f>
        <v>Talaga Bestari Cluster The Hills blok BH 10. Kabupaten Tangerang</v>
      </c>
      <c r="K474" s="30" t="str">
        <f>'BIO DATA'!AB264</f>
        <v>Handarbeni Setio Wicaksono</v>
      </c>
      <c r="L474" s="147" t="str">
        <f>'BIO DATA'!AG264</f>
        <v>081903622349</v>
      </c>
      <c r="M474" s="30" t="str">
        <f>'BIO DATA'!AI264</f>
        <v>Nurdiyah Ratnani</v>
      </c>
      <c r="N474" s="152" t="str">
        <f>'BIO DATA'!AN264</f>
        <v>081903622349</v>
      </c>
      <c r="O474" s="30" t="str">
        <f>'BIO DATA'!AE264</f>
        <v>Pegawai Swasta</v>
      </c>
      <c r="P474" s="30" t="str">
        <f>'BIO DATA'!AL264</f>
        <v>Tidak Bekerja</v>
      </c>
      <c r="Q474" s="134" t="s">
        <v>228</v>
      </c>
    </row>
    <row r="475" spans="2:17" ht="38.25">
      <c r="B475" s="28">
        <v>15</v>
      </c>
      <c r="C475" s="29">
        <f>'BIO DATA'!C265</f>
        <v>12677</v>
      </c>
      <c r="D475" s="180">
        <f>'BIO DATA'!D265</f>
        <v>3149073410</v>
      </c>
      <c r="E475" s="30" t="str">
        <f>'BIO DATA'!E265</f>
        <v>R. Maheswara Abiyasa Narawata</v>
      </c>
      <c r="F475" s="31" t="str">
        <f>'BIO DATA'!Y265</f>
        <v>SD MBF Al Adzkiya Wonosobo</v>
      </c>
      <c r="G475" s="71">
        <f>'BIO DATA'!I265</f>
        <v>2</v>
      </c>
      <c r="H475" s="122" t="str">
        <f>'BIO DATA'!M265</f>
        <v>Sleman</v>
      </c>
      <c r="I475" s="136" t="str">
        <f>'BIO DATA'!P265</f>
        <v>4 Maret 2014</v>
      </c>
      <c r="J475" s="30" t="str">
        <f>'BIO DATA'!S265</f>
        <v>Mangunan, mangunrejo, Kalikajar wonosobo Jawa Tengah</v>
      </c>
      <c r="K475" s="30" t="str">
        <f>'BIO DATA'!AB265</f>
        <v>R. Haryo Jagad Panuntun</v>
      </c>
      <c r="L475" s="147" t="str">
        <f>'BIO DATA'!AG265</f>
        <v>081392552673</v>
      </c>
      <c r="M475" s="30" t="str">
        <f>'BIO DATA'!AI265</f>
        <v>Dyah Purwaningsih</v>
      </c>
      <c r="N475" s="152" t="str">
        <f>'BIO DATA'!AN265</f>
        <v>08112606464</v>
      </c>
      <c r="O475" s="30" t="str">
        <f>'BIO DATA'!AE265</f>
        <v>PNS</v>
      </c>
      <c r="P475" s="30" t="str">
        <f>'BIO DATA'!AL265</f>
        <v>Pengacara/Jaksa/Hakim/Notaris</v>
      </c>
      <c r="Q475" s="134" t="s">
        <v>228</v>
      </c>
    </row>
    <row r="476" spans="2:17" s="23" customFormat="1" ht="38.25">
      <c r="B476" s="28">
        <v>16</v>
      </c>
      <c r="C476" s="29">
        <f>'BIO DATA'!C266</f>
        <v>12698</v>
      </c>
      <c r="D476" s="180" t="str">
        <f>'BIO DATA'!D266</f>
        <v>0137629101</v>
      </c>
      <c r="E476" s="30" t="str">
        <f>'BIO DATA'!E266</f>
        <v>Rizqi Suryanata</v>
      </c>
      <c r="F476" s="31">
        <f>'BIO DATA'!Y266</f>
        <v>0</v>
      </c>
      <c r="G476" s="71">
        <f>'BIO DATA'!I266</f>
        <v>1</v>
      </c>
      <c r="H476" s="122" t="str">
        <f>'BIO DATA'!M266</f>
        <v>Garut</v>
      </c>
      <c r="I476" s="136" t="str">
        <f>'BIO DATA'!P266</f>
        <v>5 Juni 2013</v>
      </c>
      <c r="J476" s="30" t="str">
        <f>'BIO DATA'!S266</f>
        <v>Jl. Neglasari RT 004 RW 004 Sukapada Cibeunying Kidul Kota Bandung Jawa Barat 40125</v>
      </c>
      <c r="K476" s="30" t="str">
        <f>'BIO DATA'!AB266</f>
        <v>Faliq Mubarok</v>
      </c>
      <c r="L476" s="147">
        <f>'BIO DATA'!AG266</f>
        <v>0</v>
      </c>
      <c r="M476" s="30" t="str">
        <f>'BIO DATA'!AI266</f>
        <v>Hilda Rosdiana</v>
      </c>
      <c r="N476" s="152">
        <f>'BIO DATA'!AN266</f>
        <v>0</v>
      </c>
      <c r="O476" s="30" t="str">
        <f>'BIO DATA'!AE266</f>
        <v>Karyawan Swasta</v>
      </c>
      <c r="P476" s="30" t="str">
        <f>'BIO DATA'!AL266</f>
        <v>Ibu Rumah Tangga</v>
      </c>
      <c r="Q476" s="134" t="s">
        <v>228</v>
      </c>
    </row>
    <row r="477" spans="2:17" ht="51">
      <c r="B477" s="215">
        <v>17</v>
      </c>
      <c r="C477" s="29">
        <f>'BIO DATA'!C267</f>
        <v>12716</v>
      </c>
      <c r="D477" s="180" t="str">
        <f>'BIO DATA'!D267</f>
        <v>0133231819</v>
      </c>
      <c r="E477" s="30" t="str">
        <f>'BIO DATA'!E267</f>
        <v>Yuda Prawira Arifin</v>
      </c>
      <c r="F477" s="31" t="str">
        <f>'BIO DATA'!Y267</f>
        <v>SD Muhammadiyah Karangkajen</v>
      </c>
      <c r="G477" s="71">
        <f>'BIO DATA'!I267</f>
        <v>0</v>
      </c>
      <c r="H477" s="122" t="str">
        <f>'BIO DATA'!M267</f>
        <v>Metro</v>
      </c>
      <c r="I477" s="136" t="str">
        <f>'BIO DATA'!P267</f>
        <v>16 Oktober 2013</v>
      </c>
      <c r="J477" s="30" t="str">
        <f>'BIO DATA'!S267</f>
        <v>Jl. Sisingamangaraja No. 72 Yogyakarta RT 043 RW 011 Brontokusuman Mergangsan Kota Yogyakarta DIY</v>
      </c>
      <c r="K477" s="30" t="str">
        <f>'BIO DATA'!AB267</f>
        <v>M. Subchan Zaenal</v>
      </c>
      <c r="L477" s="147" t="str">
        <f>'BIO DATA'!AG267</f>
        <v>082133833923</v>
      </c>
      <c r="M477" s="30" t="str">
        <f>'BIO DATA'!AI267</f>
        <v>Suryati</v>
      </c>
      <c r="N477" s="152" t="str">
        <f>'BIO DATA'!AN267</f>
        <v>082138253334</v>
      </c>
      <c r="O477" s="30">
        <f>'BIO DATA'!AE267</f>
        <v>0</v>
      </c>
      <c r="P477" s="30">
        <f>'BIO DATA'!AL267</f>
        <v>0</v>
      </c>
      <c r="Q477" s="134" t="s">
        <v>228</v>
      </c>
    </row>
    <row r="478" spans="2:17" ht="38.25">
      <c r="B478" s="28">
        <v>18</v>
      </c>
      <c r="C478" s="29">
        <f>'BIO DATA'!C268</f>
        <v>12725</v>
      </c>
      <c r="D478" s="180" t="str">
        <f>'BIO DATA'!D268</f>
        <v>0137621548</v>
      </c>
      <c r="E478" s="30" t="str">
        <f>'BIO DATA'!E268</f>
        <v>Zulfadhli Muhammad Fayyadh Afkar</v>
      </c>
      <c r="F478" s="31" t="str">
        <f>'BIO DATA'!Y268</f>
        <v>SDN 2 Pamekarsari</v>
      </c>
      <c r="G478" s="71">
        <f>'BIO DATA'!I268</f>
        <v>4</v>
      </c>
      <c r="H478" s="122" t="str">
        <f>'BIO DATA'!M268</f>
        <v>Garut</v>
      </c>
      <c r="I478" s="136" t="str">
        <f>'BIO DATA'!P268</f>
        <v>5 September 2013</v>
      </c>
      <c r="J478" s="30" t="str">
        <f>'BIO DATA'!S268</f>
        <v>Kp Pungkur RT 02 Rw 01 Pamekarsari Banyuresmi Garut Jawa Barat</v>
      </c>
      <c r="K478" s="30" t="str">
        <f>'BIO DATA'!AB268</f>
        <v>Maman Sulaeman</v>
      </c>
      <c r="L478" s="147" t="str">
        <f>'BIO DATA'!AG268</f>
        <v>082321076750</v>
      </c>
      <c r="M478" s="30" t="str">
        <f>'BIO DATA'!AI268</f>
        <v>Siti Rohmah</v>
      </c>
      <c r="N478" s="152" t="str">
        <f>'BIO DATA'!AN268</f>
        <v>085221432900</v>
      </c>
      <c r="O478" s="30" t="str">
        <f>'BIO DATA'!AE268</f>
        <v>PNS</v>
      </c>
      <c r="P478" s="30" t="str">
        <f>'BIO DATA'!AL268</f>
        <v>PNS</v>
      </c>
      <c r="Q478" s="134" t="s">
        <v>228</v>
      </c>
    </row>
  </sheetData>
  <mergeCells count="217">
    <mergeCell ref="H435:I435"/>
    <mergeCell ref="J435:J436"/>
    <mergeCell ref="K435:N435"/>
    <mergeCell ref="O435:P435"/>
    <mergeCell ref="Q435:Q436"/>
    <mergeCell ref="B456:Q456"/>
    <mergeCell ref="B457:Q457"/>
    <mergeCell ref="B458:Q458"/>
    <mergeCell ref="B459:B460"/>
    <mergeCell ref="C459:C460"/>
    <mergeCell ref="D459:D460"/>
    <mergeCell ref="E459:E460"/>
    <mergeCell ref="F459:F460"/>
    <mergeCell ref="G459:G460"/>
    <mergeCell ref="H459:I459"/>
    <mergeCell ref="J459:J460"/>
    <mergeCell ref="K459:N459"/>
    <mergeCell ref="O459:P459"/>
    <mergeCell ref="Q459:Q460"/>
    <mergeCell ref="B347:Q347"/>
    <mergeCell ref="O411:P411"/>
    <mergeCell ref="Q411:Q412"/>
    <mergeCell ref="B408:Q408"/>
    <mergeCell ref="B409:Q409"/>
    <mergeCell ref="B410:Q410"/>
    <mergeCell ref="B411:B412"/>
    <mergeCell ref="C411:C412"/>
    <mergeCell ref="D411:D412"/>
    <mergeCell ref="E411:E412"/>
    <mergeCell ref="F411:F412"/>
    <mergeCell ref="G411:G412"/>
    <mergeCell ref="H411:I411"/>
    <mergeCell ref="J411:J412"/>
    <mergeCell ref="K411:N411"/>
    <mergeCell ref="H373:I373"/>
    <mergeCell ref="J373:J374"/>
    <mergeCell ref="K373:N373"/>
    <mergeCell ref="B349:Q349"/>
    <mergeCell ref="B350:B351"/>
    <mergeCell ref="C350:C351"/>
    <mergeCell ref="D350:D351"/>
    <mergeCell ref="E350:E351"/>
    <mergeCell ref="F350:F351"/>
    <mergeCell ref="G350:G351"/>
    <mergeCell ref="H350:I350"/>
    <mergeCell ref="J350:J351"/>
    <mergeCell ref="K350:N350"/>
    <mergeCell ref="O350:P350"/>
    <mergeCell ref="Q350:Q351"/>
    <mergeCell ref="Q373:Q374"/>
    <mergeCell ref="O373:P373"/>
    <mergeCell ref="B373:B374"/>
    <mergeCell ref="C373:C374"/>
    <mergeCell ref="D373:D374"/>
    <mergeCell ref="E373:E374"/>
    <mergeCell ref="F373:F374"/>
    <mergeCell ref="G373:G374"/>
    <mergeCell ref="B169:Q169"/>
    <mergeCell ref="B170:Q170"/>
    <mergeCell ref="B348:Q348"/>
    <mergeCell ref="Q319:Q320"/>
    <mergeCell ref="O297:P297"/>
    <mergeCell ref="G319:G320"/>
    <mergeCell ref="C297:C298"/>
    <mergeCell ref="D297:D298"/>
    <mergeCell ref="E297:E298"/>
    <mergeCell ref="F297:F298"/>
    <mergeCell ref="G297:G298"/>
    <mergeCell ref="H297:I297"/>
    <mergeCell ref="J297:J298"/>
    <mergeCell ref="K297:N297"/>
    <mergeCell ref="D319:D320"/>
    <mergeCell ref="O319:P319"/>
    <mergeCell ref="B319:B320"/>
    <mergeCell ref="H319:I319"/>
    <mergeCell ref="J319:J320"/>
    <mergeCell ref="K319:N319"/>
    <mergeCell ref="B294:Q294"/>
    <mergeCell ref="B295:Q295"/>
    <mergeCell ref="B296:Q296"/>
    <mergeCell ref="B297:B298"/>
    <mergeCell ref="F193:F194"/>
    <mergeCell ref="G193:G194"/>
    <mergeCell ref="H193:I193"/>
    <mergeCell ref="J193:J194"/>
    <mergeCell ref="K193:N193"/>
    <mergeCell ref="J171:J172"/>
    <mergeCell ref="K171:N171"/>
    <mergeCell ref="O171:P171"/>
    <mergeCell ref="Q171:Q172"/>
    <mergeCell ref="G136:G137"/>
    <mergeCell ref="H136:I136"/>
    <mergeCell ref="J136:J137"/>
    <mergeCell ref="K136:N136"/>
    <mergeCell ref="B168:Q168"/>
    <mergeCell ref="O136:P136"/>
    <mergeCell ref="Q136:Q137"/>
    <mergeCell ref="O115:P115"/>
    <mergeCell ref="Q115:Q116"/>
    <mergeCell ref="B115:B116"/>
    <mergeCell ref="C115:C116"/>
    <mergeCell ref="B136:B137"/>
    <mergeCell ref="Q24:Q25"/>
    <mergeCell ref="Q55:Q56"/>
    <mergeCell ref="B52:Q52"/>
    <mergeCell ref="B53:Q53"/>
    <mergeCell ref="B54:Q54"/>
    <mergeCell ref="Q252:Q253"/>
    <mergeCell ref="C319:C320"/>
    <mergeCell ref="E319:E320"/>
    <mergeCell ref="F319:F320"/>
    <mergeCell ref="Q297:Q298"/>
    <mergeCell ref="O252:P252"/>
    <mergeCell ref="H115:I115"/>
    <mergeCell ref="J115:J116"/>
    <mergeCell ref="K115:N115"/>
    <mergeCell ref="G232:G233"/>
    <mergeCell ref="H232:I232"/>
    <mergeCell ref="J232:J233"/>
    <mergeCell ref="K232:N232"/>
    <mergeCell ref="O232:P232"/>
    <mergeCell ref="Q232:Q233"/>
    <mergeCell ref="C136:C137"/>
    <mergeCell ref="D136:D137"/>
    <mergeCell ref="E136:E137"/>
    <mergeCell ref="F136:F137"/>
    <mergeCell ref="O77:P77"/>
    <mergeCell ref="B112:Q112"/>
    <mergeCell ref="B113:Q113"/>
    <mergeCell ref="B114:Q114"/>
    <mergeCell ref="G115:G116"/>
    <mergeCell ref="Q77:Q78"/>
    <mergeCell ref="B77:B78"/>
    <mergeCell ref="C77:C78"/>
    <mergeCell ref="D77:D78"/>
    <mergeCell ref="E77:E78"/>
    <mergeCell ref="F77:F78"/>
    <mergeCell ref="G77:G78"/>
    <mergeCell ref="H77:I77"/>
    <mergeCell ref="D115:D116"/>
    <mergeCell ref="E115:E116"/>
    <mergeCell ref="F115:F116"/>
    <mergeCell ref="J77:J78"/>
    <mergeCell ref="K77:N77"/>
    <mergeCell ref="O55:P55"/>
    <mergeCell ref="B24:B25"/>
    <mergeCell ref="C24:C25"/>
    <mergeCell ref="D24:D25"/>
    <mergeCell ref="E24:E25"/>
    <mergeCell ref="F24:F25"/>
    <mergeCell ref="G24:G25"/>
    <mergeCell ref="H24:I24"/>
    <mergeCell ref="J24:J25"/>
    <mergeCell ref="O24:P24"/>
    <mergeCell ref="B55:B56"/>
    <mergeCell ref="C55:C56"/>
    <mergeCell ref="D55:D56"/>
    <mergeCell ref="E55:E56"/>
    <mergeCell ref="F55:F56"/>
    <mergeCell ref="G55:G56"/>
    <mergeCell ref="H55:I55"/>
    <mergeCell ref="J55:J56"/>
    <mergeCell ref="K55:N55"/>
    <mergeCell ref="K24:N24"/>
    <mergeCell ref="B252:B253"/>
    <mergeCell ref="C252:C253"/>
    <mergeCell ref="D252:D253"/>
    <mergeCell ref="E252:E253"/>
    <mergeCell ref="F252:F253"/>
    <mergeCell ref="B229:Q229"/>
    <mergeCell ref="B171:B172"/>
    <mergeCell ref="C171:C172"/>
    <mergeCell ref="D171:D172"/>
    <mergeCell ref="E171:E172"/>
    <mergeCell ref="F171:F172"/>
    <mergeCell ref="G171:G172"/>
    <mergeCell ref="H171:I171"/>
    <mergeCell ref="G252:G253"/>
    <mergeCell ref="H252:I252"/>
    <mergeCell ref="J252:J253"/>
    <mergeCell ref="O193:P193"/>
    <mergeCell ref="Q193:Q194"/>
    <mergeCell ref="B193:B194"/>
    <mergeCell ref="C193:C194"/>
    <mergeCell ref="D193:D194"/>
    <mergeCell ref="E193:E194"/>
    <mergeCell ref="K252:N252"/>
    <mergeCell ref="F232:F233"/>
    <mergeCell ref="B1:Q1"/>
    <mergeCell ref="B2:Q2"/>
    <mergeCell ref="B3:Q3"/>
    <mergeCell ref="B4:B5"/>
    <mergeCell ref="C4:C5"/>
    <mergeCell ref="D4:D5"/>
    <mergeCell ref="E4:E5"/>
    <mergeCell ref="F4:F5"/>
    <mergeCell ref="G4:G5"/>
    <mergeCell ref="H4:I4"/>
    <mergeCell ref="J4:J5"/>
    <mergeCell ref="K4:N4"/>
    <mergeCell ref="O4:P4"/>
    <mergeCell ref="Q4:Q5"/>
    <mergeCell ref="B230:Q230"/>
    <mergeCell ref="B231:Q231"/>
    <mergeCell ref="B232:B233"/>
    <mergeCell ref="C232:C233"/>
    <mergeCell ref="D232:D233"/>
    <mergeCell ref="E232:E233"/>
    <mergeCell ref="B432:Q432"/>
    <mergeCell ref="B433:Q433"/>
    <mergeCell ref="B434:Q434"/>
    <mergeCell ref="B435:B436"/>
    <mergeCell ref="C435:C436"/>
    <mergeCell ref="D435:D436"/>
    <mergeCell ref="E435:E436"/>
    <mergeCell ref="F435:F436"/>
    <mergeCell ref="G435:G436"/>
  </mergeCells>
  <phoneticPr fontId="23" type="noConversion"/>
  <pageMargins left="1.5748031496062993" right="0" top="0.23622047244094491" bottom="0.23622047244094491" header="0.31496062992125984" footer="0.31496062992125984"/>
  <pageSetup paperSize="5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BIO DATA</vt:lpstr>
      <vt:lpstr>PERKELAS</vt:lpstr>
      <vt:lpstr>DATA PERKELAS</vt:lpstr>
      <vt:lpstr>'DATA PERKELAS'!Print_Area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Latif</dc:creator>
  <cp:lastModifiedBy>muin 1918</cp:lastModifiedBy>
  <cp:lastPrinted>2026-07-17T03:01:38Z</cp:lastPrinted>
  <dcterms:created xsi:type="dcterms:W3CDTF">2020-05-19T00:28:35Z</dcterms:created>
  <dcterms:modified xsi:type="dcterms:W3CDTF">2026-07-17T03:04:19Z</dcterms:modified>
</cp:coreProperties>
</file>